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981639\Desktop\Intern\"/>
    </mc:Choice>
  </mc:AlternateContent>
  <xr:revisionPtr revIDLastSave="0" documentId="13_ncr:1_{60B0229C-19CC-4E24-9C94-0F4A4BD454A4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Apr 25" sheetId="5" r:id="rId1"/>
    <sheet name="May 25" sheetId="2" r:id="rId2"/>
    <sheet name="June 25" sheetId="4" r:id="rId3"/>
    <sheet name="July 25" sheetId="6" r:id="rId4"/>
    <sheet name="Aug 25" sheetId="7" r:id="rId5"/>
    <sheet name="Sept 25" sheetId="8" r:id="rId6"/>
    <sheet name="Oct 25" sheetId="9" r:id="rId7"/>
    <sheet name="Nov 25" sheetId="10" r:id="rId8"/>
    <sheet name="Dec 25" sheetId="11" r:id="rId9"/>
    <sheet name="Jan 26" sheetId="12" r:id="rId10"/>
    <sheet name="Feb 26" sheetId="13" r:id="rId11"/>
    <sheet name="Mar 26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0" i="7" l="1"/>
  <c r="V120" i="7"/>
  <c r="P120" i="7"/>
  <c r="Y119" i="7"/>
  <c r="V119" i="7"/>
  <c r="P119" i="7"/>
  <c r="Y118" i="7"/>
  <c r="V118" i="7"/>
  <c r="P118" i="7"/>
  <c r="Y117" i="7"/>
  <c r="V117" i="7"/>
  <c r="P117" i="7"/>
  <c r="Y116" i="7"/>
  <c r="V116" i="7"/>
  <c r="P116" i="7"/>
  <c r="Y115" i="7"/>
  <c r="V115" i="7"/>
  <c r="P115" i="7"/>
  <c r="Y114" i="7"/>
  <c r="V114" i="7"/>
  <c r="P114" i="7"/>
  <c r="Y113" i="7"/>
  <c r="V113" i="7"/>
  <c r="P113" i="7"/>
  <c r="Y112" i="7"/>
  <c r="V112" i="7"/>
  <c r="P112" i="7"/>
  <c r="Y111" i="7"/>
  <c r="V111" i="7"/>
  <c r="P111" i="7"/>
  <c r="Y110" i="7"/>
  <c r="V110" i="7"/>
  <c r="P110" i="7"/>
  <c r="Y109" i="7"/>
  <c r="V109" i="7"/>
  <c r="P109" i="7"/>
  <c r="Y108" i="7"/>
  <c r="V108" i="7"/>
  <c r="P108" i="7"/>
  <c r="Y107" i="7"/>
  <c r="V107" i="7"/>
  <c r="P107" i="7"/>
  <c r="Y106" i="7"/>
  <c r="V106" i="7"/>
  <c r="P106" i="7"/>
  <c r="Y105" i="7"/>
  <c r="P105" i="7"/>
  <c r="Y104" i="7"/>
  <c r="V104" i="7"/>
  <c r="P104" i="7"/>
  <c r="Y103" i="7"/>
  <c r="V103" i="7"/>
  <c r="P103" i="7"/>
  <c r="Y102" i="7"/>
  <c r="V102" i="7"/>
  <c r="P102" i="7"/>
  <c r="Y101" i="7"/>
  <c r="V101" i="7"/>
  <c r="P101" i="7"/>
  <c r="V100" i="7"/>
  <c r="Y99" i="7"/>
  <c r="V99" i="7"/>
  <c r="P99" i="7"/>
  <c r="Y98" i="7"/>
  <c r="V98" i="7"/>
  <c r="P98" i="7"/>
  <c r="Y97" i="7"/>
  <c r="V97" i="7"/>
  <c r="P97" i="7"/>
  <c r="Y96" i="7"/>
  <c r="P96" i="7"/>
  <c r="P95" i="7"/>
  <c r="Y94" i="7"/>
  <c r="V94" i="7"/>
  <c r="P94" i="7"/>
  <c r="Y93" i="7"/>
  <c r="V93" i="7"/>
  <c r="P93" i="7"/>
  <c r="V92" i="7"/>
  <c r="P92" i="7"/>
  <c r="Y91" i="7"/>
  <c r="V91" i="7"/>
  <c r="P91" i="7"/>
  <c r="Y90" i="7"/>
  <c r="V90" i="7"/>
  <c r="P90" i="7"/>
  <c r="Y89" i="7"/>
  <c r="V89" i="7"/>
  <c r="P89" i="7"/>
  <c r="Y88" i="7"/>
  <c r="V88" i="7"/>
  <c r="P88" i="7"/>
  <c r="Y87" i="7"/>
  <c r="V87" i="7"/>
  <c r="P87" i="7"/>
  <c r="Y84" i="7"/>
  <c r="V84" i="7"/>
  <c r="P84" i="7"/>
  <c r="Y81" i="7"/>
  <c r="V81" i="7"/>
  <c r="P81" i="7"/>
  <c r="Y80" i="7"/>
  <c r="P80" i="7"/>
  <c r="Y79" i="7"/>
  <c r="V79" i="7"/>
  <c r="P79" i="7"/>
  <c r="Y78" i="7"/>
  <c r="V78" i="7"/>
  <c r="P78" i="7"/>
  <c r="Y77" i="7"/>
  <c r="P77" i="7"/>
  <c r="Y76" i="7"/>
  <c r="P76" i="7"/>
  <c r="Y75" i="7"/>
  <c r="V75" i="7"/>
  <c r="P75" i="7"/>
  <c r="Y74" i="7"/>
  <c r="V74" i="7"/>
  <c r="P74" i="7"/>
  <c r="Y73" i="7"/>
  <c r="V73" i="7"/>
  <c r="P73" i="7"/>
  <c r="Y72" i="7"/>
  <c r="V72" i="7"/>
  <c r="P72" i="7"/>
  <c r="Y71" i="7"/>
  <c r="P71" i="7"/>
  <c r="Y68" i="7"/>
  <c r="V68" i="7"/>
  <c r="P68" i="7"/>
  <c r="Y67" i="7"/>
  <c r="V67" i="7"/>
  <c r="P67" i="7"/>
  <c r="Y66" i="7"/>
  <c r="V66" i="7"/>
  <c r="P66" i="7"/>
  <c r="Y65" i="7"/>
  <c r="V65" i="7"/>
  <c r="P65" i="7"/>
  <c r="Y64" i="7"/>
  <c r="V64" i="7"/>
  <c r="P64" i="7"/>
  <c r="Y63" i="7"/>
  <c r="V63" i="7"/>
  <c r="P63" i="7"/>
  <c r="Y62" i="7"/>
  <c r="V62" i="7"/>
  <c r="P62" i="7"/>
  <c r="Y61" i="7"/>
  <c r="V61" i="7"/>
  <c r="P61" i="7"/>
  <c r="Y60" i="7"/>
  <c r="P60" i="7"/>
  <c r="Y59" i="7"/>
  <c r="P59" i="7"/>
  <c r="Y58" i="7"/>
  <c r="P58" i="7"/>
  <c r="Y57" i="7"/>
  <c r="P57" i="7"/>
  <c r="Y56" i="7"/>
  <c r="V56" i="7"/>
  <c r="P56" i="7"/>
  <c r="Y55" i="7"/>
  <c r="V55" i="7"/>
  <c r="P55" i="7"/>
  <c r="Y54" i="7"/>
  <c r="V54" i="7"/>
  <c r="P54" i="7"/>
  <c r="Y53" i="7"/>
  <c r="V53" i="7"/>
  <c r="P53" i="7"/>
  <c r="Y52" i="7"/>
  <c r="V52" i="7"/>
  <c r="P52" i="7"/>
  <c r="Y51" i="7"/>
  <c r="V51" i="7"/>
  <c r="P51" i="7"/>
  <c r="Y50" i="7"/>
  <c r="V50" i="7"/>
  <c r="P50" i="7"/>
  <c r="Y49" i="7"/>
  <c r="V49" i="7"/>
  <c r="P49" i="7"/>
  <c r="Y48" i="7"/>
  <c r="V48" i="7"/>
  <c r="P48" i="7"/>
  <c r="Y47" i="7"/>
  <c r="V47" i="7"/>
  <c r="P47" i="7"/>
  <c r="Y46" i="7"/>
  <c r="V46" i="7"/>
  <c r="P46" i="7"/>
  <c r="Y45" i="7"/>
  <c r="V45" i="7"/>
  <c r="P45" i="7"/>
  <c r="Y44" i="7"/>
  <c r="P44" i="7"/>
  <c r="Y43" i="7"/>
  <c r="P43" i="7"/>
  <c r="Y42" i="7"/>
  <c r="V42" i="7"/>
  <c r="P42" i="7"/>
  <c r="Y41" i="7"/>
  <c r="V41" i="7"/>
  <c r="P41" i="7"/>
  <c r="Y40" i="7"/>
  <c r="V40" i="7"/>
  <c r="P40" i="7"/>
  <c r="Y39" i="7"/>
  <c r="V39" i="7"/>
  <c r="P39" i="7"/>
  <c r="Y38" i="7"/>
  <c r="V38" i="7"/>
  <c r="P38" i="7"/>
  <c r="Y37" i="7"/>
  <c r="P37" i="7"/>
  <c r="Y36" i="7"/>
  <c r="V36" i="7"/>
  <c r="P36" i="7"/>
  <c r="Y35" i="7"/>
  <c r="P35" i="7"/>
  <c r="Y34" i="7"/>
  <c r="V34" i="7"/>
  <c r="P34" i="7"/>
  <c r="Y33" i="7"/>
  <c r="V33" i="7"/>
  <c r="P33" i="7"/>
  <c r="Y32" i="7"/>
  <c r="P32" i="7"/>
  <c r="Y31" i="7"/>
  <c r="V31" i="7"/>
  <c r="P31" i="7"/>
  <c r="Y30" i="7"/>
  <c r="P30" i="7"/>
  <c r="Y29" i="7"/>
  <c r="P29" i="7"/>
  <c r="Y28" i="7"/>
  <c r="V28" i="7"/>
  <c r="P28" i="7"/>
  <c r="Y27" i="7"/>
  <c r="V27" i="7"/>
  <c r="P27" i="7"/>
  <c r="Y26" i="7"/>
  <c r="V26" i="7"/>
  <c r="P26" i="7"/>
  <c r="Y25" i="7"/>
  <c r="V25" i="7"/>
  <c r="P25" i="7"/>
  <c r="Y24" i="7"/>
  <c r="P24" i="7"/>
  <c r="Y23" i="7"/>
  <c r="V23" i="7"/>
  <c r="P23" i="7"/>
  <c r="Y22" i="7"/>
  <c r="V22" i="7"/>
  <c r="P22" i="7"/>
  <c r="Y21" i="7"/>
  <c r="V21" i="7"/>
  <c r="P21" i="7"/>
  <c r="Y20" i="7"/>
  <c r="P20" i="7"/>
  <c r="Y19" i="7"/>
  <c r="P19" i="7"/>
  <c r="Y18" i="7"/>
  <c r="P18" i="7"/>
  <c r="Y17" i="7"/>
  <c r="V17" i="7"/>
  <c r="P17" i="7"/>
  <c r="Y16" i="7"/>
  <c r="V16" i="7"/>
  <c r="P16" i="7"/>
  <c r="Y15" i="7"/>
  <c r="V15" i="7"/>
  <c r="P15" i="7"/>
  <c r="Y14" i="7"/>
  <c r="V14" i="7"/>
  <c r="P14" i="7"/>
  <c r="Y13" i="7"/>
  <c r="P13" i="7"/>
  <c r="Y12" i="7"/>
  <c r="V12" i="7"/>
  <c r="P12" i="7"/>
  <c r="Y11" i="7"/>
  <c r="V11" i="7"/>
  <c r="P11" i="7"/>
  <c r="Y10" i="7"/>
  <c r="V10" i="7"/>
  <c r="P10" i="7"/>
  <c r="Y9" i="7"/>
  <c r="V9" i="7"/>
  <c r="P9" i="7"/>
  <c r="Y8" i="7"/>
  <c r="P8" i="7"/>
  <c r="Y7" i="7"/>
  <c r="V7" i="7"/>
  <c r="P7" i="7"/>
  <c r="Y6" i="7"/>
  <c r="P6" i="7"/>
  <c r="Y5" i="7"/>
  <c r="V5" i="7"/>
  <c r="P5" i="7"/>
  <c r="Y4" i="7"/>
  <c r="P4" i="7"/>
  <c r="Y3" i="7"/>
  <c r="V3" i="7"/>
  <c r="P3" i="7"/>
</calcChain>
</file>

<file path=xl/sharedStrings.xml><?xml version="1.0" encoding="utf-8"?>
<sst xmlns="http://schemas.openxmlformats.org/spreadsheetml/2006/main" count="12403" uniqueCount="2155">
  <si>
    <t>B</t>
  </si>
  <si>
    <t>RANJAN</t>
  </si>
  <si>
    <t>CR10B</t>
  </si>
  <si>
    <t>L+38</t>
  </si>
  <si>
    <t>A252335</t>
  </si>
  <si>
    <t>-</t>
  </si>
  <si>
    <t>F/O</t>
  </si>
  <si>
    <t>450G</t>
  </si>
  <si>
    <t>(S=0.012%)
S/D OCCURED IN 5TH SLAB
SMS REQUEST</t>
  </si>
  <si>
    <t>RAJESH</t>
  </si>
  <si>
    <t>CG04A</t>
  </si>
  <si>
    <t>L+28</t>
  </si>
  <si>
    <t>A252377</t>
  </si>
  <si>
    <t>G-CHEM</t>
  </si>
  <si>
    <t>S/D OCCURED IN 1ST SLAB</t>
  </si>
  <si>
    <t>L+31</t>
  </si>
  <si>
    <t>C252376</t>
  </si>
  <si>
    <t>S/D OCCURED IN 1ST SLAB
6 MM WIDTH INCREASED IN 2ND SLAB
LNC OCCURED</t>
  </si>
  <si>
    <t>C</t>
  </si>
  <si>
    <t>KIRTI</t>
  </si>
  <si>
    <t>L+13</t>
  </si>
  <si>
    <t>C252473</t>
  </si>
  <si>
    <t>G.CHEM</t>
  </si>
  <si>
    <t>(C=0.053%)
HEAT FLUX DROP AFTER HEAT CONNECTION
S/D IN 2ND SLAB</t>
  </si>
  <si>
    <t>SL NO.</t>
  </si>
  <si>
    <t>DATE</t>
  </si>
  <si>
    <t>SHIFT</t>
  </si>
  <si>
    <t>SHIFT INCHARGE</t>
  </si>
  <si>
    <t>CASTER</t>
  </si>
  <si>
    <t xml:space="preserve">SEQUENCE NUMBER </t>
  </si>
  <si>
    <t>WIDTH (MM)</t>
  </si>
  <si>
    <t>GRADE</t>
  </si>
  <si>
    <t>HEAT IN SEQUENCE</t>
  </si>
  <si>
    <t>HEAT NO</t>
  </si>
  <si>
    <t>LIFTING TEMP.</t>
  </si>
  <si>
    <t>TUNDISH TEMPERATURE</t>
  </si>
  <si>
    <t>ACTUAL CASTING SPEED (m/min)</t>
  </si>
  <si>
    <t>CASTING TIME</t>
  </si>
  <si>
    <t>LADLE NO.</t>
  </si>
  <si>
    <t>LADLE GROSS WT</t>
  </si>
  <si>
    <t>LADLE CLOSING WT</t>
  </si>
  <si>
    <t>LADLE NET WT (MT)</t>
  </si>
  <si>
    <t>TUNDISH WEIGHT AT LADLE CONNECTION</t>
  </si>
  <si>
    <t>SLAB THICKNESS IN (MM)</t>
  </si>
  <si>
    <t>DISCHARGE (MT)</t>
  </si>
  <si>
    <t>AVERAGE DELTA T  (ΔT)</t>
  </si>
  <si>
    <t>HEAT FLUX RATIO %</t>
  </si>
  <si>
    <t>LADLE FREE OPEN</t>
  </si>
  <si>
    <t>CASTING POWDER</t>
  </si>
  <si>
    <t>REMARK</t>
  </si>
  <si>
    <t>LEFT</t>
  </si>
  <si>
    <t>RIGHT</t>
  </si>
  <si>
    <t>D251970</t>
  </si>
  <si>
    <t>221-BG</t>
  </si>
  <si>
    <t>SLOWDOWN IN 3RD SLAB(BFL-02)</t>
  </si>
  <si>
    <t>CR035B</t>
  </si>
  <si>
    <t>L+46</t>
  </si>
  <si>
    <t>C251902</t>
  </si>
  <si>
    <t>SLOWDOWN IN 2ND SLAB</t>
  </si>
  <si>
    <t>L+40</t>
  </si>
  <si>
    <t>B251883</t>
  </si>
  <si>
    <t>SLOWDOWN IN 1ST SLAB</t>
  </si>
  <si>
    <t>CE06F</t>
  </si>
  <si>
    <t>L+53</t>
  </si>
  <si>
    <t>A251917</t>
  </si>
  <si>
    <t>SLOWDOWN IN 2ND SLAB(BFF-06)
POOR BUBBLING
ABNORMAL BOPS
ABNORMAL HEATFLUX</t>
  </si>
  <si>
    <t>L+30</t>
  </si>
  <si>
    <t>B251908</t>
  </si>
  <si>
    <t>SLOWDOWN IN 3RD SLAB</t>
  </si>
  <si>
    <t>C251927</t>
  </si>
  <si>
    <t>L+6</t>
  </si>
  <si>
    <t>A251948</t>
  </si>
  <si>
    <t>450-G</t>
  </si>
  <si>
    <t>MILL REQUEST
HEAT FLUX DROP 
SLOWDOWN IN 3RD SLAB</t>
  </si>
  <si>
    <t>L+8</t>
  </si>
  <si>
    <t>B251924</t>
  </si>
  <si>
    <t>SLOWDOWN IN 2ND SLAB
30MM WIDTH DECREASED IN 2ND SLAB
ABNORMAL BUBBLING FOUND IN SEN</t>
  </si>
  <si>
    <t>L+2</t>
  </si>
  <si>
    <t>A251949</t>
  </si>
  <si>
    <t>28MM WIDTH DECREASED IN 1ST SLAB
HIGH TEMP
SLOWDOWN IN 4TH SLAB</t>
  </si>
  <si>
    <t>L+24</t>
  </si>
  <si>
    <t>D252027</t>
  </si>
  <si>
    <t>SLOWDOWN IN 2ND SLAB
FACE CRACK ALARM</t>
  </si>
  <si>
    <t>L+20</t>
  </si>
  <si>
    <t>A251981</t>
  </si>
  <si>
    <t>B251964</t>
  </si>
  <si>
    <t>L+1</t>
  </si>
  <si>
    <t>D252068</t>
  </si>
  <si>
    <t>221-BG
450-G</t>
  </si>
  <si>
    <t>SLOWDOWN IN 3RD SLAB
VERY LOW TEMP</t>
  </si>
  <si>
    <t>L+5</t>
  </si>
  <si>
    <t>D252070</t>
  </si>
  <si>
    <t>C251991</t>
  </si>
  <si>
    <t>L+7</t>
  </si>
  <si>
    <t>D252071</t>
  </si>
  <si>
    <t>D25207</t>
  </si>
  <si>
    <t>SLOWDOWN IN 4TH SLAB</t>
  </si>
  <si>
    <t>B251984</t>
  </si>
  <si>
    <t>L+0</t>
  </si>
  <si>
    <t>A252036</t>
  </si>
  <si>
    <t>LEAD HEAT</t>
  </si>
  <si>
    <t>B252014</t>
  </si>
  <si>
    <t>SLOWDOWN IN 2ND SLAB
8MM WIDTH INCREASED IN 4TH SLAB</t>
  </si>
  <si>
    <t>L+17</t>
  </si>
  <si>
    <t>C252024</t>
  </si>
  <si>
    <t>SLOWDOWN IN 4TH SLAB
4MM WIDTH INCREASED IN 5TH SLAB</t>
  </si>
  <si>
    <t>A252042</t>
  </si>
  <si>
    <t>C252056</t>
  </si>
  <si>
    <t>D252131</t>
  </si>
  <si>
    <t>ABNORMAL BOPS
 SLOWDOWN IN 3RD SLAB
SLOWDOWN IN 5TH SLAB</t>
  </si>
  <si>
    <t>L+18</t>
  </si>
  <si>
    <t>D252153</t>
  </si>
  <si>
    <t>A252089</t>
  </si>
  <si>
    <t>L+21</t>
  </si>
  <si>
    <t>D252155</t>
  </si>
  <si>
    <t>C252078</t>
  </si>
  <si>
    <t>SLOWDOWN IN 2ND SLAB
SLOWDOWN IN 4TH SLAB</t>
  </si>
  <si>
    <t>A252107</t>
  </si>
  <si>
    <t>SLOWDOWN IN 1ST SLAB
SLOWDOWN IN 2ND SLAB</t>
  </si>
  <si>
    <t>CE06E</t>
  </si>
  <si>
    <t>L+16</t>
  </si>
  <si>
    <t>D252181</t>
  </si>
  <si>
    <t>L+10</t>
  </si>
  <si>
    <t>A252114</t>
  </si>
  <si>
    <t>ABNORMAL HEAT FLUX
SLOWDOWN IN 4TH SLAB</t>
  </si>
  <si>
    <t>A252117</t>
  </si>
  <si>
    <t>L+25</t>
  </si>
  <si>
    <t>C252108</t>
  </si>
  <si>
    <t>G -CHEM</t>
  </si>
  <si>
    <t>L+33</t>
  </si>
  <si>
    <t>D252190</t>
  </si>
  <si>
    <t>SLOWDOWN IN 1ST SLAB 2ND SLAB</t>
  </si>
  <si>
    <t>L+14</t>
  </si>
  <si>
    <t>C252122</t>
  </si>
  <si>
    <t>BOPS SLOWDOWNIN 2ND SLAB
30MM INCREASED IN 3RD SLAB
30MM INCREASED IN 4TH SLAB
SLOWDOWN IN 4TH SLAB</t>
  </si>
  <si>
    <t>A252128</t>
  </si>
  <si>
    <t>HIGH TEMP
SLOWDOWN IN 2ND SLAB</t>
  </si>
  <si>
    <t>A252135</t>
  </si>
  <si>
    <t>L+39</t>
  </si>
  <si>
    <t>A252141</t>
  </si>
  <si>
    <t>HEAT LIFTING DELAY
(S=0.010%)
SLOWDOWN IN 3RD SLAB
ABNORMAL BOPS</t>
  </si>
  <si>
    <t>C252132</t>
  </si>
  <si>
    <t>HIGH SUPERHEAT
SLOWDOWN IN 2ND SLAB
SLOWDOWN IN 2ND SLAB</t>
  </si>
  <si>
    <t>D252249</t>
  </si>
  <si>
    <t>(C=0.055%)
SPEED SLOW DUE TO PROBLEM IN TUNNEL FURNACE
SLOWDOWN OCCURED  IN 3RD SLAB</t>
  </si>
  <si>
    <t>RL48AL</t>
  </si>
  <si>
    <t>L+49</t>
  </si>
  <si>
    <t>B252162</t>
  </si>
  <si>
    <t>L+22</t>
  </si>
  <si>
    <t>C252187</t>
  </si>
  <si>
    <t>A252183</t>
  </si>
  <si>
    <t>SLOWDOWN IN 1ST ( 2 TIMES) &amp; 3RD SLAB
(S=0.009%)</t>
  </si>
  <si>
    <t>L+9</t>
  </si>
  <si>
    <t>A252184</t>
  </si>
  <si>
    <t>B252182</t>
  </si>
  <si>
    <t>L+23</t>
  </si>
  <si>
    <t>D252275</t>
  </si>
  <si>
    <t>SLOWDOWN IN 3RD &amp; 4TH</t>
  </si>
  <si>
    <t>B252187</t>
  </si>
  <si>
    <t>L+47</t>
  </si>
  <si>
    <t>A252196</t>
  </si>
  <si>
    <t>SLOWDOWN IN 3RD SLAB
LOW TEMP</t>
  </si>
  <si>
    <t>L+52</t>
  </si>
  <si>
    <t>C252202</t>
  </si>
  <si>
    <t>L+29</t>
  </si>
  <si>
    <t>A252195</t>
  </si>
  <si>
    <t>HEATFLUX DROPPED 
SLOWDOWN IN 3RD SLAB</t>
  </si>
  <si>
    <t>A252234</t>
  </si>
  <si>
    <t>LEAD HEAT
SLOWDOWN IN 1ST SLAB</t>
  </si>
  <si>
    <t>C252240</t>
  </si>
  <si>
    <t>SLOWDOWN IN 2ND SLAB( 2 TIMES)( BFF -8)</t>
  </si>
  <si>
    <t>D252316</t>
  </si>
  <si>
    <t>SLOWDOWN IN 2ND SLAB
SEG 1 WATER LEAKAGE</t>
  </si>
  <si>
    <t>L+41</t>
  </si>
  <si>
    <t>D252335</t>
  </si>
  <si>
    <t xml:space="preserve">(C=0.062%)
SLOWDOWN IN 4TH SLAB
ABNORMAL BOPS </t>
  </si>
  <si>
    <t>CP41AL</t>
  </si>
  <si>
    <t>D252338</t>
  </si>
  <si>
    <t>A252286</t>
  </si>
  <si>
    <t>SLOWDOWN IN 2ND SLAB 
LOW TEMP</t>
  </si>
  <si>
    <t>D252361</t>
  </si>
  <si>
    <t>COLD SPOT WARNING 
SLOWDOWN IN 3RD SLAB</t>
  </si>
  <si>
    <t>L+11</t>
  </si>
  <si>
    <t>A252295</t>
  </si>
  <si>
    <t>HEAT LIFTING DELAY
AMNUALY SLOWDOWN TAKEN FOR CONNECT THE NEXT HEAT</t>
  </si>
  <si>
    <t>C252293</t>
  </si>
  <si>
    <t>HIGH TEMP
HEAT LIFTING DELAY
ALSO MANUALY SLOWDOWN TAKEN FOR CONNECT THE HEAT</t>
  </si>
  <si>
    <t>A252346</t>
  </si>
  <si>
    <t>(C=0.055%)
SLOWDOWN IN 1ST SLAB( TWICE)
SLOWDOWN IN 3RD SLAB
SLOWDOWN IN 4TH SLAB</t>
  </si>
  <si>
    <t>L+4</t>
  </si>
  <si>
    <t>A252349</t>
  </si>
  <si>
    <t>SLOWDOWN IN 3RD SLAB(TWISE)</t>
  </si>
  <si>
    <t>B252341</t>
  </si>
  <si>
    <t>SLOWDOWN IN 4TH SLAB
SLOWDOWN IN 5TH SLAB</t>
  </si>
  <si>
    <t>L+3</t>
  </si>
  <si>
    <t>B252342</t>
  </si>
  <si>
    <t>SLOWDOWN IN 2ND SLAB
LNC</t>
  </si>
  <si>
    <t>B252343</t>
  </si>
  <si>
    <t>SLOWDOWN IN 3RD SLAB
SLOWDOWN IN 4TH SLAB(TWISE)</t>
  </si>
  <si>
    <t>A252354</t>
  </si>
  <si>
    <t>MILL REQUEST
SLOWDOWN IN 1ST SLAB</t>
  </si>
  <si>
    <t>D252429</t>
  </si>
  <si>
    <t>B252358</t>
  </si>
  <si>
    <t>BOPS SLOWDOWN IN 5TH SLAB</t>
  </si>
  <si>
    <t>D252465</t>
  </si>
  <si>
    <t>FURNACE AREA DSL TRIP
SLOWDOWN OCCURED IN 3RD SLAB</t>
  </si>
  <si>
    <t>B252373</t>
  </si>
  <si>
    <t>(C=0.056%)
SLOWDOWN OBSERVED IN 1ST SLAB</t>
  </si>
  <si>
    <t>B252374</t>
  </si>
  <si>
    <t>A252396</t>
  </si>
  <si>
    <t>DSL PROBLEM IN EAF
SLOWDOWN IN 3RD SLAB</t>
  </si>
  <si>
    <t>A252398</t>
  </si>
  <si>
    <t>DSL TRIPPED IN FURNACE
SLOWDOWN OCCURED IN 4TH SLAB</t>
  </si>
  <si>
    <t>C252398</t>
  </si>
  <si>
    <t>(C=0.052%)
SLOWDOWN OBSERVED IN 3RD &amp; 4TH SLAB</t>
  </si>
  <si>
    <t>CP41AT</t>
  </si>
  <si>
    <t>A252400</t>
  </si>
  <si>
    <t>HIGH SUIPERHEAT
SLOWDOWN OCCURED IN 3RD SLAB</t>
  </si>
  <si>
    <t>C252400</t>
  </si>
  <si>
    <t>SLOWDOWN IN 3RD SLAB
(C=0.053%)</t>
  </si>
  <si>
    <t>D252475</t>
  </si>
  <si>
    <t>SLOWDOWN IN 3RD &amp; 4TH SLAB</t>
  </si>
  <si>
    <t>ST41NMM</t>
  </si>
  <si>
    <t>A252421</t>
  </si>
  <si>
    <t>(C=0.053%)
SLOWDOWN IN 3RD SLAB</t>
  </si>
  <si>
    <t>ST41VLN</t>
  </si>
  <si>
    <t>B252400</t>
  </si>
  <si>
    <t>SLOWDOWN IN 1ST, 2ND &amp;  3RD SLAB
5MM WIDTH CHANGE IN 3RD SLAB</t>
  </si>
  <si>
    <t>ST49NLM</t>
  </si>
  <si>
    <t>L+12</t>
  </si>
  <si>
    <t>A252423</t>
  </si>
  <si>
    <t>HEAT LIFTING DELAY
HIGH SUPERHEAT
SLOWDOWN IN 4TH SLAB
SHORT S/B DUE TO HEAVY LANCING &amp; HEAT NOT OPEN</t>
  </si>
  <si>
    <t>ST41NTM</t>
  </si>
  <si>
    <t>D252495</t>
  </si>
  <si>
    <t>ABNORMAL HEATFLUX
SLOWDOWN IN 3RD SLAB</t>
  </si>
  <si>
    <t>D252493</t>
  </si>
  <si>
    <t>2 PIPE</t>
  </si>
  <si>
    <t>SLOWDOWN IN 1ST SLAB
ABNORMAL HEATFLUX
(C=0.062%)(S=0.009%)</t>
  </si>
  <si>
    <t>C252441</t>
  </si>
  <si>
    <t>4MM WIDTH DECREASED IN 2ND SLAB
SLOWDOWN IN 3RD SLAB</t>
  </si>
  <si>
    <t>L+43</t>
  </si>
  <si>
    <t>A252485</t>
  </si>
  <si>
    <t>SLOWDOWN IN 5TH SLAB</t>
  </si>
  <si>
    <t>B252480</t>
  </si>
  <si>
    <t>SH41AL</t>
  </si>
  <si>
    <t>C252501</t>
  </si>
  <si>
    <t>HIGH SUPERHEAT
SLOWDOWN IN 2ND SLAB</t>
  </si>
  <si>
    <t>A252618</t>
  </si>
  <si>
    <t>LEADHEAT</t>
  </si>
  <si>
    <t>S/D IN 1ST &amp; 3RD SLAB
HIGH TEMP FOUND</t>
  </si>
  <si>
    <t>A252619</t>
  </si>
  <si>
    <t>S/D IN 1ST SLAB 
57 MM LCR DONE IN 2ND SLAB</t>
  </si>
  <si>
    <t>C252619</t>
  </si>
  <si>
    <t>HIGH TEMP FOUND
S/D OCCURED IN 2ND SLAB</t>
  </si>
  <si>
    <t>A252622</t>
  </si>
  <si>
    <t>S/D OCCURED IN 3RD SLAB
COBBLE IN MILL</t>
  </si>
  <si>
    <t>B252594</t>
  </si>
  <si>
    <t>HIGH TEMP FOUND
S/D OCCURED IN 3RD SLAB</t>
  </si>
  <si>
    <t>R.YADAV</t>
  </si>
  <si>
    <t>B252600</t>
  </si>
  <si>
    <t>S/D OCCURED IN 2ND SLAB
ABNORMAL BOPS</t>
  </si>
  <si>
    <t>L+19</t>
  </si>
  <si>
    <t>B252604</t>
  </si>
  <si>
    <t>S/D OCCURED IN 1ST SLAB
HIGH TEMP
ABNORMAL HEAT FLUX</t>
  </si>
  <si>
    <t>A</t>
  </si>
  <si>
    <t>D.MEHER</t>
  </si>
  <si>
    <t>CH37AL</t>
  </si>
  <si>
    <t>C252636</t>
  </si>
  <si>
    <t>S/D OCCURED IN 1ST &amp; 4TH SLAB
HEAT LIFTING DELAY</t>
  </si>
  <si>
    <t>L+32</t>
  </si>
  <si>
    <t>C252637</t>
  </si>
  <si>
    <t>HIGH SUPER HEAT
S/D IN 3RD SLAB</t>
  </si>
  <si>
    <t>CH42AL</t>
  </si>
  <si>
    <t>L+44</t>
  </si>
  <si>
    <t>C252644</t>
  </si>
  <si>
    <t>(C=0.055%)
S/D OCCURED IN 3RD SLAB</t>
  </si>
  <si>
    <t>VIBHOR</t>
  </si>
  <si>
    <t>L+34</t>
  </si>
  <si>
    <t>A252672</t>
  </si>
  <si>
    <t>HEAT LIFTING DELAY
S/D OCCURED IN 3RD &amp; 4TH SLAB</t>
  </si>
  <si>
    <t xml:space="preserve">KIRTI </t>
  </si>
  <si>
    <t>B252911</t>
  </si>
  <si>
    <t>S/D OCCURED IN 1ST SLAB
ABNORMAL BOPS</t>
  </si>
  <si>
    <t>D253011</t>
  </si>
  <si>
    <t>S/D IN 1ST &amp; 3RD SLAB</t>
  </si>
  <si>
    <t>A252576</t>
  </si>
  <si>
    <t>C252613</t>
  </si>
  <si>
    <t>C252611</t>
  </si>
  <si>
    <t>D252685</t>
  </si>
  <si>
    <t>G-CHEM
450-G</t>
  </si>
  <si>
    <t>D252689</t>
  </si>
  <si>
    <t>C252651</t>
  </si>
  <si>
    <t>B252635</t>
  </si>
  <si>
    <t>LC WARNING 
PURGING FAILURE
SLOWDOWN IN 4TH SLAB</t>
  </si>
  <si>
    <t>D252733</t>
  </si>
  <si>
    <t>C252664</t>
  </si>
  <si>
    <t>L+51</t>
  </si>
  <si>
    <t>C252676</t>
  </si>
  <si>
    <t>BOPS WARNING 
SLOWDOWN IN 3RD &amp; 4TH SLAB
WITHDRAWL CURRENT HIGH</t>
  </si>
  <si>
    <t>A252676</t>
  </si>
  <si>
    <t>SLOWDOWN IN 1ST SLAB
LOW TEMP
ABNORMAL PINCH ROLL CURRENT
ABNORMAL BUBLING</t>
  </si>
  <si>
    <t>A252778</t>
  </si>
  <si>
    <t>G-GHEM</t>
  </si>
  <si>
    <t>L+36</t>
  </si>
  <si>
    <t>D252851</t>
  </si>
  <si>
    <t>SLOWDOWN OCCURED IN 2ND SLAB
VERY LOW SUPERHEAT &amp; POOR BUBBLING OBSEERVED IN BOTH SIDE</t>
  </si>
  <si>
    <t>A252821</t>
  </si>
  <si>
    <t>450-G
221-BG</t>
  </si>
  <si>
    <t>57MM LCR SELECTED IN 2ND SLAB
3MM STOPPER RISED
SLOWDOWN IN 4TH SLAB</t>
  </si>
  <si>
    <t>D252881</t>
  </si>
  <si>
    <t>C252840</t>
  </si>
  <si>
    <t>C252843</t>
  </si>
  <si>
    <t>ABNORMAL BOPS
SLOWDOWN IN 1ST SLAB</t>
  </si>
  <si>
    <t>A252914</t>
  </si>
  <si>
    <t>6MM STOPPER RISED ( 2 BAG CA-SI ADDED )
SLOWDOWN IN 3RD SLAB</t>
  </si>
  <si>
    <t>L+15</t>
  </si>
  <si>
    <t>A252951</t>
  </si>
  <si>
    <t>SLOWDOWN OCCURED IN 4TH SLAB
HEAT FLUX DROP AFTER HEAT CONNECTION
MOULD CLAMPED BY MECHANICAL IN 4TH SLAB</t>
  </si>
  <si>
    <t>A252972</t>
  </si>
  <si>
    <t>SLOWDOWN IN 2ND SLAB
LOW TEMP</t>
  </si>
  <si>
    <t>CR10F</t>
  </si>
  <si>
    <t>A253064</t>
  </si>
  <si>
    <t>(S=0.009%)
(AL=0.040%)
SLOWDOWN IN 3RD SLAB</t>
  </si>
  <si>
    <t>A253089</t>
  </si>
  <si>
    <t>(P=0.023%)
HIGH TEMP
SLOWDOWN IN 4TH SLAB</t>
  </si>
  <si>
    <t>B252998</t>
  </si>
  <si>
    <t>A253195</t>
  </si>
  <si>
    <t>SLOWDOWN IN 1ST SLAB 
ABNORMAL BOPS</t>
  </si>
  <si>
    <t xml:space="preserve">RAJESH </t>
  </si>
  <si>
    <t>A253230</t>
  </si>
  <si>
    <t>SLOWDOWN IN 1ST SLAB
LONGITUDINAL FACE CRACK IN 4TH &amp; 5TH SLAB</t>
  </si>
  <si>
    <t>L+26</t>
  </si>
  <si>
    <t>A253327</t>
  </si>
  <si>
    <t>B253199</t>
  </si>
  <si>
    <t>C253187</t>
  </si>
  <si>
    <t>D253170</t>
  </si>
  <si>
    <t>15MM WIDTH DECREASED IN 3RD SLAB
SLOWDOWN IN 5TH SLAB</t>
  </si>
  <si>
    <t>A253414</t>
  </si>
  <si>
    <t>(C=0.052%)
5MM LCR IN 1ST SLAB
SLOWDOWN IN 1ST SLAB
08MM STOPPER RISED( 3 BAGS CA-SI ADDED)
SLOWDOWN IN 2ND SLAB
LNC OCCURED</t>
  </si>
  <si>
    <t>A253464</t>
  </si>
  <si>
    <t>HIGH SUPERHEAT
SLOWDOWN IN 3RD SLAB</t>
  </si>
  <si>
    <t>D253286</t>
  </si>
  <si>
    <t>HEAVY MOULD LEVEL FLUCTUATION
SLOWDOWN IN 4TH SLAB</t>
  </si>
  <si>
    <t>C253308</t>
  </si>
  <si>
    <t>B253317</t>
  </si>
  <si>
    <t>HEAVY MOULD LEVEL FLUCTUATION
SLOWDOWN IN 1ST SLAB</t>
  </si>
  <si>
    <t>L+42</t>
  </si>
  <si>
    <t>A253489</t>
  </si>
  <si>
    <t>HIGH SUPERHEAT
SLOWDOWN IN 3RD SLAB
(S=0.009%)</t>
  </si>
  <si>
    <t>D253304</t>
  </si>
  <si>
    <t>MANUAL SLOWDOWN TAKEN IN 2ND SLAB
13 MM STOPPER RISED ( 4 BAGS CS-SI ADDED)</t>
  </si>
  <si>
    <t>A253495</t>
  </si>
  <si>
    <t>HIGH SUPERHEAT
SLOWDOWN IN 4TH SLAB</t>
  </si>
  <si>
    <t>B253356</t>
  </si>
  <si>
    <t>C253321</t>
  </si>
  <si>
    <t>A253500</t>
  </si>
  <si>
    <t>( C= 0.052%)
SLOWDOWN IN 4TH SLAB</t>
  </si>
  <si>
    <t>A253501</t>
  </si>
  <si>
    <t>C253356</t>
  </si>
  <si>
    <t>(C=0.055%)
RETURNED HEAT
57MM LCR IN 2ND IN 2ND SLAB
SLOWDOWN IN 2ND SLAB</t>
  </si>
  <si>
    <t>A253599</t>
  </si>
  <si>
    <t>SLOWDOWN OCCURED IN 2ND SLAB
MLF ABNORMAL</t>
  </si>
  <si>
    <t>A253619</t>
  </si>
  <si>
    <t>(S=0.011%)(AL=0.054%)
SEG 3 CLAMPING ERROR
SLOWDOWN IN 4TH SLAB</t>
  </si>
  <si>
    <t>A253620</t>
  </si>
  <si>
    <t xml:space="preserve">D.MEHER </t>
  </si>
  <si>
    <t>B253507</t>
  </si>
  <si>
    <t>(C=0.052%)
SLOWDOWN IN 5TH SLAB( 2 TIMES)</t>
  </si>
  <si>
    <t>ST41AL</t>
  </si>
  <si>
    <t>B253509</t>
  </si>
  <si>
    <t>B253515</t>
  </si>
  <si>
    <t>L+27</t>
  </si>
  <si>
    <t>B253517</t>
  </si>
  <si>
    <t>L+48</t>
  </si>
  <si>
    <t>A253666</t>
  </si>
  <si>
    <t>C253491</t>
  </si>
  <si>
    <t>R. YADEV</t>
  </si>
  <si>
    <t>R. YADAV</t>
  </si>
  <si>
    <t>D.MAHER</t>
  </si>
  <si>
    <t>C253565</t>
  </si>
  <si>
    <t>S/D OCCURED IN 1ST SLAB
ABNORMAL BOPS GRAPH</t>
  </si>
  <si>
    <t>D253535</t>
  </si>
  <si>
    <t>(S=0.009%)
S/D OCCURED IN 1ST SLAB</t>
  </si>
  <si>
    <t>A253717</t>
  </si>
  <si>
    <t>HIGH TEMP FOUND
57 MM LCR DONE IN 1ST SLAB
S/D IN IN 3RD SLAB</t>
  </si>
  <si>
    <t>B253582</t>
  </si>
  <si>
    <t>(AL=0.042%)
HIGH TEMP
LRF REQUEST
S/D IN 3RD &amp; 4TH SLAB</t>
  </si>
  <si>
    <t>A253725</t>
  </si>
  <si>
    <t>MANUAL S/D TAKEN BY CASTER DUE TO SPEED ABNORMALITY</t>
  </si>
  <si>
    <t>D253549</t>
  </si>
  <si>
    <t>D253551</t>
  </si>
  <si>
    <t>MANUAL S/D TAKEN BY CASTER IN 4TH SLAB TO CONNECT THE NEXT HEAT
HEAT LIFTING DELAY</t>
  </si>
  <si>
    <t>B253620</t>
  </si>
  <si>
    <t>S/D IN 1ST SLAB
6 MM STOPPER RISE (1 BAG CA-SI ADDED)</t>
  </si>
  <si>
    <t>C253590</t>
  </si>
  <si>
    <t>S/D OCCURED IN 1ST SLAB
HIGH TEMP</t>
  </si>
  <si>
    <t>C253621</t>
  </si>
  <si>
    <t>S/D IN 1ST SLAB</t>
  </si>
  <si>
    <t>D253615</t>
  </si>
  <si>
    <t>C253630</t>
  </si>
  <si>
    <t>HOT METAL SHORTAGE
MANUAL S/D TAKEN TO CONNECT NEXT HEAT</t>
  </si>
  <si>
    <t>B253684</t>
  </si>
  <si>
    <t>(P=0.021%)
S/D OCCURED IN  4TH SLAB</t>
  </si>
  <si>
    <t>A253844</t>
  </si>
  <si>
    <t>BOPS S/D IN 1ST SLAB
57 MM LCR DONE IN 4TH SLAB</t>
  </si>
  <si>
    <t>A253852</t>
  </si>
  <si>
    <t>S/D OCCURED IN 3RD SLAB</t>
  </si>
  <si>
    <t>A253875</t>
  </si>
  <si>
    <t>S/D OCCURED IN 1ST SLAB
57 MM LCR DONE IN 3RD SLAB</t>
  </si>
  <si>
    <t>B253736</t>
  </si>
  <si>
    <t>MANUAL S/D IN  5TH SLAB</t>
  </si>
  <si>
    <t>D253710</t>
  </si>
  <si>
    <t>5 PIPES</t>
  </si>
  <si>
    <t>2 S/D TAKEN IN 1ST SLAB
C/A DUE TO STOPPER RISE 100%
TUNDISH LOSS- 20 T FOUND</t>
  </si>
  <si>
    <t>B253744</t>
  </si>
  <si>
    <t>7 MM STOPPER RISE
HYDRAULIC OSCILLATOR PUMP-2 TRIP AT 6:30 PM
MANUAL S/D OCCURED DUE TO PUMP TRIP</t>
  </si>
  <si>
    <t>L+35</t>
  </si>
  <si>
    <t>C253737</t>
  </si>
  <si>
    <t>S/D IN 2ND SLAB</t>
  </si>
  <si>
    <t>L+37</t>
  </si>
  <si>
    <t>C253738</t>
  </si>
  <si>
    <t>(C=0.055%)
S/D IN 2ND SLAB</t>
  </si>
  <si>
    <t>C253741</t>
  </si>
  <si>
    <t>57 MM LCR DONE IN 2ND SLAB
S/D IN 3RD &amp; 5TH SLAB</t>
  </si>
  <si>
    <t>C253748</t>
  </si>
  <si>
    <t>(P=0.022%)
S/D OCCURED IN 3RD SLAB</t>
  </si>
  <si>
    <t>A253932</t>
  </si>
  <si>
    <t>A253934</t>
  </si>
  <si>
    <t>(P=0.024%)
S/D IN 1ST SLAB</t>
  </si>
  <si>
    <t>B253773</t>
  </si>
  <si>
    <t>HIGH TEMP 
S/D IN 2ND SLAB</t>
  </si>
  <si>
    <t>B253774</t>
  </si>
  <si>
    <t>LACK OF HEAT
S/D IN 5TH SLAB</t>
  </si>
  <si>
    <t>B253778</t>
  </si>
  <si>
    <t>(S=0.011%)
S/D OCCURED IN 3RD SLAB</t>
  </si>
  <si>
    <t>C253756</t>
  </si>
  <si>
    <t>S/D IN 1ST SLAB 
(C=0.053%)
VERY LOW SUPERHEAT
POOR BUBBLING OBSERVED</t>
  </si>
  <si>
    <t>B253801</t>
  </si>
  <si>
    <t>S/D TAKEN IN 2ND SLAB</t>
  </si>
  <si>
    <t>D253763</t>
  </si>
  <si>
    <t>(C=0.059%)
COBBLE IN MILL
S/D OCCURED IN 3RD SLAB</t>
  </si>
  <si>
    <t>D253767</t>
  </si>
  <si>
    <t>(S=0.009%)
S/D IN 4TH SLAB</t>
  </si>
  <si>
    <t>A253974</t>
  </si>
  <si>
    <t>S/D IN 2ND &amp; 3RD SLAB</t>
  </si>
  <si>
    <t>A253991</t>
  </si>
  <si>
    <t>D253788</t>
  </si>
  <si>
    <t>(C=0.054%)
S/D IN 2ND SLAB &amp; 4TH SLAB</t>
  </si>
  <si>
    <t>D253798</t>
  </si>
  <si>
    <t>HIGH TEMP FOUND
S/D IN 4TH SLAB</t>
  </si>
  <si>
    <t>A254006</t>
  </si>
  <si>
    <t>S/D OCCURED IN 1ST SLAB
SMS REQUEST</t>
  </si>
  <si>
    <t>D253804</t>
  </si>
  <si>
    <t>HIGH TEMP
LACK OF HEAT
S/D OCCURED IN 3RD SLAB</t>
  </si>
  <si>
    <t>C253823</t>
  </si>
  <si>
    <t>TSP-N3</t>
  </si>
  <si>
    <t>S/D IN 1ST SLAB
5 MM INCREASED IN 2ND SLAB</t>
  </si>
  <si>
    <t>C253854</t>
  </si>
  <si>
    <t>L+45</t>
  </si>
  <si>
    <t>D253840</t>
  </si>
  <si>
    <t>HEAT LIFTING DELAY
S/D CAME IN 3RD SLAB</t>
  </si>
  <si>
    <t>B253882</t>
  </si>
  <si>
    <t>LOW TEMP
S/D IN 4TH SLAB</t>
  </si>
  <si>
    <t>D253848</t>
  </si>
  <si>
    <t>(C=0.051%)
S/D IN 3RD SLAB</t>
  </si>
  <si>
    <t>D253855</t>
  </si>
  <si>
    <t>(C=0.051%)
S/D IN 1ST SLAB</t>
  </si>
  <si>
    <t>D253856</t>
  </si>
  <si>
    <t>LRF REQUEST
S/D IN 3RD SLAB</t>
  </si>
  <si>
    <t>D253857</t>
  </si>
  <si>
    <t>(C=0.055%)
S/D IN 4TH SLAB</t>
  </si>
  <si>
    <t>D253852</t>
  </si>
  <si>
    <t>6 MM STOPPER RISE(1 BAG CA-SI ADDED)
TWO S/D IN 2ND SLAB
HEAVY LNC OCCURED
AGAIN 9 MM STOPPER RISE (7 BAG CA-SI ADDED)</t>
  </si>
  <si>
    <t>A254050</t>
  </si>
  <si>
    <t>LRF REQUEST
S/D IN 3RD SLAB
(P=0.021%)</t>
  </si>
  <si>
    <t>C253881</t>
  </si>
  <si>
    <t>(C=0.056%)
S/D OCCURED IN 2ND SLAB</t>
  </si>
  <si>
    <t>B253903</t>
  </si>
  <si>
    <t>ABNORMAL BOPS GRAPH
(P=0.021%)
S/D OCCURED IN 3RD SLAB</t>
  </si>
  <si>
    <t>C253884</t>
  </si>
  <si>
    <t>S/D IN 4TH SLAB</t>
  </si>
  <si>
    <t>C253889</t>
  </si>
  <si>
    <t>B253910</t>
  </si>
  <si>
    <t>A254064</t>
  </si>
  <si>
    <t>(P=0.023%)
STICKER WARNING IN 1ST SLAB (S/D)</t>
  </si>
  <si>
    <t>A254066</t>
  </si>
  <si>
    <t>S/D IN 1ST &amp; 2ND SLAB</t>
  </si>
  <si>
    <t>B253915</t>
  </si>
  <si>
    <t>4 PIPES</t>
  </si>
  <si>
    <t>S/D TAKEN UN HEAT CONNECTION</t>
  </si>
  <si>
    <t>A254067</t>
  </si>
  <si>
    <t>(C=0.051%) IN LEVEL-2
(P=0.027%)
S/D IN 1ST SLAB</t>
  </si>
  <si>
    <t>B253922</t>
  </si>
  <si>
    <t>(S=0.010%)
HIGH SUPER HEAT
S/D IN 3RD SLAB</t>
  </si>
  <si>
    <t>D253872</t>
  </si>
  <si>
    <t>S/D OCCURED IN 1ST SLAB
HIGH SUPER HEAT</t>
  </si>
  <si>
    <t>D253876</t>
  </si>
  <si>
    <t>HEAT LIFTING DELAY
OFF CHEM (S=0.0125%)
S/D OCCURED IN 1ST SLAB</t>
  </si>
  <si>
    <t>B253930</t>
  </si>
  <si>
    <t>BOPS S/D GENERATED</t>
  </si>
  <si>
    <t>A254081</t>
  </si>
  <si>
    <t>TEMPERATURE FALLING ALARM . S/D OCCUR</t>
  </si>
  <si>
    <t>B253932</t>
  </si>
  <si>
    <t>S/D OCCURED IN 5TH SLAB</t>
  </si>
  <si>
    <t>L+50</t>
  </si>
  <si>
    <t>B253933</t>
  </si>
  <si>
    <t>(C=0.053%)
S/D OCCURED IN 5TH SLAB
FACE CRACK IN 5TH SLAB</t>
  </si>
  <si>
    <t>A254098</t>
  </si>
  <si>
    <t>S/D OCCURED IN 4TH SLAB</t>
  </si>
  <si>
    <t>B253951</t>
  </si>
  <si>
    <t>P=0.023%, S/D OCCURED IN 1ST SLAB</t>
  </si>
  <si>
    <t>A254102</t>
  </si>
  <si>
    <t>B253957</t>
  </si>
  <si>
    <t>D253929</t>
  </si>
  <si>
    <t>D253935</t>
  </si>
  <si>
    <t>S/D OCCURED IN 2ND 4TH &amp; 5TH SLAB
HIGH TEMP FOUND</t>
  </si>
  <si>
    <t>D253936</t>
  </si>
  <si>
    <t>S/D OCCURED IN 1ST SLAB
ABNORMAL HEAT FLUX</t>
  </si>
  <si>
    <t>B253989</t>
  </si>
  <si>
    <t>HIGH SUPERHEAT
S/D IN 4TH &amp; 5TH SLAB</t>
  </si>
  <si>
    <t>A254138</t>
  </si>
  <si>
    <t>D253951</t>
  </si>
  <si>
    <t>LFC WARNING IN 2ND SLAB
S/D IN 2ND SLAB</t>
  </si>
  <si>
    <t>B254006</t>
  </si>
  <si>
    <t>ABNORMAL BOPS
S/D OCCURED 2ND AT 12:40 AM</t>
  </si>
  <si>
    <t>D253958</t>
  </si>
  <si>
    <t>BOPS S/D IN 2ND SLAB</t>
  </si>
  <si>
    <t>D253959</t>
  </si>
  <si>
    <t>S/D CAME IN 4TH SLAB</t>
  </si>
  <si>
    <t>A254161</t>
  </si>
  <si>
    <t>(S=0.009%)
S/D IN 3RD SLAB</t>
  </si>
  <si>
    <t>D253973</t>
  </si>
  <si>
    <t>ABNORMAL HEAT FLUX
S/D OCCURED IN 2ND SLAB
3 MM STOPPER RISE (1 BAG CA-SI ADDED)</t>
  </si>
  <si>
    <t>D253985</t>
  </si>
  <si>
    <t>S/D IN 1ST SLAB
HEAT LIFTING DELAY</t>
  </si>
  <si>
    <t>B254027</t>
  </si>
  <si>
    <t>PROBLEM IN MILL
S/D IN 2ND SLAB</t>
  </si>
  <si>
    <t>C254009</t>
  </si>
  <si>
    <t>D253989</t>
  </si>
  <si>
    <t>C254013</t>
  </si>
  <si>
    <t>(C=0.054%)(P=0.022%)
S/D IN 2ND SLAB</t>
  </si>
  <si>
    <t>C254018</t>
  </si>
  <si>
    <t>2 BOPS S/D IN 4TH SLAB</t>
  </si>
  <si>
    <t>C254019</t>
  </si>
  <si>
    <t>A254185</t>
  </si>
  <si>
    <t>S/D OCCURED IN 2ND SLAB</t>
  </si>
  <si>
    <t>B254041</t>
  </si>
  <si>
    <t>(C=0.052%)
BOPS S/D IN 2ND ,3RD,5TH SLAB</t>
  </si>
  <si>
    <t>C254026</t>
  </si>
  <si>
    <t>(C=0.054%)
S/D OCCURED IN 3RD SLAB</t>
  </si>
  <si>
    <t>C254034</t>
  </si>
  <si>
    <t>S/D CAME IN 1ST SLAB
STICKER WARNING</t>
  </si>
  <si>
    <t>A254203</t>
  </si>
  <si>
    <t>B254063</t>
  </si>
  <si>
    <t>S/D IN 2ND &amp; 3RD  SLAB
(C=0.067%)
8 T HOT METAL RETURN TO LRF DUE TO HIGH CARBON</t>
  </si>
  <si>
    <t>C254046</t>
  </si>
  <si>
    <t>HEAT LIFTING DELAY
S/D OCCURED IN 1ST &amp; 2ND SLAB
SEG-2 &amp; 3 VALVE OPERATED ON 2ND SLAB</t>
  </si>
  <si>
    <t>C254061</t>
  </si>
  <si>
    <t>C=0.057%
S/D OCCURED IN 1ST SLAB , SPEED SLOW DUE TO LRF REQ.</t>
  </si>
  <si>
    <t>D254039</t>
  </si>
  <si>
    <t>B254088</t>
  </si>
  <si>
    <t>S/D IN 1ST SLAB
19 T RETUERNED TO LRF DUE TO FREQUENT BOPS WARNING</t>
  </si>
  <si>
    <t>ST41AT</t>
  </si>
  <si>
    <t>B254104</t>
  </si>
  <si>
    <t>HIGH TEMP
S/D IN 2ND SLAB</t>
  </si>
  <si>
    <t>A254250</t>
  </si>
  <si>
    <t>(C=0.058%)
S/D OCCURED IN 3RD SLAB</t>
  </si>
  <si>
    <t>B254112</t>
  </si>
  <si>
    <t>(S=0.009%)
S/D OCCURED IN 1ST SLAB
5 MM STOPPER RISE
LNC OCCURED AT HEAT END</t>
  </si>
  <si>
    <t>A254251</t>
  </si>
  <si>
    <t>(C=0.050%)
S/D OCCURED IN 4TH SLAB</t>
  </si>
  <si>
    <t>B254114</t>
  </si>
  <si>
    <t>S/D OCCURED IN 2ND SLAB
16 MM STOPPER RISE (2 BAG CA-SI ADDED)</t>
  </si>
  <si>
    <t>A254256</t>
  </si>
  <si>
    <t>C254104</t>
  </si>
  <si>
    <t>S/D OCCURED IN 2ND SLAB
(C=0.054%)</t>
  </si>
  <si>
    <t>C254139</t>
  </si>
  <si>
    <t>S/D OCCURED IN 2ND SLAB
20 T RETURNED DUE TO LOW TEMP</t>
  </si>
  <si>
    <t>D254128</t>
  </si>
  <si>
    <t>S/D IN 1ST SLAB
LRF REQ. SPEED SLOW</t>
  </si>
  <si>
    <t>B254175</t>
  </si>
  <si>
    <t>D254141</t>
  </si>
  <si>
    <t>CH44BL</t>
  </si>
  <si>
    <t>A254328</t>
  </si>
  <si>
    <t>A254326</t>
  </si>
  <si>
    <t>S/D OCCURED IN 2ND SLAB
7 MM STOPPER RISE (2 BAG CA-SI ADDED)
(S=0.009%)</t>
  </si>
  <si>
    <t>B254182</t>
  </si>
  <si>
    <t>D254149</t>
  </si>
  <si>
    <t>(C=0.051%)
S/D OCUURED IN 1ST &amp; 2ND SLAB</t>
  </si>
  <si>
    <t>D254158</t>
  </si>
  <si>
    <t>C/A DUE TO LOW TEMP FOUND(1532,1531,1529,1528)
S/D OCCURED IN 1ST &amp; 2ND SLAB
40 T RETURN TO LRF</t>
  </si>
  <si>
    <t>C254169</t>
  </si>
  <si>
    <t>(C=0.055%)
S/D IN 1ST SLAB</t>
  </si>
  <si>
    <t>D254169</t>
  </si>
  <si>
    <t>MILL REQUEST
S/D OCCURED IN 5TH SLAB</t>
  </si>
  <si>
    <t>B254206</t>
  </si>
  <si>
    <t>(C=0.054%)
S/D OCCURED IN 2ND SLAB
HEAT LIFTING DELAY</t>
  </si>
  <si>
    <t>D254184</t>
  </si>
  <si>
    <t>(S=0.010%)
S/D IN 1ST &amp; 2ND SLAB
6 MM STOPPER RISE (2 BAG CA-SI ADDED)</t>
  </si>
  <si>
    <t>C254197</t>
  </si>
  <si>
    <t>HIGH TEMP
S/D IN 3RD &amp; 4TH SLAB</t>
  </si>
  <si>
    <t>A254355</t>
  </si>
  <si>
    <t>S/D IN 2ND SLAB
MILL REQUEST
SHORT S/B DUE TO CSP SHUTDOWN</t>
  </si>
  <si>
    <t>CR42NMZ</t>
  </si>
  <si>
    <t>C254193</t>
  </si>
  <si>
    <t>(C=0.056%)
STICKER WARNING S/D IN 4TH SLAB</t>
  </si>
  <si>
    <t>A254353</t>
  </si>
  <si>
    <t>D254185</t>
  </si>
  <si>
    <t>C254202</t>
  </si>
  <si>
    <t>B254219</t>
  </si>
  <si>
    <t>B254216</t>
  </si>
  <si>
    <t>C254201</t>
  </si>
  <si>
    <t>S/D OCCURED IN 3RD SLAB
(C=0.055%)</t>
  </si>
  <si>
    <t>B254221</t>
  </si>
  <si>
    <t>(C=0.052%)
S/D IN 5TH SLAB</t>
  </si>
  <si>
    <t>A254367</t>
  </si>
  <si>
    <t>B254224</t>
  </si>
  <si>
    <t>MANUAL S/D TAKEN DUE TO BLEEDING IN 4TH SLAB</t>
  </si>
  <si>
    <t>C254210</t>
  </si>
  <si>
    <t>A254376</t>
  </si>
  <si>
    <t>D254195</t>
  </si>
  <si>
    <t>S/D OCCURED IN 2ND SLAB
5 MM STOPPER RISE
ABNORMAL BOPS GRAPH</t>
  </si>
  <si>
    <t>D254198</t>
  </si>
  <si>
    <t>C254243</t>
  </si>
  <si>
    <t>ST45BL</t>
  </si>
  <si>
    <t>A254415</t>
  </si>
  <si>
    <t>S/D IN 5TH SLAB
HIGH SUPERHEAT</t>
  </si>
  <si>
    <t>C254264</t>
  </si>
  <si>
    <t>S/D IN 2ND &amp; 4TH SLAB</t>
  </si>
  <si>
    <t>B254279</t>
  </si>
  <si>
    <t>HIGH TEMP
ABNORMAL BOPS
S/D OCCURED IN 2ND SLAB</t>
  </si>
  <si>
    <t>A254465</t>
  </si>
  <si>
    <t>ABNORMAL BOPS
S/D IN 1ST SLAB
(AL=0.040%)</t>
  </si>
  <si>
    <t>C254301</t>
  </si>
  <si>
    <t>C254308</t>
  </si>
  <si>
    <t>(C=0.053%)
S/D OCCURED IN 2ND &amp; 3RD SLAB</t>
  </si>
  <si>
    <t>C254317</t>
  </si>
  <si>
    <t>D254301</t>
  </si>
  <si>
    <t>B254342</t>
  </si>
  <si>
    <t>SB-221 BG</t>
  </si>
  <si>
    <t>A254499</t>
  </si>
  <si>
    <t>META-450G</t>
  </si>
  <si>
    <t>LOW TEMPERATURE 1534, POOR BUBBLING AND HIGH MOULD LEVEL FLUCTUATION, S/D GENERATED, 8 MM STOPPER RISE, 18T RETURN</t>
  </si>
  <si>
    <t>D254314</t>
  </si>
  <si>
    <t>A254506</t>
  </si>
  <si>
    <t>ABNORMAL BOPS
S/D OCCUR IN 2ND AND 3RD</t>
  </si>
  <si>
    <t>A254542</t>
  </si>
  <si>
    <t>LEAD HEAT
(S/d IN 4TH SLAB)</t>
  </si>
  <si>
    <t>D254364</t>
  </si>
  <si>
    <t>SB-221BG</t>
  </si>
  <si>
    <t>MANUAL S/D IN 3RD SLAB
(PROBLEM IN MILL)</t>
  </si>
  <si>
    <t>D254380</t>
  </si>
  <si>
    <t>S/D CAME IN 3RD SLAB</t>
  </si>
  <si>
    <t>C254413</t>
  </si>
  <si>
    <t>B254428</t>
  </si>
  <si>
    <t>S/D OCCURED IN 2ND &amp; 4TH SLAB</t>
  </si>
  <si>
    <t>B254430</t>
  </si>
  <si>
    <t>S/D OCCURED IN 1ST 2ND &amp; 3RD SLAB</t>
  </si>
  <si>
    <t>A254575</t>
  </si>
  <si>
    <t>(C=0.055%)
S/D OCCURED IN 2ND SLAB
COBBLE IN MILL</t>
  </si>
  <si>
    <t>A254577</t>
  </si>
  <si>
    <t>S/D OCCURED IN 1ST &amp; 2ND SLAB</t>
  </si>
  <si>
    <t>B254438</t>
  </si>
  <si>
    <t>A254589</t>
  </si>
  <si>
    <t>A254590</t>
  </si>
  <si>
    <t>A254591</t>
  </si>
  <si>
    <t>D254406</t>
  </si>
  <si>
    <t>S/D IN 3RD &amp; 5TH  SLAB</t>
  </si>
  <si>
    <t>B254439</t>
  </si>
  <si>
    <t>C=0.052%
S/D IN 1ST &amp; 2ND SLAB</t>
  </si>
  <si>
    <t>C254426</t>
  </si>
  <si>
    <t>C=0.053%
S/D IN 2ND , 3RD &amp; 4TH SLAB</t>
  </si>
  <si>
    <t>B254441</t>
  </si>
  <si>
    <t>S/D IN 1ST,  2ND , 3RD &amp; 4TH SLAB</t>
  </si>
  <si>
    <t>A254553</t>
  </si>
  <si>
    <t>BOPS S/D 2ND SLAB</t>
  </si>
  <si>
    <t>C254453</t>
  </si>
  <si>
    <t>B254489</t>
  </si>
  <si>
    <t>B254493</t>
  </si>
  <si>
    <t>5 PIPE</t>
  </si>
  <si>
    <t>MANUAL S/D TAKEN IN 1ST SLAB DUE TO HEAVY LANCING</t>
  </si>
  <si>
    <t>C254489</t>
  </si>
  <si>
    <t>S/D IN 1ST SLAB
5 MM STOPPER RISE</t>
  </si>
  <si>
    <t>D254487</t>
  </si>
  <si>
    <t>(C=0.052%)
ONE MANUAL S/D TAKEN</t>
  </si>
  <si>
    <t>B254533</t>
  </si>
  <si>
    <t>C254519</t>
  </si>
  <si>
    <t>A254680</t>
  </si>
  <si>
    <t>B254543</t>
  </si>
  <si>
    <t>S/D IN 4TH SLAB
BOPS ABNORMAL</t>
  </si>
  <si>
    <t>D254514</t>
  </si>
  <si>
    <t>D. MEHER</t>
  </si>
  <si>
    <t>B254574</t>
  </si>
  <si>
    <t>S/D OCCURED IN 1ST SLAB
COBBLE IN MILL</t>
  </si>
  <si>
    <t>B254585</t>
  </si>
  <si>
    <t>D254541</t>
  </si>
  <si>
    <t>HIGH TEMP
S/D IN 3RD SLAB</t>
  </si>
  <si>
    <t>D254544</t>
  </si>
  <si>
    <t>B254590</t>
  </si>
  <si>
    <t>(C=0.053%)
ABNORMAL BOPS 
S/D IN 1ST SLAB
LRF REQUEST</t>
  </si>
  <si>
    <t>D254549</t>
  </si>
  <si>
    <t>S/D OCCURED IN 1ST SLAB
5MM STOPPER RISED ( 2 BAGS CA-SI ADDED)</t>
  </si>
  <si>
    <t>L+55</t>
  </si>
  <si>
    <t>B254598</t>
  </si>
  <si>
    <t>MILL REQUEST
S/D IN 4TH SLAB</t>
  </si>
  <si>
    <t>D254517</t>
  </si>
  <si>
    <t>S/D IN 5TH SLAB</t>
  </si>
  <si>
    <t>CE20ALZ</t>
  </si>
  <si>
    <t>D254585</t>
  </si>
  <si>
    <t>C254616</t>
  </si>
  <si>
    <t>C254622</t>
  </si>
  <si>
    <t>BOPS S/D IN 1ST &amp; 4TH SLAB</t>
  </si>
  <si>
    <t>D254599</t>
  </si>
  <si>
    <t>(P=0.022%)
S/D IN 3RD SLAB</t>
  </si>
  <si>
    <t>C254629</t>
  </si>
  <si>
    <t>COBBLE IN COILER
S/D OCCURED IN 2ND SLAB</t>
  </si>
  <si>
    <t>A254778</t>
  </si>
  <si>
    <t>S/D IN 2ND SLAQB
ABNORMAL BOPS GRAPH</t>
  </si>
  <si>
    <t>C254628</t>
  </si>
  <si>
    <t>S/D IN 1ST SLAB
ABNORMAL HEATFLUX</t>
  </si>
  <si>
    <t>D254609</t>
  </si>
  <si>
    <t>S/D IN 3RD SLAB</t>
  </si>
  <si>
    <t>A254806</t>
  </si>
  <si>
    <t>HIGH TEMP FOUND
58 MM LCR DONE IN 4TH SLAB
S/D OCCURED IN 4TH SLAB</t>
  </si>
  <si>
    <t>B254666</t>
  </si>
  <si>
    <t>B254669</t>
  </si>
  <si>
    <t>HIGH TEMP
S/D OCCURED IN 3RD SLAB</t>
  </si>
  <si>
    <t>D254644</t>
  </si>
  <si>
    <t>ABNORMAL BOPS GRAPH
S/D IN 5TH SLAB</t>
  </si>
  <si>
    <t>B254685</t>
  </si>
  <si>
    <t>S/D ON 3RD SLAB
ABNORMAL BOPS</t>
  </si>
  <si>
    <t>C254679</t>
  </si>
  <si>
    <t>S/D IN 1ST SLAB 
HIGH</t>
  </si>
  <si>
    <t>B254696</t>
  </si>
  <si>
    <t>D254661</t>
  </si>
  <si>
    <t>B254700</t>
  </si>
  <si>
    <t>ABNORMAL HEATFLUX
S/D IN 3RD SLAB</t>
  </si>
  <si>
    <t>D254669</t>
  </si>
  <si>
    <t>(C=0.052%)
S/D IN 1ST SLAB
BOPS ABNORMAL 
LFC WARNING</t>
  </si>
  <si>
    <t>A254874</t>
  </si>
  <si>
    <t>HIGH TEMP
(S=0.009%)
S/D OCCURED IN 2ND SLAB</t>
  </si>
  <si>
    <t>C254731</t>
  </si>
  <si>
    <t>B254725</t>
  </si>
  <si>
    <t>C/A DUE TO MOULD OVERFLOW AFTER S/D
LADLE LOSS-92 T &amp; TUNDISH LOSS-24 T FOUND</t>
  </si>
  <si>
    <t>A254877</t>
  </si>
  <si>
    <t>S/D IN 1ST , 2ND , 4TH SLAB
ABNORMAL BOPS</t>
  </si>
  <si>
    <t>B254727</t>
  </si>
  <si>
    <t>2 PIPES</t>
  </si>
  <si>
    <t>B254729</t>
  </si>
  <si>
    <t>S/D IN 2ND , 3RD , 4TH , 5TH SLAB</t>
  </si>
  <si>
    <t>450-G
G-CHEM</t>
  </si>
  <si>
    <t>(C=0.053%)
BOPS S/D IN 1ST SLAB</t>
  </si>
  <si>
    <t>C254733</t>
  </si>
  <si>
    <t>(C=0.052%)
ABNORMAL BOPS
S/D IN 1ST SLAB
ABNORMAL BOPS</t>
  </si>
  <si>
    <t>D254710</t>
  </si>
  <si>
    <t>S/D IN 3RD SLAB ( 2 TIMES)
ABNORMAL BOPS</t>
  </si>
  <si>
    <t>A254888</t>
  </si>
  <si>
    <t>S/D IN 1ST SLAB
ABNORMAL BOPS</t>
  </si>
  <si>
    <t>B254744</t>
  </si>
  <si>
    <t>A254894</t>
  </si>
  <si>
    <t>S/D IN 3RD SLAB
26 T RETURNED DUE TO LRF REQUEST</t>
  </si>
  <si>
    <t>B254747</t>
  </si>
  <si>
    <t>C254768</t>
  </si>
  <si>
    <t>S/D IN 3RD SLAB
ABNORMAL BOPS GRAPH</t>
  </si>
  <si>
    <t>B254758</t>
  </si>
  <si>
    <t>S/D OCCURED IN 1ST &amp; 3RD SLAB
HIGH TEMP FOUND</t>
  </si>
  <si>
    <t>D254730</t>
  </si>
  <si>
    <t>S/D OCCURED IN 1ST &amp; 2ND  &amp; 3RD SLAB</t>
  </si>
  <si>
    <t>C254767</t>
  </si>
  <si>
    <t>S/D OCCURED IN  2ND SLAB</t>
  </si>
  <si>
    <t>A254905</t>
  </si>
  <si>
    <t>S/D OCCURED IN  4TH SLAB</t>
  </si>
  <si>
    <t>B254761</t>
  </si>
  <si>
    <t>D254742</t>
  </si>
  <si>
    <t>B254769</t>
  </si>
  <si>
    <t>HIGH SUPER HEAT
S/D OCCURED IN 3RD SLAB</t>
  </si>
  <si>
    <t>C254779</t>
  </si>
  <si>
    <t>3 PIPES</t>
  </si>
  <si>
    <t>S/D OCCURED IN 1ST SLAB
10 MM STOPPER RISE(2 BAG CA-SI ADDED)
40 T LEQUID METAL RETURN TO LRF LOW TEMP &amp; POOR BUBBLING</t>
  </si>
  <si>
    <t>C254780</t>
  </si>
  <si>
    <t>T1</t>
  </si>
  <si>
    <t>T2</t>
  </si>
  <si>
    <t>T3</t>
  </si>
  <si>
    <t>T4</t>
  </si>
  <si>
    <t>AVG. TEMP</t>
  </si>
  <si>
    <t>Sl No</t>
  </si>
  <si>
    <t>D254756</t>
  </si>
  <si>
    <t>LEAD HEAT
S/D IN 2ND SLAB</t>
  </si>
  <si>
    <t>D254755</t>
  </si>
  <si>
    <t>A254926</t>
  </si>
  <si>
    <t>C254791</t>
  </si>
  <si>
    <t>S/D IN 1ST AND 2ND SLAB</t>
  </si>
  <si>
    <t>A254933</t>
  </si>
  <si>
    <t>S/D IN 1ST SALB
7MM WIDTH DECREASED IN 4TH SLAB</t>
  </si>
  <si>
    <t>D254767</t>
  </si>
  <si>
    <t>S/D OCCURED IN 1ST SLAB
LACK OF HEAT</t>
  </si>
  <si>
    <t>C254810</t>
  </si>
  <si>
    <t>S/D OCCURED IN 1ST &amp; 3RD SLAB</t>
  </si>
  <si>
    <t>B254802</t>
  </si>
  <si>
    <t>(P=0.026%)
S/D OCCURED IN 4TH SLAB</t>
  </si>
  <si>
    <t>D254788</t>
  </si>
  <si>
    <t>HEAT LIFTING DELAY
S/D OCCURED IN 4TH SLAB</t>
  </si>
  <si>
    <t>C254828</t>
  </si>
  <si>
    <t>(C=0.056%)
S/D OCCURED IN 5TH SLAB</t>
  </si>
  <si>
    <t>D254790</t>
  </si>
  <si>
    <t>C254829</t>
  </si>
  <si>
    <t>D254793</t>
  </si>
  <si>
    <t>A254957</t>
  </si>
  <si>
    <t>S/D OCCURED IN 2ND SLAB
4 MM WIDTH INCREASED IN 1ST SLAB</t>
  </si>
  <si>
    <t>A254958</t>
  </si>
  <si>
    <t>B254827</t>
  </si>
  <si>
    <t>D254799</t>
  </si>
  <si>
    <t>C254839</t>
  </si>
  <si>
    <t>C254843</t>
  </si>
  <si>
    <t>C254844</t>
  </si>
  <si>
    <t>A254976</t>
  </si>
  <si>
    <t>B254843</t>
  </si>
  <si>
    <t>B254845</t>
  </si>
  <si>
    <t>B254847</t>
  </si>
  <si>
    <t>S/D IN 3RD SLAB
HEAT FLUX DROP</t>
  </si>
  <si>
    <t>B254856</t>
  </si>
  <si>
    <t>MANUAL S/D TAKEN TO CONNECT THE NEXT HEAT
9 MM STOPPER RISED ( 2 BAGS CA-SI ADDED)
POOR BUBBLING</t>
  </si>
  <si>
    <t>D254833</t>
  </si>
  <si>
    <t>15 MM STOPPER RISED (2 BAG CA-SIA DDED)
PLANT RETURN 15 T
S/D OCCURED IN 3RD SLAB</t>
  </si>
  <si>
    <t>A255002</t>
  </si>
  <si>
    <t>S/D IN 3RD SLAB
10MM STOPPER RISED, (S=0.010%)
(1 BAG CA-SI ADDED)</t>
  </si>
  <si>
    <t>B254881</t>
  </si>
  <si>
    <t>ABNORMAL HEATFLUX
ABNORMAL BOPS GRAPH, ABNORMAL BUBBLING
58MM LCR DONE IN 2ND SLAB
S/D IN 4TH SLAB</t>
  </si>
  <si>
    <t>D254854</t>
  </si>
  <si>
    <t>S/D IN PREVIOUS HEAT</t>
  </si>
  <si>
    <t>C254890</t>
  </si>
  <si>
    <t>S/D IN 1ST SLAB
MILL REQUEST
17MTR SLAB CHOPPED</t>
  </si>
  <si>
    <t>C254892</t>
  </si>
  <si>
    <t>S/D IN 3RD SLAB
ABNORMAL BOPS</t>
  </si>
  <si>
    <t>D254858</t>
  </si>
  <si>
    <t>ST49AT</t>
  </si>
  <si>
    <t>C254896</t>
  </si>
  <si>
    <t>ABNORMAL HEATFLUX
S/D IN 2ND SLAB</t>
  </si>
  <si>
    <t>ST49BL</t>
  </si>
  <si>
    <t>D254865</t>
  </si>
  <si>
    <t>CR44BL</t>
  </si>
  <si>
    <t>C254960</t>
  </si>
  <si>
    <t>A255022</t>
  </si>
  <si>
    <t>D254874</t>
  </si>
  <si>
    <t>S/D IN 4TH SLAB
SMS CRANE TRIP
ABNORMAL BOPS</t>
  </si>
  <si>
    <t>B254906</t>
  </si>
  <si>
    <t>S/D OCCURED IN  2ND SLAB
ABNORMAL BOPS</t>
  </si>
  <si>
    <t>C254914</t>
  </si>
  <si>
    <t>D254880</t>
  </si>
  <si>
    <t>S/D OCCURED IN  3RD SLAB
ABNORMAL BOPS</t>
  </si>
  <si>
    <t>D254881</t>
  </si>
  <si>
    <t>C254917</t>
  </si>
  <si>
    <t>B254910</t>
  </si>
  <si>
    <t>S/D OCCURED AT 1ST SLAB
22 T METAL RETURN TO LRF DUE TO LOW SUPER HEAT &amp; POOR BUBBLING</t>
  </si>
  <si>
    <t>A255053</t>
  </si>
  <si>
    <t>S/D IN 1ST SLAB
LRF REQUEST</t>
  </si>
  <si>
    <t>B254927</t>
  </si>
  <si>
    <t>(C=0.053%)
ABNORMAL HEAT FLUX
S/D IN 3RD SLAB
MILL REQUEST</t>
  </si>
  <si>
    <t>B254931</t>
  </si>
  <si>
    <t>HIGH TEMP
HOLDING HEAT
S/D OCCURED IN 4TH SLAB</t>
  </si>
  <si>
    <t>B254939</t>
  </si>
  <si>
    <t>S/D IN 2ND SLAB
ABNORMAL BOPS GRAPH
MOULD LEVEL FLUCTUATION</t>
  </si>
  <si>
    <t>C254951</t>
  </si>
  <si>
    <t xml:space="preserve">S/D IN 2ND SLAB </t>
  </si>
  <si>
    <t>A255070</t>
  </si>
  <si>
    <t>EAF BREAKDOWN
S/D IN 1ST SLAB ( 2 TIMES)</t>
  </si>
  <si>
    <t>B254947</t>
  </si>
  <si>
    <t>(C=0.060%)
S/D IN 2ND SLAB</t>
  </si>
  <si>
    <t>C254953</t>
  </si>
  <si>
    <t>LEFT SIDE BUBBLING HIGH
S/D IN 1ST &amp; 2ND</t>
  </si>
  <si>
    <t>D254915</t>
  </si>
  <si>
    <t>S/D IN 1ST SLAB
BUBBLING OCCURED NEAR SEN
COBBLE IN MILL</t>
  </si>
  <si>
    <t>A255096</t>
  </si>
  <si>
    <t>(AL=0.040%)
S/D IN 2ND SLAB
LOW TEMP</t>
  </si>
  <si>
    <t>A255092</t>
  </si>
  <si>
    <t>B254971</t>
  </si>
  <si>
    <t>HIGH TEMP
S/D IN 5TH SLAB</t>
  </si>
  <si>
    <t>B254973</t>
  </si>
  <si>
    <t>S/D IN 3RD SLAB
POWER SHORTAGE</t>
  </si>
  <si>
    <t>A255105</t>
  </si>
  <si>
    <t>(C=0.053%)
ABNORMAL BOPS
S/D IN 2ND SLAB</t>
  </si>
  <si>
    <t>C254998</t>
  </si>
  <si>
    <t>(C=0.057)
S/D IN 1ST SLAB</t>
  </si>
  <si>
    <t>A255121</t>
  </si>
  <si>
    <t>B255010</t>
  </si>
  <si>
    <t>TSP-N3
450-G</t>
  </si>
  <si>
    <t>S/D IN 2ND &amp; 3RD SLAB
ABNORMAL BOPS , LOW TEMP</t>
  </si>
  <si>
    <t>A255137</t>
  </si>
  <si>
    <t>B255038</t>
  </si>
  <si>
    <t>S/D OCUURED IN  3RD SLAB</t>
  </si>
  <si>
    <t>D255024</t>
  </si>
  <si>
    <t>LACK OF HEAT
S/D OCCURED IN 2ND SLAB</t>
  </si>
  <si>
    <t>A255177</t>
  </si>
  <si>
    <t>S/D OCCURED IN 2ND SLAB
22 MM WIDTH INCREASED IN 3RD SLAB</t>
  </si>
  <si>
    <t>C255071</t>
  </si>
  <si>
    <t>S/D IN 4TH SLAB( 2 TIMES)</t>
  </si>
  <si>
    <t>B255058</t>
  </si>
  <si>
    <t>ABNORMAL BOPS
S/D IN 4TH SLAB</t>
  </si>
  <si>
    <t>C255104</t>
  </si>
  <si>
    <t>S/B AS PER PLAN
S/D IN 2ND SLAB</t>
  </si>
  <si>
    <t>B255111</t>
  </si>
  <si>
    <t>ABNORMAL BUBBLING NEER SEN
ABNORMAL BOPS
S/D IN 3RD SLAB</t>
  </si>
  <si>
    <t>C255139</t>
  </si>
  <si>
    <t>S/D IN 1ST SLAB
LOW TEMP
HEAVY MLF
50T METAL REMOVED</t>
  </si>
  <si>
    <t>D255105</t>
  </si>
  <si>
    <t>2 TIMES PINCH ROLL CURRENT HIGH
MOULD WATER FULL OPEN
S/D IN 2ND SLAB</t>
  </si>
  <si>
    <t>C255150</t>
  </si>
  <si>
    <t>ABNORMAL BOPS
S/D IN 2ND SLAB</t>
  </si>
  <si>
    <t>D255138</t>
  </si>
  <si>
    <t>C255166</t>
  </si>
  <si>
    <t>TROLLY TRIP IN LRF-4 
MANNUALY S/D TAKEN TO CONNECT NEXT HEAT</t>
  </si>
  <si>
    <t>A255276</t>
  </si>
  <si>
    <t>BOPS S/D OCCURED IN(BFF,C-1) IN 2ND SLAB
56MM LCR DONE IN 5TH SLAB</t>
  </si>
  <si>
    <t>D255158</t>
  </si>
  <si>
    <t>B255194</t>
  </si>
  <si>
    <t>BACKUP ROLL CHANGE
S/D IN 3RD SLAB</t>
  </si>
  <si>
    <t>A255304</t>
  </si>
  <si>
    <t xml:space="preserve">P=0.022%
S/D IN 2ND SLAB (BFF-2)
ABNORMAL BOPS
58MM LCR IN 4TH SLAB (LOW TEMP)
POOR BUBBLING
12T PLANT RETURN
</t>
  </si>
  <si>
    <t>B255209</t>
  </si>
  <si>
    <t>S/D IN 2ND SLAB
HIGH TEMP</t>
  </si>
  <si>
    <t>B255213</t>
  </si>
  <si>
    <t>A255323</t>
  </si>
  <si>
    <t>S/D OCCURED IN 6TH SLAB
5MM WIDTH INCREASED IN 4TH SLAB</t>
  </si>
  <si>
    <t>TR48DNE</t>
  </si>
  <si>
    <t>D255190</t>
  </si>
  <si>
    <t>POWER TRIP IN MILL
S/D DURING CHOPPING
26M CHOPPING DONE</t>
  </si>
  <si>
    <t>D255210</t>
  </si>
  <si>
    <t>S/D IN 1ST AND 3RD SLAB</t>
  </si>
  <si>
    <t>B255240</t>
  </si>
  <si>
    <t>(S=0.010%) (AL=0.045%)
S/D OCCUR IN 3RD SLAB</t>
  </si>
  <si>
    <t>B255250</t>
  </si>
  <si>
    <t>5MM STOPPER RISED( 1 BAG CA-SI ADDED)
HOLDING HEAT
ABNORMAL BOPS, MLF
S/D IN 4TH SLAB</t>
  </si>
  <si>
    <t>A255353</t>
  </si>
  <si>
    <t>MOULD LEVEL ABNORMAL
BOPS ABNORMAL
S/D IN 4TH SLAB 2TIMES</t>
  </si>
  <si>
    <t>C255252</t>
  </si>
  <si>
    <t>ABNORMAL BOPS 
HOLDING HEAT
S/D IN 5TH SLAB</t>
  </si>
  <si>
    <t>D255217</t>
  </si>
  <si>
    <t>D255220</t>
  </si>
  <si>
    <t>HEATFLUX DROP
ABNORMAL BOPS, ABNORMAL HEATFLUX
S/D IN 4TH SLAB</t>
  </si>
  <si>
    <t>D255222</t>
  </si>
  <si>
    <t>BOPS S/D OCCURED IN 1ST SLAB
22T METAL RETUNED
B/O OCCURED</t>
  </si>
  <si>
    <t>D255235</t>
  </si>
  <si>
    <t>LFC WARNING, S/D IN 3RD SLAB
58MM LCR OPEN IN 3RD SLAB</t>
  </si>
  <si>
    <t>C255270</t>
  </si>
  <si>
    <t>C255275</t>
  </si>
  <si>
    <t>ABNORMAL BOPS
S/D IN 5TH SLAB, HEAT LIFTNG DELAY</t>
  </si>
  <si>
    <t>D255243</t>
  </si>
  <si>
    <t>S/D IN 3RD SLAB
ABNORMAL BUBLING ON RIGHT SIDE</t>
  </si>
  <si>
    <t>C255276</t>
  </si>
  <si>
    <t>ABNOMAL BOPS
S/D IN 2ND SLAB
ABNORMAL BUBLING</t>
  </si>
  <si>
    <t>B255277</t>
  </si>
  <si>
    <t>S/D IN 2ND &amp; 4TH SLAB SLAB
ABNORMAL BOPS
ABNORMAL MOULD LEVEL,7MM STOPPER RISED</t>
  </si>
  <si>
    <t>C255278</t>
  </si>
  <si>
    <t>A255397</t>
  </si>
  <si>
    <t>CG06A</t>
  </si>
  <si>
    <t>A255412</t>
  </si>
  <si>
    <t>D255279</t>
  </si>
  <si>
    <t>C255318</t>
  </si>
  <si>
    <t>B255316</t>
  </si>
  <si>
    <t xml:space="preserve">F/O </t>
  </si>
  <si>
    <t>A255422</t>
  </si>
  <si>
    <t>S/D IN 1ST, 2ND(2 TIMES)</t>
  </si>
  <si>
    <t>B255318</t>
  </si>
  <si>
    <t>A255424</t>
  </si>
  <si>
    <t>A255425</t>
  </si>
  <si>
    <t>D255291</t>
  </si>
  <si>
    <t>A255427</t>
  </si>
  <si>
    <t xml:space="preserve">MILL REQUEST
BOPS S/D </t>
  </si>
  <si>
    <t>D255287</t>
  </si>
  <si>
    <t>D255288</t>
  </si>
  <si>
    <t>S/D IN 1ST SLAB
LFC OCCURED</t>
  </si>
  <si>
    <t>ST45AL</t>
  </si>
  <si>
    <t>B255325</t>
  </si>
  <si>
    <t>HEAT FLUX DROP
ABNORMAL BOPS
S/D IN 4TH SLAB (BFL-07)</t>
  </si>
  <si>
    <t>A255432</t>
  </si>
  <si>
    <t>S/D IN 1ST SLAB (BFL-01 &amp; BFL-08)
C=0.051%
ABNORMAL BOPS
ABNORMAL HEAT FLUX</t>
  </si>
  <si>
    <t>C255329</t>
  </si>
  <si>
    <t>S/D IN 3RD SLAB 
ABNORMAL IN HEAT FLUX
MILL REUQEST</t>
  </si>
  <si>
    <t>C255332</t>
  </si>
  <si>
    <t>MILL REUQEST (COBBLE IN MILL)
S/D IN 2ND SLAB</t>
  </si>
  <si>
    <t>D255297</t>
  </si>
  <si>
    <t>S/D IN 2ND SLAB &amp; BOPS ALARM
S/D IN 4TH SLAB
8MM STOPPER RISE
ABNORMAL BOPS</t>
  </si>
  <si>
    <t>C255333</t>
  </si>
  <si>
    <t>S/D IN 2ND SLAB
ABNORMAL BOPS</t>
  </si>
  <si>
    <t>C255334</t>
  </si>
  <si>
    <t>C255335</t>
  </si>
  <si>
    <t>S/D IN 2ND SLAB (BFL-08)
ABNORMAL BOPS</t>
  </si>
  <si>
    <t>B255328</t>
  </si>
  <si>
    <t>S/D IN 2ND SLAB (BFL-08)</t>
  </si>
  <si>
    <t>C255376</t>
  </si>
  <si>
    <t>C255377</t>
  </si>
  <si>
    <t>B255368</t>
  </si>
  <si>
    <t>A255479</t>
  </si>
  <si>
    <t>(P=0.024%)
MANNUAL S/D TAKEN    IN 3RD SLAB
43MTR SLAB CHOPPED DUE TO SWEVEL PROBLEM</t>
  </si>
  <si>
    <t>A255480</t>
  </si>
  <si>
    <t>(P=0.021%)
LOW TEMP( 1 BAG CA-SI ADDED
S/D IN 1ST SLAB
ABNORMALBOPS, 15T METAL METAL RETURNED</t>
  </si>
  <si>
    <t>A255492</t>
  </si>
  <si>
    <t xml:space="preserve">S/D IN 1ST SLAB
ABNORMAL BOPS </t>
  </si>
  <si>
    <t>B255399</t>
  </si>
  <si>
    <t>S/D IN 4TH SLAB (BFL-07)</t>
  </si>
  <si>
    <t>D2552382</t>
  </si>
  <si>
    <t>B255415</t>
  </si>
  <si>
    <t>ABNORMAL BUBBLING NEAR SEN 
S/D IN 5TH SLAB</t>
  </si>
  <si>
    <t>C255026</t>
  </si>
  <si>
    <t>C255111</t>
  </si>
  <si>
    <t>221BG</t>
  </si>
  <si>
    <t>SLOWDOWN IN 1ST SLAB (BFF-05)
AL=0.041%
ABNORMAL BOPS</t>
  </si>
  <si>
    <t>C255249</t>
  </si>
  <si>
    <t>ABNORMAL BUBBLING
C=0.051%
5MM STOPPER RISE( 1 BAG CA-SI ADDED)
SLOWDOWN OCCURED IN (BFF-04)
58MM LCR IN 4TH SLAB</t>
  </si>
  <si>
    <t>C255262</t>
  </si>
  <si>
    <t>ABNORMAL PINCH ROLL POSITION
ABNORMAL BOPS
ABNORMAL HEAT FLUX
SLOWDOWN IN 3RD SLAB
TAPER ADJUSTED (L:3.5-4.1 R:3.5-3.9)</t>
  </si>
  <si>
    <t>B255264</t>
  </si>
  <si>
    <t>SLOWDOWN IN 1ST SLAB (BFL,C=4)
ABNORMAL PINCH ROLL POSITION
SLOWDOWN IN 4TH SLAB (BFL-04)</t>
  </si>
  <si>
    <t>A255388</t>
  </si>
  <si>
    <t>ABNORMAL BOPS
BOPS ALARM
4MM STOPPER RISE
SLOWDOWN IN 3RD SLAB ( BFF,C-7)</t>
  </si>
  <si>
    <t>A255390</t>
  </si>
  <si>
    <t>ABNORMAL HEAT FLUX
HEAT FLUX DROP
SLOWDOWN IN 4TH SLAB</t>
  </si>
  <si>
    <t>Sl no</t>
  </si>
  <si>
    <t>A255541</t>
  </si>
  <si>
    <t>F/0</t>
  </si>
  <si>
    <t>S/D IN 3RD SLAB (BFF-07)
ABNORMAL BOPS</t>
  </si>
  <si>
    <t>C255454</t>
  </si>
  <si>
    <t>S/D IN 4TH SLAB (BFL-06)</t>
  </si>
  <si>
    <t>D255423</t>
  </si>
  <si>
    <t>S/D WHILE HEAT CONNECTION</t>
  </si>
  <si>
    <t>C255456</t>
  </si>
  <si>
    <t>A255557</t>
  </si>
  <si>
    <t>S/D IN 1ST SLAB (BFL-08)
ABNORMAL BOPS
S/D IN 5TH SLAB</t>
  </si>
  <si>
    <t>B255460</t>
  </si>
  <si>
    <t>MILL REQUEST 
S/D IN 4TH SLAB (BFL-08)</t>
  </si>
  <si>
    <t>A255562</t>
  </si>
  <si>
    <t>S/D IN 1ST SLAB (BFL-08)
HIGH TEMP</t>
  </si>
  <si>
    <t>A255572</t>
  </si>
  <si>
    <t>S/D IN 2ND SLAB (BFF,C-7)</t>
  </si>
  <si>
    <t>B255476</t>
  </si>
  <si>
    <t>B255489</t>
  </si>
  <si>
    <t>MANNUAL S/D IN 4TH SLABTO CONNECT NEXT HEAT</t>
  </si>
  <si>
    <t>BOPS S/D IN 1ST SLAB
MILL  REQUEST
LFC OCCURED
HIGH TEMP,ABNORMAL BOPS</t>
  </si>
  <si>
    <t>D255461</t>
  </si>
  <si>
    <t>B255492</t>
  </si>
  <si>
    <t>B255501</t>
  </si>
  <si>
    <t>S/D IN 1ST SLAB
ABNORMAL BUBBLING
SHORT S/B DUE TO ABNORMAL BUBBLING</t>
  </si>
  <si>
    <t>A255604</t>
  </si>
  <si>
    <t>S/D IN 2ND&amp;5TH SLAB</t>
  </si>
  <si>
    <t>B255509</t>
  </si>
  <si>
    <t>S/D IN 1ST SLAB
LADLE CENTERING DONE 
06MM DECREASED IN 3RD SLAB</t>
  </si>
  <si>
    <t>B255523</t>
  </si>
  <si>
    <t>D255502</t>
  </si>
  <si>
    <t>07MM CHANGE IN 3RD SLAB
S/D IN 5TH SLAB</t>
  </si>
  <si>
    <t>D255496</t>
  </si>
  <si>
    <t>C255533</t>
  </si>
  <si>
    <t>A255624</t>
  </si>
  <si>
    <t>STICKER WARNING AT 2ND SLAB
LC WARMING IN 3RD SLAB
S/D IN 4TH SLAB(2 TIMES)</t>
  </si>
  <si>
    <t>D255503</t>
  </si>
  <si>
    <t>C255540</t>
  </si>
  <si>
    <t>7MM WIDTH DECREASED IN 1ST SLAB
S/D IN 1ST SLAB</t>
  </si>
  <si>
    <t>C255541</t>
  </si>
  <si>
    <t>ABNORMAL BOPS
HIGH TEMP
S/D IN 3RD SLAB</t>
  </si>
  <si>
    <t>C255544</t>
  </si>
  <si>
    <t>A255628</t>
  </si>
  <si>
    <t>8MM STOPPER RISED 
S/D IN 4TH SLAB</t>
  </si>
  <si>
    <t>A255631</t>
  </si>
  <si>
    <t>LACK OF HEAT
S/D IN 4TH SLAB</t>
  </si>
  <si>
    <t>A255633</t>
  </si>
  <si>
    <t>S/D IN 4TH SLAB (BFL-RIGH THERMOCOUPLES)</t>
  </si>
  <si>
    <t xml:space="preserve">A </t>
  </si>
  <si>
    <t>D255517</t>
  </si>
  <si>
    <t>S/D IN 2ND SLAB (BFF-6)
LOW TEMP
ABNORMAL BOPS
20T RETURN</t>
  </si>
  <si>
    <t>B255543</t>
  </si>
  <si>
    <t>(C=0.050%)
S/D IN 3RD SLAB
ABNORMAL BOPS
HEAT FLUX DROP</t>
  </si>
  <si>
    <t>A255635</t>
  </si>
  <si>
    <t>S/D IN 3RD SLAB (BFL-1&amp;2)
ABNORMAL BOPS</t>
  </si>
  <si>
    <t>B255544</t>
  </si>
  <si>
    <t>S/D IN 1ST SLAB (BFL-1)
ABNORMAL BOPS</t>
  </si>
  <si>
    <t>C255552</t>
  </si>
  <si>
    <t>S/D IN 2ND SLAB (BFF-8)
ABNORMAL BOPS</t>
  </si>
  <si>
    <t>A255636</t>
  </si>
  <si>
    <t>S/D IN 2ND SLAB (BFF-07)
57MM LCR IN 2ND SLAB
ABNORMAL BOPS</t>
  </si>
  <si>
    <t>B255542</t>
  </si>
  <si>
    <t>S/D IN 2ND SLAB (BFF-08 &amp; BFL-01)</t>
  </si>
  <si>
    <t>A255643</t>
  </si>
  <si>
    <t>4MM STOPPER RISE
S/D IN 4TH SLAB
HEAT LIFTING DELAY
LACK OF HEAT</t>
  </si>
  <si>
    <t>B255558</t>
  </si>
  <si>
    <t>LACK OF HEAT
S/D IN 1ST SLAB (BFF-01)
GRADE CHANGE</t>
  </si>
  <si>
    <t>B255570</t>
  </si>
  <si>
    <t>14MM STOPPER RISED ( 3 BAGS CA-SI ADDED)
S/D IN 1ST SLAB
ABNORMAL MOULD LEVEL( 20 T METAL RETURNED)</t>
  </si>
  <si>
    <t>B255571</t>
  </si>
  <si>
    <t>HIGH SUPERHEAT
S/D IN 3RD SLAB</t>
  </si>
  <si>
    <t>C255577</t>
  </si>
  <si>
    <t>LRF REQUEST( PURGING FAILURE)
1 MANUAL &amp; 1 AUTO S/D IN 4TH SLAB</t>
  </si>
  <si>
    <t>A255668</t>
  </si>
  <si>
    <t xml:space="preserve">LACK OF HEAT 
S/D IN 4TH SLAB
STICKER WARNING </t>
  </si>
  <si>
    <t>D255554</t>
  </si>
  <si>
    <t>A255674</t>
  </si>
  <si>
    <t>LC WARNING , ABNORMAL BOPS 
S/D IN 3RD SLAB ( 2 TIMES)</t>
  </si>
  <si>
    <t>CP41NMM</t>
  </si>
  <si>
    <t>C255593</t>
  </si>
  <si>
    <t>S/D IN 3RD SLAB
PINCH ROLL -1 TRIP</t>
  </si>
  <si>
    <t>CP41NTM</t>
  </si>
  <si>
    <t>D255564</t>
  </si>
  <si>
    <t>S/D IN 2ND SLAB
POOR BUBBLING , LOW TEMP</t>
  </si>
  <si>
    <t>A255677</t>
  </si>
  <si>
    <t>LRF REQUEST
BOPS S/D IN 2ND SLAB</t>
  </si>
  <si>
    <t>A255679</t>
  </si>
  <si>
    <t>HEAT LIFTING DELAY( 2 TIMES MANUAL S/D TAKEN TO CONNECT THE HEAT)</t>
  </si>
  <si>
    <t>A255694</t>
  </si>
  <si>
    <t>BOPS S/D IN 1ST SLAB</t>
  </si>
  <si>
    <t>B255608</t>
  </si>
  <si>
    <t>BOPS S/D IN 2ND SLAB
ABNORMAL BOPS</t>
  </si>
  <si>
    <t>B255663</t>
  </si>
  <si>
    <t>A255698</t>
  </si>
  <si>
    <t>S/D IN 3RD SLAB
LOW TEMP</t>
  </si>
  <si>
    <t>C255620</t>
  </si>
  <si>
    <t>C255630</t>
  </si>
  <si>
    <t>C255636</t>
  </si>
  <si>
    <t>BOPS S/D IN 3RD SLAB</t>
  </si>
  <si>
    <t>A255720</t>
  </si>
  <si>
    <t>S/D IN 1ST SLAB
POOR BUBBLING (LEFT SIDE)</t>
  </si>
  <si>
    <t>A255743</t>
  </si>
  <si>
    <t>LACK OF HEAT ( EAF 2 SHELL CHANGE)
MLF IN 4TH SLAB
S/D IN 4TH SLAB
HIGH SUPERHEAT</t>
  </si>
  <si>
    <t>D255644</t>
  </si>
  <si>
    <t>S/D IN 4TH SLAB
10 T METAL RETURNED DUE TO LOW TEMP</t>
  </si>
  <si>
    <t>C255677</t>
  </si>
  <si>
    <t>D255650</t>
  </si>
  <si>
    <t>S/D IN 2ND SLAB
ABNORMAL BOPS
LFC IN 5TH SLAB</t>
  </si>
  <si>
    <t>B255661</t>
  </si>
  <si>
    <t>(S=0.009%)
LOW TEMP
S/D IN 2ND &amp; 3RD SLAB</t>
  </si>
  <si>
    <t>A255759</t>
  </si>
  <si>
    <t>LR REQUEST
S/D IN 4TH SLAB</t>
  </si>
  <si>
    <t>A255768</t>
  </si>
  <si>
    <t>D255670</t>
  </si>
  <si>
    <t>(C=0.055%)
S/D IN 1ST , 2ND &amp; 3RD SLAB
10T RETURNED IN LRF</t>
  </si>
  <si>
    <t>B255687</t>
  </si>
  <si>
    <t>LACK OF HEAT
S/D IN 4TH SLAB
SEG-3 VALVE CLOSED</t>
  </si>
  <si>
    <t>C255721</t>
  </si>
  <si>
    <t>S/D IN 2ND SLAB (BFL-02 &amp; BFF-06)( TWISE)
58MM LCR DONE</t>
  </si>
  <si>
    <t>B255734</t>
  </si>
  <si>
    <t>LACK OF HEAT 
S/D IN 4TH SLAB</t>
  </si>
  <si>
    <t>C255758</t>
  </si>
  <si>
    <t>(S=0.010%)
LACK OF HEAT
S/D IN 5TH SLAB</t>
  </si>
  <si>
    <t>A255827</t>
  </si>
  <si>
    <t>(C=0.055%)
S/D IN 4TH SLAB
LACK OF HEAT
FACE CREAK ALARM</t>
  </si>
  <si>
    <t>C255763</t>
  </si>
  <si>
    <t>S/D IN 4TH SLAB
LACK OF HEAT</t>
  </si>
  <si>
    <t>A255828</t>
  </si>
  <si>
    <t>SEG-3 VALVE CLOSED
S/D IN 3RD SLAB
LACK OF HEAT</t>
  </si>
  <si>
    <t>C255797</t>
  </si>
  <si>
    <t>TSP N-3</t>
  </si>
  <si>
    <t>S/D IN 3RD SLAB (BFL:01)
GRADE CHANGE</t>
  </si>
  <si>
    <t>CP36ALM</t>
  </si>
  <si>
    <t>A255856</t>
  </si>
  <si>
    <t>CP36AL</t>
  </si>
  <si>
    <t>B255796</t>
  </si>
  <si>
    <t>B255821</t>
  </si>
  <si>
    <t>A255880</t>
  </si>
  <si>
    <t>2 S/D IN 1ST SLAB
ABNORMAL BOPS</t>
  </si>
  <si>
    <t>D255697</t>
  </si>
  <si>
    <t>A255905</t>
  </si>
  <si>
    <t>(C=0.051%)
S/D IN 2ND SLAB, 4TH, 5TH SLAB</t>
  </si>
  <si>
    <t>CR05TMM</t>
  </si>
  <si>
    <t>B255849</t>
  </si>
  <si>
    <t>LOW TEMP
LRF REQUEST
S/D IN 4TH SLAB</t>
  </si>
  <si>
    <t>C255857</t>
  </si>
  <si>
    <t>C255858</t>
  </si>
  <si>
    <t>PROBLEM IN MILL 
28 MTR SLAB CHOPPING 
S/D IN 2ND, 3RD ,4TH SLAB</t>
  </si>
  <si>
    <t>A255912</t>
  </si>
  <si>
    <t>C255862</t>
  </si>
  <si>
    <t>C255861</t>
  </si>
  <si>
    <t>A255916</t>
  </si>
  <si>
    <t>S/D IN 1ST SLAB ( 1BAG CA-SI ADDED)</t>
  </si>
  <si>
    <t>B255856</t>
  </si>
  <si>
    <t>(C=0.052%)
S/D IN 2ND SLAB &amp; 4TH SLAB
10 T METAL RETURNED DUE TO LOW TEMP( 1 BAG CA-SI ADDED)</t>
  </si>
  <si>
    <t>B255859</t>
  </si>
  <si>
    <t>(C=0.053%)
S/D IN 1ST SLAB
ABNORMAL BOPS</t>
  </si>
  <si>
    <t>A255920</t>
  </si>
  <si>
    <t>S/D IN 2ND SLAB, 4TH &amp; 5TH SLAB</t>
  </si>
  <si>
    <t>C255869</t>
  </si>
  <si>
    <t>S/D IN 2ND LAB
ABNORMAL BOPS</t>
  </si>
  <si>
    <t>C255875</t>
  </si>
  <si>
    <t>S/D IN 1ST &amp; 2ND SLAB
HIGH MOULD LEVEL FLUCTUATION</t>
  </si>
  <si>
    <t>C255885</t>
  </si>
  <si>
    <t>D255735</t>
  </si>
  <si>
    <t>C255884</t>
  </si>
  <si>
    <t>HIGH TEMP
S/D IN 3RD SLAB
ABNORMAL BOPS</t>
  </si>
  <si>
    <t>B255878</t>
  </si>
  <si>
    <t>S/D IN 5TH SLAB
ABNORMAL BOPS</t>
  </si>
  <si>
    <t>C255895</t>
  </si>
  <si>
    <t>C255890</t>
  </si>
  <si>
    <t>S/D IN 1ST, 3RD SLAB
ABNORMAL BOPS</t>
  </si>
  <si>
    <t>B255879</t>
  </si>
  <si>
    <t>C255892</t>
  </si>
  <si>
    <t>LRF REQUEST
S/D IN 5TH SLAB</t>
  </si>
  <si>
    <t>C255896</t>
  </si>
  <si>
    <t>LACK OF HEAT
S/D IN 2ND  SLAB
(C=0.054%)</t>
  </si>
  <si>
    <t>SH41NLM</t>
  </si>
  <si>
    <t>D255748</t>
  </si>
  <si>
    <t>C255909</t>
  </si>
  <si>
    <t>B255902</t>
  </si>
  <si>
    <t>12MM WIDTH DECREASED IN 2ND SLAB
LFC IN 4TH SLAB
S/D IN 2ND SLAB</t>
  </si>
  <si>
    <t>A255997</t>
  </si>
  <si>
    <t>(C=0.052% &amp; P=0.021%)
S/D IN 2ND SLAB</t>
  </si>
  <si>
    <t>A256017</t>
  </si>
  <si>
    <t>LACK OF HEAT
(S=0.010%)
ABNORMAL BOPS
S/D IN 4TH SLAB</t>
  </si>
  <si>
    <t>C255992</t>
  </si>
  <si>
    <t>A256041</t>
  </si>
  <si>
    <t>(P=0.025%) S/D IN 1ST SLAB
ABNORMAL BOPS</t>
  </si>
  <si>
    <t>A256060</t>
  </si>
  <si>
    <t>LACK OF HEAT
ABNORMAL MOULD LEVEL
10MM &amp; 4MM  STOPPER RISED( 1 BAG CA-SI ADDED)
BOPS S/D IN 1ST &amp; 3RD SLAB</t>
  </si>
  <si>
    <t>D255822</t>
  </si>
  <si>
    <t>HEAT LIFTING DELAY
HEAT LIFTING DELAY
MILL REQUEST 
S/D IN 4TH SLAB</t>
  </si>
  <si>
    <t>A256069</t>
  </si>
  <si>
    <t>LACK OF HEAT
S/D IN 3RD SLAB</t>
  </si>
  <si>
    <t>A256085</t>
  </si>
  <si>
    <t>A256086</t>
  </si>
  <si>
    <t>S/D IN 2ND &amp; 3RD</t>
  </si>
  <si>
    <t>B256027</t>
  </si>
  <si>
    <t>S/D IN 1ST , 2ND , 4TH</t>
  </si>
  <si>
    <t>A256090</t>
  </si>
  <si>
    <t>S/D IN 3RD SLAB
56MM LCR DONE IN 3RD SLAB</t>
  </si>
  <si>
    <t>A256092</t>
  </si>
  <si>
    <t>C256068</t>
  </si>
  <si>
    <t>S/D IN 1ST SLAB
LACK OF HEAT
LFC IN 3RD &amp; 4TH SLAB</t>
  </si>
  <si>
    <t>A256098</t>
  </si>
  <si>
    <t>S/D IN 2ND SLAB
ABNORMAL BOPS
LFC IN 4TH SLAB</t>
  </si>
  <si>
    <t>A256102</t>
  </si>
  <si>
    <t>6 S/D IN 4TH SLAB</t>
  </si>
  <si>
    <t>A256103</t>
  </si>
  <si>
    <t>S/D IN 1ST SLAB(4 TIMES)
S/D IN 2ND SLAB( 2 TIMES)
60 T METAL RETURN</t>
  </si>
  <si>
    <t>B256044</t>
  </si>
  <si>
    <t>BOPS S/D IN 1ST SLAB &amp; 3RD SLAB
ABNORMAL BOPS</t>
  </si>
  <si>
    <t>C256076</t>
  </si>
  <si>
    <t>LEAD HEAT
S/D IN 4TH SLAB</t>
  </si>
  <si>
    <t>C256078</t>
  </si>
  <si>
    <t>C256086</t>
  </si>
  <si>
    <t>(P=0.021%)
S/D IN 2ND SLAB</t>
  </si>
  <si>
    <t>C256087</t>
  </si>
  <si>
    <t>S/D IN 2ND SLAB
ABNORMAL BUBLING</t>
  </si>
  <si>
    <t>C256088</t>
  </si>
  <si>
    <t>S/D IN 1ST SLAB
ABNORMAL BOPS
ABNORMAL HEATFLUX</t>
  </si>
  <si>
    <t>B256064</t>
  </si>
  <si>
    <t>HIGH TEMP
S/D IN 4TH SLAB (BFL-1)</t>
  </si>
  <si>
    <t>C256092</t>
  </si>
  <si>
    <t>A256124</t>
  </si>
  <si>
    <t>(S=0.011%)
LACK OF HEAT
S/D IN 2ND &amp; 3RD SLAB</t>
  </si>
  <si>
    <t>C259096</t>
  </si>
  <si>
    <t>A256126</t>
  </si>
  <si>
    <t>S/D IN 1ST SLAB
ABNORMAL BOPS
LACK OF HEAT</t>
  </si>
  <si>
    <t>A256144</t>
  </si>
  <si>
    <t>_</t>
  </si>
  <si>
    <t>LACK OF HEAT
S/D IN 4TH (BFL-01) &amp; 5TH SLAB (BFL-02)</t>
  </si>
  <si>
    <t>A256139</t>
  </si>
  <si>
    <t>S/D IN 1ST SLAB(BFF-7)
HOLDING HEAT</t>
  </si>
  <si>
    <t>A256137</t>
  </si>
  <si>
    <t>(C=0.054%)
S/D IN 3RD SLAB (BFF-06 &amp; BFL-7) 2 TIMES</t>
  </si>
  <si>
    <t>A256143</t>
  </si>
  <si>
    <t>S/D IN 1ST SLAB &amp; 3RD SLAB
HIGH TEMP</t>
  </si>
  <si>
    <t>C256113</t>
  </si>
  <si>
    <t>S/D IN 1ST SLAB (BFL-08)
LACK OF HEAT</t>
  </si>
  <si>
    <t>C256114</t>
  </si>
  <si>
    <t>S/D IN 2ND (BFL-08) &amp; 3RD (BFL-1)</t>
  </si>
  <si>
    <t>D255873</t>
  </si>
  <si>
    <t>S/D IN 3RD SLAB (BFL-1)</t>
  </si>
  <si>
    <t>C256115</t>
  </si>
  <si>
    <t>S/D IN 4TH SLAB (BFL-1)</t>
  </si>
  <si>
    <t>B256091</t>
  </si>
  <si>
    <t>S/D IN 2ND SLAB (BFL-1)</t>
  </si>
  <si>
    <t>D255874</t>
  </si>
  <si>
    <t>S/D IN 1ST SLAB (BFL-2)</t>
  </si>
  <si>
    <t>C2561177</t>
  </si>
  <si>
    <t>S/D IN 1ST SLAB (BFL-02)
30T RETURN</t>
  </si>
  <si>
    <t>B256093</t>
  </si>
  <si>
    <t>S/D IN (BFL,C-2) &amp; (BFF,C-1)</t>
  </si>
  <si>
    <t>C256122</t>
  </si>
  <si>
    <t>(C=0.050%)
S/D IN 1ST SLAB (BFL-1)</t>
  </si>
  <si>
    <t>C256125</t>
  </si>
  <si>
    <t>S/D IN 3RD SLAB(BFF-8)</t>
  </si>
  <si>
    <t>SL.
NO.</t>
  </si>
  <si>
    <t>C256134</t>
  </si>
  <si>
    <t>A256163</t>
  </si>
  <si>
    <t>B256109</t>
  </si>
  <si>
    <t>C256145</t>
  </si>
  <si>
    <t>B266119</t>
  </si>
  <si>
    <t>LFC IN 5TH SLAB
S/D IN 5TH SLAB</t>
  </si>
  <si>
    <t>CR10ALS</t>
  </si>
  <si>
    <t>B256124</t>
  </si>
  <si>
    <t>(S=0.010%)
S/D IN 3RD SLAB</t>
  </si>
  <si>
    <t>C256161</t>
  </si>
  <si>
    <t>(C=0.058%)
S/D IN 4TH SLAB, ABNORMAL BOPS</t>
  </si>
  <si>
    <t>D255903</t>
  </si>
  <si>
    <t>HEATFLUX DROP
HEATFLUX DROP
S/D IN 4TH SLAB</t>
  </si>
  <si>
    <t>CH37NMZ</t>
  </si>
  <si>
    <t>C256168</t>
  </si>
  <si>
    <t>C256169</t>
  </si>
  <si>
    <t>S/D IN PRIVIOUS HEAT</t>
  </si>
  <si>
    <t>A256196</t>
  </si>
  <si>
    <t>WT34ALN</t>
  </si>
  <si>
    <t>C256170</t>
  </si>
  <si>
    <t>S/D IN 1ST SLAB
LOW SUPERHEAT</t>
  </si>
  <si>
    <t>CR44DMJ</t>
  </si>
  <si>
    <t>D255910</t>
  </si>
  <si>
    <t>C256197</t>
  </si>
  <si>
    <t>OUT OF CIRCULATION LADLE 
S/D IN 5TH SLAB</t>
  </si>
  <si>
    <t>B256162</t>
  </si>
  <si>
    <t>S/D IN 1ST SLAB( 2 TIMES)</t>
  </si>
  <si>
    <t>C256206</t>
  </si>
  <si>
    <t>HIGH TEMP
S/D IN 4TH SLAB</t>
  </si>
  <si>
    <t>C256210</t>
  </si>
  <si>
    <t>D255922</t>
  </si>
  <si>
    <t>S/D IN 1ST SLAB
HIGH TEMP</t>
  </si>
  <si>
    <t>A256236</t>
  </si>
  <si>
    <t>LACK OF HEAT
(P=0.027%)
S/D IN 4TH SLAB</t>
  </si>
  <si>
    <t>B256199</t>
  </si>
  <si>
    <t>A256253</t>
  </si>
  <si>
    <t>(C=0.057%)
S/D IN 4TH SLAB</t>
  </si>
  <si>
    <t>C256245</t>
  </si>
  <si>
    <t>C256254</t>
  </si>
  <si>
    <t>C/A DUE TO COBBLE IN MILL
S/D IN 4TH SLAB</t>
  </si>
  <si>
    <t>A256279</t>
  </si>
  <si>
    <t>S/D IN 3RD SLAB (BFF-05)</t>
  </si>
  <si>
    <t>C256274</t>
  </si>
  <si>
    <t>S/D IN 3RD SLAB(BFF-05)</t>
  </si>
  <si>
    <t>A256286</t>
  </si>
  <si>
    <t>S/D IN 2ND SLAB (BFF-01)
ABNORMAL BOPS
56MM LCR IN 2ND SLAB
GRADE CHANGE</t>
  </si>
  <si>
    <t>B256230</t>
  </si>
  <si>
    <t>(AL=0.042%)
ABNORMAL HEAT FLUX
S/D IN 3RD SLAB(BFL-4)</t>
  </si>
  <si>
    <t>A256290</t>
  </si>
  <si>
    <t>S/D IN 5TH SLAB(BFL-3)
GRADE CHANGE</t>
  </si>
  <si>
    <t>D255985</t>
  </si>
  <si>
    <t>S/D OCCURED
9MM STOPPER RISED
57 MM LCR DONE IN 3RD SLAB</t>
  </si>
  <si>
    <t>D255983</t>
  </si>
  <si>
    <t>S/D IN 2ND SLAB
12 MM STOPPER RISED 
S/D IN 3RD SLAB</t>
  </si>
  <si>
    <t>B256234</t>
  </si>
  <si>
    <t>S/D IN 1ST SLAB 
MOULD LEVEL FLUCTUATION</t>
  </si>
  <si>
    <t>C256291</t>
  </si>
  <si>
    <t>S/D IN 3RD &amp; 4TH SLAB
MOULD LEVEL FLUCTUATION</t>
  </si>
  <si>
    <t>A256301</t>
  </si>
  <si>
    <t>B256255</t>
  </si>
  <si>
    <t>(C=0.052%)
S/D IN 1ST SLAB
40MM WIDTH DECREASED IN 1ST SLAB
37MM WIDTH DECREASED IN 2ND SLAB</t>
  </si>
  <si>
    <t>A256336</t>
  </si>
  <si>
    <t>1 PIPES</t>
  </si>
  <si>
    <t>A256341</t>
  </si>
  <si>
    <t>PROBLEM IN MILL
BOPS S/D IN 3RD SLAB</t>
  </si>
  <si>
    <t>C256329</t>
  </si>
  <si>
    <t>S/D IN 2ND SLAB
ABNORMAL BOPS
MOULD &amp; SEG 1 NOT READY</t>
  </si>
  <si>
    <t>D256030</t>
  </si>
  <si>
    <t>A256353</t>
  </si>
  <si>
    <t>(C=0.052%)
S/D IN 2ND SLAB
LOW TEMP( 1 BAG CA-SI ADDED)</t>
  </si>
  <si>
    <t>B256283</t>
  </si>
  <si>
    <t>S/D IN 2ND SLAB
ABNORMAL BOPS
HEAT FLUX DROP</t>
  </si>
  <si>
    <t>D256039</t>
  </si>
  <si>
    <t>A256354</t>
  </si>
  <si>
    <t>C256347</t>
  </si>
  <si>
    <t>D256041</t>
  </si>
  <si>
    <t>C256349</t>
  </si>
  <si>
    <t>S/D IN 1ST&amp; 2ND SLAB
4MM STOPPER RISED( 1 BAG CA-SI ADDD)
MOULD LEVEL FLUCTUATING</t>
  </si>
  <si>
    <t>D256044</t>
  </si>
  <si>
    <t>S/D IN 1ST SLAB(BFL-02)
ABNORMAL BOPS
SLAG OFF DONE</t>
  </si>
  <si>
    <t>ST45NNA</t>
  </si>
  <si>
    <t>A256378</t>
  </si>
  <si>
    <t>56 MM LCR DONE IN 2ND SLAB
ABNORMAL BOPS
S/D IN 3RD SLAB</t>
  </si>
  <si>
    <t>B256318</t>
  </si>
  <si>
    <t>S/D IN 1ST SLAB
LOW TEMP</t>
  </si>
  <si>
    <t>A256391</t>
  </si>
  <si>
    <t>CR10ALS(MOD)</t>
  </si>
  <si>
    <t>B256349</t>
  </si>
  <si>
    <t>D256103</t>
  </si>
  <si>
    <t>ABNORMAL BOPS
S/D IN 1ST SLAB(BFL-08)
7MM WIDTH DECREASE IN 3RD SLAB</t>
  </si>
  <si>
    <t>D256105</t>
  </si>
  <si>
    <t>S/D IN 1ST SLAB(BFL-01)
58MM LCR IN 2ND SLAB
S/D IN 3RD SLAB(BFF-01)
ABNORMAL BOPS</t>
  </si>
  <si>
    <t>C256424</t>
  </si>
  <si>
    <t>ABNORMAL BOPS
S/D IN 2ND SLAB(BFF-07)</t>
  </si>
  <si>
    <t>B256355</t>
  </si>
  <si>
    <t>ABNORMAL BOPS
S/D IN 3RD SLAB(BFF-01)</t>
  </si>
  <si>
    <t>B256358</t>
  </si>
  <si>
    <t>TSP-N3 / 221-BG</t>
  </si>
  <si>
    <t>S/D IN 3RD SLAB(BFF-1)
ABNORMAL BOPS</t>
  </si>
  <si>
    <t>D256110</t>
  </si>
  <si>
    <t>S/D IN 4TH SLAB(BFL-8)
ABNORMAL BOPS</t>
  </si>
  <si>
    <t>C256453</t>
  </si>
  <si>
    <t>MANUALLY S/D TAKEN</t>
  </si>
  <si>
    <t>ST45NMA</t>
  </si>
  <si>
    <t>B256386</t>
  </si>
  <si>
    <t>BOPS S/D IN 3RD SLAB
58MM LCR DONE IN 3RD SLAB
LRF REQUEST</t>
  </si>
  <si>
    <t>B256389</t>
  </si>
  <si>
    <t>58MM LCR DONE IN 2ND SLAB
BOPS S/D IN 5TH SLAB</t>
  </si>
  <si>
    <t>B256400</t>
  </si>
  <si>
    <t>HEAT LIFTING DELAY
S/D IN 3RD SLAB
ABNORMAL BOP GRAPH</t>
  </si>
  <si>
    <t>B256403</t>
  </si>
  <si>
    <t>A256470</t>
  </si>
  <si>
    <t>ABNORMAL BOPS
S/D IN 1ST &amp; 5TH SLAB</t>
  </si>
  <si>
    <t>B256406</t>
  </si>
  <si>
    <t>A256471</t>
  </si>
  <si>
    <t>2 S/D IN 1ST SLAB &amp; 1 S/D ON 2ND SLAB
ABNORMAL BOPS 
57MM LCR DONE IN 2ND SLAB</t>
  </si>
  <si>
    <t>A256472</t>
  </si>
  <si>
    <t>S/D IN 1ST SLAB &amp; 2ND  &amp; 4TH SLAB
S/B AS PER PLAN</t>
  </si>
  <si>
    <t>B256423</t>
  </si>
  <si>
    <t>(C=0.052%)
S/D IN 4TH SLAB</t>
  </si>
  <si>
    <t>B256426</t>
  </si>
  <si>
    <t>B256427</t>
  </si>
  <si>
    <t>S/D AFTER HEAT CONNECTION</t>
  </si>
  <si>
    <t>A256488</t>
  </si>
  <si>
    <t>S/D IN 1ST SLAB
21MM DECREASED IN 2ND SLAB</t>
  </si>
  <si>
    <t>D256196</t>
  </si>
  <si>
    <t>221-BG
TSP-N3</t>
  </si>
  <si>
    <t>S/D IN 2ND SLAB 
LEAD HEAT</t>
  </si>
  <si>
    <t>B256445</t>
  </si>
  <si>
    <t>BACKUP ROLL CHANGE IN MILL
S/D IN 4TH SLAB</t>
  </si>
  <si>
    <t>B256447</t>
  </si>
  <si>
    <t>PINCH ROLL CURRENT ABNORMAL 
S/D IN 3RD SLAB</t>
  </si>
  <si>
    <t>D256203</t>
  </si>
  <si>
    <t>C256522</t>
  </si>
  <si>
    <t>S/D IN 1ST SLAB(BFF-6)
ABNORMAL BOPS</t>
  </si>
  <si>
    <t>A255609</t>
  </si>
  <si>
    <t xml:space="preserve">S/D IN 1ST SLAB &amp; 2ND SLAB </t>
  </si>
  <si>
    <t>C256528</t>
  </si>
  <si>
    <t>A256512</t>
  </si>
  <si>
    <t>ABNORMAL BOPS 
S/D IN 3RD SLAB</t>
  </si>
  <si>
    <t>B256453</t>
  </si>
  <si>
    <t>D256223</t>
  </si>
  <si>
    <t>ABNORMAL BOPS
S/D IN 3RD SLAB</t>
  </si>
  <si>
    <t>A256513</t>
  </si>
  <si>
    <t>ABNORMAL BOPS 
S/D IN 5TH SLAB</t>
  </si>
  <si>
    <t>B256454</t>
  </si>
  <si>
    <t>A256521</t>
  </si>
  <si>
    <t>ABNORMAL BOPS
S/D IN 5TH SLAB</t>
  </si>
  <si>
    <t>A256522</t>
  </si>
  <si>
    <t>S/D IN 2ND SLAB
( P=0.021%)
ABNORMAL BOPS</t>
  </si>
  <si>
    <t>B256480</t>
  </si>
  <si>
    <t>B256519</t>
  </si>
  <si>
    <t>S/D IN 1ST &amp; 2ND SLAB &amp; 3RD SLAB</t>
  </si>
  <si>
    <t>D256289</t>
  </si>
  <si>
    <t>C256598</t>
  </si>
  <si>
    <t>S/D IN 3RD &amp; 4TH SLAB</t>
  </si>
  <si>
    <t>D256291</t>
  </si>
  <si>
    <t>D256293</t>
  </si>
  <si>
    <t>(C=0.053%)
S/D IN 2ND SLAB (BFF-12)</t>
  </si>
  <si>
    <t>CF38TNM</t>
  </si>
  <si>
    <t>A256583</t>
  </si>
  <si>
    <t>S/D IN 2ND SLAB
LOW TEMP</t>
  </si>
  <si>
    <t>D256300</t>
  </si>
  <si>
    <t>S/D IN 2ND &amp; 3RD SLAB
15 T METAL RETURNED</t>
  </si>
  <si>
    <t>B256531</t>
  </si>
  <si>
    <t>S/D IN 1ST , 2ND ,5TH , 6TH SLAB
S/B AS PER PLAN</t>
  </si>
  <si>
    <t>A256585</t>
  </si>
  <si>
    <t>C256614</t>
  </si>
  <si>
    <t>S/D IN 5TH &amp; 6TH SLAB</t>
  </si>
  <si>
    <t>D256308</t>
  </si>
  <si>
    <t xml:space="preserve">S/D IN 1ST &amp; 3RD  SLAB
ABNORMAL BOPS
</t>
  </si>
  <si>
    <t>A256596</t>
  </si>
  <si>
    <t>S/D IN 2ND &amp; 4TH SLAB
56 MM LCR DONE IN 4TH SLAB</t>
  </si>
  <si>
    <t>D256319</t>
  </si>
  <si>
    <t>ABNORMAL HEATFLUX
S/D IN 4TH SLAB</t>
  </si>
  <si>
    <t>C256632</t>
  </si>
  <si>
    <t>S/D IN 2ND SLAB
58MM LCR DONE IN 4TH SLAB</t>
  </si>
  <si>
    <t>B256539</t>
  </si>
  <si>
    <t>58MM DONE IN 3RD SLAB
S/D IN 5TH SLAB</t>
  </si>
  <si>
    <t>C256635</t>
  </si>
  <si>
    <t>LFC WARNING OCUURED 
S/D  OCCURED</t>
  </si>
  <si>
    <t>B256547</t>
  </si>
  <si>
    <t>56MM LCR DONE IN 2ND SLAB
S/D IN 2ND SLAB
LFC IN 4TH SLAB</t>
  </si>
  <si>
    <t>B256551</t>
  </si>
  <si>
    <t>S/D IN 4TH SLAB 
ABNORMAL BUBBLING NEAR SEN</t>
  </si>
  <si>
    <t>D256333</t>
  </si>
  <si>
    <t>S/D IN 3RD SLAB ABNORMAL BUBBLING NEAR SEN</t>
  </si>
  <si>
    <t>D256343</t>
  </si>
  <si>
    <t>22MM WIDTH DECREASED IN 2ND SLAB
S/D IN 2ND SLAB</t>
  </si>
  <si>
    <t>D256350</t>
  </si>
  <si>
    <t>D256356</t>
  </si>
  <si>
    <t>C256670</t>
  </si>
  <si>
    <t>STICKER S/D IN 2ND SLAB</t>
  </si>
  <si>
    <t>C256671</t>
  </si>
  <si>
    <t>B256600</t>
  </si>
  <si>
    <t>S/D IN 1ST SLAB 
56MM LCR DONE IN 4THSLAB</t>
  </si>
  <si>
    <t>C256696</t>
  </si>
  <si>
    <t>S/DI N 1ST SLAB &amp; 2ND SLAB
58MM LCR DNE IN 4TH SLAB</t>
  </si>
  <si>
    <t>C256708</t>
  </si>
  <si>
    <t>S/D IN 1ST SLAB 
LOW TEMP</t>
  </si>
  <si>
    <t>C256709</t>
  </si>
  <si>
    <t>D256399</t>
  </si>
  <si>
    <t>TSP=N3</t>
  </si>
  <si>
    <t xml:space="preserve">S/D IN 4TH SLAB( 3 TIMES)
LOW TEMP
10T METAL RETURNED </t>
  </si>
  <si>
    <t>C256713</t>
  </si>
  <si>
    <t>C2256719</t>
  </si>
  <si>
    <t>C256723</t>
  </si>
  <si>
    <t xml:space="preserve">HEAT LIFTING DELAY
S/D IN 1ST SLAB </t>
  </si>
  <si>
    <t>A256699</t>
  </si>
  <si>
    <t>LACK OF HEAT 
S/D IN 2ND SLAB</t>
  </si>
  <si>
    <t>C256738</t>
  </si>
  <si>
    <t>A256705</t>
  </si>
  <si>
    <t>B256652</t>
  </si>
  <si>
    <t>D256442</t>
  </si>
  <si>
    <t>TSP-N3/450-G</t>
  </si>
  <si>
    <t>S/D IN 2ND SLAB(BFF-3)</t>
  </si>
  <si>
    <t>B256676</t>
  </si>
  <si>
    <t>S/D IN OCCURED IN 1ST SLAB</t>
  </si>
  <si>
    <t>B256713</t>
  </si>
  <si>
    <t>S/D IN 3RD SLAB
17T METAL RETURNED DUE TO LOW SUPERHEAT</t>
  </si>
  <si>
    <t>C256830</t>
  </si>
  <si>
    <t>C256846</t>
  </si>
  <si>
    <t>B256756</t>
  </si>
  <si>
    <t>(S=0.010%)
ABNORMAL BOPS&amp; HEAT FLUX DROPED
S/D IN 2ND SLAB</t>
  </si>
  <si>
    <t>C256855</t>
  </si>
  <si>
    <t>C256856</t>
  </si>
  <si>
    <t>S/D IN 1ST SLAB &amp; ABNORMAL BOPS</t>
  </si>
  <si>
    <t>D256552</t>
  </si>
  <si>
    <t>C256906</t>
  </si>
  <si>
    <t>S/D IN 3RD SLAB (BFL-02)
3MM STOPPER RISE</t>
  </si>
  <si>
    <t>B256805</t>
  </si>
  <si>
    <t>S/D IN 2ND SLAB (BFL-01)
LACK OF HEAT</t>
  </si>
  <si>
    <t>B256806</t>
  </si>
  <si>
    <t>S/D IN 3RD SLAB(BFF, C-8)</t>
  </si>
  <si>
    <t>B256810</t>
  </si>
  <si>
    <t>LACK OF HEAT
(S=0.010%)
S/D IN 4TH SLAB (BFF-08)</t>
  </si>
  <si>
    <t>D256627</t>
  </si>
  <si>
    <t>C256944</t>
  </si>
  <si>
    <t>S/D IN 3RD SLAB
HEAT LIFTING DELAY FOR NEXT HEAT</t>
  </si>
  <si>
    <t>C256947</t>
  </si>
  <si>
    <t>C256948</t>
  </si>
  <si>
    <t>D256639</t>
  </si>
  <si>
    <t>LC IN 1ST SLAB
LNC OCCURED 
MANNUALY S/D TAKEN FOR CONNECT THE NEW HEAT
45 T METAL RETURN DUE TO LNC &amp; LOW TEMP</t>
  </si>
  <si>
    <t>D256635</t>
  </si>
  <si>
    <t>EAF POWER FAIURE
S/D IN 3RD SLAB</t>
  </si>
  <si>
    <t>A256912</t>
  </si>
  <si>
    <t>LOW TEMP
S/D IN 3RD SLAB</t>
  </si>
  <si>
    <t>A256914</t>
  </si>
  <si>
    <t>S/D IN 2ND SLAB
ABNORMAL HEAT FLUX 
BACKUP HEAT LIFTING DELAY</t>
  </si>
  <si>
    <t>A256919</t>
  </si>
  <si>
    <t>B256856</t>
  </si>
  <si>
    <t>A256970</t>
  </si>
  <si>
    <t>(S=0.009%)
S/D IN 1ST SLAB</t>
  </si>
  <si>
    <t>A256983</t>
  </si>
  <si>
    <t>B256914</t>
  </si>
  <si>
    <t>450=G</t>
  </si>
  <si>
    <t>S/D IN 1ST SLAB( 2 TIMES)
ABNORMAL BOPS</t>
  </si>
  <si>
    <t>A256984</t>
  </si>
  <si>
    <t>S/D IN 1ST SLAB 
ABNORMAL BOPS</t>
  </si>
  <si>
    <t>B256916</t>
  </si>
  <si>
    <t>D256705</t>
  </si>
  <si>
    <t>C257029</t>
  </si>
  <si>
    <t>B256920</t>
  </si>
  <si>
    <t>S/D IN 1ST SLAB (BFL-08)
75T PLANT RETURN
C/A DUE TP COBBLE IN MILL</t>
  </si>
  <si>
    <t>D256715</t>
  </si>
  <si>
    <t>S/D IN 2ND SLAB
S/D IN 3RD SLAB</t>
  </si>
  <si>
    <t>D256717</t>
  </si>
  <si>
    <t>C257038</t>
  </si>
  <si>
    <t>2 PIPES.</t>
  </si>
  <si>
    <t>HOLDING HEAT ( 3 BAG CA-SI ADDED)
20MM STOPPER RISED 
2 MANUALLY S/D TAKEN DUE TO STOPPER RISED 
15 T METAL RETURNED 
MOULD LEVEL FLUCTUATION</t>
  </si>
  <si>
    <t>C257035</t>
  </si>
  <si>
    <t>2 MANUALLY S/D TAKEN DUE TO STOPPER RISED
MOULD LEVEL FLUCTUATION ( 3 BAG CA-SI ADDED)</t>
  </si>
  <si>
    <t>C257051</t>
  </si>
  <si>
    <t>B256951</t>
  </si>
  <si>
    <t>D256752</t>
  </si>
  <si>
    <t>S/D IN 1ST SLAB
30 MM DECREASED IN 3RD SLAB
25  MM DECREASED IN 4TH SLAB</t>
  </si>
  <si>
    <t>B256952</t>
  </si>
  <si>
    <t>B256993</t>
  </si>
  <si>
    <t>S/D IN 1ST SLAB (BFL-01)</t>
  </si>
  <si>
    <t>D256804</t>
  </si>
  <si>
    <t>C257133</t>
  </si>
  <si>
    <t>(C=0.052%)
S/D IN 3RD AND 5TH SLAB</t>
  </si>
  <si>
    <t>C257138</t>
  </si>
  <si>
    <t>ST36AL</t>
  </si>
  <si>
    <t>C257140</t>
  </si>
  <si>
    <t>56 MM LCR DONE IN 1ST SLAB
S/D IN 2ND SLAB</t>
  </si>
  <si>
    <t>D256821</t>
  </si>
  <si>
    <t>HIGH TEMP
S/D IN2ND SLAB</t>
  </si>
  <si>
    <t>C257154</t>
  </si>
  <si>
    <t>C257173</t>
  </si>
  <si>
    <t>HEAT LIFTING DELAY(TROLLEY TRIP)
S/D IN 4TH SLAB</t>
  </si>
  <si>
    <t>D256847</t>
  </si>
  <si>
    <t>LOW TEMP(POOR BUBBLING)
S/D IN 1ST SLAB</t>
  </si>
  <si>
    <t>C257175</t>
  </si>
  <si>
    <t>S/D IN 1ST SLAB(BFF-03)
ABNORMAL BOPS</t>
  </si>
  <si>
    <t>C257197</t>
  </si>
  <si>
    <t>S/D IN 2ND SLAB
ABNORMAL MOULD LEVEL
PURGING FAILURE IN LRF-2
10MM STOPPER RISE</t>
  </si>
  <si>
    <t>D256870</t>
  </si>
  <si>
    <t>S/D IN 4TH SLAB
ABNORMAL BOPS
GRADE CHANGE</t>
  </si>
  <si>
    <t>C257199</t>
  </si>
  <si>
    <t>S/D IN 3RD SLAB(BFL-02)</t>
  </si>
  <si>
    <t>B257076</t>
  </si>
  <si>
    <t>LANCING
S/D IN 3RD SLAB
ABNORMAL BOPS</t>
  </si>
  <si>
    <t>C257203</t>
  </si>
  <si>
    <t>S/D IN 2ND SLAB(BFL-3)
5MM WIDTH INCREASE IN 6TH SLAB</t>
  </si>
  <si>
    <t>C257201</t>
  </si>
  <si>
    <t>ABNORMAL BOPS
GRADE CHANGE
S/D IN 4TH SLAB(BFF-02)</t>
  </si>
  <si>
    <t>D256885</t>
  </si>
  <si>
    <t>S/D IN 4TH SLAB
56MM LCR IN 4TH SLAB</t>
  </si>
  <si>
    <t>C257216</t>
  </si>
  <si>
    <t>S/D IN 1ST SLAB
GRADE CHANGE</t>
  </si>
  <si>
    <t>CG06ALM</t>
  </si>
  <si>
    <t>C257232</t>
  </si>
  <si>
    <t>4MM WIDTH CHANGE
POOR BUBBLING
S/D IN 5TH SLAB</t>
  </si>
  <si>
    <t>D256904</t>
  </si>
  <si>
    <t>A257173</t>
  </si>
  <si>
    <t>B257108</t>
  </si>
  <si>
    <t>A257175</t>
  </si>
  <si>
    <t>(C=0.052% &amp; P=0.022%)
HIGH TEMP
ABNORMAL BOPS
S/D IN 5TH SLAB</t>
  </si>
  <si>
    <t>A257174</t>
  </si>
  <si>
    <t>A257177</t>
  </si>
  <si>
    <t>HIGH TEMP
HOT METAL SHORTAGE
S/D IN 3RD SLAB</t>
  </si>
  <si>
    <t>C257238</t>
  </si>
  <si>
    <t>S/D IN 2ND SLAB
HOT METAL SHORTAGE</t>
  </si>
  <si>
    <t>B257114</t>
  </si>
  <si>
    <t>B257116</t>
  </si>
  <si>
    <t>S/D IN 1ST,2ND &amp; TH SLAB</t>
  </si>
  <si>
    <t>B257117</t>
  </si>
  <si>
    <t xml:space="preserve">S/D IN 1ST SLAB </t>
  </si>
  <si>
    <t>D256917</t>
  </si>
  <si>
    <t>C257244</t>
  </si>
  <si>
    <t>D256918</t>
  </si>
  <si>
    <t>D256925</t>
  </si>
  <si>
    <t>S/D IN 1ST SLAB
COBBLE IN MILL</t>
  </si>
  <si>
    <t>D256919</t>
  </si>
  <si>
    <t>C257251</t>
  </si>
  <si>
    <t>(S=0.012%)
COBBLE IN MILL 
16M CHOPPING DONE
BOPS S/D IN 2ND SLAB
C/A DUE TO COBBLE IN MILL</t>
  </si>
  <si>
    <t>C257256</t>
  </si>
  <si>
    <t>B257134</t>
  </si>
  <si>
    <t>(P=0.025%)
S/D IN 2ND SLAB</t>
  </si>
  <si>
    <t>A257195</t>
  </si>
  <si>
    <t>S/D IN 2ND AND 3RD SLAB</t>
  </si>
  <si>
    <t>D256936</t>
  </si>
  <si>
    <t>C257265</t>
  </si>
  <si>
    <t>(P=0.022%)
S/D IN 2ND SLAB</t>
  </si>
  <si>
    <t>S/D IN 4TH SLAB
MOULD LEVEL FLUCTUATION</t>
  </si>
  <si>
    <t>A257202</t>
  </si>
  <si>
    <t>A256969</t>
  </si>
  <si>
    <t>COBBLE IN MILL
S/D IN 3RD SLAB</t>
  </si>
  <si>
    <t>A257238</t>
  </si>
  <si>
    <t>D256981</t>
  </si>
  <si>
    <t>A257252</t>
  </si>
  <si>
    <t>B257195</t>
  </si>
  <si>
    <t>GRADE CHANGE
S/D IN 1ST SLAB</t>
  </si>
  <si>
    <t>ST41NTM (MOD)</t>
  </si>
  <si>
    <t>A257257</t>
  </si>
  <si>
    <t>S/D IN 3RD SLAB
LC IN 1ST SLAB
ABNORMAL BOPS</t>
  </si>
  <si>
    <t>D257010</t>
  </si>
  <si>
    <t>S/D IN 1ST SLAB
HOT METAL SHORTAGE</t>
  </si>
  <si>
    <t>CP41NTM(MOD)</t>
  </si>
  <si>
    <t>A257318</t>
  </si>
  <si>
    <t>C257398</t>
  </si>
  <si>
    <t>ABNORMAL MOULD LEVEL 
S/D IN 3RD SLAB( 1 BAG CA-SI ADDED)
ABNORMAL BUBBLING</t>
  </si>
  <si>
    <t>A257336</t>
  </si>
  <si>
    <t>S/D IN 4TH SLAB
ABNORMAL BUBBLING NEAR SEN</t>
  </si>
  <si>
    <t>A257343</t>
  </si>
  <si>
    <t>D257110</t>
  </si>
  <si>
    <t>C257440</t>
  </si>
  <si>
    <t>B257317</t>
  </si>
  <si>
    <t>LC WARNING 3RD SLAB
S/D IN 3RD SLAB</t>
  </si>
  <si>
    <t>D260001</t>
  </si>
  <si>
    <t>S/D IN 4TH SLAB
COBBLE IN MILL</t>
  </si>
  <si>
    <t>C260046</t>
  </si>
  <si>
    <t>(P=0.021%)
S/D IN 5TH SLAB</t>
  </si>
  <si>
    <t>C260050</t>
  </si>
  <si>
    <t>56MM LCR DONE IN 3RD SLAB
S/D IN 5TH SLAB</t>
  </si>
  <si>
    <t>B260068</t>
  </si>
  <si>
    <t>S/D IN 2ND SLAB
POOR BUBLING
LOW SUPERHEAT( 1 BAG CA-SI ADDED)</t>
  </si>
  <si>
    <t>A260061</t>
  </si>
  <si>
    <t>S/D IN 1ST &amp; 2ND SLAB
5MM WIDTH DECREASED IN 5TH SLAB</t>
  </si>
  <si>
    <t>C260082</t>
  </si>
  <si>
    <t>C260089</t>
  </si>
  <si>
    <t>MOULD LEVEL FLUCTUATION
S/D IN 5TH SLAB
LOW TEMP( 1 BAG CA-SI ADDED)
25 T METAL RETURNED</t>
  </si>
  <si>
    <t>C260103</t>
  </si>
  <si>
    <t>A260084</t>
  </si>
  <si>
    <t>MANNUALLY S/D TAKEN IN 3RD SLAB</t>
  </si>
  <si>
    <t>C260104</t>
  </si>
  <si>
    <t>MANNUALLY S/D TAKEN IN 2ND  SLAB</t>
  </si>
  <si>
    <t>C260124</t>
  </si>
  <si>
    <t>D260140</t>
  </si>
  <si>
    <t>S/D IN 3RD SLAB
58 MM LCR DONE ON 3RD SLAB</t>
  </si>
  <si>
    <t>D260142</t>
  </si>
  <si>
    <t>C260138</t>
  </si>
  <si>
    <t xml:space="preserve">S/D IN 3RD SLAB </t>
  </si>
  <si>
    <t>C260139</t>
  </si>
  <si>
    <t>B260139</t>
  </si>
  <si>
    <t>A260122</t>
  </si>
  <si>
    <t>A250144</t>
  </si>
  <si>
    <t>C260190</t>
  </si>
  <si>
    <t>A260172</t>
  </si>
  <si>
    <t>S/D IN 2ND SLAB
40MM WIDTH DECREASED IN 4TH SLAB
38 MM WIDTH DECREASED IN 5TH SLAB</t>
  </si>
  <si>
    <t>C260227</t>
  </si>
  <si>
    <t>SINGLE COILER 
ABNORMAL BOPS
S/D IN 3RD SLAB</t>
  </si>
  <si>
    <t>D260221</t>
  </si>
  <si>
    <t>LRF CRANE TRIP
MANUALLY S/D TAKEN TO CONNECT THE HEAT</t>
  </si>
  <si>
    <t>C260225</t>
  </si>
  <si>
    <t>S/D IN 2ND SLAB
5MM WIDTH INCREASED IN 5TH SLAB</t>
  </si>
  <si>
    <t>ST49DTM</t>
  </si>
  <si>
    <t>C260229</t>
  </si>
  <si>
    <t xml:space="preserve">S/D IN 3RD SLAB
SINGLE COILER  </t>
  </si>
  <si>
    <t>C260230</t>
  </si>
  <si>
    <t>S/D OCCURED IN 1ST SLAB
SINGLE COILER</t>
  </si>
  <si>
    <t>C260232</t>
  </si>
  <si>
    <t>D260231</t>
  </si>
  <si>
    <t>450-G
TSP-N3</t>
  </si>
  <si>
    <t>S/D IN 1ST SLAB
ROLL CHANGE PROBLEM IN MILL</t>
  </si>
  <si>
    <t>D260232</t>
  </si>
  <si>
    <t>ABNORMAL BUBBLING NEAR SEN
S/D IN 2ND SLAB</t>
  </si>
  <si>
    <t>C260233</t>
  </si>
  <si>
    <t>S/D IN 3RD SLAB
ROLL CHANGE PROBLEM IN MILL</t>
  </si>
  <si>
    <t>D260235</t>
  </si>
  <si>
    <t>A260222</t>
  </si>
  <si>
    <t>(P=0.025%)
S/D IN 4TH SLAB</t>
  </si>
  <si>
    <t>B260250</t>
  </si>
  <si>
    <t>ST36ALE</t>
  </si>
  <si>
    <t>B260252</t>
  </si>
  <si>
    <t>HIGH SUPERHEAT
S/D IN 5TH SLAB</t>
  </si>
  <si>
    <t>B260256</t>
  </si>
  <si>
    <t>D260249</t>
  </si>
  <si>
    <t>LOW SUPERHEAT
LOW TEMP( 1 BAG CA-SI ADDED)
S/D IN 2ND SLAB, MLF</t>
  </si>
  <si>
    <t>C260252</t>
  </si>
  <si>
    <t>S/D IN 1ST &amp; 5TH SLAB</t>
  </si>
  <si>
    <t>D260252</t>
  </si>
  <si>
    <t>D260254</t>
  </si>
  <si>
    <t>C260256</t>
  </si>
  <si>
    <t xml:space="preserve">ABNORMAL BOPS
 MANNUALLY S/D IN 2ND SLAB </t>
  </si>
  <si>
    <t>A260231</t>
  </si>
  <si>
    <t>D260284</t>
  </si>
  <si>
    <t>(P=0.021%)
LC WARNING IN 2ND SLAB
MANUAL S/D S/D IN 2ND SLAB</t>
  </si>
  <si>
    <t>C260288</t>
  </si>
  <si>
    <t>MANUALLY S/D IN 3RD SLAB
MOULD LEVEL INCREASED
ABNORMAL BOPS &amp; HEATFLUX</t>
  </si>
  <si>
    <t>D260285</t>
  </si>
  <si>
    <t>ABNORMAL BOPS
S/D IN 4TH SLAB
LC IN 2ND SLAB</t>
  </si>
  <si>
    <t>C260289</t>
  </si>
  <si>
    <t>S/D IN 3RD SLAB
ABNORMAL BOPS
SHORT S/B DUE TO ABNORMAL HEATFLUX &amp; BUBBLING</t>
  </si>
  <si>
    <t>A260260</t>
  </si>
  <si>
    <t>(P=0.021%)
S/D IN 2ND SLAB
ABNORMAL BOPS</t>
  </si>
  <si>
    <t>D260295</t>
  </si>
  <si>
    <t xml:space="preserve">221-BG </t>
  </si>
  <si>
    <t>COBBLE IN MILL( 29 MTR SLAB CHOPPED )
S/D IN 3RD SLAB, ABNORMAL BOPS</t>
  </si>
  <si>
    <t>C260304</t>
  </si>
  <si>
    <t>C260305</t>
  </si>
  <si>
    <t>D260302</t>
  </si>
  <si>
    <t>S/D IN 4TH &amp; 5TH SLAB</t>
  </si>
  <si>
    <t>A260275</t>
  </si>
  <si>
    <t>A260278</t>
  </si>
  <si>
    <t>S/D IN 1ST SLAB
3MM STOPPER RISED( 1 BAG CA-SI ADDED)</t>
  </si>
  <si>
    <t>B260310</t>
  </si>
  <si>
    <t>C250320</t>
  </si>
  <si>
    <t>(S=0.0101%)
S/D IN 4TH SLAB(BFF-03)</t>
  </si>
  <si>
    <t>A250298</t>
  </si>
  <si>
    <t>S/D IN 1ST SLAB
3MM STOPPER RISE</t>
  </si>
  <si>
    <t>B260337</t>
  </si>
  <si>
    <t>D260332</t>
  </si>
  <si>
    <t>S/D IN 1ST SLAB
ABNORMAL BOPS
S/D IN 3RD SLAB</t>
  </si>
  <si>
    <t>D260337</t>
  </si>
  <si>
    <t>S/D IN 1ST &amp; 2ND  SLAB 
MLF , 
LOW TEMP ( 1 BAG CA-SI ADDED)
C/A DUE TO LOW TEMP</t>
  </si>
  <si>
    <t>D260342</t>
  </si>
  <si>
    <t>A260321</t>
  </si>
  <si>
    <t>BOPS S/D IN 4TH SLAB
LOW TEMP( 1 BAG CA-SI ADDED)
MOULD LEVEL FLUCTUATION</t>
  </si>
  <si>
    <t>C260355</t>
  </si>
  <si>
    <t>C260356</t>
  </si>
  <si>
    <t>S/D IN 2ND &amp; 3RD SLAB
ABNORMAL BOPS</t>
  </si>
  <si>
    <t>D260344</t>
  </si>
  <si>
    <t>B260351</t>
  </si>
  <si>
    <t>S/D IN 1ST SLAB
12 MM WIDTH IN 4TH SLAB
ABNORMAL BOPS</t>
  </si>
  <si>
    <t>B260353</t>
  </si>
  <si>
    <t>A260326</t>
  </si>
  <si>
    <t>(P=0.023%)
S/D IN 4TH SLAB</t>
  </si>
  <si>
    <t>B260356</t>
  </si>
  <si>
    <t>B260363</t>
  </si>
  <si>
    <t>13MM WIDTH DECREASED IN 2ND SLAB
S/D IN 3RD SLAB
LOW TEMP</t>
  </si>
  <si>
    <t>B260407</t>
  </si>
  <si>
    <t>D260400</t>
  </si>
  <si>
    <t>D260421</t>
  </si>
  <si>
    <t>C260444</t>
  </si>
  <si>
    <t>ABNORMAL BUBBLING
MANNUALLY S/D TAKEN</t>
  </si>
  <si>
    <t>B260471</t>
  </si>
  <si>
    <t>D260484</t>
  </si>
  <si>
    <t>B260486</t>
  </si>
  <si>
    <t>A260454</t>
  </si>
  <si>
    <t>C260508</t>
  </si>
  <si>
    <t>56MM LCR DONE IN 2ND SLAB
S/D IN 1ST SLAB</t>
  </si>
  <si>
    <t>A260475</t>
  </si>
  <si>
    <t>S/D IN 3RD SLAB
ABNORMAL BOPS
LOW TEMP</t>
  </si>
  <si>
    <t>A260476</t>
  </si>
  <si>
    <t>S/D IN TH SLAB</t>
  </si>
  <si>
    <t>B260512</t>
  </si>
  <si>
    <t>S/D IN 2ND &amp; 5TH SLAB</t>
  </si>
  <si>
    <t>D260520</t>
  </si>
  <si>
    <t xml:space="preserve">S/D IN 1ST SLAB
HEAT LIFTING DELAY
2 TIMES MANUAL S/D TAKEN </t>
  </si>
  <si>
    <t>C260519</t>
  </si>
  <si>
    <t>B260516</t>
  </si>
  <si>
    <t>S/D IN 1ST SLAB
ROLL CHANGE PROBLEM IN MILL( 11 MTR SLAB CHOPPED)</t>
  </si>
  <si>
    <t>A260482</t>
  </si>
  <si>
    <t>C260522</t>
  </si>
  <si>
    <t>D260525</t>
  </si>
  <si>
    <t>C260523</t>
  </si>
  <si>
    <t>C260524</t>
  </si>
  <si>
    <t>S/D IN 1ST &amp; 4TH SLAB</t>
  </si>
  <si>
    <t>A260485</t>
  </si>
  <si>
    <t>C260531</t>
  </si>
  <si>
    <t>C260548</t>
  </si>
  <si>
    <t>S/D IN 2ND SLAB
LC WARNING IN 4TH SLAB</t>
  </si>
  <si>
    <t>L+54</t>
  </si>
  <si>
    <t>A260532</t>
  </si>
  <si>
    <t>C260572</t>
  </si>
  <si>
    <t>B260569</t>
  </si>
  <si>
    <t>A260558</t>
  </si>
  <si>
    <t>D2606007</t>
  </si>
  <si>
    <t xml:space="preserve">30 MM WIDTH INCREASED IN 4TH SLAB
S/D IN 1ST SLAB </t>
  </si>
  <si>
    <t>CR10ANS</t>
  </si>
  <si>
    <t>A260567</t>
  </si>
  <si>
    <t>(P=0.022%)
S/D IN 2ND SLAB
ABNORMAL BOPS</t>
  </si>
  <si>
    <t>B260613</t>
  </si>
  <si>
    <t>C260622</t>
  </si>
  <si>
    <t>D260627</t>
  </si>
  <si>
    <t>C260623</t>
  </si>
  <si>
    <t>S/D IN 1ST ,2ND &amp; 3RD SLAB</t>
  </si>
  <si>
    <t>D260629</t>
  </si>
  <si>
    <t>C260629</t>
  </si>
  <si>
    <t>S/D IN 1ST SLAB &amp; 4th slab</t>
  </si>
  <si>
    <t>D260634</t>
  </si>
  <si>
    <t>A260598</t>
  </si>
  <si>
    <t>LACK OF HEAT(PURGING FAILURE)
LOW TEMP
S/D IN 4TH &amp; 5TH SLAB</t>
  </si>
  <si>
    <t>D260637</t>
  </si>
  <si>
    <t>FURNACE 2 MAINTANCE 
S/D IN 5TH SLAB</t>
  </si>
  <si>
    <t>C260662</t>
  </si>
  <si>
    <t>20T METAL RETURNED DUE TO LOW TEMP
S/D IN 3RD SLAB</t>
  </si>
  <si>
    <t>D260664</t>
  </si>
  <si>
    <t>C260667</t>
  </si>
  <si>
    <t>ROLL CHANGE I PROBLEM IN MILL
S/D IN 3RD SLAB
ABNORMAL BOPS</t>
  </si>
  <si>
    <t>D260666</t>
  </si>
  <si>
    <t>2 S/D IN 3RD SLAB
ABNORMAL BOPS</t>
  </si>
  <si>
    <t>C260668</t>
  </si>
  <si>
    <t>D260667</t>
  </si>
  <si>
    <t>D260669</t>
  </si>
  <si>
    <t>D260671</t>
  </si>
  <si>
    <t>S/D IN 4TH DLB
ABNORMAL BOPS</t>
  </si>
  <si>
    <t>D260672</t>
  </si>
  <si>
    <t>A260629</t>
  </si>
  <si>
    <t>D260674</t>
  </si>
  <si>
    <t>S/D IN 4TH SLAB
ABNORMAL BOPS</t>
  </si>
  <si>
    <t>D260675</t>
  </si>
  <si>
    <t>C260677</t>
  </si>
  <si>
    <t>10MM STOPPER RISED ( 2 BAG CA-SI ADDED)
S/D IN 3RD SLAB</t>
  </si>
  <si>
    <t>A260632</t>
  </si>
  <si>
    <t>C260679</t>
  </si>
  <si>
    <t>A260636</t>
  </si>
  <si>
    <t>25MM WIDTH INCREASED IN 4TH SLAB
S/D IN 2ND SLAB</t>
  </si>
  <si>
    <t>C260685</t>
  </si>
  <si>
    <t>A260645</t>
  </si>
  <si>
    <t>A260644</t>
  </si>
  <si>
    <t>B260685</t>
  </si>
  <si>
    <t>S/D IN 1ST SLAB
10 MTR SLAB rejected DUE TO BLEEDING OCCURED IN 4TH SLAB
MANUAL S/D IN 4TH SLAB
TAPPER INCREASED IN 5TH SLAB</t>
  </si>
  <si>
    <t>A260646</t>
  </si>
  <si>
    <t>S/D IN 1ST SLABSPEED KEPT 5.0 MPM DUE TO LOW HEAT FLUX</t>
  </si>
  <si>
    <t>C260705</t>
  </si>
  <si>
    <t>LRF CRANE BREAKDOWN
S/D IN 3RD SLAB</t>
  </si>
  <si>
    <t>C260718</t>
  </si>
  <si>
    <t>S/D IN 1ST SLAB
(AL=0.045%)</t>
  </si>
  <si>
    <t>D260733</t>
  </si>
  <si>
    <t>ABNORMAL BOPS
S/D IN 2ND SLAB
58MM LCR DONE IN 4TH SLAB</t>
  </si>
  <si>
    <t>A260683</t>
  </si>
  <si>
    <t>(P=0.026%)
S/D IN 3RD SLAB</t>
  </si>
  <si>
    <t>C260746</t>
  </si>
  <si>
    <t>ABNORMAL BOSP
S/D AS PER PLAN</t>
  </si>
  <si>
    <t>C260755</t>
  </si>
  <si>
    <t>A260725</t>
  </si>
  <si>
    <t>B260774</t>
  </si>
  <si>
    <t>S/D IN 6TH SLAB</t>
  </si>
  <si>
    <t>A260731</t>
  </si>
  <si>
    <t>C260808</t>
  </si>
  <si>
    <t>D260822</t>
  </si>
  <si>
    <t xml:space="preserve">S/D IN 1ST SLAB
LOW PURGING </t>
  </si>
  <si>
    <t>B260840</t>
  </si>
  <si>
    <t>HIGH TEMP
MANNUALLY S/D TAKEN IN 3RD SLAB DUE TO ABNORMAL BOPS</t>
  </si>
  <si>
    <t>B260854</t>
  </si>
  <si>
    <t>S/D IN 2ND SLAB
(S=0.009%)</t>
  </si>
  <si>
    <t>B260861</t>
  </si>
  <si>
    <t>(C=0.053%)
S/D IN 4TH &amp; 5TH SLAB</t>
  </si>
  <si>
    <t>C26092</t>
  </si>
  <si>
    <t>S/D IN 2ND SLAB
57MM LCR DONE IN 3RD SLAB</t>
  </si>
  <si>
    <t>D260893</t>
  </si>
  <si>
    <t>(S=0.009%)
S/D IN 1ST SLAB
58MM LCR DONE IN 2ND SLAB
HEAT LIFTING DELAY</t>
  </si>
  <si>
    <t>A260832</t>
  </si>
  <si>
    <t>A260833</t>
  </si>
  <si>
    <t>C260896</t>
  </si>
  <si>
    <t>S/D IN 4TH SLAB
HEAT LIFTING DELAY</t>
  </si>
  <si>
    <t>B260872</t>
  </si>
  <si>
    <t>A260903</t>
  </si>
  <si>
    <t>S/D IN 3RD , 4TH &amp; 5TH SLAB</t>
  </si>
  <si>
    <t>D260904</t>
  </si>
  <si>
    <t>S/D IN 2ND SLAB
VERY LOW TRMP
20 T METAL RETURN</t>
  </si>
  <si>
    <t>C260903</t>
  </si>
  <si>
    <t>B260883</t>
  </si>
  <si>
    <t>D260912</t>
  </si>
  <si>
    <t>D260914</t>
  </si>
  <si>
    <t>C260920</t>
  </si>
  <si>
    <t>B260895</t>
  </si>
  <si>
    <t>B260902</t>
  </si>
  <si>
    <t>26MM WIDTH INCREASED IN 1ST SLAB
S/D IN 2ND SLAB</t>
  </si>
  <si>
    <t>A260868</t>
  </si>
  <si>
    <t>B260906</t>
  </si>
  <si>
    <t>B260913</t>
  </si>
  <si>
    <t>A260878</t>
  </si>
  <si>
    <t>ABNORMAL BOPS 
S/D IN 1ST SLAB</t>
  </si>
  <si>
    <t>A260880</t>
  </si>
  <si>
    <t>4MM STOPPER RISED( 2 TIMES)
S/D IN 3RD SLAB</t>
  </si>
  <si>
    <t>C260945</t>
  </si>
  <si>
    <t>S/D IN 2ND &amp; 4TH SLAB
ABNORMAL BOPS</t>
  </si>
  <si>
    <t>D260942</t>
  </si>
  <si>
    <t>S/D IN 1ST SLAB
SHORT S/D DUE TO ABNORMAL BOPS</t>
  </si>
  <si>
    <t>C260942</t>
  </si>
  <si>
    <t>C260943</t>
  </si>
  <si>
    <t>B260919</t>
  </si>
  <si>
    <t>S/D IN 2ND SLAB
4MM STOPPER RISED</t>
  </si>
  <si>
    <t>D260948</t>
  </si>
  <si>
    <t>B260933</t>
  </si>
  <si>
    <t>COLD LADLE ( 4 HRS)
HIGH TEMP
ABNORMAL BOPS, S/D IN 5TH SLAB</t>
  </si>
  <si>
    <t>B260934</t>
  </si>
  <si>
    <t>A260837</t>
  </si>
  <si>
    <t>A260898</t>
  </si>
  <si>
    <t>B260940</t>
  </si>
  <si>
    <t>L+56</t>
  </si>
  <si>
    <t>B260953</t>
  </si>
  <si>
    <t>C260980</t>
  </si>
  <si>
    <t>D260973</t>
  </si>
  <si>
    <t>(S=0.009%)
LOW TEMP.( 1BAG CA-SI ADDED)
S/D IN 3RD( 2 TIMES),4TH, 5TH ( 2 TIMES)</t>
  </si>
  <si>
    <t>C260981</t>
  </si>
  <si>
    <t>S/D IN 1ST SLAB
LOW TEMP.( 1 BAG CA-SI  ADDED)
38 T METAL RETURNED DUE TO LOW TEMP.</t>
  </si>
  <si>
    <t>B260958</t>
  </si>
  <si>
    <t>(P=0.022%)
S/D IN 2ND  SLAB</t>
  </si>
  <si>
    <t>A260938</t>
  </si>
  <si>
    <t>2 MANNUAL S/D TAKEN IN 1ST SLAB
LOW TEMP( 1 BAG CA-SI ADDED)
10 T METAL RETURNED DUE TO LOW TEMP</t>
  </si>
  <si>
    <t>D260999</t>
  </si>
  <si>
    <t>(S=0.009%)
S/D IN 5TH SLAB
S/B AS PER PLAN</t>
  </si>
  <si>
    <t>D261054</t>
  </si>
  <si>
    <t>B261035</t>
  </si>
  <si>
    <t>S/D IN 1ST SLAB
ROLL CHANGE PROBLEM</t>
  </si>
  <si>
    <t>D261058</t>
  </si>
  <si>
    <t>A260992</t>
  </si>
  <si>
    <t>S/D IN 2ND SLAB
FURNACE 3 BREAKDOWN</t>
  </si>
  <si>
    <t>C261055</t>
  </si>
  <si>
    <t>C261065</t>
  </si>
  <si>
    <t>D261077</t>
  </si>
  <si>
    <t>D261078</t>
  </si>
  <si>
    <t>C261069</t>
  </si>
  <si>
    <t>D261080</t>
  </si>
  <si>
    <t>C261100</t>
  </si>
  <si>
    <t>10..2</t>
  </si>
  <si>
    <t>D261114</t>
  </si>
  <si>
    <t>D261132</t>
  </si>
  <si>
    <t>(P=0.023%)
S/D IN 6TH SLAB</t>
  </si>
  <si>
    <t>D261129</t>
  </si>
  <si>
    <t>C261123</t>
  </si>
  <si>
    <t>D261131</t>
  </si>
  <si>
    <t>A261057</t>
  </si>
  <si>
    <t>HEAT LIFTING DELAY
S/D IN 1ST SLAB
ABNORMAL BOPS</t>
  </si>
  <si>
    <t>B261099</t>
  </si>
  <si>
    <t>(P=0.022%)
S/D IN 2ND SLAB &amp; 4TH SLAB</t>
  </si>
  <si>
    <t>D261133</t>
  </si>
  <si>
    <t>B261100</t>
  </si>
  <si>
    <t>C261129</t>
  </si>
  <si>
    <t>A261062</t>
  </si>
  <si>
    <t>D261138</t>
  </si>
  <si>
    <t>W/S - 2,3 4 OPERATING 
S/D IN 5TH SLAB</t>
  </si>
  <si>
    <t>B261108</t>
  </si>
  <si>
    <t>ABNORMAL BOPS
S/D AS PER PLAN</t>
  </si>
  <si>
    <t>D261162</t>
  </si>
  <si>
    <t>A261096</t>
  </si>
  <si>
    <t>C261173</t>
  </si>
  <si>
    <t>58MM LCR OPEN IN 1ST SLAB
S/D IN 3RD SLAB</t>
  </si>
  <si>
    <t>A261102</t>
  </si>
  <si>
    <t>S/D IN 2ND SLAB
HEAT LIFTING DELAY</t>
  </si>
  <si>
    <t>B261137</t>
  </si>
  <si>
    <t>B261139</t>
  </si>
  <si>
    <t>D261178</t>
  </si>
  <si>
    <t>A261109</t>
  </si>
  <si>
    <t>S/D IN 3RD,4TH,5TH &amp; 6TH SLAB</t>
  </si>
  <si>
    <t>C261181</t>
  </si>
  <si>
    <t>A261113</t>
  </si>
  <si>
    <t>LC WARNING IN 3RD SLAB
S/D IN 5TH SLAB</t>
  </si>
  <si>
    <t>D261185</t>
  </si>
  <si>
    <t>S/D IN 2ND( WISE &amp; 3RD SLAB</t>
  </si>
  <si>
    <t>A261116</t>
  </si>
  <si>
    <t>C261186</t>
  </si>
  <si>
    <t>(C=0.054%)
S/D IN 2ND SLAB</t>
  </si>
  <si>
    <t>D261190</t>
  </si>
  <si>
    <t>B261160</t>
  </si>
  <si>
    <t>C261192</t>
  </si>
  <si>
    <t>A261138</t>
  </si>
  <si>
    <t>S/D IN 2ND SLAB
( C=0.055%)</t>
  </si>
  <si>
    <t>D261239</t>
  </si>
  <si>
    <t>S/D IN 1ST SLAB
C/A DUE TO AUTO TAIL OUT ( MOULD LEVEL DROP)</t>
  </si>
  <si>
    <t>D261243</t>
  </si>
  <si>
    <t>(C=0.051%)
S/D IN 2ND SLAB
ABNORMAL BOPS</t>
  </si>
  <si>
    <t>C261239</t>
  </si>
  <si>
    <t>D261245</t>
  </si>
  <si>
    <t>D261246</t>
  </si>
  <si>
    <t>D261241</t>
  </si>
  <si>
    <t>(C=0.052%)
S/D IN 3RD SLAB
HIGH TEMP
ABNORMAL HEAT FLUX</t>
  </si>
  <si>
    <t>C261243</t>
  </si>
  <si>
    <t>C261244</t>
  </si>
  <si>
    <t>D261249</t>
  </si>
  <si>
    <t>C261257</t>
  </si>
  <si>
    <t>(P=0.023%)
S/D IN 3RD SLAB</t>
  </si>
  <si>
    <t>B261257</t>
  </si>
  <si>
    <t>LEAD HEAT
S/D IN 1ST SLAB</t>
  </si>
  <si>
    <t>D261317</t>
  </si>
  <si>
    <t>(C=0.053%)
ABNORMAL BOPS
S/D IN 2ND SLAB
HEAT LIFTING DELAY FOR NEXT HEAT</t>
  </si>
  <si>
    <t>A261256</t>
  </si>
  <si>
    <t>B261315</t>
  </si>
  <si>
    <t>D261353</t>
  </si>
  <si>
    <t>C261350</t>
  </si>
  <si>
    <t>B261318</t>
  </si>
  <si>
    <t>(S=0.009%)
S/DIN 4TH SLAB</t>
  </si>
  <si>
    <t>D261355</t>
  </si>
  <si>
    <t>HIGH TEMP
ABNORMAL BOPS
S/D IN 5TH SLAB</t>
  </si>
  <si>
    <t>D261358</t>
  </si>
  <si>
    <t>C261357</t>
  </si>
  <si>
    <t>D261367</t>
  </si>
  <si>
    <t>A261298</t>
  </si>
  <si>
    <t>A261297</t>
  </si>
  <si>
    <t>LFC IN 2ND SLAB
S/D IN 2ND SLAB</t>
  </si>
  <si>
    <t>D261372</t>
  </si>
  <si>
    <t>A261307</t>
  </si>
  <si>
    <t>D261380</t>
  </si>
  <si>
    <t>B261346</t>
  </si>
  <si>
    <t>LC WARNING IN 3RD SLAB
S/D IN 3RD SLAB
ABNORMAL BOPS
58MM LCR OPEN IN 4TH SLAB</t>
  </si>
  <si>
    <t>C261381</t>
  </si>
  <si>
    <t>11MM STOPPER RISED 
LC WARNING(2 TIMES)
27MM WIDTH DECREASED IN 2ND SLAB
S/D IN 4TH SLAB</t>
  </si>
  <si>
    <t>C261385</t>
  </si>
  <si>
    <t>B261353</t>
  </si>
  <si>
    <t>B261357</t>
  </si>
  <si>
    <t>B261354</t>
  </si>
  <si>
    <t>D261400</t>
  </si>
  <si>
    <t>C261401</t>
  </si>
  <si>
    <t xml:space="preserve">S/D  </t>
  </si>
  <si>
    <t>B261364</t>
  </si>
  <si>
    <t>A261326</t>
  </si>
  <si>
    <t>(C=0.050%)
ABNORMAL BOPS
S/D IN 4TH SLAB</t>
  </si>
  <si>
    <t>A261329</t>
  </si>
  <si>
    <t>C261407</t>
  </si>
  <si>
    <t>D261410</t>
  </si>
  <si>
    <t>D261411</t>
  </si>
  <si>
    <t>B261369</t>
  </si>
  <si>
    <t>D261416</t>
  </si>
  <si>
    <t>11MM  STOPPER RISED ( 4 BAG CA-SI ADDED)
MANUALY S/D TAKEN IN 1ST SLAB TO CONNECT THE HEAT</t>
  </si>
  <si>
    <t>D261427</t>
  </si>
  <si>
    <t>S/D IN 1ST SLAB
ABNORMAL MOULD LEVEL FLUCTUATION
ABNORMAL BOPS</t>
  </si>
  <si>
    <t>B261386</t>
  </si>
  <si>
    <t>D261432</t>
  </si>
  <si>
    <t>D261435</t>
  </si>
  <si>
    <t>C261456</t>
  </si>
  <si>
    <t>A261384</t>
  </si>
  <si>
    <t>LOW TEMP( 2 BAG CA-SI ADDED)
S/D OCCURED IN 3RD &amp; 4TH SLAB
20T METAL RETURNED</t>
  </si>
  <si>
    <t>A261387</t>
  </si>
  <si>
    <t>(P=0.021%)
ABNORMAL BOPS
S/D IN 3RD SLAB</t>
  </si>
  <si>
    <t>D261471</t>
  </si>
  <si>
    <t>C261475</t>
  </si>
  <si>
    <t>2 S/D IN 4TH SLAB</t>
  </si>
  <si>
    <t>C261480</t>
  </si>
  <si>
    <t>HIGH TEMP
S/D IN 2ND SLAB
HEAT LIFTING DELAY FOR NEXT HEAT</t>
  </si>
  <si>
    <t>B261930</t>
  </si>
  <si>
    <t>TSP-N3
221-BG</t>
  </si>
  <si>
    <t>S/D IN 3RD SLAB
LOW TEMP
ABNORMAL BOPS
MOULD LEVEL FLUCTUATION</t>
  </si>
  <si>
    <t>D261492</t>
  </si>
  <si>
    <t>S/D IN 1ST SLAB
ROLL CHANGE ISSUE IN MILL</t>
  </si>
  <si>
    <t>D261496</t>
  </si>
  <si>
    <t>S/D IN 3RD SLAB
LACK OF HEAT</t>
  </si>
  <si>
    <t>C261507</t>
  </si>
  <si>
    <t>A261441</t>
  </si>
  <si>
    <t>MLF IN 4TH SLAB
S/D IN 4TH SLAB</t>
  </si>
  <si>
    <t>A261444</t>
  </si>
  <si>
    <t>S/D IN  5TH SLAB</t>
  </si>
  <si>
    <t>A261445</t>
  </si>
  <si>
    <t>MLF IN 5TH SLAB
S/D IN 5TH SLAB</t>
  </si>
  <si>
    <t>D261523</t>
  </si>
  <si>
    <t>A261451</t>
  </si>
  <si>
    <t>MLF IN 2ND SLAB
S/D IN 2ND &amp; 3RD SLAB
C/A DUE TO PINCH ROLL POSITION ABNORMAL</t>
  </si>
  <si>
    <t>A261450</t>
  </si>
  <si>
    <t>FC CAME IN 1ST SLAB
S/D IN 2ND SLAB</t>
  </si>
  <si>
    <t>D261529</t>
  </si>
  <si>
    <t>C261521</t>
  </si>
  <si>
    <t>HIGH TEMP
S/D IN 3RD SLAB
ONE MANNUAL S/D TAKEN FOR NEXT HEAT 
MANIOULATOR HYDRAULIC HOSE LEAKAGE</t>
  </si>
  <si>
    <t>C261522</t>
  </si>
  <si>
    <t>FC CAME IN 1ST SLAB
S/D IN 4TH SLAB</t>
  </si>
  <si>
    <t>D261533</t>
  </si>
  <si>
    <t>LC IN 4TH SLAB( 2 TIMES)
S/D IN 4TH SLAB</t>
  </si>
  <si>
    <t>B261473</t>
  </si>
  <si>
    <t>C261551</t>
  </si>
  <si>
    <t xml:space="preserve">450-G </t>
  </si>
  <si>
    <t>C261555</t>
  </si>
  <si>
    <t>LRF REQUEST
MILL REQUEST
S/D IN 4TH SLAB</t>
  </si>
  <si>
    <t>B261518</t>
  </si>
  <si>
    <t>LRF REQUEST
S/D IN 4TH SLAB</t>
  </si>
  <si>
    <t>B261525</t>
  </si>
  <si>
    <t>D261611</t>
  </si>
  <si>
    <t>S/D IN 1ST SLAB
ABNORMAL BOPS
S/B AS PER PLAN</t>
  </si>
  <si>
    <t>D261612</t>
  </si>
  <si>
    <t>S/D IN 4TH SLAB
MLF</t>
  </si>
  <si>
    <t>D261646</t>
  </si>
  <si>
    <t>LOW TEMP( 1 BAG CA-SI ADDED)
5TH SLAB S/D OCCURED
17 T METAL RETURNED DUE TO LOW TEMP</t>
  </si>
  <si>
    <t>A261557</t>
  </si>
  <si>
    <t>C261637</t>
  </si>
  <si>
    <t>D261663</t>
  </si>
  <si>
    <t>MILL PROBLEM 
S/D IN 4TH SLAB
LOW TEMP</t>
  </si>
  <si>
    <t>C261635</t>
  </si>
  <si>
    <t>S/D IN 1ST SLAB
(S=0.010%) (AL=0.045%)</t>
  </si>
  <si>
    <t>C261636</t>
  </si>
  <si>
    <t>B261565</t>
  </si>
  <si>
    <t>B261566</t>
  </si>
  <si>
    <t>ABNORMAL BOPS
LC IN 2ND SLAB
S/D IN 4TH SLAB</t>
  </si>
  <si>
    <t>C261639</t>
  </si>
  <si>
    <t>C261640</t>
  </si>
  <si>
    <t>A261573</t>
  </si>
  <si>
    <t>C261659</t>
  </si>
  <si>
    <t>D264683</t>
  </si>
  <si>
    <t>S/D IN 1ST SLAB
LOW TEMP
05MM STOPPER RISED</t>
  </si>
  <si>
    <t>C261668</t>
  </si>
  <si>
    <t xml:space="preserve">S/D IN 3RD SLAB
LRF CRANE DSL TRIPPED
DISCOUNTIUED UE TO LRF-BAY DSL TRIPPED </t>
  </si>
  <si>
    <t>D261690</t>
  </si>
  <si>
    <t>D261708</t>
  </si>
  <si>
    <t>C261705</t>
  </si>
  <si>
    <t>MLF IN 2ND SLAB
S/D IN 2ND SLAB</t>
  </si>
  <si>
    <t>C261708</t>
  </si>
  <si>
    <t>S/D IN 3RD SLAB
LOW TEMP
ABNORMAL BOPS</t>
  </si>
  <si>
    <t>D261746</t>
  </si>
  <si>
    <t>S/D IN 2ND SLAB
58 MM LCR IN 4TH SLAB</t>
  </si>
  <si>
    <t>B261645</t>
  </si>
  <si>
    <t>S/D IN 2ND SLAB
DELTA TEMP HIGH</t>
  </si>
  <si>
    <t>D261752</t>
  </si>
  <si>
    <t>A261653</t>
  </si>
  <si>
    <t>A261658</t>
  </si>
  <si>
    <t>A261693</t>
  </si>
  <si>
    <t>22MM WIDTH INCREASED IN 1ST SLAB
HEAT LIFTING DELAY
S/D IN 4TH SLAB</t>
  </si>
  <si>
    <t>D261798</t>
  </si>
  <si>
    <t xml:space="preserve">S/D IN 1ST, 2ND &amp; 3RD SLAB 
56MM LCR DONE IN 3RD SLAB
LOW TEMP
1 BAG CA-SI ADDED IN 4TH SLAB
</t>
  </si>
  <si>
    <t>A261696</t>
  </si>
  <si>
    <t>S/D IN 2ND SLAB
58MM LCR DONE IN 3RD SLAB</t>
  </si>
  <si>
    <t>C261766</t>
  </si>
  <si>
    <t>ABNORMAL BOPS
LFC WARNING IN 3RD SLAB
S/D IN 4TH SLAB
HIGH TEMP</t>
  </si>
  <si>
    <t>C261774</t>
  </si>
  <si>
    <t>C261785</t>
  </si>
  <si>
    <t>EAF 1 BREAKDOWN
2 MANUAL S/D TAKEN FOR CONNECT THE NEXT HEAT</t>
  </si>
  <si>
    <t>A261763</t>
  </si>
  <si>
    <t>C261853</t>
  </si>
  <si>
    <t>BOPS S/D IN 2ND SLAB
ABNORMAL BOPS
MOULD LEVEL FLUCTUATION</t>
  </si>
  <si>
    <t>A261772</t>
  </si>
  <si>
    <t>2 BOPS S/D IN 3RD SLAB
BOPS S/D IN 4TH SLAB</t>
  </si>
  <si>
    <t>D261882</t>
  </si>
  <si>
    <t>2 BOPS S/D IN 1ST SLAB</t>
  </si>
  <si>
    <t>A261780</t>
  </si>
  <si>
    <t>C261885</t>
  </si>
  <si>
    <t>(S=0.010%)
S/D IN 2ND SLAB</t>
  </si>
  <si>
    <t>B261817</t>
  </si>
  <si>
    <t>C261919</t>
  </si>
  <si>
    <t>D261955</t>
  </si>
  <si>
    <t>LFC WARNING IN 3RD SLAB
SO 1 MANUAL S/D TAKEN</t>
  </si>
  <si>
    <t>D261964</t>
  </si>
  <si>
    <t>CR35ANS</t>
  </si>
  <si>
    <t>B261865</t>
  </si>
  <si>
    <t>28MM WIDTH INCREASED IN 1ST SLAB
S/D IN 3RD SLAB</t>
  </si>
  <si>
    <t>D261966</t>
  </si>
  <si>
    <t>S/D IN ALL 4 SLAB IN THIS HEAT</t>
  </si>
  <si>
    <t>D261969</t>
  </si>
  <si>
    <t>FC WARNING IN BFF- 05
S/D IN 4TH SLAB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</si>
</sst>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Arial"/>
    </font>
    <font>
      <b/>
      <sz val="11"/>
      <color rgb="FF000000"/>
      <name val="Arial"/>
      <charset val="1"/>
    </font>
    <font>
      <sz val="12"/>
      <name val="Arial"/>
      <family val="2"/>
    </font>
    <font>
      <b/>
      <sz val="12"/>
      <color rgb="FF000000"/>
      <name val="Arial"/>
      <charset val="1"/>
    </font>
    <font>
      <b/>
      <sz val="26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textRotation="90" wrapText="1"/>
    </xf>
    <xf numFmtId="165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textRotation="90" wrapText="1"/>
    </xf>
    <xf numFmtId="0" fontId="5" fillId="5" borderId="2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/>
    </xf>
    <xf numFmtId="0" fontId="8" fillId="6" borderId="0" xfId="0" applyFont="1" applyFill="1"/>
    <xf numFmtId="164" fontId="1" fillId="0" borderId="1" xfId="0" applyNumberFormat="1" applyFont="1" applyBorder="1" applyAlignment="1">
      <alignment horizontal="center" vertical="center"/>
    </xf>
    <xf numFmtId="0" fontId="8" fillId="2" borderId="0" xfId="0" applyFont="1" applyFill="1"/>
    <xf numFmtId="0" fontId="8" fillId="0" borderId="0" xfId="0" applyFont="1"/>
    <xf numFmtId="165" fontId="1" fillId="4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indent="1"/>
    </xf>
    <xf numFmtId="0" fontId="2" fillId="0" borderId="2" xfId="0" applyFont="1" applyBorder="1" applyAlignment="1">
      <alignment horizontal="center" vertical="center" indent="1"/>
    </xf>
    <xf numFmtId="0" fontId="3" fillId="0" borderId="3" xfId="0" applyFont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 indent="1"/>
    </xf>
    <xf numFmtId="0" fontId="1" fillId="3" borderId="2" xfId="0" applyFont="1" applyFill="1" applyBorder="1" applyAlignment="1">
      <alignment horizontal="center" vertical="center" indent="1"/>
    </xf>
    <xf numFmtId="0" fontId="2" fillId="4" borderId="1" xfId="0" applyFont="1" applyFill="1" applyBorder="1" applyAlignment="1">
      <alignment horizontal="center" vertical="center" indent="1"/>
    </xf>
    <xf numFmtId="0" fontId="1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indent="1"/>
    </xf>
    <xf numFmtId="0" fontId="2" fillId="4" borderId="2" xfId="0" applyFont="1" applyFill="1" applyBorder="1" applyAlignment="1">
      <alignment horizontal="center" vertical="center" indent="1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1" fontId="1" fillId="8" borderId="2" xfId="0" applyNumberFormat="1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5" fontId="13" fillId="2" borderId="2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2" fontId="1" fillId="4" borderId="10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0" fillId="7" borderId="3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34"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2"/>
      </font>
      <fill>
        <patternFill>
          <bgColor indexed="22"/>
        </patternFill>
      </fill>
    </dxf>
    <dxf>
      <font>
        <b/>
        <i val="0"/>
        <condense val="0"/>
        <extend val="0"/>
        <color indexed="10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C4FC-E3FC-4D93-91B7-0CA3A0AE5B22}">
  <dimension ref="A1:AF91"/>
  <sheetViews>
    <sheetView topLeftCell="A73" workbookViewId="0">
      <selection activeCell="L82" sqref="L82"/>
    </sheetView>
  </sheetViews>
  <sheetFormatPr defaultColWidth="9.140625" defaultRowHeight="15" x14ac:dyDescent="0.25"/>
  <cols>
    <col min="1" max="1" width="9.42578125" customWidth="1"/>
    <col min="2" max="2" width="20.42578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9.7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9.7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ht="15.75" x14ac:dyDescent="0.25">
      <c r="A3" s="1">
        <v>17</v>
      </c>
      <c r="B3" s="2">
        <v>45748</v>
      </c>
      <c r="C3" s="1" t="s">
        <v>18</v>
      </c>
      <c r="D3" s="1" t="s">
        <v>1</v>
      </c>
      <c r="E3" s="1">
        <v>2</v>
      </c>
      <c r="F3" s="1">
        <v>22503034</v>
      </c>
      <c r="G3" s="1">
        <v>1230</v>
      </c>
      <c r="H3" s="1" t="s">
        <v>10</v>
      </c>
      <c r="I3" s="1" t="s">
        <v>15</v>
      </c>
      <c r="J3" s="3" t="s">
        <v>52</v>
      </c>
      <c r="K3" s="3">
        <v>1570</v>
      </c>
      <c r="L3" s="5">
        <v>1552</v>
      </c>
      <c r="M3" s="5">
        <v>1546</v>
      </c>
      <c r="N3" s="5">
        <v>1545</v>
      </c>
      <c r="O3" s="5">
        <v>1541</v>
      </c>
      <c r="P3" s="30">
        <v>1544</v>
      </c>
      <c r="Q3" s="15">
        <v>5.5</v>
      </c>
      <c r="R3" s="9">
        <v>29</v>
      </c>
      <c r="S3" s="8" t="s">
        <v>5</v>
      </c>
      <c r="T3" s="9" t="s">
        <v>5</v>
      </c>
      <c r="U3" s="9" t="s">
        <v>5</v>
      </c>
      <c r="V3" s="9" t="s">
        <v>5</v>
      </c>
      <c r="W3" s="11">
        <v>18.100000000000001</v>
      </c>
      <c r="X3" s="11">
        <v>58</v>
      </c>
      <c r="Y3" s="12">
        <v>3.099723</v>
      </c>
      <c r="Z3" s="31">
        <v>9.9</v>
      </c>
      <c r="AA3" s="31">
        <v>10.1</v>
      </c>
      <c r="AB3" s="32">
        <v>82</v>
      </c>
      <c r="AC3" s="32">
        <v>82</v>
      </c>
      <c r="AD3" s="8" t="s">
        <v>6</v>
      </c>
      <c r="AE3" s="33" t="s">
        <v>53</v>
      </c>
      <c r="AF3" s="14" t="s">
        <v>54</v>
      </c>
    </row>
    <row r="4" spans="1:32" ht="15.75" x14ac:dyDescent="0.25">
      <c r="A4" s="34">
        <v>32</v>
      </c>
      <c r="B4" s="61">
        <v>45748</v>
      </c>
      <c r="C4" s="34" t="s">
        <v>264</v>
      </c>
      <c r="D4" s="34" t="s">
        <v>19</v>
      </c>
      <c r="E4" s="34">
        <v>1</v>
      </c>
      <c r="F4" s="34">
        <v>12503033</v>
      </c>
      <c r="G4" s="34">
        <v>1260</v>
      </c>
      <c r="H4" s="34" t="s">
        <v>55</v>
      </c>
      <c r="I4" s="34" t="s">
        <v>56</v>
      </c>
      <c r="J4" s="5" t="s">
        <v>57</v>
      </c>
      <c r="K4" s="5">
        <v>1570</v>
      </c>
      <c r="L4" s="5">
        <v>1545</v>
      </c>
      <c r="M4" s="5">
        <v>1543</v>
      </c>
      <c r="N4" s="5">
        <v>1542</v>
      </c>
      <c r="O4" s="5">
        <v>1540</v>
      </c>
      <c r="P4" s="35">
        <v>1541.6666666666667</v>
      </c>
      <c r="Q4" s="18">
        <v>5.7</v>
      </c>
      <c r="R4" s="36">
        <v>31</v>
      </c>
      <c r="S4" s="17" t="s">
        <v>5</v>
      </c>
      <c r="T4" s="36">
        <v>161.5</v>
      </c>
      <c r="U4" s="36">
        <v>63.1</v>
      </c>
      <c r="V4" s="34">
        <v>98.4</v>
      </c>
      <c r="W4" s="37" t="s">
        <v>5</v>
      </c>
      <c r="X4" s="37">
        <v>57</v>
      </c>
      <c r="Y4" s="38">
        <v>3.2340546000000003</v>
      </c>
      <c r="Z4" s="18">
        <v>12.3</v>
      </c>
      <c r="AA4" s="18">
        <v>12.4</v>
      </c>
      <c r="AB4" s="19">
        <v>86</v>
      </c>
      <c r="AC4" s="19">
        <v>95</v>
      </c>
      <c r="AD4" s="17" t="s">
        <v>6</v>
      </c>
      <c r="AE4" s="39" t="s">
        <v>53</v>
      </c>
      <c r="AF4" s="39" t="s">
        <v>58</v>
      </c>
    </row>
    <row r="5" spans="1:32" ht="15.75" x14ac:dyDescent="0.25">
      <c r="A5" s="1">
        <v>39</v>
      </c>
      <c r="B5" s="2">
        <v>45748</v>
      </c>
      <c r="C5" s="1" t="s">
        <v>264</v>
      </c>
      <c r="D5" s="1" t="s">
        <v>19</v>
      </c>
      <c r="E5" s="1">
        <v>2</v>
      </c>
      <c r="F5" s="1">
        <v>22503034</v>
      </c>
      <c r="G5" s="1">
        <v>1260</v>
      </c>
      <c r="H5" s="1" t="s">
        <v>55</v>
      </c>
      <c r="I5" s="1" t="s">
        <v>59</v>
      </c>
      <c r="J5" s="5" t="s">
        <v>60</v>
      </c>
      <c r="K5" s="5">
        <v>1570</v>
      </c>
      <c r="L5" s="5">
        <v>1545</v>
      </c>
      <c r="M5" s="5">
        <v>1542</v>
      </c>
      <c r="N5" s="5">
        <v>1541</v>
      </c>
      <c r="O5" s="5">
        <v>1541</v>
      </c>
      <c r="P5" s="30">
        <v>1541.3333333333333</v>
      </c>
      <c r="Q5" s="7">
        <v>5.5</v>
      </c>
      <c r="R5" s="36">
        <v>31</v>
      </c>
      <c r="S5" s="17" t="s">
        <v>5</v>
      </c>
      <c r="T5" s="9" t="s">
        <v>5</v>
      </c>
      <c r="U5" s="9" t="s">
        <v>5</v>
      </c>
      <c r="V5" s="9" t="s">
        <v>5</v>
      </c>
      <c r="W5" s="11">
        <v>10.8</v>
      </c>
      <c r="X5" s="11">
        <v>58</v>
      </c>
      <c r="Y5" s="12">
        <v>3.1753260000000005</v>
      </c>
      <c r="Z5" s="18">
        <v>10.3</v>
      </c>
      <c r="AA5" s="18">
        <v>10.3</v>
      </c>
      <c r="AB5" s="19">
        <v>87</v>
      </c>
      <c r="AC5" s="19">
        <v>85</v>
      </c>
      <c r="AD5" s="8" t="s">
        <v>6</v>
      </c>
      <c r="AE5" s="33" t="s">
        <v>53</v>
      </c>
      <c r="AF5" s="14" t="s">
        <v>61</v>
      </c>
    </row>
    <row r="6" spans="1:32" ht="63" x14ac:dyDescent="0.25">
      <c r="A6" s="34">
        <v>52</v>
      </c>
      <c r="B6" s="61">
        <v>45748</v>
      </c>
      <c r="C6" s="34" t="s">
        <v>0</v>
      </c>
      <c r="D6" s="34" t="s">
        <v>9</v>
      </c>
      <c r="E6" s="34">
        <v>1</v>
      </c>
      <c r="F6" s="34">
        <v>12503033</v>
      </c>
      <c r="G6" s="34">
        <v>1260</v>
      </c>
      <c r="H6" s="34" t="s">
        <v>62</v>
      </c>
      <c r="I6" s="34" t="s">
        <v>63</v>
      </c>
      <c r="J6" s="5" t="s">
        <v>64</v>
      </c>
      <c r="K6" s="5">
        <v>1540</v>
      </c>
      <c r="L6" s="5">
        <v>1543</v>
      </c>
      <c r="M6" s="5">
        <v>1542</v>
      </c>
      <c r="N6" s="5">
        <v>1540</v>
      </c>
      <c r="O6" s="5">
        <v>1540</v>
      </c>
      <c r="P6" s="35">
        <v>1540.6666666666667</v>
      </c>
      <c r="Q6" s="18">
        <v>5.2</v>
      </c>
      <c r="R6" s="36">
        <v>35</v>
      </c>
      <c r="S6" s="17" t="s">
        <v>5</v>
      </c>
      <c r="T6" s="36" t="s">
        <v>5</v>
      </c>
      <c r="U6" s="36" t="s">
        <v>5</v>
      </c>
      <c r="V6" s="36" t="s">
        <v>5</v>
      </c>
      <c r="W6" s="17" t="s">
        <v>5</v>
      </c>
      <c r="X6" s="37">
        <v>57</v>
      </c>
      <c r="Y6" s="38">
        <v>2.9503656000000005</v>
      </c>
      <c r="Z6" s="18">
        <v>11.2</v>
      </c>
      <c r="AA6" s="18">
        <v>10.9</v>
      </c>
      <c r="AB6" s="19">
        <v>81</v>
      </c>
      <c r="AC6" s="19">
        <v>83</v>
      </c>
      <c r="AD6" s="17" t="s">
        <v>6</v>
      </c>
      <c r="AE6" s="39" t="s">
        <v>13</v>
      </c>
      <c r="AF6" s="40" t="s">
        <v>65</v>
      </c>
    </row>
    <row r="7" spans="1:32" ht="15.75" x14ac:dyDescent="0.25">
      <c r="A7" s="1">
        <v>112</v>
      </c>
      <c r="B7" s="2">
        <v>45749</v>
      </c>
      <c r="C7" s="1" t="s">
        <v>264</v>
      </c>
      <c r="D7" s="1" t="s">
        <v>19</v>
      </c>
      <c r="E7" s="1">
        <v>1</v>
      </c>
      <c r="F7" s="1">
        <v>12504001</v>
      </c>
      <c r="G7" s="1">
        <v>1260</v>
      </c>
      <c r="H7" s="1" t="s">
        <v>55</v>
      </c>
      <c r="I7" s="1" t="s">
        <v>66</v>
      </c>
      <c r="J7" s="3" t="s">
        <v>67</v>
      </c>
      <c r="K7" s="3">
        <v>1576</v>
      </c>
      <c r="L7" s="5">
        <v>1542</v>
      </c>
      <c r="M7" s="5">
        <v>1544</v>
      </c>
      <c r="N7" s="5">
        <v>1542</v>
      </c>
      <c r="O7" s="5">
        <v>1542</v>
      </c>
      <c r="P7" s="30">
        <v>1542.6666666666667</v>
      </c>
      <c r="Q7" s="15">
        <v>5</v>
      </c>
      <c r="R7" s="9">
        <v>35</v>
      </c>
      <c r="S7" s="17">
        <v>35</v>
      </c>
      <c r="T7" s="9">
        <v>165</v>
      </c>
      <c r="U7" s="9">
        <v>60</v>
      </c>
      <c r="V7" s="10">
        <v>105</v>
      </c>
      <c r="W7" s="11" t="s">
        <v>5</v>
      </c>
      <c r="X7" s="11">
        <v>57</v>
      </c>
      <c r="Y7" s="12">
        <v>2.8368900000000004</v>
      </c>
      <c r="Z7" s="31">
        <v>11.7</v>
      </c>
      <c r="AA7" s="31">
        <v>11.7</v>
      </c>
      <c r="AB7" s="32">
        <v>91</v>
      </c>
      <c r="AC7" s="32">
        <v>92</v>
      </c>
      <c r="AD7" s="8" t="s">
        <v>6</v>
      </c>
      <c r="AE7" s="33" t="s">
        <v>13</v>
      </c>
      <c r="AF7" s="14" t="s">
        <v>68</v>
      </c>
    </row>
    <row r="8" spans="1:32" ht="15.75" x14ac:dyDescent="0.25">
      <c r="A8" s="1">
        <v>129</v>
      </c>
      <c r="B8" s="2">
        <v>45749</v>
      </c>
      <c r="C8" s="1" t="s">
        <v>264</v>
      </c>
      <c r="D8" s="1" t="s">
        <v>19</v>
      </c>
      <c r="E8" s="1">
        <v>2</v>
      </c>
      <c r="F8" s="1">
        <v>22504001</v>
      </c>
      <c r="G8" s="1">
        <v>1260</v>
      </c>
      <c r="H8" s="1" t="s">
        <v>55</v>
      </c>
      <c r="I8" s="1" t="s">
        <v>15</v>
      </c>
      <c r="J8" s="3" t="s">
        <v>69</v>
      </c>
      <c r="K8" s="3">
        <v>1568</v>
      </c>
      <c r="L8" s="5">
        <v>1545</v>
      </c>
      <c r="M8" s="5">
        <v>1543</v>
      </c>
      <c r="N8" s="5">
        <v>1547</v>
      </c>
      <c r="O8" s="5">
        <v>1548</v>
      </c>
      <c r="P8" s="30">
        <v>1546</v>
      </c>
      <c r="Q8" s="15">
        <v>5.5</v>
      </c>
      <c r="R8" s="9">
        <v>28</v>
      </c>
      <c r="S8" s="17">
        <v>31</v>
      </c>
      <c r="T8" s="9" t="s">
        <v>5</v>
      </c>
      <c r="U8" s="9" t="s">
        <v>5</v>
      </c>
      <c r="V8" s="9" t="s">
        <v>5</v>
      </c>
      <c r="W8" s="17">
        <v>11.4</v>
      </c>
      <c r="X8" s="11">
        <v>58</v>
      </c>
      <c r="Y8" s="12">
        <v>3.1753260000000005</v>
      </c>
      <c r="Z8" s="31">
        <v>9.3000000000000007</v>
      </c>
      <c r="AA8" s="31">
        <v>10.8</v>
      </c>
      <c r="AB8" s="32">
        <v>80</v>
      </c>
      <c r="AC8" s="32">
        <v>86</v>
      </c>
      <c r="AD8" s="17" t="s">
        <v>6</v>
      </c>
      <c r="AE8" s="33" t="s">
        <v>53</v>
      </c>
      <c r="AF8" s="41" t="s">
        <v>58</v>
      </c>
    </row>
    <row r="9" spans="1:32" ht="47.25" x14ac:dyDescent="0.25">
      <c r="A9" s="1">
        <v>165</v>
      </c>
      <c r="B9" s="2">
        <v>45750</v>
      </c>
      <c r="C9" s="1" t="s">
        <v>18</v>
      </c>
      <c r="D9" s="1" t="s">
        <v>265</v>
      </c>
      <c r="E9" s="1">
        <v>1</v>
      </c>
      <c r="F9" s="1">
        <v>12504002</v>
      </c>
      <c r="G9" s="1">
        <v>1260</v>
      </c>
      <c r="H9" s="1" t="s">
        <v>10</v>
      </c>
      <c r="I9" s="1" t="s">
        <v>70</v>
      </c>
      <c r="J9" s="3" t="s">
        <v>71</v>
      </c>
      <c r="K9" s="3">
        <v>1571</v>
      </c>
      <c r="L9" s="5">
        <v>1546</v>
      </c>
      <c r="M9" s="5">
        <v>1549</v>
      </c>
      <c r="N9" s="5">
        <v>1543</v>
      </c>
      <c r="O9" s="5">
        <v>1543</v>
      </c>
      <c r="P9" s="30">
        <v>1545</v>
      </c>
      <c r="Q9" s="15">
        <v>5</v>
      </c>
      <c r="R9" s="9">
        <v>32</v>
      </c>
      <c r="S9" s="8" t="s">
        <v>5</v>
      </c>
      <c r="T9" s="9">
        <v>162</v>
      </c>
      <c r="U9" s="9">
        <v>65</v>
      </c>
      <c r="V9" s="10">
        <v>97</v>
      </c>
      <c r="W9" s="11" t="s">
        <v>5</v>
      </c>
      <c r="X9" s="11">
        <v>57</v>
      </c>
      <c r="Y9" s="12">
        <v>2.8368900000000004</v>
      </c>
      <c r="Z9" s="31">
        <v>6.7</v>
      </c>
      <c r="AA9" s="31">
        <v>7.9</v>
      </c>
      <c r="AB9" s="32">
        <v>55</v>
      </c>
      <c r="AC9" s="32">
        <v>65</v>
      </c>
      <c r="AD9" s="8" t="s">
        <v>6</v>
      </c>
      <c r="AE9" s="33" t="s">
        <v>72</v>
      </c>
      <c r="AF9" s="14" t="s">
        <v>73</v>
      </c>
    </row>
    <row r="10" spans="1:32" ht="47.25" x14ac:dyDescent="0.25">
      <c r="A10" s="1">
        <v>167</v>
      </c>
      <c r="B10" s="2">
        <v>45750</v>
      </c>
      <c r="C10" s="1" t="s">
        <v>18</v>
      </c>
      <c r="D10" s="1" t="s">
        <v>265</v>
      </c>
      <c r="E10" s="1">
        <v>1</v>
      </c>
      <c r="F10" s="1">
        <v>12504002</v>
      </c>
      <c r="G10" s="1">
        <v>1230</v>
      </c>
      <c r="H10" s="1" t="s">
        <v>10</v>
      </c>
      <c r="I10" s="1" t="s">
        <v>74</v>
      </c>
      <c r="J10" s="3" t="s">
        <v>75</v>
      </c>
      <c r="K10" s="3">
        <v>1573</v>
      </c>
      <c r="L10" s="5">
        <v>1542</v>
      </c>
      <c r="M10" s="5">
        <v>1543</v>
      </c>
      <c r="N10" s="5">
        <v>1543</v>
      </c>
      <c r="O10" s="5">
        <v>1545</v>
      </c>
      <c r="P10" s="30">
        <v>1543.6666666666667</v>
      </c>
      <c r="Q10" s="15">
        <v>5.5</v>
      </c>
      <c r="R10" s="9">
        <v>37</v>
      </c>
      <c r="S10" s="8">
        <v>4</v>
      </c>
      <c r="T10" s="9">
        <v>162</v>
      </c>
      <c r="U10" s="9">
        <v>60</v>
      </c>
      <c r="V10" s="10">
        <v>102</v>
      </c>
      <c r="W10" s="11" t="s">
        <v>5</v>
      </c>
      <c r="X10" s="11">
        <v>57</v>
      </c>
      <c r="Y10" s="12">
        <v>3.0462795000000003</v>
      </c>
      <c r="Z10" s="31">
        <v>8.4</v>
      </c>
      <c r="AA10" s="31">
        <v>8.6999999999999993</v>
      </c>
      <c r="AB10" s="32">
        <v>60</v>
      </c>
      <c r="AC10" s="32">
        <v>66</v>
      </c>
      <c r="AD10" s="8" t="s">
        <v>6</v>
      </c>
      <c r="AE10" s="33" t="s">
        <v>72</v>
      </c>
      <c r="AF10" s="14" t="s">
        <v>76</v>
      </c>
    </row>
    <row r="11" spans="1:32" ht="47.25" x14ac:dyDescent="0.25">
      <c r="A11" s="1">
        <v>179</v>
      </c>
      <c r="B11" s="2">
        <v>45750</v>
      </c>
      <c r="C11" s="1" t="s">
        <v>18</v>
      </c>
      <c r="D11" s="1" t="s">
        <v>265</v>
      </c>
      <c r="E11" s="1">
        <v>2</v>
      </c>
      <c r="F11" s="1">
        <v>22504002</v>
      </c>
      <c r="G11" s="1">
        <v>1230</v>
      </c>
      <c r="H11" s="1" t="s">
        <v>10</v>
      </c>
      <c r="I11" s="1" t="s">
        <v>77</v>
      </c>
      <c r="J11" s="3" t="s">
        <v>78</v>
      </c>
      <c r="K11" s="3">
        <v>1567</v>
      </c>
      <c r="L11" s="5">
        <v>1551</v>
      </c>
      <c r="M11" s="5">
        <v>1552</v>
      </c>
      <c r="N11" s="5">
        <v>1553</v>
      </c>
      <c r="O11" s="5">
        <v>1549</v>
      </c>
      <c r="P11" s="30">
        <v>1551.3333333333333</v>
      </c>
      <c r="Q11" s="15">
        <v>5.5</v>
      </c>
      <c r="R11" s="9">
        <v>32</v>
      </c>
      <c r="S11" s="8">
        <v>35</v>
      </c>
      <c r="T11" s="9" t="s">
        <v>5</v>
      </c>
      <c r="U11" s="9" t="s">
        <v>5</v>
      </c>
      <c r="V11" s="9" t="s">
        <v>5</v>
      </c>
      <c r="W11" s="9">
        <v>14</v>
      </c>
      <c r="X11" s="11">
        <v>58</v>
      </c>
      <c r="Y11" s="12">
        <v>3.099723</v>
      </c>
      <c r="Z11" s="31">
        <v>8.1</v>
      </c>
      <c r="AA11" s="31">
        <v>8</v>
      </c>
      <c r="AB11" s="32">
        <v>74</v>
      </c>
      <c r="AC11" s="32">
        <v>71</v>
      </c>
      <c r="AD11" s="8" t="s">
        <v>6</v>
      </c>
      <c r="AE11" s="33" t="s">
        <v>53</v>
      </c>
      <c r="AF11" s="14" t="s">
        <v>79</v>
      </c>
    </row>
    <row r="12" spans="1:32" ht="31.5" x14ac:dyDescent="0.25">
      <c r="A12" s="1">
        <v>195</v>
      </c>
      <c r="B12" s="2">
        <v>45750</v>
      </c>
      <c r="C12" s="1" t="s">
        <v>264</v>
      </c>
      <c r="D12" s="1" t="s">
        <v>376</v>
      </c>
      <c r="E12" s="1">
        <v>1</v>
      </c>
      <c r="F12" s="1">
        <v>12504002</v>
      </c>
      <c r="G12" s="1">
        <v>1230</v>
      </c>
      <c r="H12" s="1" t="s">
        <v>10</v>
      </c>
      <c r="I12" s="1" t="s">
        <v>80</v>
      </c>
      <c r="J12" s="3" t="s">
        <v>81</v>
      </c>
      <c r="K12" s="3">
        <v>1569</v>
      </c>
      <c r="L12" s="5">
        <v>1547</v>
      </c>
      <c r="M12" s="5">
        <v>1546</v>
      </c>
      <c r="N12" s="5">
        <v>1546</v>
      </c>
      <c r="O12" s="5">
        <v>1544</v>
      </c>
      <c r="P12" s="30">
        <v>1545.3333333333333</v>
      </c>
      <c r="Q12" s="15">
        <v>5.3</v>
      </c>
      <c r="R12" s="9">
        <v>31</v>
      </c>
      <c r="S12" s="17">
        <v>8</v>
      </c>
      <c r="T12" s="9">
        <v>162.69999999999999</v>
      </c>
      <c r="U12" s="9">
        <v>61.6</v>
      </c>
      <c r="V12" s="10">
        <v>101.1</v>
      </c>
      <c r="W12" s="11" t="s">
        <v>5</v>
      </c>
      <c r="X12" s="11">
        <v>57</v>
      </c>
      <c r="Y12" s="12">
        <v>2.9355057000000002</v>
      </c>
      <c r="Z12" s="31">
        <v>8.1999999999999993</v>
      </c>
      <c r="AA12" s="31">
        <v>8.6</v>
      </c>
      <c r="AB12" s="32">
        <v>62</v>
      </c>
      <c r="AC12" s="32">
        <v>68</v>
      </c>
      <c r="AD12" s="8" t="s">
        <v>6</v>
      </c>
      <c r="AE12" s="33" t="s">
        <v>72</v>
      </c>
      <c r="AF12" s="14" t="s">
        <v>82</v>
      </c>
    </row>
    <row r="13" spans="1:32" ht="15.75" x14ac:dyDescent="0.25">
      <c r="A13" s="1">
        <v>279</v>
      </c>
      <c r="B13" s="2">
        <v>45751</v>
      </c>
      <c r="C13" s="1" t="s">
        <v>264</v>
      </c>
      <c r="D13" s="1" t="s">
        <v>258</v>
      </c>
      <c r="E13" s="1">
        <v>1</v>
      </c>
      <c r="F13" s="1">
        <v>12504003</v>
      </c>
      <c r="G13" s="1">
        <v>1250</v>
      </c>
      <c r="H13" s="1" t="s">
        <v>10</v>
      </c>
      <c r="I13" s="1" t="s">
        <v>83</v>
      </c>
      <c r="J13" s="3" t="s">
        <v>84</v>
      </c>
      <c r="K13" s="3">
        <v>1575</v>
      </c>
      <c r="L13" s="5">
        <v>1548</v>
      </c>
      <c r="M13" s="5">
        <v>1550</v>
      </c>
      <c r="N13" s="5">
        <v>1548</v>
      </c>
      <c r="O13" s="5">
        <v>1548</v>
      </c>
      <c r="P13" s="30">
        <v>1548.6666666666667</v>
      </c>
      <c r="Q13" s="15">
        <v>5</v>
      </c>
      <c r="R13" s="9">
        <v>39</v>
      </c>
      <c r="S13" s="8" t="s">
        <v>5</v>
      </c>
      <c r="T13" s="9">
        <v>169</v>
      </c>
      <c r="U13" s="9">
        <v>61.7</v>
      </c>
      <c r="V13" s="10">
        <v>107.3</v>
      </c>
      <c r="W13" s="9" t="s">
        <v>5</v>
      </c>
      <c r="X13" s="11">
        <v>57</v>
      </c>
      <c r="Y13" s="12">
        <v>2.8143750000000001</v>
      </c>
      <c r="Z13" s="31">
        <v>8.3000000000000007</v>
      </c>
      <c r="AA13" s="31">
        <v>8.3000000000000007</v>
      </c>
      <c r="AB13" s="32">
        <v>73</v>
      </c>
      <c r="AC13" s="32">
        <v>70</v>
      </c>
      <c r="AD13" s="8" t="s">
        <v>6</v>
      </c>
      <c r="AE13" s="8" t="s">
        <v>53</v>
      </c>
      <c r="AF13" s="14" t="s">
        <v>58</v>
      </c>
    </row>
    <row r="14" spans="1:32" ht="15.75" x14ac:dyDescent="0.25">
      <c r="A14" s="1">
        <v>304</v>
      </c>
      <c r="B14" s="2">
        <v>45751</v>
      </c>
      <c r="C14" s="1" t="s">
        <v>0</v>
      </c>
      <c r="D14" s="1" t="s">
        <v>9</v>
      </c>
      <c r="E14" s="1">
        <v>1</v>
      </c>
      <c r="F14" s="1">
        <v>12504003</v>
      </c>
      <c r="G14" s="1">
        <v>1250</v>
      </c>
      <c r="H14" s="1" t="s">
        <v>10</v>
      </c>
      <c r="I14" s="1" t="s">
        <v>15</v>
      </c>
      <c r="J14" s="3" t="s">
        <v>85</v>
      </c>
      <c r="K14" s="3">
        <v>1570</v>
      </c>
      <c r="L14" s="5">
        <v>1544</v>
      </c>
      <c r="M14" s="5">
        <v>1544</v>
      </c>
      <c r="N14" s="5">
        <v>1544</v>
      </c>
      <c r="O14" s="5">
        <v>1544</v>
      </c>
      <c r="P14" s="30">
        <v>1544</v>
      </c>
      <c r="Q14" s="15">
        <v>5.5</v>
      </c>
      <c r="R14" s="9">
        <v>35</v>
      </c>
      <c r="S14" s="8">
        <v>14</v>
      </c>
      <c r="T14" s="9">
        <v>162.04</v>
      </c>
      <c r="U14" s="9">
        <v>60</v>
      </c>
      <c r="V14" s="10">
        <v>102.03999999999999</v>
      </c>
      <c r="W14" s="17" t="s">
        <v>5</v>
      </c>
      <c r="X14" s="11">
        <v>57</v>
      </c>
      <c r="Y14" s="12">
        <v>3.0958125000000001</v>
      </c>
      <c r="Z14" s="31">
        <v>9.5</v>
      </c>
      <c r="AA14" s="31">
        <v>10</v>
      </c>
      <c r="AB14" s="32">
        <v>77</v>
      </c>
      <c r="AC14" s="32">
        <v>80</v>
      </c>
      <c r="AD14" s="17" t="s">
        <v>6</v>
      </c>
      <c r="AE14" s="8" t="s">
        <v>53</v>
      </c>
      <c r="AF14" s="14" t="s">
        <v>61</v>
      </c>
    </row>
    <row r="15" spans="1:32" ht="31.5" x14ac:dyDescent="0.25">
      <c r="A15" s="1">
        <v>357</v>
      </c>
      <c r="B15" s="2">
        <v>45752</v>
      </c>
      <c r="C15" s="1" t="s">
        <v>264</v>
      </c>
      <c r="D15" s="1" t="s">
        <v>258</v>
      </c>
      <c r="E15" s="1">
        <v>1</v>
      </c>
      <c r="F15" s="1">
        <v>12504004</v>
      </c>
      <c r="G15" s="1">
        <v>1260</v>
      </c>
      <c r="H15" s="1" t="s">
        <v>10</v>
      </c>
      <c r="I15" s="1" t="s">
        <v>86</v>
      </c>
      <c r="J15" s="5" t="s">
        <v>87</v>
      </c>
      <c r="K15" s="3">
        <v>1568</v>
      </c>
      <c r="L15" s="5">
        <v>1539</v>
      </c>
      <c r="M15" s="5">
        <v>1536</v>
      </c>
      <c r="N15" s="5">
        <v>1537</v>
      </c>
      <c r="O15" s="5">
        <v>1536</v>
      </c>
      <c r="P15" s="30">
        <v>1536.3333333333333</v>
      </c>
      <c r="Q15" s="18">
        <v>4.5</v>
      </c>
      <c r="R15" s="36">
        <v>29</v>
      </c>
      <c r="S15" s="8">
        <v>27</v>
      </c>
      <c r="T15" s="9">
        <v>166</v>
      </c>
      <c r="U15" s="9">
        <v>70.5</v>
      </c>
      <c r="V15" s="10">
        <v>95.5</v>
      </c>
      <c r="W15" s="9">
        <v>7.1</v>
      </c>
      <c r="X15" s="11">
        <v>58</v>
      </c>
      <c r="Y15" s="12">
        <v>2.5979940000000004</v>
      </c>
      <c r="Z15" s="18">
        <v>9.5</v>
      </c>
      <c r="AA15" s="18">
        <v>8.3000000000000007</v>
      </c>
      <c r="AB15" s="19">
        <v>74</v>
      </c>
      <c r="AC15" s="19">
        <v>65</v>
      </c>
      <c r="AD15" s="8" t="s">
        <v>6</v>
      </c>
      <c r="AE15" s="42" t="s">
        <v>88</v>
      </c>
      <c r="AF15" s="14" t="s">
        <v>89</v>
      </c>
    </row>
    <row r="16" spans="1:32" ht="15.75" x14ac:dyDescent="0.25">
      <c r="A16" s="1">
        <v>361</v>
      </c>
      <c r="B16" s="2">
        <v>45752</v>
      </c>
      <c r="C16" s="1" t="s">
        <v>264</v>
      </c>
      <c r="D16" s="1" t="s">
        <v>258</v>
      </c>
      <c r="E16" s="1">
        <v>1</v>
      </c>
      <c r="F16" s="1">
        <v>12504004</v>
      </c>
      <c r="G16" s="1">
        <v>1260</v>
      </c>
      <c r="H16" s="1" t="s">
        <v>10</v>
      </c>
      <c r="I16" s="1" t="s">
        <v>90</v>
      </c>
      <c r="J16" s="3" t="s">
        <v>91</v>
      </c>
      <c r="K16" s="3">
        <v>1570</v>
      </c>
      <c r="L16" s="5">
        <v>1545</v>
      </c>
      <c r="M16" s="5">
        <v>1546</v>
      </c>
      <c r="N16" s="5">
        <v>1546</v>
      </c>
      <c r="O16" s="5">
        <v>1546</v>
      </c>
      <c r="P16" s="30">
        <v>1546</v>
      </c>
      <c r="Q16" s="15">
        <v>5.7</v>
      </c>
      <c r="R16" s="9">
        <v>34</v>
      </c>
      <c r="S16" s="8">
        <v>12</v>
      </c>
      <c r="T16" s="9">
        <v>164</v>
      </c>
      <c r="U16" s="9">
        <v>61.7</v>
      </c>
      <c r="V16" s="10">
        <v>102.3</v>
      </c>
      <c r="W16" s="9">
        <v>20.7</v>
      </c>
      <c r="X16" s="11">
        <v>57</v>
      </c>
      <c r="Y16" s="12">
        <v>3.2340546000000003</v>
      </c>
      <c r="Z16" s="31">
        <v>9.9</v>
      </c>
      <c r="AA16" s="31">
        <v>10.5</v>
      </c>
      <c r="AB16" s="32">
        <v>73</v>
      </c>
      <c r="AC16" s="32">
        <v>77</v>
      </c>
      <c r="AD16" s="8" t="s">
        <v>6</v>
      </c>
      <c r="AE16" s="8" t="s">
        <v>53</v>
      </c>
      <c r="AF16" s="14" t="s">
        <v>61</v>
      </c>
    </row>
    <row r="17" spans="1:32" ht="15.75" x14ac:dyDescent="0.25">
      <c r="A17" s="1">
        <v>362</v>
      </c>
      <c r="B17" s="2">
        <v>45752</v>
      </c>
      <c r="C17" s="1" t="s">
        <v>264</v>
      </c>
      <c r="D17" s="1" t="s">
        <v>258</v>
      </c>
      <c r="E17" s="1">
        <v>1</v>
      </c>
      <c r="F17" s="1">
        <v>12504004</v>
      </c>
      <c r="G17" s="1">
        <v>1260</v>
      </c>
      <c r="H17" s="1" t="s">
        <v>10</v>
      </c>
      <c r="I17" s="1" t="s">
        <v>70</v>
      </c>
      <c r="J17" s="3" t="s">
        <v>92</v>
      </c>
      <c r="K17" s="3">
        <v>1570</v>
      </c>
      <c r="L17" s="5">
        <v>1546</v>
      </c>
      <c r="M17" s="5">
        <v>1547</v>
      </c>
      <c r="N17" s="5">
        <v>1544</v>
      </c>
      <c r="O17" s="5">
        <v>1543</v>
      </c>
      <c r="P17" s="30">
        <v>1544.6666666666667</v>
      </c>
      <c r="Q17" s="15">
        <v>5.6</v>
      </c>
      <c r="R17" s="9">
        <v>30</v>
      </c>
      <c r="S17" s="8">
        <v>23</v>
      </c>
      <c r="T17" s="9">
        <v>155.96</v>
      </c>
      <c r="U17" s="9">
        <v>62.1</v>
      </c>
      <c r="V17" s="10">
        <v>93.860000000000014</v>
      </c>
      <c r="W17" s="9">
        <v>18</v>
      </c>
      <c r="X17" s="11">
        <v>57</v>
      </c>
      <c r="Y17" s="12">
        <v>3.1773168000000003</v>
      </c>
      <c r="Z17" s="31">
        <v>9.8000000000000007</v>
      </c>
      <c r="AA17" s="31">
        <v>9.9</v>
      </c>
      <c r="AB17" s="32">
        <v>77</v>
      </c>
      <c r="AC17" s="32">
        <v>77</v>
      </c>
      <c r="AD17" s="8" t="s">
        <v>6</v>
      </c>
      <c r="AE17" s="8" t="s">
        <v>53</v>
      </c>
      <c r="AF17" s="14" t="s">
        <v>58</v>
      </c>
    </row>
    <row r="18" spans="1:32" ht="15.75" x14ac:dyDescent="0.25">
      <c r="A18" s="1">
        <v>363</v>
      </c>
      <c r="B18" s="2">
        <v>45752</v>
      </c>
      <c r="C18" s="1" t="s">
        <v>264</v>
      </c>
      <c r="D18" s="1" t="s">
        <v>258</v>
      </c>
      <c r="E18" s="1">
        <v>1</v>
      </c>
      <c r="F18" s="1">
        <v>12504004</v>
      </c>
      <c r="G18" s="1">
        <v>1260</v>
      </c>
      <c r="H18" s="1" t="s">
        <v>10</v>
      </c>
      <c r="I18" s="1" t="s">
        <v>93</v>
      </c>
      <c r="J18" s="3" t="s">
        <v>94</v>
      </c>
      <c r="K18" s="3">
        <v>1571</v>
      </c>
      <c r="L18" s="5">
        <v>1546</v>
      </c>
      <c r="M18" s="5">
        <v>1547</v>
      </c>
      <c r="N18" s="5">
        <v>1546</v>
      </c>
      <c r="O18" s="5">
        <v>1548</v>
      </c>
      <c r="P18" s="30">
        <v>1547</v>
      </c>
      <c r="Q18" s="15">
        <v>5.6</v>
      </c>
      <c r="R18" s="9">
        <v>34</v>
      </c>
      <c r="S18" s="8">
        <v>25</v>
      </c>
      <c r="T18" s="9">
        <v>171.7</v>
      </c>
      <c r="U18" s="9">
        <v>68.599999999999994</v>
      </c>
      <c r="V18" s="10">
        <v>103.1</v>
      </c>
      <c r="W18" s="9">
        <v>20.2</v>
      </c>
      <c r="X18" s="11">
        <v>57</v>
      </c>
      <c r="Y18" s="12">
        <v>3.1773168000000003</v>
      </c>
      <c r="Z18" s="31">
        <v>9.9</v>
      </c>
      <c r="AA18" s="31">
        <v>9.9</v>
      </c>
      <c r="AB18" s="32">
        <v>72</v>
      </c>
      <c r="AC18" s="32">
        <v>72</v>
      </c>
      <c r="AD18" s="8" t="s">
        <v>6</v>
      </c>
      <c r="AE18" s="8" t="s">
        <v>53</v>
      </c>
      <c r="AF18" s="14" t="s">
        <v>61</v>
      </c>
    </row>
    <row r="19" spans="1:32" ht="15.75" x14ac:dyDescent="0.25">
      <c r="A19" s="1">
        <v>364</v>
      </c>
      <c r="B19" s="2">
        <v>45752</v>
      </c>
      <c r="C19" s="1" t="s">
        <v>264</v>
      </c>
      <c r="D19" s="1" t="s">
        <v>258</v>
      </c>
      <c r="E19" s="1">
        <v>1</v>
      </c>
      <c r="F19" s="1">
        <v>12504004</v>
      </c>
      <c r="G19" s="1">
        <v>1260</v>
      </c>
      <c r="H19" s="1" t="s">
        <v>10</v>
      </c>
      <c r="I19" s="1" t="s">
        <v>74</v>
      </c>
      <c r="J19" s="3" t="s">
        <v>95</v>
      </c>
      <c r="K19" s="3">
        <v>1570</v>
      </c>
      <c r="L19" s="5">
        <v>1546</v>
      </c>
      <c r="M19" s="5">
        <v>1546</v>
      </c>
      <c r="N19" s="5">
        <v>1545</v>
      </c>
      <c r="O19" s="5">
        <v>1544</v>
      </c>
      <c r="P19" s="30">
        <v>1545</v>
      </c>
      <c r="Q19" s="15">
        <v>5.7</v>
      </c>
      <c r="R19" s="9">
        <v>37</v>
      </c>
      <c r="S19" s="8">
        <v>33</v>
      </c>
      <c r="T19" s="9">
        <v>177.4</v>
      </c>
      <c r="U19" s="9">
        <v>61.7</v>
      </c>
      <c r="V19" s="10">
        <v>115.7</v>
      </c>
      <c r="W19" s="9">
        <v>19</v>
      </c>
      <c r="X19" s="11">
        <v>57</v>
      </c>
      <c r="Y19" s="12">
        <v>3.2340546000000003</v>
      </c>
      <c r="Z19" s="31">
        <v>9.6999999999999993</v>
      </c>
      <c r="AA19" s="31">
        <v>9.1</v>
      </c>
      <c r="AB19" s="32">
        <v>72</v>
      </c>
      <c r="AC19" s="32">
        <v>68</v>
      </c>
      <c r="AD19" s="8" t="s">
        <v>6</v>
      </c>
      <c r="AE19" s="8" t="s">
        <v>53</v>
      </c>
      <c r="AF19" s="14" t="s">
        <v>96</v>
      </c>
    </row>
    <row r="20" spans="1:32" ht="15.75" x14ac:dyDescent="0.25">
      <c r="A20" s="1">
        <v>398</v>
      </c>
      <c r="B20" s="2">
        <v>45752</v>
      </c>
      <c r="C20" s="1" t="s">
        <v>0</v>
      </c>
      <c r="D20" s="1" t="s">
        <v>265</v>
      </c>
      <c r="E20" s="1">
        <v>2</v>
      </c>
      <c r="F20" s="1">
        <v>22504004</v>
      </c>
      <c r="G20" s="1">
        <v>1260</v>
      </c>
      <c r="H20" s="1" t="s">
        <v>10</v>
      </c>
      <c r="I20" s="1" t="s">
        <v>77</v>
      </c>
      <c r="J20" s="3" t="s">
        <v>97</v>
      </c>
      <c r="K20" s="3">
        <v>1570</v>
      </c>
      <c r="L20" s="3">
        <v>1546</v>
      </c>
      <c r="M20" s="5">
        <v>1547</v>
      </c>
      <c r="N20" s="5">
        <v>1545</v>
      </c>
      <c r="O20" s="5">
        <v>1546</v>
      </c>
      <c r="P20" s="30">
        <v>1546</v>
      </c>
      <c r="Q20" s="15">
        <v>5.2</v>
      </c>
      <c r="R20" s="9">
        <v>30</v>
      </c>
      <c r="S20" s="17">
        <v>35</v>
      </c>
      <c r="T20" s="9" t="s">
        <v>5</v>
      </c>
      <c r="U20" s="9" t="s">
        <v>5</v>
      </c>
      <c r="V20" s="9" t="s">
        <v>5</v>
      </c>
      <c r="W20" s="17">
        <v>15.2</v>
      </c>
      <c r="X20" s="11">
        <v>58</v>
      </c>
      <c r="Y20" s="12">
        <v>3.0021264000000003</v>
      </c>
      <c r="Z20" s="31">
        <v>9.3000000000000007</v>
      </c>
      <c r="AA20" s="31">
        <v>9.1</v>
      </c>
      <c r="AB20" s="32">
        <v>77</v>
      </c>
      <c r="AC20" s="32">
        <v>77</v>
      </c>
      <c r="AD20" s="17" t="s">
        <v>6</v>
      </c>
      <c r="AE20" s="42" t="s">
        <v>53</v>
      </c>
      <c r="AF20" s="14" t="s">
        <v>58</v>
      </c>
    </row>
    <row r="21" spans="1:32" ht="15.75" x14ac:dyDescent="0.25">
      <c r="A21" s="1">
        <v>486</v>
      </c>
      <c r="B21" s="2">
        <v>45753</v>
      </c>
      <c r="C21" s="1" t="s">
        <v>0</v>
      </c>
      <c r="D21" s="1" t="s">
        <v>265</v>
      </c>
      <c r="E21" s="1">
        <v>2</v>
      </c>
      <c r="F21" s="1">
        <v>22504005</v>
      </c>
      <c r="G21" s="1">
        <v>1230</v>
      </c>
      <c r="H21" s="1" t="s">
        <v>10</v>
      </c>
      <c r="I21" s="1" t="s">
        <v>98</v>
      </c>
      <c r="J21" s="1" t="s">
        <v>99</v>
      </c>
      <c r="K21" s="4">
        <v>1598</v>
      </c>
      <c r="L21" s="5">
        <v>1571</v>
      </c>
      <c r="M21" s="5">
        <v>1570</v>
      </c>
      <c r="N21" s="5">
        <v>1570</v>
      </c>
      <c r="O21" s="5">
        <v>1570</v>
      </c>
      <c r="P21" s="30">
        <v>1570</v>
      </c>
      <c r="Q21" s="7">
        <v>3.4</v>
      </c>
      <c r="R21" s="4">
        <v>47</v>
      </c>
      <c r="S21" s="8">
        <v>17</v>
      </c>
      <c r="T21" s="9" t="s">
        <v>5</v>
      </c>
      <c r="U21" s="9" t="s">
        <v>5</v>
      </c>
      <c r="V21" s="10" t="s">
        <v>5</v>
      </c>
      <c r="W21" s="9" t="s">
        <v>100</v>
      </c>
      <c r="X21" s="11">
        <v>58</v>
      </c>
      <c r="Y21" s="12">
        <v>1.9161924000000001</v>
      </c>
      <c r="Z21" s="7">
        <v>8</v>
      </c>
      <c r="AA21" s="7">
        <v>7.8</v>
      </c>
      <c r="AB21" s="13">
        <v>77</v>
      </c>
      <c r="AC21" s="13">
        <v>77</v>
      </c>
      <c r="AD21" s="17" t="s">
        <v>6</v>
      </c>
      <c r="AE21" s="42" t="s">
        <v>72</v>
      </c>
      <c r="AF21" s="14" t="s">
        <v>96</v>
      </c>
    </row>
    <row r="22" spans="1:32" ht="31.5" x14ac:dyDescent="0.25">
      <c r="A22" s="1">
        <v>487</v>
      </c>
      <c r="B22" s="2">
        <v>45753</v>
      </c>
      <c r="C22" s="1" t="s">
        <v>0</v>
      </c>
      <c r="D22" s="1" t="s">
        <v>265</v>
      </c>
      <c r="E22" s="1">
        <v>2</v>
      </c>
      <c r="F22" s="1">
        <v>22504005</v>
      </c>
      <c r="G22" s="1">
        <v>1230</v>
      </c>
      <c r="H22" s="1" t="s">
        <v>10</v>
      </c>
      <c r="I22" s="1" t="s">
        <v>86</v>
      </c>
      <c r="J22" s="1" t="s">
        <v>101</v>
      </c>
      <c r="K22" s="4">
        <v>1570</v>
      </c>
      <c r="L22" s="5">
        <v>1559</v>
      </c>
      <c r="M22" s="5">
        <v>1545</v>
      </c>
      <c r="N22" s="5">
        <v>1542</v>
      </c>
      <c r="O22" s="5">
        <v>1542</v>
      </c>
      <c r="P22" s="30">
        <v>1543</v>
      </c>
      <c r="Q22" s="7">
        <v>4.5999999999999996</v>
      </c>
      <c r="R22" s="4">
        <v>37</v>
      </c>
      <c r="S22" s="8">
        <v>23</v>
      </c>
      <c r="T22" s="9" t="s">
        <v>5</v>
      </c>
      <c r="U22" s="9" t="s">
        <v>5</v>
      </c>
      <c r="V22" s="10" t="s">
        <v>5</v>
      </c>
      <c r="W22" s="9">
        <v>19</v>
      </c>
      <c r="X22" s="11">
        <v>58</v>
      </c>
      <c r="Y22" s="12">
        <v>2.5924955999999999</v>
      </c>
      <c r="Z22" s="7">
        <v>9.1</v>
      </c>
      <c r="AA22" s="7">
        <v>8.8000000000000007</v>
      </c>
      <c r="AB22" s="13">
        <v>76</v>
      </c>
      <c r="AC22" s="13">
        <v>73</v>
      </c>
      <c r="AD22" s="17" t="s">
        <v>6</v>
      </c>
      <c r="AE22" s="42" t="s">
        <v>53</v>
      </c>
      <c r="AF22" s="14" t="s">
        <v>102</v>
      </c>
    </row>
    <row r="23" spans="1:32" ht="31.5" x14ac:dyDescent="0.25">
      <c r="A23" s="1">
        <v>495</v>
      </c>
      <c r="B23" s="2">
        <v>45754</v>
      </c>
      <c r="C23" s="1" t="s">
        <v>18</v>
      </c>
      <c r="D23" s="1" t="s">
        <v>19</v>
      </c>
      <c r="E23" s="1">
        <v>1</v>
      </c>
      <c r="F23" s="1">
        <v>12504005</v>
      </c>
      <c r="G23" s="1">
        <v>1230</v>
      </c>
      <c r="H23" s="1" t="s">
        <v>10</v>
      </c>
      <c r="I23" s="1" t="s">
        <v>103</v>
      </c>
      <c r="J23" s="3" t="s">
        <v>104</v>
      </c>
      <c r="K23" s="3">
        <v>1569</v>
      </c>
      <c r="L23" s="5">
        <v>1551</v>
      </c>
      <c r="M23" s="5">
        <v>1547</v>
      </c>
      <c r="N23" s="5">
        <v>1546</v>
      </c>
      <c r="O23" s="5">
        <v>1545</v>
      </c>
      <c r="P23" s="30">
        <v>1546</v>
      </c>
      <c r="Q23" s="15">
        <v>5.2</v>
      </c>
      <c r="R23" s="9">
        <v>37</v>
      </c>
      <c r="S23" s="8">
        <v>33</v>
      </c>
      <c r="T23" s="9">
        <v>172</v>
      </c>
      <c r="U23" s="9">
        <v>62</v>
      </c>
      <c r="V23" s="10">
        <v>110</v>
      </c>
      <c r="W23" s="11" t="s">
        <v>5</v>
      </c>
      <c r="X23" s="11">
        <v>57</v>
      </c>
      <c r="Y23" s="12">
        <v>2.8801188000000004</v>
      </c>
      <c r="Z23" s="31">
        <v>10.9</v>
      </c>
      <c r="AA23" s="31">
        <v>11.5</v>
      </c>
      <c r="AB23" s="32">
        <v>82</v>
      </c>
      <c r="AC23" s="32">
        <v>84</v>
      </c>
      <c r="AD23" s="8" t="s">
        <v>6</v>
      </c>
      <c r="AE23" s="8" t="s">
        <v>53</v>
      </c>
      <c r="AF23" s="14" t="s">
        <v>105</v>
      </c>
    </row>
    <row r="24" spans="1:32" ht="15.75" x14ac:dyDescent="0.25">
      <c r="A24" s="1">
        <v>509</v>
      </c>
      <c r="B24" s="2">
        <v>45754</v>
      </c>
      <c r="C24" s="1" t="s">
        <v>18</v>
      </c>
      <c r="D24" s="1" t="s">
        <v>19</v>
      </c>
      <c r="E24" s="1">
        <v>2</v>
      </c>
      <c r="F24" s="1">
        <v>22504005</v>
      </c>
      <c r="G24" s="1">
        <v>1230</v>
      </c>
      <c r="H24" s="1" t="s">
        <v>10</v>
      </c>
      <c r="I24" s="1" t="s">
        <v>74</v>
      </c>
      <c r="J24" s="3" t="s">
        <v>106</v>
      </c>
      <c r="K24" s="3">
        <v>1570</v>
      </c>
      <c r="L24" s="5">
        <v>1545</v>
      </c>
      <c r="M24" s="5">
        <v>1545</v>
      </c>
      <c r="N24" s="5">
        <v>1544</v>
      </c>
      <c r="O24" s="5">
        <v>1541</v>
      </c>
      <c r="P24" s="30">
        <v>1543.3333333333333</v>
      </c>
      <c r="Q24" s="15">
        <v>5.5</v>
      </c>
      <c r="R24" s="9">
        <v>34</v>
      </c>
      <c r="S24" s="9">
        <v>29</v>
      </c>
      <c r="T24" s="9" t="s">
        <v>5</v>
      </c>
      <c r="U24" s="9" t="s">
        <v>5</v>
      </c>
      <c r="V24" s="9" t="s">
        <v>5</v>
      </c>
      <c r="W24" s="9">
        <v>18.100000000000001</v>
      </c>
      <c r="X24" s="11">
        <v>58</v>
      </c>
      <c r="Y24" s="12">
        <v>3.099723</v>
      </c>
      <c r="Z24" s="31">
        <v>8.1999999999999993</v>
      </c>
      <c r="AA24" s="31">
        <v>8.8000000000000007</v>
      </c>
      <c r="AB24" s="32">
        <v>81</v>
      </c>
      <c r="AC24" s="32">
        <v>78</v>
      </c>
      <c r="AD24" s="8" t="s">
        <v>6</v>
      </c>
      <c r="AE24" s="8" t="s">
        <v>53</v>
      </c>
      <c r="AF24" s="14" t="s">
        <v>68</v>
      </c>
    </row>
    <row r="25" spans="1:32" ht="15.75" x14ac:dyDescent="0.25">
      <c r="A25" s="1">
        <v>594</v>
      </c>
      <c r="B25" s="2">
        <v>45755</v>
      </c>
      <c r="C25" s="1" t="s">
        <v>0</v>
      </c>
      <c r="D25" s="1" t="s">
        <v>265</v>
      </c>
      <c r="E25" s="1">
        <v>2</v>
      </c>
      <c r="F25" s="1">
        <v>22504006</v>
      </c>
      <c r="G25" s="1">
        <v>1230</v>
      </c>
      <c r="H25" s="1" t="s">
        <v>10</v>
      </c>
      <c r="I25" s="1" t="s">
        <v>66</v>
      </c>
      <c r="J25" s="1" t="s">
        <v>107</v>
      </c>
      <c r="K25" s="4">
        <v>1570</v>
      </c>
      <c r="L25" s="5">
        <v>1545</v>
      </c>
      <c r="M25" s="5">
        <v>1541</v>
      </c>
      <c r="N25" s="5">
        <v>1539</v>
      </c>
      <c r="O25" s="5">
        <v>1541</v>
      </c>
      <c r="P25" s="6">
        <v>1540.3333333333333</v>
      </c>
      <c r="Q25" s="7">
        <v>5.7</v>
      </c>
      <c r="R25" s="4">
        <v>28</v>
      </c>
      <c r="S25" s="8">
        <v>31</v>
      </c>
      <c r="T25" s="9" t="s">
        <v>5</v>
      </c>
      <c r="U25" s="9" t="s">
        <v>5</v>
      </c>
      <c r="V25" s="9" t="s">
        <v>5</v>
      </c>
      <c r="W25" s="9">
        <v>13.3</v>
      </c>
      <c r="X25" s="11">
        <v>58</v>
      </c>
      <c r="Y25" s="12">
        <v>3.2124402000000001</v>
      </c>
      <c r="Z25" s="7">
        <v>11.6</v>
      </c>
      <c r="AA25" s="7">
        <v>10.3</v>
      </c>
      <c r="AB25" s="13">
        <v>89</v>
      </c>
      <c r="AC25" s="13">
        <v>87</v>
      </c>
      <c r="AD25" s="8" t="s">
        <v>6</v>
      </c>
      <c r="AE25" s="42" t="s">
        <v>13</v>
      </c>
      <c r="AF25" s="14" t="s">
        <v>96</v>
      </c>
    </row>
    <row r="26" spans="1:32" ht="47.25" x14ac:dyDescent="0.25">
      <c r="A26" s="1">
        <v>595</v>
      </c>
      <c r="B26" s="2">
        <v>45755</v>
      </c>
      <c r="C26" s="1" t="s">
        <v>0</v>
      </c>
      <c r="D26" s="1" t="s">
        <v>265</v>
      </c>
      <c r="E26" s="1">
        <v>2</v>
      </c>
      <c r="F26" s="1">
        <v>22504006</v>
      </c>
      <c r="G26" s="1">
        <v>1230</v>
      </c>
      <c r="H26" s="1" t="s">
        <v>10</v>
      </c>
      <c r="I26" s="1" t="s">
        <v>15</v>
      </c>
      <c r="J26" s="1" t="s">
        <v>108</v>
      </c>
      <c r="K26" s="4">
        <v>1570</v>
      </c>
      <c r="L26" s="5">
        <v>1546</v>
      </c>
      <c r="M26" s="5">
        <v>1545</v>
      </c>
      <c r="N26" s="5">
        <v>1548</v>
      </c>
      <c r="O26" s="5">
        <v>1547</v>
      </c>
      <c r="P26" s="6">
        <v>1546.6666666666667</v>
      </c>
      <c r="Q26" s="7">
        <v>4.9000000000000004</v>
      </c>
      <c r="R26" s="4">
        <v>33</v>
      </c>
      <c r="S26" s="8">
        <v>24</v>
      </c>
      <c r="T26" s="9" t="s">
        <v>5</v>
      </c>
      <c r="U26" s="9" t="s">
        <v>5</v>
      </c>
      <c r="V26" s="9" t="s">
        <v>5</v>
      </c>
      <c r="W26" s="9">
        <v>16.3</v>
      </c>
      <c r="X26" s="11">
        <v>58</v>
      </c>
      <c r="Y26" s="12">
        <v>2.7615714000000002</v>
      </c>
      <c r="Z26" s="7">
        <v>11.4</v>
      </c>
      <c r="AA26" s="7">
        <v>11.1</v>
      </c>
      <c r="AB26" s="13">
        <v>85</v>
      </c>
      <c r="AC26" s="13">
        <v>92</v>
      </c>
      <c r="AD26" s="8" t="s">
        <v>6</v>
      </c>
      <c r="AE26" s="42" t="s">
        <v>53</v>
      </c>
      <c r="AF26" s="14" t="s">
        <v>109</v>
      </c>
    </row>
    <row r="27" spans="1:32" ht="15.75" x14ac:dyDescent="0.25">
      <c r="A27" s="1">
        <v>674</v>
      </c>
      <c r="B27" s="2">
        <v>45756</v>
      </c>
      <c r="C27" s="1" t="s">
        <v>0</v>
      </c>
      <c r="D27" s="1" t="s">
        <v>265</v>
      </c>
      <c r="E27" s="1">
        <v>2</v>
      </c>
      <c r="F27" s="1">
        <v>22504007</v>
      </c>
      <c r="G27" s="1">
        <v>1260</v>
      </c>
      <c r="H27" s="1" t="s">
        <v>10</v>
      </c>
      <c r="I27" s="1" t="s">
        <v>110</v>
      </c>
      <c r="J27" s="1" t="s">
        <v>111</v>
      </c>
      <c r="K27" s="4">
        <v>1570</v>
      </c>
      <c r="L27" s="5">
        <v>1545</v>
      </c>
      <c r="M27" s="5">
        <v>1547</v>
      </c>
      <c r="N27" s="5">
        <v>1548</v>
      </c>
      <c r="O27" s="5">
        <v>1548</v>
      </c>
      <c r="P27" s="6">
        <v>1547.6666666666667</v>
      </c>
      <c r="Q27" s="7">
        <v>5.5</v>
      </c>
      <c r="R27" s="4">
        <v>30</v>
      </c>
      <c r="S27" s="8">
        <v>14</v>
      </c>
      <c r="T27" s="9" t="s">
        <v>5</v>
      </c>
      <c r="U27" s="9" t="s">
        <v>5</v>
      </c>
      <c r="V27" s="9" t="s">
        <v>5</v>
      </c>
      <c r="W27" s="9">
        <v>16</v>
      </c>
      <c r="X27" s="11">
        <v>58</v>
      </c>
      <c r="Y27" s="12">
        <v>3.1753260000000005</v>
      </c>
      <c r="Z27" s="7">
        <v>11.1</v>
      </c>
      <c r="AA27" s="7">
        <v>11.6</v>
      </c>
      <c r="AB27" s="13">
        <v>83</v>
      </c>
      <c r="AC27" s="13">
        <v>84</v>
      </c>
      <c r="AD27" s="8" t="s">
        <v>6</v>
      </c>
      <c r="AE27" s="42" t="s">
        <v>13</v>
      </c>
      <c r="AF27" s="14" t="s">
        <v>96</v>
      </c>
    </row>
    <row r="28" spans="1:32" ht="15.75" x14ac:dyDescent="0.25">
      <c r="A28" s="1">
        <v>676</v>
      </c>
      <c r="B28" s="2">
        <v>45756</v>
      </c>
      <c r="C28" s="1" t="s">
        <v>0</v>
      </c>
      <c r="D28" s="1" t="s">
        <v>265</v>
      </c>
      <c r="E28" s="1">
        <v>2</v>
      </c>
      <c r="F28" s="1">
        <v>22504007</v>
      </c>
      <c r="G28" s="1">
        <v>1260</v>
      </c>
      <c r="H28" s="1" t="s">
        <v>10</v>
      </c>
      <c r="I28" s="1" t="s">
        <v>83</v>
      </c>
      <c r="J28" s="1" t="s">
        <v>112</v>
      </c>
      <c r="K28" s="4">
        <v>1569</v>
      </c>
      <c r="L28" s="5">
        <v>1544</v>
      </c>
      <c r="M28" s="5">
        <v>1545</v>
      </c>
      <c r="N28" s="5">
        <v>1542</v>
      </c>
      <c r="O28" s="5">
        <v>1542</v>
      </c>
      <c r="P28" s="6">
        <v>1543</v>
      </c>
      <c r="Q28" s="7">
        <v>4.9000000000000004</v>
      </c>
      <c r="R28" s="4">
        <v>31</v>
      </c>
      <c r="S28" s="8">
        <v>18</v>
      </c>
      <c r="T28" s="9" t="s">
        <v>5</v>
      </c>
      <c r="U28" s="9" t="s">
        <v>5</v>
      </c>
      <c r="V28" s="9" t="s">
        <v>5</v>
      </c>
      <c r="W28" s="9">
        <v>15.9</v>
      </c>
      <c r="X28" s="11">
        <v>58</v>
      </c>
      <c r="Y28" s="12">
        <v>2.8289268000000005</v>
      </c>
      <c r="Z28" s="7">
        <v>11.4</v>
      </c>
      <c r="AA28" s="7">
        <v>11</v>
      </c>
      <c r="AB28" s="13">
        <v>87</v>
      </c>
      <c r="AC28" s="13">
        <v>82</v>
      </c>
      <c r="AD28" s="8" t="s">
        <v>6</v>
      </c>
      <c r="AE28" s="42" t="s">
        <v>13</v>
      </c>
      <c r="AF28" s="14" t="s">
        <v>58</v>
      </c>
    </row>
    <row r="29" spans="1:32" ht="15.75" x14ac:dyDescent="0.25">
      <c r="A29" s="1">
        <v>677</v>
      </c>
      <c r="B29" s="2">
        <v>45756</v>
      </c>
      <c r="C29" s="1" t="s">
        <v>0</v>
      </c>
      <c r="D29" s="1" t="s">
        <v>265</v>
      </c>
      <c r="E29" s="1">
        <v>2</v>
      </c>
      <c r="F29" s="1">
        <v>22504007</v>
      </c>
      <c r="G29" s="1">
        <v>1260</v>
      </c>
      <c r="H29" s="1" t="s">
        <v>10</v>
      </c>
      <c r="I29" s="1" t="s">
        <v>113</v>
      </c>
      <c r="J29" s="1" t="s">
        <v>114</v>
      </c>
      <c r="K29" s="4">
        <v>1570</v>
      </c>
      <c r="L29" s="5">
        <v>1548</v>
      </c>
      <c r="M29" s="5">
        <v>1550</v>
      </c>
      <c r="N29" s="5">
        <v>1550</v>
      </c>
      <c r="O29" s="5">
        <v>1551</v>
      </c>
      <c r="P29" s="6">
        <v>1550.3333333333333</v>
      </c>
      <c r="Q29" s="7">
        <v>5.3</v>
      </c>
      <c r="R29" s="4">
        <v>28</v>
      </c>
      <c r="S29" s="8">
        <v>23</v>
      </c>
      <c r="T29" s="9" t="s">
        <v>5</v>
      </c>
      <c r="U29" s="9" t="s">
        <v>5</v>
      </c>
      <c r="V29" s="9" t="s">
        <v>5</v>
      </c>
      <c r="W29" s="9">
        <v>14</v>
      </c>
      <c r="X29" s="11">
        <v>58</v>
      </c>
      <c r="Y29" s="12">
        <v>3.0598596000000002</v>
      </c>
      <c r="Z29" s="7">
        <v>11</v>
      </c>
      <c r="AA29" s="7">
        <v>11</v>
      </c>
      <c r="AB29" s="13">
        <v>87</v>
      </c>
      <c r="AC29" s="13">
        <v>84</v>
      </c>
      <c r="AD29" s="8" t="s">
        <v>6</v>
      </c>
      <c r="AE29" s="42" t="s">
        <v>13</v>
      </c>
      <c r="AF29" s="14" t="s">
        <v>58</v>
      </c>
    </row>
    <row r="30" spans="1:32" ht="31.5" x14ac:dyDescent="0.25">
      <c r="A30" s="1">
        <v>680</v>
      </c>
      <c r="B30" s="2">
        <v>45756</v>
      </c>
      <c r="C30" s="1" t="s">
        <v>0</v>
      </c>
      <c r="D30" s="1" t="s">
        <v>265</v>
      </c>
      <c r="E30" s="1">
        <v>2</v>
      </c>
      <c r="F30" s="1">
        <v>22504007</v>
      </c>
      <c r="G30" s="1">
        <v>1260</v>
      </c>
      <c r="H30" s="1" t="s">
        <v>10</v>
      </c>
      <c r="I30" s="1" t="s">
        <v>80</v>
      </c>
      <c r="J30" s="1" t="s">
        <v>115</v>
      </c>
      <c r="K30" s="4">
        <v>1575</v>
      </c>
      <c r="L30" s="5">
        <v>1549</v>
      </c>
      <c r="M30" s="5">
        <v>1548</v>
      </c>
      <c r="N30" s="5">
        <v>1547</v>
      </c>
      <c r="O30" s="5">
        <v>1545</v>
      </c>
      <c r="P30" s="6">
        <v>1546.6666666666667</v>
      </c>
      <c r="Q30" s="7">
        <v>4.9000000000000004</v>
      </c>
      <c r="R30" s="4">
        <v>31</v>
      </c>
      <c r="S30" s="8">
        <v>31</v>
      </c>
      <c r="T30" s="9" t="s">
        <v>5</v>
      </c>
      <c r="U30" s="9" t="s">
        <v>5</v>
      </c>
      <c r="V30" s="9" t="s">
        <v>5</v>
      </c>
      <c r="W30" s="9">
        <v>15.7</v>
      </c>
      <c r="X30" s="11">
        <v>58</v>
      </c>
      <c r="Y30" s="12">
        <v>2.8289268000000005</v>
      </c>
      <c r="Z30" s="7">
        <v>11</v>
      </c>
      <c r="AA30" s="7">
        <v>11.5</v>
      </c>
      <c r="AB30" s="13">
        <v>90</v>
      </c>
      <c r="AC30" s="13">
        <v>95</v>
      </c>
      <c r="AD30" s="8" t="s">
        <v>6</v>
      </c>
      <c r="AE30" s="42" t="s">
        <v>13</v>
      </c>
      <c r="AF30" s="14" t="s">
        <v>116</v>
      </c>
    </row>
    <row r="31" spans="1:32" ht="31.5" x14ac:dyDescent="0.25">
      <c r="A31" s="1">
        <v>752</v>
      </c>
      <c r="B31" s="2">
        <v>45757</v>
      </c>
      <c r="C31" s="1" t="s">
        <v>0</v>
      </c>
      <c r="D31" s="1" t="s">
        <v>265</v>
      </c>
      <c r="E31" s="1">
        <v>1</v>
      </c>
      <c r="F31" s="1">
        <v>12504009</v>
      </c>
      <c r="G31" s="1">
        <v>1180</v>
      </c>
      <c r="H31" s="1" t="s">
        <v>10</v>
      </c>
      <c r="I31" s="1" t="s">
        <v>98</v>
      </c>
      <c r="J31" s="1" t="s">
        <v>117</v>
      </c>
      <c r="K31" s="4">
        <v>1595</v>
      </c>
      <c r="L31" s="5">
        <v>1565</v>
      </c>
      <c r="M31" s="5">
        <v>1565</v>
      </c>
      <c r="N31" s="5">
        <v>1563</v>
      </c>
      <c r="O31" s="5">
        <v>1563</v>
      </c>
      <c r="P31" s="6">
        <v>1563.6666666666667</v>
      </c>
      <c r="Q31" s="7">
        <v>4.3</v>
      </c>
      <c r="R31" s="4">
        <v>42</v>
      </c>
      <c r="S31" s="8">
        <v>24</v>
      </c>
      <c r="T31" s="9">
        <v>163.72</v>
      </c>
      <c r="U31" s="9">
        <v>62</v>
      </c>
      <c r="V31" s="10">
        <v>101.72</v>
      </c>
      <c r="W31" s="17" t="s">
        <v>100</v>
      </c>
      <c r="X31" s="11">
        <v>58</v>
      </c>
      <c r="Y31" s="12">
        <v>2.3249067999999999</v>
      </c>
      <c r="Z31" s="7">
        <v>8.9</v>
      </c>
      <c r="AA31" s="7">
        <v>6.4</v>
      </c>
      <c r="AB31" s="13">
        <v>73</v>
      </c>
      <c r="AC31" s="13">
        <v>53</v>
      </c>
      <c r="AD31" s="8" t="s">
        <v>6</v>
      </c>
      <c r="AE31" s="42" t="s">
        <v>72</v>
      </c>
      <c r="AF31" s="14" t="s">
        <v>118</v>
      </c>
    </row>
    <row r="32" spans="1:32" ht="15.75" x14ac:dyDescent="0.25">
      <c r="A32" s="1">
        <v>767</v>
      </c>
      <c r="B32" s="2">
        <v>45757</v>
      </c>
      <c r="C32" s="1" t="s">
        <v>0</v>
      </c>
      <c r="D32" s="1" t="s">
        <v>265</v>
      </c>
      <c r="E32" s="1">
        <v>2</v>
      </c>
      <c r="F32" s="1">
        <v>22504008</v>
      </c>
      <c r="G32" s="1">
        <v>1180</v>
      </c>
      <c r="H32" s="1" t="s">
        <v>119</v>
      </c>
      <c r="I32" s="1" t="s">
        <v>120</v>
      </c>
      <c r="J32" s="1" t="s">
        <v>121</v>
      </c>
      <c r="K32" s="4">
        <v>1567</v>
      </c>
      <c r="L32" s="5">
        <v>1541</v>
      </c>
      <c r="M32" s="5">
        <v>1541</v>
      </c>
      <c r="N32" s="5">
        <v>1541</v>
      </c>
      <c r="O32" s="5">
        <v>1541</v>
      </c>
      <c r="P32" s="6">
        <v>1541</v>
      </c>
      <c r="Q32" s="7">
        <v>5.7</v>
      </c>
      <c r="R32" s="4">
        <v>32</v>
      </c>
      <c r="S32" s="8" t="s">
        <v>5</v>
      </c>
      <c r="T32" s="9" t="s">
        <v>5</v>
      </c>
      <c r="U32" s="9" t="s">
        <v>5</v>
      </c>
      <c r="V32" s="9" t="s">
        <v>5</v>
      </c>
      <c r="W32" s="9">
        <v>17.5</v>
      </c>
      <c r="X32" s="11">
        <v>58</v>
      </c>
      <c r="Y32" s="12">
        <v>3.0818532000000003</v>
      </c>
      <c r="Z32" s="7">
        <v>8.8000000000000007</v>
      </c>
      <c r="AA32" s="7">
        <v>9.1</v>
      </c>
      <c r="AB32" s="13">
        <v>79</v>
      </c>
      <c r="AC32" s="13">
        <v>81</v>
      </c>
      <c r="AD32" s="8" t="s">
        <v>6</v>
      </c>
      <c r="AE32" s="42" t="s">
        <v>13</v>
      </c>
      <c r="AF32" s="14" t="s">
        <v>68</v>
      </c>
    </row>
    <row r="33" spans="1:32" ht="31.5" x14ac:dyDescent="0.25">
      <c r="A33" s="1">
        <v>777</v>
      </c>
      <c r="B33" s="2">
        <v>45758</v>
      </c>
      <c r="C33" s="1" t="s">
        <v>18</v>
      </c>
      <c r="D33" s="1" t="s">
        <v>377</v>
      </c>
      <c r="E33" s="1">
        <v>1</v>
      </c>
      <c r="F33" s="1">
        <v>12504009</v>
      </c>
      <c r="G33" s="1">
        <v>1170</v>
      </c>
      <c r="H33" s="1" t="s">
        <v>10</v>
      </c>
      <c r="I33" s="1" t="s">
        <v>122</v>
      </c>
      <c r="J33" s="3" t="s">
        <v>123</v>
      </c>
      <c r="K33" s="3">
        <v>1572</v>
      </c>
      <c r="L33" s="5">
        <v>1540</v>
      </c>
      <c r="M33" s="5">
        <v>1546</v>
      </c>
      <c r="N33" s="5">
        <v>1543</v>
      </c>
      <c r="O33" s="5">
        <v>1540</v>
      </c>
      <c r="P33" s="6">
        <v>1543</v>
      </c>
      <c r="Q33" s="15">
        <v>5.4</v>
      </c>
      <c r="R33" s="9">
        <v>36</v>
      </c>
      <c r="S33" s="8">
        <v>25</v>
      </c>
      <c r="T33" s="9">
        <v>173</v>
      </c>
      <c r="U33" s="9">
        <v>65.5</v>
      </c>
      <c r="V33" s="10">
        <v>107.5</v>
      </c>
      <c r="W33" s="11" t="s">
        <v>5</v>
      </c>
      <c r="X33" s="11">
        <v>57</v>
      </c>
      <c r="Y33" s="12">
        <v>2.8449954000000006</v>
      </c>
      <c r="Z33" s="31">
        <v>10</v>
      </c>
      <c r="AA33" s="31">
        <v>7.5</v>
      </c>
      <c r="AB33" s="32">
        <v>70</v>
      </c>
      <c r="AC33" s="32">
        <v>53</v>
      </c>
      <c r="AD33" s="8" t="s">
        <v>6</v>
      </c>
      <c r="AE33" s="8" t="s">
        <v>72</v>
      </c>
      <c r="AF33" s="14" t="s">
        <v>124</v>
      </c>
    </row>
    <row r="34" spans="1:32" ht="15.75" x14ac:dyDescent="0.25">
      <c r="A34" s="1">
        <v>783</v>
      </c>
      <c r="B34" s="2">
        <v>45758</v>
      </c>
      <c r="C34" s="1" t="s">
        <v>18</v>
      </c>
      <c r="D34" s="1" t="s">
        <v>377</v>
      </c>
      <c r="E34" s="1">
        <v>1</v>
      </c>
      <c r="F34" s="1">
        <v>12504009</v>
      </c>
      <c r="G34" s="1">
        <v>1170</v>
      </c>
      <c r="H34" s="1" t="s">
        <v>10</v>
      </c>
      <c r="I34" s="1" t="s">
        <v>120</v>
      </c>
      <c r="J34" s="3" t="s">
        <v>125</v>
      </c>
      <c r="K34" s="3">
        <v>1568</v>
      </c>
      <c r="L34" s="5">
        <v>1542</v>
      </c>
      <c r="M34" s="5">
        <v>1544</v>
      </c>
      <c r="N34" s="5">
        <v>1546</v>
      </c>
      <c r="O34" s="5">
        <v>1542</v>
      </c>
      <c r="P34" s="6">
        <v>1544</v>
      </c>
      <c r="Q34" s="15">
        <v>5.6</v>
      </c>
      <c r="R34" s="9">
        <v>39</v>
      </c>
      <c r="S34" s="8">
        <v>33</v>
      </c>
      <c r="T34" s="9">
        <v>169.3</v>
      </c>
      <c r="U34" s="9">
        <v>60</v>
      </c>
      <c r="V34" s="10">
        <v>109.30000000000001</v>
      </c>
      <c r="W34" s="11" t="s">
        <v>5</v>
      </c>
      <c r="X34" s="11">
        <v>57</v>
      </c>
      <c r="Y34" s="12">
        <v>2.9503656</v>
      </c>
      <c r="Z34" s="31">
        <v>10.8</v>
      </c>
      <c r="AA34" s="31">
        <v>7.1</v>
      </c>
      <c r="AB34" s="32">
        <v>78</v>
      </c>
      <c r="AC34" s="32">
        <v>54</v>
      </c>
      <c r="AD34" s="8" t="s">
        <v>6</v>
      </c>
      <c r="AE34" s="8" t="s">
        <v>72</v>
      </c>
      <c r="AF34" s="14" t="s">
        <v>68</v>
      </c>
    </row>
    <row r="35" spans="1:32" ht="15.75" x14ac:dyDescent="0.25">
      <c r="A35" s="1">
        <v>789</v>
      </c>
      <c r="B35" s="2">
        <v>45758</v>
      </c>
      <c r="C35" s="1" t="s">
        <v>18</v>
      </c>
      <c r="D35" s="1" t="s">
        <v>377</v>
      </c>
      <c r="E35" s="1">
        <v>2</v>
      </c>
      <c r="F35" s="1">
        <v>22504008</v>
      </c>
      <c r="G35" s="1">
        <v>1170</v>
      </c>
      <c r="H35" s="1" t="s">
        <v>10</v>
      </c>
      <c r="I35" s="1" t="s">
        <v>126</v>
      </c>
      <c r="J35" s="3" t="s">
        <v>127</v>
      </c>
      <c r="K35" s="3">
        <v>1568</v>
      </c>
      <c r="L35" s="5">
        <v>1546</v>
      </c>
      <c r="M35" s="5">
        <v>1546</v>
      </c>
      <c r="N35" s="5">
        <v>1545</v>
      </c>
      <c r="O35" s="5">
        <v>1543</v>
      </c>
      <c r="P35" s="6">
        <v>1544.6666666666667</v>
      </c>
      <c r="Q35" s="15">
        <v>5.8</v>
      </c>
      <c r="R35" s="9">
        <v>32</v>
      </c>
      <c r="S35" s="9">
        <v>22</v>
      </c>
      <c r="T35" s="9" t="s">
        <v>5</v>
      </c>
      <c r="U35" s="9" t="s">
        <v>5</v>
      </c>
      <c r="V35" s="9" t="s">
        <v>5</v>
      </c>
      <c r="W35" s="9">
        <v>11.8</v>
      </c>
      <c r="X35" s="11">
        <v>58</v>
      </c>
      <c r="Y35" s="12">
        <v>3.1093451999999995</v>
      </c>
      <c r="Z35" s="31">
        <v>10.4</v>
      </c>
      <c r="AA35" s="31">
        <v>10.199999999999999</v>
      </c>
      <c r="AB35" s="32">
        <v>87</v>
      </c>
      <c r="AC35" s="32">
        <v>85</v>
      </c>
      <c r="AD35" s="8" t="s">
        <v>6</v>
      </c>
      <c r="AE35" s="8" t="s">
        <v>128</v>
      </c>
      <c r="AF35" s="14" t="s">
        <v>68</v>
      </c>
    </row>
    <row r="36" spans="1:32" ht="15.75" x14ac:dyDescent="0.25">
      <c r="A36" s="1">
        <v>797</v>
      </c>
      <c r="B36" s="2">
        <v>45758</v>
      </c>
      <c r="C36" s="1" t="s">
        <v>18</v>
      </c>
      <c r="D36" s="1" t="s">
        <v>377</v>
      </c>
      <c r="E36" s="1">
        <v>2</v>
      </c>
      <c r="F36" s="1">
        <v>22504008</v>
      </c>
      <c r="G36" s="1">
        <v>1170</v>
      </c>
      <c r="H36" s="1" t="s">
        <v>62</v>
      </c>
      <c r="I36" s="1" t="s">
        <v>129</v>
      </c>
      <c r="J36" s="3" t="s">
        <v>130</v>
      </c>
      <c r="K36" s="3">
        <v>1570</v>
      </c>
      <c r="L36" s="5">
        <v>1554</v>
      </c>
      <c r="M36" s="5">
        <v>1539</v>
      </c>
      <c r="N36" s="5">
        <v>1538</v>
      </c>
      <c r="O36" s="5" t="s">
        <v>5</v>
      </c>
      <c r="P36" s="6">
        <v>1538.5</v>
      </c>
      <c r="Q36" s="15">
        <v>5.4</v>
      </c>
      <c r="R36" s="9">
        <v>38</v>
      </c>
      <c r="S36" s="9">
        <v>18</v>
      </c>
      <c r="T36" s="9" t="s">
        <v>5</v>
      </c>
      <c r="U36" s="9" t="s">
        <v>5</v>
      </c>
      <c r="V36" s="9" t="s">
        <v>5</v>
      </c>
      <c r="W36" s="9">
        <v>15.5</v>
      </c>
      <c r="X36" s="11">
        <v>58</v>
      </c>
      <c r="Y36" s="12">
        <v>2.8949075999999998</v>
      </c>
      <c r="Z36" s="31">
        <v>10.199999999999999</v>
      </c>
      <c r="AA36" s="31">
        <v>10.4</v>
      </c>
      <c r="AB36" s="32">
        <v>86</v>
      </c>
      <c r="AC36" s="32">
        <v>89</v>
      </c>
      <c r="AD36" s="8" t="s">
        <v>6</v>
      </c>
      <c r="AE36" s="42" t="s">
        <v>72</v>
      </c>
      <c r="AF36" s="14" t="s">
        <v>131</v>
      </c>
    </row>
    <row r="37" spans="1:32" ht="63" x14ac:dyDescent="0.25">
      <c r="A37" s="1">
        <v>827</v>
      </c>
      <c r="B37" s="2">
        <v>45758</v>
      </c>
      <c r="C37" s="1" t="s">
        <v>0</v>
      </c>
      <c r="D37" s="1" t="s">
        <v>19</v>
      </c>
      <c r="E37" s="1">
        <v>1</v>
      </c>
      <c r="F37" s="1">
        <v>12504010</v>
      </c>
      <c r="G37" s="1">
        <v>1170</v>
      </c>
      <c r="H37" s="1" t="s">
        <v>10</v>
      </c>
      <c r="I37" s="1" t="s">
        <v>132</v>
      </c>
      <c r="J37" s="3" t="s">
        <v>133</v>
      </c>
      <c r="K37" s="3">
        <v>1572</v>
      </c>
      <c r="L37" s="5">
        <v>1547</v>
      </c>
      <c r="M37" s="5">
        <v>1547</v>
      </c>
      <c r="N37" s="5">
        <v>1546</v>
      </c>
      <c r="O37" s="5">
        <v>1546</v>
      </c>
      <c r="P37" s="6">
        <v>1546.3333333333333</v>
      </c>
      <c r="Q37" s="15">
        <v>5</v>
      </c>
      <c r="R37" s="9">
        <v>33</v>
      </c>
      <c r="S37" s="8" t="s">
        <v>5</v>
      </c>
      <c r="T37" s="9">
        <v>155</v>
      </c>
      <c r="U37" s="9">
        <v>65</v>
      </c>
      <c r="V37" s="10">
        <v>90</v>
      </c>
      <c r="W37" s="17" t="s">
        <v>5</v>
      </c>
      <c r="X37" s="11">
        <v>57</v>
      </c>
      <c r="Y37" s="12">
        <v>2.6342550000000005</v>
      </c>
      <c r="Z37" s="31">
        <v>9.6999999999999993</v>
      </c>
      <c r="AA37" s="31">
        <v>8.5</v>
      </c>
      <c r="AB37" s="32">
        <v>81</v>
      </c>
      <c r="AC37" s="32">
        <v>73</v>
      </c>
      <c r="AD37" s="8" t="s">
        <v>6</v>
      </c>
      <c r="AE37" s="42" t="s">
        <v>53</v>
      </c>
      <c r="AF37" s="14" t="s">
        <v>134</v>
      </c>
    </row>
    <row r="38" spans="1:32" ht="31.5" x14ac:dyDescent="0.25">
      <c r="A38" s="1">
        <v>829</v>
      </c>
      <c r="B38" s="2">
        <v>45758</v>
      </c>
      <c r="C38" s="1" t="s">
        <v>0</v>
      </c>
      <c r="D38" s="1" t="s">
        <v>19</v>
      </c>
      <c r="E38" s="1">
        <v>1</v>
      </c>
      <c r="F38" s="1">
        <v>12504010</v>
      </c>
      <c r="G38" s="1">
        <v>1230</v>
      </c>
      <c r="H38" s="1" t="s">
        <v>10</v>
      </c>
      <c r="I38" s="1" t="s">
        <v>120</v>
      </c>
      <c r="J38" s="1" t="s">
        <v>135</v>
      </c>
      <c r="K38" s="9">
        <v>1570</v>
      </c>
      <c r="L38" s="5">
        <v>1552</v>
      </c>
      <c r="M38" s="5">
        <v>1555</v>
      </c>
      <c r="N38" s="5">
        <v>1554</v>
      </c>
      <c r="O38" s="5">
        <v>1550</v>
      </c>
      <c r="P38" s="6">
        <v>1553</v>
      </c>
      <c r="Q38" s="15">
        <v>5.2</v>
      </c>
      <c r="R38" s="9">
        <v>37</v>
      </c>
      <c r="S38" s="8">
        <v>8</v>
      </c>
      <c r="T38" s="9">
        <v>166</v>
      </c>
      <c r="U38" s="9">
        <v>62</v>
      </c>
      <c r="V38" s="10">
        <v>104</v>
      </c>
      <c r="W38" s="17" t="s">
        <v>5</v>
      </c>
      <c r="X38" s="11">
        <v>57</v>
      </c>
      <c r="Y38" s="12">
        <v>2.8801188000000004</v>
      </c>
      <c r="Z38" s="31">
        <v>10.5</v>
      </c>
      <c r="AA38" s="31">
        <v>10.3</v>
      </c>
      <c r="AB38" s="32">
        <v>81</v>
      </c>
      <c r="AC38" s="32">
        <v>76</v>
      </c>
      <c r="AD38" s="8" t="s">
        <v>6</v>
      </c>
      <c r="AE38" s="42" t="s">
        <v>53</v>
      </c>
      <c r="AF38" s="14" t="s">
        <v>136</v>
      </c>
    </row>
    <row r="39" spans="1:32" ht="15.75" x14ac:dyDescent="0.25">
      <c r="A39" s="1">
        <v>855</v>
      </c>
      <c r="B39" s="2">
        <v>45759</v>
      </c>
      <c r="C39" s="1" t="s">
        <v>18</v>
      </c>
      <c r="D39" s="1" t="s">
        <v>377</v>
      </c>
      <c r="E39" s="1">
        <v>1</v>
      </c>
      <c r="F39" s="1">
        <v>12504010</v>
      </c>
      <c r="G39" s="1">
        <v>1250</v>
      </c>
      <c r="H39" s="1" t="s">
        <v>10</v>
      </c>
      <c r="I39" s="1" t="s">
        <v>11</v>
      </c>
      <c r="J39" s="3" t="s">
        <v>137</v>
      </c>
      <c r="K39" s="3">
        <v>1570</v>
      </c>
      <c r="L39" s="5">
        <v>1544</v>
      </c>
      <c r="M39" s="5">
        <v>1544</v>
      </c>
      <c r="N39" s="5">
        <v>1546</v>
      </c>
      <c r="O39" s="5">
        <v>1547</v>
      </c>
      <c r="P39" s="6">
        <v>1545.6666666666667</v>
      </c>
      <c r="Q39" s="11">
        <v>5.6</v>
      </c>
      <c r="R39" s="11">
        <v>35</v>
      </c>
      <c r="S39" s="11">
        <v>23</v>
      </c>
      <c r="T39" s="11">
        <v>161</v>
      </c>
      <c r="U39" s="11">
        <v>61</v>
      </c>
      <c r="V39" s="10">
        <v>100</v>
      </c>
      <c r="W39" s="11">
        <v>16.8</v>
      </c>
      <c r="X39" s="11">
        <v>57</v>
      </c>
      <c r="Y39" s="12">
        <v>3.1520999999999999</v>
      </c>
      <c r="Z39" s="11">
        <v>11</v>
      </c>
      <c r="AA39" s="11">
        <v>11.2</v>
      </c>
      <c r="AB39" s="11">
        <v>80</v>
      </c>
      <c r="AC39" s="11">
        <v>85</v>
      </c>
      <c r="AD39" s="11" t="s">
        <v>6</v>
      </c>
      <c r="AE39" s="8" t="s">
        <v>53</v>
      </c>
      <c r="AF39" s="41" t="s">
        <v>61</v>
      </c>
    </row>
    <row r="40" spans="1:32" ht="63" x14ac:dyDescent="0.25">
      <c r="A40" s="1">
        <v>866</v>
      </c>
      <c r="B40" s="2">
        <v>45759</v>
      </c>
      <c r="C40" s="1" t="s">
        <v>18</v>
      </c>
      <c r="D40" s="1" t="s">
        <v>377</v>
      </c>
      <c r="E40" s="1">
        <v>1</v>
      </c>
      <c r="F40" s="1">
        <v>12504010</v>
      </c>
      <c r="G40" s="1">
        <v>1250</v>
      </c>
      <c r="H40" s="1" t="s">
        <v>10</v>
      </c>
      <c r="I40" s="1" t="s">
        <v>138</v>
      </c>
      <c r="J40" s="3" t="s">
        <v>139</v>
      </c>
      <c r="K40" s="3">
        <v>1570</v>
      </c>
      <c r="L40" s="5">
        <v>1544</v>
      </c>
      <c r="M40" s="5">
        <v>1544</v>
      </c>
      <c r="N40" s="5">
        <v>1544</v>
      </c>
      <c r="O40" s="5">
        <v>1543</v>
      </c>
      <c r="P40" s="6">
        <v>1543.6666666666667</v>
      </c>
      <c r="Q40" s="15">
        <v>5.5</v>
      </c>
      <c r="R40" s="9">
        <v>34</v>
      </c>
      <c r="S40" s="8">
        <v>31</v>
      </c>
      <c r="T40" s="9">
        <v>168.7</v>
      </c>
      <c r="U40" s="9">
        <v>61</v>
      </c>
      <c r="V40" s="10">
        <v>107.69999999999999</v>
      </c>
      <c r="W40" s="11">
        <v>9.1999999999999993</v>
      </c>
      <c r="X40" s="11">
        <v>57</v>
      </c>
      <c r="Y40" s="12">
        <v>3.0958125000000001</v>
      </c>
      <c r="Z40" s="31">
        <v>9.9</v>
      </c>
      <c r="AA40" s="31">
        <v>9</v>
      </c>
      <c r="AB40" s="32">
        <v>77</v>
      </c>
      <c r="AC40" s="32">
        <v>70</v>
      </c>
      <c r="AD40" s="8" t="s">
        <v>6</v>
      </c>
      <c r="AE40" s="42" t="s">
        <v>72</v>
      </c>
      <c r="AF40" s="14" t="s">
        <v>140</v>
      </c>
    </row>
    <row r="41" spans="1:32" ht="47.25" x14ac:dyDescent="0.25">
      <c r="A41" s="1">
        <v>874</v>
      </c>
      <c r="B41" s="2">
        <v>45759</v>
      </c>
      <c r="C41" s="1" t="s">
        <v>18</v>
      </c>
      <c r="D41" s="1" t="s">
        <v>377</v>
      </c>
      <c r="E41" s="1">
        <v>2</v>
      </c>
      <c r="F41" s="1">
        <v>22504009</v>
      </c>
      <c r="G41" s="1">
        <v>1250</v>
      </c>
      <c r="H41" s="1" t="s">
        <v>10</v>
      </c>
      <c r="I41" s="1" t="s">
        <v>103</v>
      </c>
      <c r="J41" s="3" t="s">
        <v>141</v>
      </c>
      <c r="K41" s="3">
        <v>1570</v>
      </c>
      <c r="L41" s="5">
        <v>1550</v>
      </c>
      <c r="M41" s="5">
        <v>1552</v>
      </c>
      <c r="N41" s="5">
        <v>1551</v>
      </c>
      <c r="O41" s="5" t="s">
        <v>5</v>
      </c>
      <c r="P41" s="6">
        <v>1551.5</v>
      </c>
      <c r="Q41" s="15">
        <v>5.5</v>
      </c>
      <c r="R41" s="9">
        <v>34</v>
      </c>
      <c r="S41" s="9">
        <v>25</v>
      </c>
      <c r="T41" s="9" t="s">
        <v>5</v>
      </c>
      <c r="U41" s="9" t="s">
        <v>5</v>
      </c>
      <c r="V41" s="9" t="s">
        <v>5</v>
      </c>
      <c r="W41" s="9">
        <v>14.8</v>
      </c>
      <c r="X41" s="11">
        <v>58</v>
      </c>
      <c r="Y41" s="12">
        <v>3.1501250000000001</v>
      </c>
      <c r="Z41" s="18">
        <v>9.4</v>
      </c>
      <c r="AA41" s="18">
        <v>9.6</v>
      </c>
      <c r="AB41" s="19">
        <v>78</v>
      </c>
      <c r="AC41" s="19">
        <v>80</v>
      </c>
      <c r="AD41" s="8" t="s">
        <v>6</v>
      </c>
      <c r="AE41" s="8" t="s">
        <v>13</v>
      </c>
      <c r="AF41" s="40" t="s">
        <v>142</v>
      </c>
    </row>
    <row r="42" spans="1:32" ht="47.25" x14ac:dyDescent="0.25">
      <c r="A42" s="1">
        <v>998</v>
      </c>
      <c r="B42" s="2">
        <v>45760</v>
      </c>
      <c r="C42" s="1" t="s">
        <v>264</v>
      </c>
      <c r="D42" s="1" t="s">
        <v>378</v>
      </c>
      <c r="E42" s="1">
        <v>2</v>
      </c>
      <c r="F42" s="1">
        <v>22504010</v>
      </c>
      <c r="G42" s="1">
        <v>1260</v>
      </c>
      <c r="H42" s="1" t="s">
        <v>2</v>
      </c>
      <c r="I42" s="1" t="s">
        <v>15</v>
      </c>
      <c r="J42" s="1" t="s">
        <v>143</v>
      </c>
      <c r="K42" s="9">
        <v>1585</v>
      </c>
      <c r="L42" s="5">
        <v>1545</v>
      </c>
      <c r="M42" s="5">
        <v>1552</v>
      </c>
      <c r="N42" s="5">
        <v>1551</v>
      </c>
      <c r="O42" s="5">
        <v>1550</v>
      </c>
      <c r="P42" s="6">
        <v>1551</v>
      </c>
      <c r="Q42" s="15">
        <v>4</v>
      </c>
      <c r="R42" s="9">
        <v>34</v>
      </c>
      <c r="S42" s="8">
        <v>26</v>
      </c>
      <c r="T42" s="9" t="s">
        <v>5</v>
      </c>
      <c r="U42" s="9" t="s">
        <v>5</v>
      </c>
      <c r="V42" s="9" t="s">
        <v>5</v>
      </c>
      <c r="W42" s="17" t="s">
        <v>5</v>
      </c>
      <c r="X42" s="11">
        <v>58</v>
      </c>
      <c r="Y42" s="12">
        <v>2.3093280000000003</v>
      </c>
      <c r="Z42" s="31">
        <v>10</v>
      </c>
      <c r="AA42" s="31">
        <v>8.6</v>
      </c>
      <c r="AB42" s="32">
        <v>80</v>
      </c>
      <c r="AC42" s="32">
        <v>70</v>
      </c>
      <c r="AD42" s="8" t="s">
        <v>6</v>
      </c>
      <c r="AE42" s="42" t="s">
        <v>7</v>
      </c>
      <c r="AF42" s="14" t="s">
        <v>144</v>
      </c>
    </row>
    <row r="43" spans="1:32" ht="15.75" x14ac:dyDescent="0.25">
      <c r="A43" s="1">
        <v>1001</v>
      </c>
      <c r="B43" s="2">
        <v>45760</v>
      </c>
      <c r="C43" s="1" t="s">
        <v>0</v>
      </c>
      <c r="D43" s="1" t="s">
        <v>19</v>
      </c>
      <c r="E43" s="1">
        <v>1</v>
      </c>
      <c r="F43" s="1">
        <v>12504011</v>
      </c>
      <c r="G43" s="1">
        <v>1260</v>
      </c>
      <c r="H43" s="1" t="s">
        <v>145</v>
      </c>
      <c r="I43" s="1" t="s">
        <v>146</v>
      </c>
      <c r="J43" s="1" t="s">
        <v>147</v>
      </c>
      <c r="K43" s="4">
        <v>1573</v>
      </c>
      <c r="L43" s="5">
        <v>1543</v>
      </c>
      <c r="M43" s="5">
        <v>1542</v>
      </c>
      <c r="N43" s="5">
        <v>1535</v>
      </c>
      <c r="O43" s="5">
        <v>1535</v>
      </c>
      <c r="P43" s="6">
        <v>1537.3333333333333</v>
      </c>
      <c r="Q43" s="7">
        <v>4</v>
      </c>
      <c r="R43" s="4">
        <v>41</v>
      </c>
      <c r="S43" s="8" t="s">
        <v>5</v>
      </c>
      <c r="T43" s="9">
        <v>165.6</v>
      </c>
      <c r="U43" s="9">
        <v>61.2</v>
      </c>
      <c r="V43" s="10">
        <v>104.39999999999999</v>
      </c>
      <c r="W43" s="9" t="s">
        <v>5</v>
      </c>
      <c r="X43" s="11">
        <v>58</v>
      </c>
      <c r="Y43" s="12">
        <v>2.3093280000000003</v>
      </c>
      <c r="Z43" s="7">
        <v>8.5</v>
      </c>
      <c r="AA43" s="7">
        <v>9.5</v>
      </c>
      <c r="AB43" s="13">
        <v>79</v>
      </c>
      <c r="AC43" s="13">
        <v>81</v>
      </c>
      <c r="AD43" s="8" t="s">
        <v>6</v>
      </c>
      <c r="AE43" s="42" t="s">
        <v>72</v>
      </c>
      <c r="AF43" s="14" t="s">
        <v>58</v>
      </c>
    </row>
    <row r="44" spans="1:32" ht="15.75" x14ac:dyDescent="0.25">
      <c r="A44" s="1">
        <v>1039</v>
      </c>
      <c r="B44" s="2">
        <v>45761</v>
      </c>
      <c r="C44" s="1" t="s">
        <v>18</v>
      </c>
      <c r="D44" s="1" t="s">
        <v>9</v>
      </c>
      <c r="E44" s="1">
        <v>1</v>
      </c>
      <c r="F44" s="1">
        <v>12504012</v>
      </c>
      <c r="G44" s="1">
        <v>1350</v>
      </c>
      <c r="H44" s="1" t="s">
        <v>55</v>
      </c>
      <c r="I44" s="1" t="s">
        <v>148</v>
      </c>
      <c r="J44" s="3" t="s">
        <v>149</v>
      </c>
      <c r="K44" s="3">
        <v>1568</v>
      </c>
      <c r="L44" s="5">
        <v>1549</v>
      </c>
      <c r="M44" s="5">
        <v>1551</v>
      </c>
      <c r="N44" s="5">
        <v>1548</v>
      </c>
      <c r="O44" s="5">
        <v>1548</v>
      </c>
      <c r="P44" s="6">
        <v>1549</v>
      </c>
      <c r="Q44" s="15">
        <v>5.4</v>
      </c>
      <c r="R44" s="9">
        <v>31</v>
      </c>
      <c r="S44" s="9">
        <v>24</v>
      </c>
      <c r="T44" s="9">
        <v>170.2</v>
      </c>
      <c r="U44" s="9">
        <v>64.099999999999994</v>
      </c>
      <c r="V44" s="10">
        <v>106.1</v>
      </c>
      <c r="W44" s="11" t="s">
        <v>5</v>
      </c>
      <c r="X44" s="11">
        <v>57</v>
      </c>
      <c r="Y44" s="12">
        <v>3.2826870000000006</v>
      </c>
      <c r="Z44" s="7">
        <v>9.6</v>
      </c>
      <c r="AA44" s="7">
        <v>11.1</v>
      </c>
      <c r="AB44" s="13">
        <v>68</v>
      </c>
      <c r="AC44" s="13">
        <v>84</v>
      </c>
      <c r="AD44" s="8" t="s">
        <v>6</v>
      </c>
      <c r="AE44" s="8" t="s">
        <v>53</v>
      </c>
      <c r="AF44" s="43" t="s">
        <v>58</v>
      </c>
    </row>
    <row r="45" spans="1:32" ht="31.5" x14ac:dyDescent="0.25">
      <c r="A45" s="1">
        <v>1052</v>
      </c>
      <c r="B45" s="2">
        <v>45761</v>
      </c>
      <c r="C45" s="1" t="s">
        <v>18</v>
      </c>
      <c r="D45" s="1" t="s">
        <v>9</v>
      </c>
      <c r="E45" s="1">
        <v>2</v>
      </c>
      <c r="F45" s="1">
        <v>22504011</v>
      </c>
      <c r="G45" s="1">
        <v>1340</v>
      </c>
      <c r="H45" s="1" t="s">
        <v>10</v>
      </c>
      <c r="I45" s="1" t="s">
        <v>70</v>
      </c>
      <c r="J45" s="3" t="s">
        <v>150</v>
      </c>
      <c r="K45" s="3">
        <v>1570</v>
      </c>
      <c r="L45" s="5">
        <v>1542</v>
      </c>
      <c r="M45" s="5">
        <v>1543</v>
      </c>
      <c r="N45" s="5">
        <v>1542</v>
      </c>
      <c r="O45" s="5">
        <v>1542</v>
      </c>
      <c r="P45" s="6">
        <v>1542.3333333333333</v>
      </c>
      <c r="Q45" s="15">
        <v>4.5</v>
      </c>
      <c r="R45" s="9">
        <v>38</v>
      </c>
      <c r="S45" s="8">
        <v>2</v>
      </c>
      <c r="T45" s="9" t="s">
        <v>5</v>
      </c>
      <c r="U45" s="9" t="s">
        <v>5</v>
      </c>
      <c r="V45" s="9" t="s">
        <v>5</v>
      </c>
      <c r="W45" s="9">
        <v>9.9</v>
      </c>
      <c r="X45" s="11">
        <v>58</v>
      </c>
      <c r="Y45" s="12">
        <v>2.7629459999999999</v>
      </c>
      <c r="Z45" s="31">
        <v>7.7</v>
      </c>
      <c r="AA45" s="31">
        <v>8.8000000000000007</v>
      </c>
      <c r="AB45" s="32">
        <v>63</v>
      </c>
      <c r="AC45" s="32">
        <v>68</v>
      </c>
      <c r="AD45" s="8" t="s">
        <v>6</v>
      </c>
      <c r="AE45" s="8" t="s">
        <v>72</v>
      </c>
      <c r="AF45" s="14" t="s">
        <v>151</v>
      </c>
    </row>
    <row r="46" spans="1:32" ht="15.75" x14ac:dyDescent="0.25">
      <c r="A46" s="1">
        <v>1055</v>
      </c>
      <c r="B46" s="2">
        <v>45761</v>
      </c>
      <c r="C46" s="1" t="s">
        <v>18</v>
      </c>
      <c r="D46" s="1" t="s">
        <v>9</v>
      </c>
      <c r="E46" s="1">
        <v>2</v>
      </c>
      <c r="F46" s="1">
        <v>22504011</v>
      </c>
      <c r="G46" s="1">
        <v>1340</v>
      </c>
      <c r="H46" s="1" t="s">
        <v>55</v>
      </c>
      <c r="I46" s="1" t="s">
        <v>152</v>
      </c>
      <c r="J46" s="3" t="s">
        <v>153</v>
      </c>
      <c r="K46" s="3">
        <v>1570</v>
      </c>
      <c r="L46" s="5">
        <v>1548</v>
      </c>
      <c r="M46" s="5">
        <v>1548</v>
      </c>
      <c r="N46" s="5">
        <v>1546</v>
      </c>
      <c r="O46" s="5">
        <v>1546</v>
      </c>
      <c r="P46" s="6">
        <v>1546.6666666666667</v>
      </c>
      <c r="Q46" s="15">
        <v>5.4</v>
      </c>
      <c r="R46" s="9">
        <v>26</v>
      </c>
      <c r="S46" s="8">
        <v>22</v>
      </c>
      <c r="T46" s="9" t="s">
        <v>5</v>
      </c>
      <c r="U46" s="9" t="s">
        <v>5</v>
      </c>
      <c r="V46" s="9" t="s">
        <v>5</v>
      </c>
      <c r="W46" s="9">
        <v>11.3</v>
      </c>
      <c r="X46" s="11">
        <v>58</v>
      </c>
      <c r="Y46" s="12">
        <v>3.3155352000000002</v>
      </c>
      <c r="Z46" s="31">
        <v>8.6</v>
      </c>
      <c r="AA46" s="31">
        <v>8.1</v>
      </c>
      <c r="AB46" s="32">
        <v>69</v>
      </c>
      <c r="AC46" s="32">
        <v>65</v>
      </c>
      <c r="AD46" s="8" t="s">
        <v>6</v>
      </c>
      <c r="AE46" s="8" t="s">
        <v>53</v>
      </c>
      <c r="AF46" s="14" t="s">
        <v>96</v>
      </c>
    </row>
    <row r="47" spans="1:32" ht="15.75" x14ac:dyDescent="0.25">
      <c r="A47" s="1">
        <v>1081</v>
      </c>
      <c r="B47" s="2">
        <v>45761</v>
      </c>
      <c r="C47" s="1" t="s">
        <v>264</v>
      </c>
      <c r="D47" s="1" t="s">
        <v>378</v>
      </c>
      <c r="E47" s="1">
        <v>2</v>
      </c>
      <c r="F47" s="1">
        <v>22504011</v>
      </c>
      <c r="G47" s="1">
        <v>1340</v>
      </c>
      <c r="H47" s="1" t="s">
        <v>10</v>
      </c>
      <c r="I47" s="1" t="s">
        <v>83</v>
      </c>
      <c r="J47" s="3" t="s">
        <v>154</v>
      </c>
      <c r="K47" s="3">
        <v>1580</v>
      </c>
      <c r="L47" s="5">
        <v>1548</v>
      </c>
      <c r="M47" s="5">
        <v>1548</v>
      </c>
      <c r="N47" s="5">
        <v>1548</v>
      </c>
      <c r="O47" s="5">
        <v>1548</v>
      </c>
      <c r="P47" s="6">
        <v>1548</v>
      </c>
      <c r="Q47" s="15">
        <v>4.5999999999999996</v>
      </c>
      <c r="R47" s="9">
        <v>29</v>
      </c>
      <c r="S47" s="8">
        <v>25</v>
      </c>
      <c r="T47" s="9" t="s">
        <v>5</v>
      </c>
      <c r="U47" s="9" t="s">
        <v>5</v>
      </c>
      <c r="V47" s="9" t="s">
        <v>5</v>
      </c>
      <c r="W47" s="17" t="s">
        <v>5</v>
      </c>
      <c r="X47" s="11">
        <v>58</v>
      </c>
      <c r="Y47" s="12">
        <v>2.8243447999999995</v>
      </c>
      <c r="Z47" s="31">
        <v>9.4</v>
      </c>
      <c r="AA47" s="31">
        <v>8.8000000000000007</v>
      </c>
      <c r="AB47" s="32">
        <v>79</v>
      </c>
      <c r="AC47" s="32">
        <v>66</v>
      </c>
      <c r="AD47" s="8" t="s">
        <v>6</v>
      </c>
      <c r="AE47" s="8" t="s">
        <v>53</v>
      </c>
      <c r="AF47" s="44" t="s">
        <v>58</v>
      </c>
    </row>
    <row r="48" spans="1:32" ht="15.75" x14ac:dyDescent="0.25">
      <c r="A48" s="1">
        <v>1084</v>
      </c>
      <c r="B48" s="2">
        <v>45761</v>
      </c>
      <c r="C48" s="1" t="s">
        <v>264</v>
      </c>
      <c r="D48" s="1" t="s">
        <v>378</v>
      </c>
      <c r="E48" s="1">
        <v>2</v>
      </c>
      <c r="F48" s="1">
        <v>22504011</v>
      </c>
      <c r="G48" s="1">
        <v>1340</v>
      </c>
      <c r="H48" s="1" t="s">
        <v>10</v>
      </c>
      <c r="I48" s="1" t="s">
        <v>155</v>
      </c>
      <c r="J48" s="1" t="s">
        <v>156</v>
      </c>
      <c r="K48" s="9">
        <v>1570</v>
      </c>
      <c r="L48" s="5">
        <v>1542</v>
      </c>
      <c r="M48" s="5">
        <v>1540</v>
      </c>
      <c r="N48" s="5">
        <v>1538</v>
      </c>
      <c r="O48" s="5">
        <v>1536</v>
      </c>
      <c r="P48" s="6">
        <v>1538</v>
      </c>
      <c r="Q48" s="15">
        <v>4.7</v>
      </c>
      <c r="R48" s="9">
        <v>33</v>
      </c>
      <c r="S48" s="8">
        <v>7</v>
      </c>
      <c r="T48" s="9" t="s">
        <v>5</v>
      </c>
      <c r="U48" s="9" t="s">
        <v>5</v>
      </c>
      <c r="V48" s="9" t="s">
        <v>5</v>
      </c>
      <c r="W48" s="17">
        <v>12.8</v>
      </c>
      <c r="X48" s="11">
        <v>58</v>
      </c>
      <c r="Y48" s="12">
        <v>2.8857436000000001</v>
      </c>
      <c r="Z48" s="31">
        <v>9.8000000000000007</v>
      </c>
      <c r="AA48" s="31">
        <v>9.3000000000000007</v>
      </c>
      <c r="AB48" s="32">
        <v>75</v>
      </c>
      <c r="AC48" s="32">
        <v>69</v>
      </c>
      <c r="AD48" s="8" t="s">
        <v>6</v>
      </c>
      <c r="AE48" s="8" t="s">
        <v>53</v>
      </c>
      <c r="AF48" s="14" t="s">
        <v>157</v>
      </c>
    </row>
    <row r="49" spans="1:32" ht="15.75" x14ac:dyDescent="0.25">
      <c r="A49" s="1">
        <v>1092</v>
      </c>
      <c r="B49" s="2">
        <v>45761</v>
      </c>
      <c r="C49" s="1" t="s">
        <v>0</v>
      </c>
      <c r="D49" s="1" t="s">
        <v>19</v>
      </c>
      <c r="E49" s="1">
        <v>1</v>
      </c>
      <c r="F49" s="1">
        <v>12504012</v>
      </c>
      <c r="G49" s="1">
        <v>1350</v>
      </c>
      <c r="H49" s="1" t="s">
        <v>10</v>
      </c>
      <c r="I49" s="1" t="s">
        <v>56</v>
      </c>
      <c r="J49" s="3" t="s">
        <v>158</v>
      </c>
      <c r="K49" s="3">
        <v>1568</v>
      </c>
      <c r="L49" s="5">
        <v>1541</v>
      </c>
      <c r="M49" s="5">
        <v>1540</v>
      </c>
      <c r="N49" s="5">
        <v>1538</v>
      </c>
      <c r="O49" s="5">
        <v>1535</v>
      </c>
      <c r="P49" s="6">
        <v>1537.6666666666667</v>
      </c>
      <c r="Q49" s="15">
        <v>5.4</v>
      </c>
      <c r="R49" s="9">
        <v>32</v>
      </c>
      <c r="S49" s="8" t="s">
        <v>5</v>
      </c>
      <c r="T49" s="9">
        <v>161</v>
      </c>
      <c r="U49" s="9">
        <v>60</v>
      </c>
      <c r="V49" s="10">
        <v>101</v>
      </c>
      <c r="W49" s="11" t="s">
        <v>5</v>
      </c>
      <c r="X49" s="11">
        <v>57</v>
      </c>
      <c r="Y49" s="12">
        <v>3.2826870000000006</v>
      </c>
      <c r="Z49" s="31">
        <v>8.8000000000000007</v>
      </c>
      <c r="AA49" s="31">
        <v>10.1</v>
      </c>
      <c r="AB49" s="32">
        <v>70</v>
      </c>
      <c r="AC49" s="32">
        <v>81</v>
      </c>
      <c r="AD49" s="8" t="s">
        <v>6</v>
      </c>
      <c r="AE49" s="8" t="s">
        <v>53</v>
      </c>
      <c r="AF49" s="14" t="s">
        <v>68</v>
      </c>
    </row>
    <row r="50" spans="1:32" ht="31.5" x14ac:dyDescent="0.25">
      <c r="A50" s="1">
        <v>1093</v>
      </c>
      <c r="B50" s="2">
        <v>45761</v>
      </c>
      <c r="C50" s="1" t="s">
        <v>0</v>
      </c>
      <c r="D50" s="1" t="s">
        <v>19</v>
      </c>
      <c r="E50" s="1">
        <v>1</v>
      </c>
      <c r="F50" s="1">
        <v>12504012</v>
      </c>
      <c r="G50" s="1">
        <v>1350</v>
      </c>
      <c r="H50" s="1" t="s">
        <v>10</v>
      </c>
      <c r="I50" s="1" t="s">
        <v>159</v>
      </c>
      <c r="J50" s="1" t="s">
        <v>160</v>
      </c>
      <c r="K50" s="4">
        <v>1568</v>
      </c>
      <c r="L50" s="5">
        <v>1541</v>
      </c>
      <c r="M50" s="5">
        <v>1540</v>
      </c>
      <c r="N50" s="5">
        <v>1538</v>
      </c>
      <c r="O50" s="5">
        <v>1535</v>
      </c>
      <c r="P50" s="6">
        <v>1537.6666666666667</v>
      </c>
      <c r="Q50" s="7">
        <v>5.4</v>
      </c>
      <c r="R50" s="4">
        <v>35</v>
      </c>
      <c r="S50" s="8">
        <v>2</v>
      </c>
      <c r="T50" s="9">
        <v>170.1</v>
      </c>
      <c r="U50" s="9">
        <v>60</v>
      </c>
      <c r="V50" s="10">
        <v>110.1</v>
      </c>
      <c r="W50" s="11" t="s">
        <v>5</v>
      </c>
      <c r="X50" s="11">
        <v>57</v>
      </c>
      <c r="Y50" s="12">
        <v>3.2826870000000006</v>
      </c>
      <c r="Z50" s="7">
        <v>11.33</v>
      </c>
      <c r="AA50" s="7">
        <v>10.7</v>
      </c>
      <c r="AB50" s="13">
        <v>79</v>
      </c>
      <c r="AC50" s="13">
        <v>74</v>
      </c>
      <c r="AD50" s="8" t="s">
        <v>6</v>
      </c>
      <c r="AE50" s="8" t="s">
        <v>53</v>
      </c>
      <c r="AF50" s="14" t="s">
        <v>161</v>
      </c>
    </row>
    <row r="51" spans="1:32" ht="15.75" x14ac:dyDescent="0.25">
      <c r="A51" s="1">
        <v>1098</v>
      </c>
      <c r="B51" s="2">
        <v>45761</v>
      </c>
      <c r="C51" s="1" t="s">
        <v>0</v>
      </c>
      <c r="D51" s="1" t="s">
        <v>19</v>
      </c>
      <c r="E51" s="1">
        <v>1</v>
      </c>
      <c r="F51" s="1">
        <v>12504012</v>
      </c>
      <c r="G51" s="1">
        <v>1350</v>
      </c>
      <c r="H51" s="1" t="s">
        <v>10</v>
      </c>
      <c r="I51" s="1" t="s">
        <v>162</v>
      </c>
      <c r="J51" s="1" t="s">
        <v>163</v>
      </c>
      <c r="K51" s="4">
        <v>1569</v>
      </c>
      <c r="L51" s="5">
        <v>1548</v>
      </c>
      <c r="M51" s="5">
        <v>1545</v>
      </c>
      <c r="N51" s="5">
        <v>1545</v>
      </c>
      <c r="O51" s="5">
        <v>1547</v>
      </c>
      <c r="P51" s="6">
        <v>1545.6666666666667</v>
      </c>
      <c r="Q51" s="7">
        <v>5.2</v>
      </c>
      <c r="R51" s="4">
        <v>34</v>
      </c>
      <c r="S51" s="8">
        <v>7</v>
      </c>
      <c r="T51" s="9">
        <v>168.6</v>
      </c>
      <c r="U51" s="9">
        <v>62.7</v>
      </c>
      <c r="V51" s="10">
        <v>105.89999999999999</v>
      </c>
      <c r="W51" s="11" t="s">
        <v>5</v>
      </c>
      <c r="X51" s="11">
        <v>57</v>
      </c>
      <c r="Y51" s="12">
        <v>3.1611060000000002</v>
      </c>
      <c r="Z51" s="7">
        <v>11.3</v>
      </c>
      <c r="AA51" s="7">
        <v>11.9</v>
      </c>
      <c r="AB51" s="13">
        <v>85</v>
      </c>
      <c r="AC51" s="13">
        <v>87</v>
      </c>
      <c r="AD51" s="8" t="s">
        <v>6</v>
      </c>
      <c r="AE51" s="42" t="s">
        <v>72</v>
      </c>
      <c r="AF51" s="14" t="s">
        <v>61</v>
      </c>
    </row>
    <row r="52" spans="1:32" ht="31.5" x14ac:dyDescent="0.25">
      <c r="A52" s="1">
        <v>1105</v>
      </c>
      <c r="B52" s="2">
        <v>45761</v>
      </c>
      <c r="C52" s="1" t="s">
        <v>0</v>
      </c>
      <c r="D52" s="1" t="s">
        <v>19</v>
      </c>
      <c r="E52" s="1">
        <v>2</v>
      </c>
      <c r="F52" s="1">
        <v>22504011</v>
      </c>
      <c r="G52" s="1">
        <v>1300</v>
      </c>
      <c r="H52" s="1" t="s">
        <v>10</v>
      </c>
      <c r="I52" s="1" t="s">
        <v>164</v>
      </c>
      <c r="J52" s="1" t="s">
        <v>165</v>
      </c>
      <c r="K52" s="4">
        <v>1570</v>
      </c>
      <c r="L52" s="5">
        <v>1548</v>
      </c>
      <c r="M52" s="5">
        <v>1547</v>
      </c>
      <c r="N52" s="5">
        <v>1547</v>
      </c>
      <c r="O52" s="5" t="s">
        <v>5</v>
      </c>
      <c r="P52" s="6">
        <v>1547</v>
      </c>
      <c r="Q52" s="7">
        <v>5</v>
      </c>
      <c r="R52" s="4">
        <v>28</v>
      </c>
      <c r="S52" s="8">
        <v>8</v>
      </c>
      <c r="T52" s="9" t="s">
        <v>5</v>
      </c>
      <c r="U52" s="9" t="s">
        <v>5</v>
      </c>
      <c r="V52" s="9" t="s">
        <v>5</v>
      </c>
      <c r="W52" s="9">
        <v>10.4</v>
      </c>
      <c r="X52" s="11">
        <v>58</v>
      </c>
      <c r="Y52" s="12">
        <v>2.9782999999999999</v>
      </c>
      <c r="Z52" s="7">
        <v>8.1999999999999993</v>
      </c>
      <c r="AA52" s="7">
        <v>8.4</v>
      </c>
      <c r="AB52" s="13">
        <v>62</v>
      </c>
      <c r="AC52" s="13">
        <v>64</v>
      </c>
      <c r="AD52" s="8" t="s">
        <v>6</v>
      </c>
      <c r="AE52" s="8" t="s">
        <v>53</v>
      </c>
      <c r="AF52" s="14" t="s">
        <v>166</v>
      </c>
    </row>
    <row r="53" spans="1:32" ht="31.5" x14ac:dyDescent="0.25">
      <c r="A53" s="1">
        <v>1221</v>
      </c>
      <c r="B53" s="2">
        <v>45763</v>
      </c>
      <c r="C53" s="1" t="s">
        <v>264</v>
      </c>
      <c r="D53" s="1" t="s">
        <v>265</v>
      </c>
      <c r="E53" s="1">
        <v>1</v>
      </c>
      <c r="F53" s="1">
        <v>12504014</v>
      </c>
      <c r="G53" s="1">
        <v>1250</v>
      </c>
      <c r="H53" s="1" t="s">
        <v>10</v>
      </c>
      <c r="I53" s="1" t="s">
        <v>98</v>
      </c>
      <c r="J53" s="3" t="s">
        <v>167</v>
      </c>
      <c r="K53" s="3">
        <v>1597</v>
      </c>
      <c r="L53" s="5">
        <v>1575</v>
      </c>
      <c r="M53" s="5">
        <v>1568</v>
      </c>
      <c r="N53" s="5">
        <v>1569</v>
      </c>
      <c r="O53" s="5">
        <v>1565</v>
      </c>
      <c r="P53" s="6">
        <v>1567.3333333333333</v>
      </c>
      <c r="Q53" s="15">
        <v>3.9</v>
      </c>
      <c r="R53" s="9">
        <v>38</v>
      </c>
      <c r="S53" s="8">
        <v>18</v>
      </c>
      <c r="T53" s="9">
        <v>155.79</v>
      </c>
      <c r="U53" s="9">
        <v>63</v>
      </c>
      <c r="V53" s="10">
        <v>92.789999999999992</v>
      </c>
      <c r="W53" s="9" t="s">
        <v>5</v>
      </c>
      <c r="X53" s="11">
        <v>58</v>
      </c>
      <c r="Y53" s="12">
        <v>2.2337249999999997</v>
      </c>
      <c r="Z53" s="31">
        <v>9.9</v>
      </c>
      <c r="AA53" s="31">
        <v>9.3000000000000007</v>
      </c>
      <c r="AB53" s="32">
        <v>80</v>
      </c>
      <c r="AC53" s="32">
        <v>75</v>
      </c>
      <c r="AD53" s="8" t="s">
        <v>6</v>
      </c>
      <c r="AE53" s="8" t="s">
        <v>72</v>
      </c>
      <c r="AF53" s="14" t="s">
        <v>168</v>
      </c>
    </row>
    <row r="54" spans="1:32" ht="15.75" x14ac:dyDescent="0.25">
      <c r="A54" s="1">
        <v>1222</v>
      </c>
      <c r="B54" s="2">
        <v>45763</v>
      </c>
      <c r="C54" s="1" t="s">
        <v>264</v>
      </c>
      <c r="D54" s="1" t="s">
        <v>265</v>
      </c>
      <c r="E54" s="1">
        <v>1</v>
      </c>
      <c r="F54" s="1">
        <v>12504014</v>
      </c>
      <c r="G54" s="1">
        <v>1250</v>
      </c>
      <c r="H54" s="1" t="s">
        <v>10</v>
      </c>
      <c r="I54" s="1" t="s">
        <v>86</v>
      </c>
      <c r="J54" s="3" t="s">
        <v>169</v>
      </c>
      <c r="K54" s="3">
        <v>1570</v>
      </c>
      <c r="L54" s="5">
        <v>1552</v>
      </c>
      <c r="M54" s="5">
        <v>1546</v>
      </c>
      <c r="N54" s="5">
        <v>1543</v>
      </c>
      <c r="O54" s="5">
        <v>1542</v>
      </c>
      <c r="P54" s="6">
        <v>1543.6666666666667</v>
      </c>
      <c r="Q54" s="15">
        <v>5</v>
      </c>
      <c r="R54" s="9">
        <v>39</v>
      </c>
      <c r="S54" s="8">
        <v>32</v>
      </c>
      <c r="T54" s="9">
        <v>163</v>
      </c>
      <c r="U54" s="9">
        <v>63</v>
      </c>
      <c r="V54" s="10">
        <v>100</v>
      </c>
      <c r="W54" s="9" t="s">
        <v>5</v>
      </c>
      <c r="X54" s="11">
        <v>58</v>
      </c>
      <c r="Y54" s="12">
        <v>2.86375</v>
      </c>
      <c r="Z54" s="31">
        <v>9.1</v>
      </c>
      <c r="AA54" s="31">
        <v>10.199999999999999</v>
      </c>
      <c r="AB54" s="32">
        <v>73</v>
      </c>
      <c r="AC54" s="32">
        <v>82</v>
      </c>
      <c r="AD54" s="8" t="s">
        <v>6</v>
      </c>
      <c r="AE54" s="8" t="s">
        <v>53</v>
      </c>
      <c r="AF54" s="14" t="s">
        <v>170</v>
      </c>
    </row>
    <row r="55" spans="1:32" ht="31.5" x14ac:dyDescent="0.25">
      <c r="A55" s="1">
        <v>1234</v>
      </c>
      <c r="B55" s="2">
        <v>45763</v>
      </c>
      <c r="C55" s="1" t="s">
        <v>264</v>
      </c>
      <c r="D55" s="1" t="s">
        <v>265</v>
      </c>
      <c r="E55" s="1">
        <v>2</v>
      </c>
      <c r="F55" s="1">
        <v>22504015</v>
      </c>
      <c r="G55" s="1">
        <v>1230</v>
      </c>
      <c r="H55" s="1" t="s">
        <v>10</v>
      </c>
      <c r="I55" s="1" t="s">
        <v>93</v>
      </c>
      <c r="J55" s="3" t="s">
        <v>171</v>
      </c>
      <c r="K55" s="3">
        <v>1570</v>
      </c>
      <c r="L55" s="5">
        <v>1548</v>
      </c>
      <c r="M55" s="5">
        <v>1544</v>
      </c>
      <c r="N55" s="5">
        <v>1542</v>
      </c>
      <c r="O55" s="5">
        <v>1544</v>
      </c>
      <c r="P55" s="6">
        <v>1543.3333333333333</v>
      </c>
      <c r="Q55" s="15">
        <v>5.2</v>
      </c>
      <c r="R55" s="9">
        <v>34</v>
      </c>
      <c r="S55" s="17">
        <v>27</v>
      </c>
      <c r="T55" s="9" t="s">
        <v>5</v>
      </c>
      <c r="U55" s="9" t="s">
        <v>5</v>
      </c>
      <c r="V55" s="9" t="s">
        <v>5</v>
      </c>
      <c r="W55" s="17">
        <v>16.100000000000001</v>
      </c>
      <c r="X55" s="11">
        <v>58</v>
      </c>
      <c r="Y55" s="12">
        <v>2.9306472000000001</v>
      </c>
      <c r="Z55" s="31">
        <v>10.3</v>
      </c>
      <c r="AA55" s="31">
        <v>10.7</v>
      </c>
      <c r="AB55" s="32">
        <v>81</v>
      </c>
      <c r="AC55" s="32">
        <v>80</v>
      </c>
      <c r="AD55" s="8" t="s">
        <v>6</v>
      </c>
      <c r="AE55" s="8" t="s">
        <v>53</v>
      </c>
      <c r="AF55" s="14" t="s">
        <v>172</v>
      </c>
    </row>
    <row r="56" spans="1:32" ht="47.25" x14ac:dyDescent="0.25">
      <c r="A56" s="1">
        <v>1311</v>
      </c>
      <c r="B56" s="2">
        <v>45764</v>
      </c>
      <c r="C56" s="1" t="s">
        <v>264</v>
      </c>
      <c r="D56" s="1" t="s">
        <v>265</v>
      </c>
      <c r="E56" s="1">
        <v>2</v>
      </c>
      <c r="F56" s="1">
        <v>22504015</v>
      </c>
      <c r="G56" s="1">
        <v>1250</v>
      </c>
      <c r="H56" s="1" t="s">
        <v>10</v>
      </c>
      <c r="I56" s="1" t="s">
        <v>173</v>
      </c>
      <c r="J56" s="3" t="s">
        <v>174</v>
      </c>
      <c r="K56" s="3">
        <v>1580</v>
      </c>
      <c r="L56" s="5">
        <v>1548</v>
      </c>
      <c r="M56" s="5">
        <v>1543</v>
      </c>
      <c r="N56" s="5">
        <v>1542</v>
      </c>
      <c r="O56" s="5">
        <v>1542</v>
      </c>
      <c r="P56" s="6">
        <v>1542.3333333333333</v>
      </c>
      <c r="Q56" s="15">
        <v>4.2</v>
      </c>
      <c r="R56" s="9">
        <v>44</v>
      </c>
      <c r="S56" s="17">
        <v>8</v>
      </c>
      <c r="T56" s="9" t="s">
        <v>5</v>
      </c>
      <c r="U56" s="9" t="s">
        <v>5</v>
      </c>
      <c r="V56" s="9" t="s">
        <v>5</v>
      </c>
      <c r="W56" s="11">
        <v>16.5</v>
      </c>
      <c r="X56" s="11">
        <v>58</v>
      </c>
      <c r="Y56" s="12">
        <v>2.4055499999999999</v>
      </c>
      <c r="Z56" s="7">
        <v>8.1999999999999993</v>
      </c>
      <c r="AA56" s="7">
        <v>9.1</v>
      </c>
      <c r="AB56" s="13">
        <v>74</v>
      </c>
      <c r="AC56" s="13">
        <v>85</v>
      </c>
      <c r="AD56" s="8" t="s">
        <v>6</v>
      </c>
      <c r="AE56" s="8" t="s">
        <v>72</v>
      </c>
      <c r="AF56" s="14" t="s">
        <v>175</v>
      </c>
    </row>
    <row r="57" spans="1:32" ht="15.75" x14ac:dyDescent="0.25">
      <c r="A57" s="1">
        <v>1315</v>
      </c>
      <c r="B57" s="2">
        <v>45764</v>
      </c>
      <c r="C57" s="1" t="s">
        <v>264</v>
      </c>
      <c r="D57" s="1" t="s">
        <v>265</v>
      </c>
      <c r="E57" s="1">
        <v>2</v>
      </c>
      <c r="F57" s="1">
        <v>22504016</v>
      </c>
      <c r="G57" s="1">
        <v>1250</v>
      </c>
      <c r="H57" s="1" t="s">
        <v>176</v>
      </c>
      <c r="I57" s="1" t="s">
        <v>77</v>
      </c>
      <c r="J57" s="3" t="s">
        <v>177</v>
      </c>
      <c r="K57" s="3">
        <v>1570</v>
      </c>
      <c r="L57" s="5">
        <v>1543</v>
      </c>
      <c r="M57" s="5">
        <v>1543</v>
      </c>
      <c r="N57" s="5">
        <v>1540</v>
      </c>
      <c r="O57" s="5">
        <v>1540</v>
      </c>
      <c r="P57" s="6">
        <v>1541</v>
      </c>
      <c r="Q57" s="15">
        <v>5.4</v>
      </c>
      <c r="R57" s="9">
        <v>30</v>
      </c>
      <c r="S57" s="17">
        <v>4</v>
      </c>
      <c r="T57" s="9" t="s">
        <v>5</v>
      </c>
      <c r="U57" s="9" t="s">
        <v>5</v>
      </c>
      <c r="V57" s="9" t="s">
        <v>5</v>
      </c>
      <c r="W57" s="17">
        <v>15.4</v>
      </c>
      <c r="X57" s="11">
        <v>58</v>
      </c>
      <c r="Y57" s="12">
        <v>3.0928500000000003</v>
      </c>
      <c r="Z57" s="31">
        <v>10.9</v>
      </c>
      <c r="AA57" s="31">
        <v>11</v>
      </c>
      <c r="AB57" s="32">
        <v>84</v>
      </c>
      <c r="AC57" s="32">
        <v>86</v>
      </c>
      <c r="AD57" s="8" t="s">
        <v>6</v>
      </c>
      <c r="AE57" s="8" t="s">
        <v>72</v>
      </c>
      <c r="AF57" s="14" t="s">
        <v>68</v>
      </c>
    </row>
    <row r="58" spans="1:32" ht="30" x14ac:dyDescent="0.25">
      <c r="A58" s="1">
        <v>1397</v>
      </c>
      <c r="B58" s="2">
        <v>45765</v>
      </c>
      <c r="C58" s="3" t="s">
        <v>0</v>
      </c>
      <c r="D58" s="1" t="s">
        <v>258</v>
      </c>
      <c r="E58" s="1">
        <v>1</v>
      </c>
      <c r="F58" s="1">
        <v>12504015</v>
      </c>
      <c r="G58" s="1">
        <v>1230</v>
      </c>
      <c r="H58" s="1" t="s">
        <v>10</v>
      </c>
      <c r="I58" s="1" t="s">
        <v>126</v>
      </c>
      <c r="J58" s="3" t="s">
        <v>178</v>
      </c>
      <c r="K58" s="3">
        <v>1570</v>
      </c>
      <c r="L58" s="5">
        <v>1542</v>
      </c>
      <c r="M58" s="5">
        <v>1539</v>
      </c>
      <c r="N58" s="5">
        <v>1536</v>
      </c>
      <c r="O58" s="5">
        <v>1535</v>
      </c>
      <c r="P58" s="6">
        <v>1536.6666666666667</v>
      </c>
      <c r="Q58" s="15">
        <v>5.5</v>
      </c>
      <c r="R58" s="9">
        <v>33</v>
      </c>
      <c r="S58" s="8">
        <v>22</v>
      </c>
      <c r="T58" s="9">
        <v>164</v>
      </c>
      <c r="U58" s="9">
        <v>60</v>
      </c>
      <c r="V58" s="10">
        <v>104</v>
      </c>
      <c r="W58" s="17" t="s">
        <v>5</v>
      </c>
      <c r="X58" s="11">
        <v>57</v>
      </c>
      <c r="Y58" s="12">
        <v>3.0462795000000003</v>
      </c>
      <c r="Z58" s="31">
        <v>12</v>
      </c>
      <c r="AA58" s="31">
        <v>13.4</v>
      </c>
      <c r="AB58" s="32">
        <v>91</v>
      </c>
      <c r="AC58" s="32">
        <v>96</v>
      </c>
      <c r="AD58" s="8" t="s">
        <v>6</v>
      </c>
      <c r="AE58" s="42" t="s">
        <v>72</v>
      </c>
      <c r="AF58" s="45" t="s">
        <v>179</v>
      </c>
    </row>
    <row r="59" spans="1:32" ht="31.5" x14ac:dyDescent="0.25">
      <c r="A59" s="1">
        <v>1402</v>
      </c>
      <c r="B59" s="2">
        <v>45765</v>
      </c>
      <c r="C59" s="3" t="s">
        <v>0</v>
      </c>
      <c r="D59" s="1" t="s">
        <v>258</v>
      </c>
      <c r="E59" s="1">
        <v>1</v>
      </c>
      <c r="F59" s="1">
        <v>12504015</v>
      </c>
      <c r="G59" s="1">
        <v>1260</v>
      </c>
      <c r="H59" s="1" t="s">
        <v>2</v>
      </c>
      <c r="I59" s="1" t="s">
        <v>66</v>
      </c>
      <c r="J59" s="1" t="s">
        <v>180</v>
      </c>
      <c r="K59" s="4">
        <v>1568</v>
      </c>
      <c r="L59" s="5">
        <v>1546</v>
      </c>
      <c r="M59" s="5">
        <v>1546</v>
      </c>
      <c r="N59" s="5">
        <v>1544</v>
      </c>
      <c r="O59" s="5">
        <v>1544</v>
      </c>
      <c r="P59" s="6">
        <v>1544.6666666666667</v>
      </c>
      <c r="Q59" s="7">
        <v>5.4</v>
      </c>
      <c r="R59" s="4">
        <v>33</v>
      </c>
      <c r="S59" s="8">
        <v>21</v>
      </c>
      <c r="T59" s="9">
        <v>160</v>
      </c>
      <c r="U59" s="9">
        <v>62</v>
      </c>
      <c r="V59" s="10">
        <v>98</v>
      </c>
      <c r="W59" s="17" t="s">
        <v>5</v>
      </c>
      <c r="X59" s="11">
        <v>57</v>
      </c>
      <c r="Y59" s="12">
        <v>3.0638412000000006</v>
      </c>
      <c r="Z59" s="7">
        <v>12.9</v>
      </c>
      <c r="AA59" s="7">
        <v>13.4</v>
      </c>
      <c r="AB59" s="13">
        <v>94</v>
      </c>
      <c r="AC59" s="13">
        <v>98</v>
      </c>
      <c r="AD59" s="8" t="s">
        <v>6</v>
      </c>
      <c r="AE59" s="8" t="s">
        <v>72</v>
      </c>
      <c r="AF59" s="14" t="s">
        <v>181</v>
      </c>
    </row>
    <row r="60" spans="1:32" ht="31.5" x14ac:dyDescent="0.25">
      <c r="A60" s="1">
        <v>1438</v>
      </c>
      <c r="B60" s="2">
        <v>45766</v>
      </c>
      <c r="C60" s="1" t="s">
        <v>18</v>
      </c>
      <c r="D60" s="1" t="s">
        <v>9</v>
      </c>
      <c r="E60" s="1">
        <v>2</v>
      </c>
      <c r="F60" s="1">
        <v>22504017</v>
      </c>
      <c r="G60" s="1">
        <v>1240</v>
      </c>
      <c r="H60" s="1" t="s">
        <v>55</v>
      </c>
      <c r="I60" s="1" t="s">
        <v>182</v>
      </c>
      <c r="J60" s="3" t="s">
        <v>183</v>
      </c>
      <c r="K60" s="3">
        <v>1570</v>
      </c>
      <c r="L60" s="5">
        <v>1540</v>
      </c>
      <c r="M60" s="5">
        <v>1538</v>
      </c>
      <c r="N60" s="5">
        <v>1537</v>
      </c>
      <c r="O60" s="5">
        <v>1536</v>
      </c>
      <c r="P60" s="6">
        <v>1537</v>
      </c>
      <c r="Q60" s="15">
        <v>5.5</v>
      </c>
      <c r="R60" s="9">
        <v>31</v>
      </c>
      <c r="S60" s="17">
        <v>28</v>
      </c>
      <c r="T60" s="9" t="s">
        <v>5</v>
      </c>
      <c r="U60" s="9" t="s">
        <v>5</v>
      </c>
      <c r="V60" s="9" t="s">
        <v>5</v>
      </c>
      <c r="W60" s="11" t="s">
        <v>5</v>
      </c>
      <c r="X60" s="11">
        <v>58</v>
      </c>
      <c r="Y60" s="12">
        <v>3.124924</v>
      </c>
      <c r="Z60" s="31">
        <v>9.5</v>
      </c>
      <c r="AA60" s="31">
        <v>9.4</v>
      </c>
      <c r="AB60" s="32">
        <v>86</v>
      </c>
      <c r="AC60" s="32">
        <v>70</v>
      </c>
      <c r="AD60" s="8" t="s">
        <v>6</v>
      </c>
      <c r="AE60" s="8" t="s">
        <v>72</v>
      </c>
      <c r="AF60" s="14" t="s">
        <v>184</v>
      </c>
    </row>
    <row r="61" spans="1:32" ht="47.25" x14ac:dyDescent="0.25">
      <c r="A61" s="1">
        <v>1441</v>
      </c>
      <c r="B61" s="2">
        <v>45766</v>
      </c>
      <c r="C61" s="1" t="s">
        <v>18</v>
      </c>
      <c r="D61" s="1" t="s">
        <v>9</v>
      </c>
      <c r="E61" s="1">
        <v>2</v>
      </c>
      <c r="F61" s="1">
        <v>22504017</v>
      </c>
      <c r="G61" s="1">
        <v>1240</v>
      </c>
      <c r="H61" s="1" t="s">
        <v>55</v>
      </c>
      <c r="I61" s="1" t="s">
        <v>132</v>
      </c>
      <c r="J61" s="3" t="s">
        <v>185</v>
      </c>
      <c r="K61" s="3">
        <v>1572</v>
      </c>
      <c r="L61" s="5">
        <v>1548</v>
      </c>
      <c r="M61" s="5">
        <v>1552</v>
      </c>
      <c r="N61" s="5">
        <v>1554</v>
      </c>
      <c r="O61" s="5">
        <v>1555</v>
      </c>
      <c r="P61" s="6">
        <v>1553.6666666666667</v>
      </c>
      <c r="Q61" s="15">
        <v>4.8</v>
      </c>
      <c r="R61" s="9">
        <v>26</v>
      </c>
      <c r="S61" s="8">
        <v>4</v>
      </c>
      <c r="T61" s="9" t="s">
        <v>5</v>
      </c>
      <c r="U61" s="9" t="s">
        <v>5</v>
      </c>
      <c r="V61" s="9" t="s">
        <v>5</v>
      </c>
      <c r="W61" s="11">
        <v>14.1</v>
      </c>
      <c r="X61" s="11">
        <v>58</v>
      </c>
      <c r="Y61" s="12">
        <v>2.7272064</v>
      </c>
      <c r="Z61" s="46">
        <v>9.5</v>
      </c>
      <c r="AA61" s="31">
        <v>9</v>
      </c>
      <c r="AB61" s="32">
        <v>89</v>
      </c>
      <c r="AC61" s="32">
        <v>86</v>
      </c>
      <c r="AD61" s="8" t="s">
        <v>6</v>
      </c>
      <c r="AE61" s="8" t="s">
        <v>13</v>
      </c>
      <c r="AF61" s="40" t="s">
        <v>186</v>
      </c>
    </row>
    <row r="62" spans="1:32" ht="63" x14ac:dyDescent="0.25">
      <c r="A62" s="1">
        <v>1631</v>
      </c>
      <c r="B62" s="2">
        <v>45768</v>
      </c>
      <c r="C62" s="3" t="s">
        <v>264</v>
      </c>
      <c r="D62" s="1" t="s">
        <v>19</v>
      </c>
      <c r="E62" s="1">
        <v>2</v>
      </c>
      <c r="F62" s="1">
        <v>22504019</v>
      </c>
      <c r="G62" s="1">
        <v>1240</v>
      </c>
      <c r="H62" s="1" t="s">
        <v>10</v>
      </c>
      <c r="I62" s="1" t="s">
        <v>77</v>
      </c>
      <c r="J62" s="3" t="s">
        <v>187</v>
      </c>
      <c r="K62" s="3">
        <v>1572</v>
      </c>
      <c r="L62" s="5">
        <v>1547</v>
      </c>
      <c r="M62" s="5">
        <v>1545</v>
      </c>
      <c r="N62" s="5">
        <v>1542</v>
      </c>
      <c r="O62" s="5">
        <v>1542</v>
      </c>
      <c r="P62" s="6">
        <v>1543</v>
      </c>
      <c r="Q62" s="15">
        <v>4.2</v>
      </c>
      <c r="R62" s="9">
        <v>35</v>
      </c>
      <c r="S62" s="17">
        <v>17</v>
      </c>
      <c r="T62" s="9" t="s">
        <v>5</v>
      </c>
      <c r="U62" s="9" t="s">
        <v>5</v>
      </c>
      <c r="V62" s="9" t="s">
        <v>5</v>
      </c>
      <c r="W62" s="17" t="s">
        <v>5</v>
      </c>
      <c r="X62" s="11">
        <v>58</v>
      </c>
      <c r="Y62" s="12">
        <v>2.3863056</v>
      </c>
      <c r="Z62" s="31">
        <v>9.3000000000000007</v>
      </c>
      <c r="AA62" s="31">
        <v>9.1</v>
      </c>
      <c r="AB62" s="32">
        <v>75</v>
      </c>
      <c r="AC62" s="32">
        <v>75</v>
      </c>
      <c r="AD62" s="8" t="s">
        <v>6</v>
      </c>
      <c r="AE62" s="8" t="s">
        <v>72</v>
      </c>
      <c r="AF62" s="14" t="s">
        <v>188</v>
      </c>
    </row>
    <row r="63" spans="1:32" ht="15.75" x14ac:dyDescent="0.25">
      <c r="A63" s="1">
        <v>1633</v>
      </c>
      <c r="B63" s="2">
        <v>45768</v>
      </c>
      <c r="C63" s="3" t="s">
        <v>264</v>
      </c>
      <c r="D63" s="1" t="s">
        <v>19</v>
      </c>
      <c r="E63" s="1">
        <v>2</v>
      </c>
      <c r="F63" s="1">
        <v>22504019</v>
      </c>
      <c r="G63" s="1">
        <v>1240</v>
      </c>
      <c r="H63" s="1" t="s">
        <v>10</v>
      </c>
      <c r="I63" s="1" t="s">
        <v>189</v>
      </c>
      <c r="J63" s="3" t="s">
        <v>190</v>
      </c>
      <c r="K63" s="3">
        <v>1570</v>
      </c>
      <c r="L63" s="5">
        <v>1552</v>
      </c>
      <c r="M63" s="5">
        <v>1550</v>
      </c>
      <c r="N63" s="5">
        <v>1547</v>
      </c>
      <c r="O63" s="5">
        <v>1544</v>
      </c>
      <c r="P63" s="6">
        <v>1547</v>
      </c>
      <c r="Q63" s="15">
        <v>5</v>
      </c>
      <c r="R63" s="9">
        <v>37</v>
      </c>
      <c r="S63" s="17">
        <v>23</v>
      </c>
      <c r="T63" s="9" t="s">
        <v>5</v>
      </c>
      <c r="U63" s="9" t="s">
        <v>5</v>
      </c>
      <c r="V63" s="9" t="s">
        <v>5</v>
      </c>
      <c r="W63" s="17">
        <v>15.3</v>
      </c>
      <c r="X63" s="11">
        <v>58</v>
      </c>
      <c r="Y63" s="12">
        <v>2.84084</v>
      </c>
      <c r="Z63" s="31">
        <v>10.6</v>
      </c>
      <c r="AA63" s="31">
        <v>9.8000000000000007</v>
      </c>
      <c r="AB63" s="32">
        <v>82</v>
      </c>
      <c r="AC63" s="47">
        <v>80</v>
      </c>
      <c r="AD63" s="8" t="s">
        <v>6</v>
      </c>
      <c r="AE63" s="8" t="s">
        <v>72</v>
      </c>
      <c r="AF63" s="14" t="s">
        <v>191</v>
      </c>
    </row>
    <row r="64" spans="1:32" ht="31.5" x14ac:dyDescent="0.25">
      <c r="A64" s="1">
        <v>1646</v>
      </c>
      <c r="B64" s="2">
        <v>45768</v>
      </c>
      <c r="C64" s="3" t="s">
        <v>0</v>
      </c>
      <c r="D64" s="1" t="s">
        <v>1</v>
      </c>
      <c r="E64" s="1">
        <v>1</v>
      </c>
      <c r="F64" s="1">
        <v>12504018</v>
      </c>
      <c r="G64" s="1">
        <v>1250</v>
      </c>
      <c r="H64" s="1" t="s">
        <v>10</v>
      </c>
      <c r="I64" s="1" t="s">
        <v>77</v>
      </c>
      <c r="J64" s="1" t="s">
        <v>192</v>
      </c>
      <c r="K64" s="4">
        <v>1568</v>
      </c>
      <c r="L64" s="5">
        <v>1547</v>
      </c>
      <c r="M64" s="5">
        <v>1548</v>
      </c>
      <c r="N64" s="5">
        <v>1547</v>
      </c>
      <c r="O64" s="5">
        <v>1548</v>
      </c>
      <c r="P64" s="6">
        <v>1547.6666666666667</v>
      </c>
      <c r="Q64" s="7">
        <v>5.3</v>
      </c>
      <c r="R64" s="4">
        <v>32</v>
      </c>
      <c r="S64" s="8" t="s">
        <v>5</v>
      </c>
      <c r="T64" s="9">
        <v>168</v>
      </c>
      <c r="U64" s="9">
        <v>62</v>
      </c>
      <c r="V64" s="10">
        <v>106</v>
      </c>
      <c r="W64" s="17" t="s">
        <v>5</v>
      </c>
      <c r="X64" s="11">
        <v>57</v>
      </c>
      <c r="Y64" s="12">
        <v>2.9832375</v>
      </c>
      <c r="Z64" s="7">
        <v>11.3</v>
      </c>
      <c r="AA64" s="7">
        <v>11.6</v>
      </c>
      <c r="AB64" s="13">
        <v>87</v>
      </c>
      <c r="AC64" s="13">
        <v>86</v>
      </c>
      <c r="AD64" s="8" t="s">
        <v>6</v>
      </c>
      <c r="AE64" s="8" t="s">
        <v>53</v>
      </c>
      <c r="AF64" s="14" t="s">
        <v>193</v>
      </c>
    </row>
    <row r="65" spans="1:32" ht="31.5" x14ac:dyDescent="0.25">
      <c r="A65" s="1">
        <v>1647</v>
      </c>
      <c r="B65" s="2">
        <v>45768</v>
      </c>
      <c r="C65" s="3" t="s">
        <v>0</v>
      </c>
      <c r="D65" s="1" t="s">
        <v>1</v>
      </c>
      <c r="E65" s="1">
        <v>1</v>
      </c>
      <c r="F65" s="1">
        <v>12504018</v>
      </c>
      <c r="G65" s="1">
        <v>1250</v>
      </c>
      <c r="H65" s="1" t="s">
        <v>10</v>
      </c>
      <c r="I65" s="1" t="s">
        <v>194</v>
      </c>
      <c r="J65" s="1" t="s">
        <v>195</v>
      </c>
      <c r="K65" s="4">
        <v>1575</v>
      </c>
      <c r="L65" s="5">
        <v>1546</v>
      </c>
      <c r="M65" s="5">
        <v>1546</v>
      </c>
      <c r="N65" s="5">
        <v>1548</v>
      </c>
      <c r="O65" s="5">
        <v>1548</v>
      </c>
      <c r="P65" s="6">
        <v>1547.3333333333333</v>
      </c>
      <c r="Q65" s="7">
        <v>4.8</v>
      </c>
      <c r="R65" s="4">
        <v>37</v>
      </c>
      <c r="S65" s="8">
        <v>7</v>
      </c>
      <c r="T65" s="9">
        <v>160</v>
      </c>
      <c r="U65" s="9">
        <v>60</v>
      </c>
      <c r="V65" s="10">
        <v>100</v>
      </c>
      <c r="W65" s="11" t="s">
        <v>5</v>
      </c>
      <c r="X65" s="11">
        <v>57</v>
      </c>
      <c r="Y65" s="12">
        <v>2.7018</v>
      </c>
      <c r="Z65" s="7">
        <v>8.4</v>
      </c>
      <c r="AA65" s="7">
        <v>9.1</v>
      </c>
      <c r="AB65" s="13">
        <v>87</v>
      </c>
      <c r="AC65" s="13">
        <v>87</v>
      </c>
      <c r="AD65" s="8" t="s">
        <v>6</v>
      </c>
      <c r="AE65" s="8" t="s">
        <v>53</v>
      </c>
      <c r="AF65" s="14" t="s">
        <v>196</v>
      </c>
    </row>
    <row r="66" spans="1:32" ht="31.5" x14ac:dyDescent="0.25">
      <c r="A66" s="1">
        <v>1650</v>
      </c>
      <c r="B66" s="2">
        <v>45768</v>
      </c>
      <c r="C66" s="3" t="s">
        <v>0</v>
      </c>
      <c r="D66" s="1" t="s">
        <v>1</v>
      </c>
      <c r="E66" s="1">
        <v>1</v>
      </c>
      <c r="F66" s="1">
        <v>12504018</v>
      </c>
      <c r="G66" s="1">
        <v>1250</v>
      </c>
      <c r="H66" s="1" t="s">
        <v>10</v>
      </c>
      <c r="I66" s="1" t="s">
        <v>70</v>
      </c>
      <c r="J66" s="1" t="s">
        <v>197</v>
      </c>
      <c r="K66" s="4">
        <v>1575</v>
      </c>
      <c r="L66" s="5">
        <v>1552</v>
      </c>
      <c r="M66" s="5">
        <v>1552</v>
      </c>
      <c r="N66" s="5">
        <v>1552</v>
      </c>
      <c r="O66" s="5">
        <v>1550</v>
      </c>
      <c r="P66" s="6">
        <v>1551.3333333333333</v>
      </c>
      <c r="Q66" s="7">
        <v>5.6</v>
      </c>
      <c r="R66" s="4">
        <v>32</v>
      </c>
      <c r="S66" s="8"/>
      <c r="T66" s="9">
        <v>161</v>
      </c>
      <c r="U66" s="9">
        <v>63</v>
      </c>
      <c r="V66" s="10">
        <v>98</v>
      </c>
      <c r="W66" s="11" t="s">
        <v>5</v>
      </c>
      <c r="X66" s="11">
        <v>57</v>
      </c>
      <c r="Y66" s="12">
        <v>3.1520999999999999</v>
      </c>
      <c r="Z66" s="7">
        <v>10</v>
      </c>
      <c r="AA66" s="7">
        <v>9.9</v>
      </c>
      <c r="AB66" s="13">
        <v>88</v>
      </c>
      <c r="AC66" s="13">
        <v>88</v>
      </c>
      <c r="AD66" s="8" t="s">
        <v>6</v>
      </c>
      <c r="AE66" s="8" t="s">
        <v>53</v>
      </c>
      <c r="AF66" s="14" t="s">
        <v>198</v>
      </c>
    </row>
    <row r="67" spans="1:32" ht="31.5" x14ac:dyDescent="0.25">
      <c r="A67" s="1">
        <v>1652</v>
      </c>
      <c r="B67" s="2">
        <v>45768</v>
      </c>
      <c r="C67" s="3" t="s">
        <v>0</v>
      </c>
      <c r="D67" s="1" t="s">
        <v>1</v>
      </c>
      <c r="E67" s="1">
        <v>2</v>
      </c>
      <c r="F67" s="1">
        <v>22504019</v>
      </c>
      <c r="G67" s="1">
        <v>1260</v>
      </c>
      <c r="H67" s="1" t="s">
        <v>55</v>
      </c>
      <c r="I67" s="1" t="s">
        <v>182</v>
      </c>
      <c r="J67" s="1" t="s">
        <v>199</v>
      </c>
      <c r="K67" s="4">
        <v>1570</v>
      </c>
      <c r="L67" s="5">
        <v>1542</v>
      </c>
      <c r="M67" s="5">
        <v>1540</v>
      </c>
      <c r="N67" s="5">
        <v>1542</v>
      </c>
      <c r="O67" s="5">
        <v>1542</v>
      </c>
      <c r="P67" s="6">
        <v>1541.3333333333333</v>
      </c>
      <c r="Q67" s="7">
        <v>4.8</v>
      </c>
      <c r="R67" s="4">
        <v>35</v>
      </c>
      <c r="S67" s="8">
        <v>29</v>
      </c>
      <c r="T67" s="9" t="s">
        <v>5</v>
      </c>
      <c r="U67" s="9" t="s">
        <v>5</v>
      </c>
      <c r="V67" s="9" t="s">
        <v>5</v>
      </c>
      <c r="W67" s="11">
        <v>12.7</v>
      </c>
      <c r="X67" s="11">
        <v>58</v>
      </c>
      <c r="Y67" s="12">
        <v>2.7711936000000001</v>
      </c>
      <c r="Z67" s="7">
        <v>10.9</v>
      </c>
      <c r="AA67" s="7">
        <v>10.199999999999999</v>
      </c>
      <c r="AB67" s="13">
        <v>91</v>
      </c>
      <c r="AC67" s="13">
        <v>82</v>
      </c>
      <c r="AD67" s="8" t="s">
        <v>6</v>
      </c>
      <c r="AE67" s="8" t="s">
        <v>13</v>
      </c>
      <c r="AF67" s="14" t="s">
        <v>200</v>
      </c>
    </row>
    <row r="68" spans="1:32" ht="15.75" x14ac:dyDescent="0.25">
      <c r="A68" s="1">
        <v>1662</v>
      </c>
      <c r="B68" s="2">
        <v>45768</v>
      </c>
      <c r="C68" s="3" t="s">
        <v>0</v>
      </c>
      <c r="D68" s="1" t="s">
        <v>1</v>
      </c>
      <c r="E68" s="1">
        <v>2</v>
      </c>
      <c r="F68" s="1">
        <v>22504019</v>
      </c>
      <c r="G68" s="1">
        <v>1250</v>
      </c>
      <c r="H68" s="1" t="s">
        <v>10</v>
      </c>
      <c r="I68" s="1" t="s">
        <v>113</v>
      </c>
      <c r="J68" s="1" t="s">
        <v>201</v>
      </c>
      <c r="K68" s="4">
        <v>1570</v>
      </c>
      <c r="L68" s="5">
        <v>1540</v>
      </c>
      <c r="M68" s="5">
        <v>1539</v>
      </c>
      <c r="N68" s="5">
        <v>1536</v>
      </c>
      <c r="O68" s="5">
        <v>1536</v>
      </c>
      <c r="P68" s="6">
        <v>1537</v>
      </c>
      <c r="Q68" s="7">
        <v>5.8</v>
      </c>
      <c r="R68" s="4">
        <v>34</v>
      </c>
      <c r="S68" s="8">
        <v>6</v>
      </c>
      <c r="T68" s="9" t="s">
        <v>5</v>
      </c>
      <c r="U68" s="9" t="s">
        <v>5</v>
      </c>
      <c r="V68" s="9" t="s">
        <v>5</v>
      </c>
      <c r="W68" s="11">
        <v>16.600000000000001</v>
      </c>
      <c r="X68" s="11">
        <v>58</v>
      </c>
      <c r="Y68" s="12">
        <v>3.3219499999999997</v>
      </c>
      <c r="Z68" s="7">
        <v>10.5</v>
      </c>
      <c r="AA68" s="7">
        <v>10.4</v>
      </c>
      <c r="AB68" s="13">
        <v>80</v>
      </c>
      <c r="AC68" s="13">
        <v>81</v>
      </c>
      <c r="AD68" s="8" t="s">
        <v>6</v>
      </c>
      <c r="AE68" s="8" t="s">
        <v>13</v>
      </c>
      <c r="AF68" s="14" t="s">
        <v>68</v>
      </c>
    </row>
    <row r="69" spans="1:32" ht="15.75" x14ac:dyDescent="0.25">
      <c r="A69" s="1">
        <v>1722</v>
      </c>
      <c r="B69" s="2">
        <v>45769</v>
      </c>
      <c r="C69" s="3" t="s">
        <v>0</v>
      </c>
      <c r="D69" s="1" t="s">
        <v>9</v>
      </c>
      <c r="E69" s="1">
        <v>1</v>
      </c>
      <c r="F69" s="1">
        <v>12504018</v>
      </c>
      <c r="G69" s="1">
        <v>1250</v>
      </c>
      <c r="H69" s="1" t="s">
        <v>10</v>
      </c>
      <c r="I69" s="1" t="s">
        <v>3</v>
      </c>
      <c r="J69" s="1" t="s">
        <v>202</v>
      </c>
      <c r="K69" s="9">
        <v>1570</v>
      </c>
      <c r="L69" s="5">
        <v>1546</v>
      </c>
      <c r="M69" s="5">
        <v>1546</v>
      </c>
      <c r="N69" s="5">
        <v>1546</v>
      </c>
      <c r="O69" s="5">
        <v>1545</v>
      </c>
      <c r="P69" s="6">
        <v>1545.6666666666667</v>
      </c>
      <c r="Q69" s="15">
        <v>5.7</v>
      </c>
      <c r="R69" s="9">
        <v>29</v>
      </c>
      <c r="S69" s="8">
        <v>33</v>
      </c>
      <c r="T69" s="9">
        <v>161</v>
      </c>
      <c r="U69" s="9">
        <v>60</v>
      </c>
      <c r="V69" s="10">
        <v>101</v>
      </c>
      <c r="W69" s="17" t="s">
        <v>5</v>
      </c>
      <c r="X69" s="11">
        <v>57</v>
      </c>
      <c r="Y69" s="12">
        <v>3.2083875000000002</v>
      </c>
      <c r="Z69" s="31">
        <v>13.4</v>
      </c>
      <c r="AA69" s="31">
        <v>12.4</v>
      </c>
      <c r="AB69" s="32">
        <v>89</v>
      </c>
      <c r="AC69" s="32">
        <v>82</v>
      </c>
      <c r="AD69" s="8" t="s">
        <v>6</v>
      </c>
      <c r="AE69" s="48" t="s">
        <v>53</v>
      </c>
      <c r="AF69" s="41" t="s">
        <v>203</v>
      </c>
    </row>
    <row r="70" spans="1:32" ht="31.5" x14ac:dyDescent="0.25">
      <c r="A70" s="1">
        <v>1778</v>
      </c>
      <c r="B70" s="2">
        <v>45770</v>
      </c>
      <c r="C70" s="3" t="s">
        <v>264</v>
      </c>
      <c r="D70" s="1" t="s">
        <v>19</v>
      </c>
      <c r="E70" s="1">
        <v>1</v>
      </c>
      <c r="F70" s="1">
        <v>12504019</v>
      </c>
      <c r="G70" s="1">
        <v>1260</v>
      </c>
      <c r="H70" s="1" t="s">
        <v>10</v>
      </c>
      <c r="I70" s="1" t="s">
        <v>74</v>
      </c>
      <c r="J70" s="3" t="s">
        <v>204</v>
      </c>
      <c r="K70" s="3">
        <v>1575</v>
      </c>
      <c r="L70" s="5">
        <v>1550</v>
      </c>
      <c r="M70" s="5">
        <v>1549</v>
      </c>
      <c r="N70" s="5">
        <v>1546</v>
      </c>
      <c r="O70" s="5">
        <v>1545</v>
      </c>
      <c r="P70" s="6">
        <v>1546.6666666666667</v>
      </c>
      <c r="Q70" s="18">
        <v>4.5</v>
      </c>
      <c r="R70" s="36">
        <v>36</v>
      </c>
      <c r="S70" s="8">
        <v>20</v>
      </c>
      <c r="T70" s="9">
        <v>160</v>
      </c>
      <c r="U70" s="9">
        <v>60</v>
      </c>
      <c r="V70" s="10">
        <v>100</v>
      </c>
      <c r="W70" s="9" t="s">
        <v>5</v>
      </c>
      <c r="X70" s="11">
        <v>57</v>
      </c>
      <c r="Y70" s="12">
        <v>2.5532010000000001</v>
      </c>
      <c r="Z70" s="18">
        <v>10.8</v>
      </c>
      <c r="AA70" s="18">
        <v>11.2</v>
      </c>
      <c r="AB70" s="19">
        <v>91</v>
      </c>
      <c r="AC70" s="19">
        <v>93</v>
      </c>
      <c r="AD70" s="8" t="s">
        <v>6</v>
      </c>
      <c r="AE70" s="8" t="s">
        <v>53</v>
      </c>
      <c r="AF70" s="14" t="s">
        <v>205</v>
      </c>
    </row>
    <row r="71" spans="1:32" ht="31.5" x14ac:dyDescent="0.25">
      <c r="A71" s="1">
        <v>1780</v>
      </c>
      <c r="B71" s="2">
        <v>45770</v>
      </c>
      <c r="C71" s="3" t="s">
        <v>264</v>
      </c>
      <c r="D71" s="1" t="s">
        <v>19</v>
      </c>
      <c r="E71" s="1">
        <v>1</v>
      </c>
      <c r="F71" s="1">
        <v>12504019</v>
      </c>
      <c r="G71" s="1">
        <v>1260</v>
      </c>
      <c r="H71" s="1" t="s">
        <v>10</v>
      </c>
      <c r="I71" s="1" t="s">
        <v>122</v>
      </c>
      <c r="J71" s="5" t="s">
        <v>206</v>
      </c>
      <c r="K71" s="3">
        <v>1580</v>
      </c>
      <c r="L71" s="5">
        <v>1552</v>
      </c>
      <c r="M71" s="5">
        <v>1553</v>
      </c>
      <c r="N71" s="5">
        <v>1554</v>
      </c>
      <c r="O71" s="5">
        <v>1554</v>
      </c>
      <c r="P71" s="6">
        <v>1553.6666666666667</v>
      </c>
      <c r="Q71" s="15">
        <v>4.8</v>
      </c>
      <c r="R71" s="9">
        <v>36</v>
      </c>
      <c r="S71" s="8">
        <v>25</v>
      </c>
      <c r="T71" s="9">
        <v>164</v>
      </c>
      <c r="U71" s="9">
        <v>63</v>
      </c>
      <c r="V71" s="10">
        <v>101</v>
      </c>
      <c r="W71" s="9" t="s">
        <v>5</v>
      </c>
      <c r="X71" s="11">
        <v>57</v>
      </c>
      <c r="Y71" s="12">
        <v>2.7234144000000002</v>
      </c>
      <c r="Z71" s="31">
        <v>10.8</v>
      </c>
      <c r="AA71" s="31">
        <v>11.8</v>
      </c>
      <c r="AB71" s="32">
        <v>88</v>
      </c>
      <c r="AC71" s="32">
        <v>90</v>
      </c>
      <c r="AD71" s="8" t="s">
        <v>6</v>
      </c>
      <c r="AE71" s="8" t="s">
        <v>7</v>
      </c>
      <c r="AF71" s="14" t="s">
        <v>207</v>
      </c>
    </row>
    <row r="72" spans="1:32" ht="15.75" x14ac:dyDescent="0.25">
      <c r="A72" s="1">
        <v>1792</v>
      </c>
      <c r="B72" s="2">
        <v>45770</v>
      </c>
      <c r="C72" s="3" t="s">
        <v>264</v>
      </c>
      <c r="D72" s="1" t="s">
        <v>19</v>
      </c>
      <c r="E72" s="1">
        <v>2</v>
      </c>
      <c r="F72" s="1">
        <v>22504021</v>
      </c>
      <c r="G72" s="1">
        <v>1230</v>
      </c>
      <c r="H72" s="1" t="s">
        <v>10</v>
      </c>
      <c r="I72" s="1" t="s">
        <v>98</v>
      </c>
      <c r="J72" s="3" t="s">
        <v>208</v>
      </c>
      <c r="K72" s="3">
        <v>1605</v>
      </c>
      <c r="L72" s="5">
        <v>1565</v>
      </c>
      <c r="M72" s="5">
        <v>1564</v>
      </c>
      <c r="N72" s="5">
        <v>1565</v>
      </c>
      <c r="O72" s="5">
        <v>1560</v>
      </c>
      <c r="P72" s="6">
        <v>1563</v>
      </c>
      <c r="Q72" s="15">
        <v>3.8</v>
      </c>
      <c r="R72" s="9">
        <v>40</v>
      </c>
      <c r="S72" s="17">
        <v>28</v>
      </c>
      <c r="T72" s="9" t="s">
        <v>5</v>
      </c>
      <c r="U72" s="9" t="s">
        <v>5</v>
      </c>
      <c r="V72" s="9" t="s">
        <v>5</v>
      </c>
      <c r="W72" s="9" t="s">
        <v>100</v>
      </c>
      <c r="X72" s="11">
        <v>58</v>
      </c>
      <c r="Y72" s="12">
        <v>2.1416268000000001</v>
      </c>
      <c r="Z72" s="31">
        <v>8.3000000000000007</v>
      </c>
      <c r="AA72" s="31">
        <v>8.5</v>
      </c>
      <c r="AB72" s="32">
        <v>82</v>
      </c>
      <c r="AC72" s="32">
        <v>87</v>
      </c>
      <c r="AD72" s="8" t="s">
        <v>6</v>
      </c>
      <c r="AE72" s="8" t="s">
        <v>72</v>
      </c>
      <c r="AF72" s="14" t="s">
        <v>58</v>
      </c>
    </row>
    <row r="73" spans="1:32" ht="31.5" x14ac:dyDescent="0.25">
      <c r="A73" s="1">
        <v>1797</v>
      </c>
      <c r="B73" s="2">
        <v>45770</v>
      </c>
      <c r="C73" s="3" t="s">
        <v>264</v>
      </c>
      <c r="D73" s="1" t="s">
        <v>19</v>
      </c>
      <c r="E73" s="1">
        <v>2</v>
      </c>
      <c r="F73" s="1">
        <v>22504021</v>
      </c>
      <c r="G73" s="1">
        <v>1230</v>
      </c>
      <c r="H73" s="1" t="s">
        <v>10</v>
      </c>
      <c r="I73" s="1" t="s">
        <v>90</v>
      </c>
      <c r="J73" s="3" t="s">
        <v>209</v>
      </c>
      <c r="K73" s="3">
        <v>1575</v>
      </c>
      <c r="L73" s="5">
        <v>1547</v>
      </c>
      <c r="M73" s="5">
        <v>1548</v>
      </c>
      <c r="N73" s="5">
        <v>1548</v>
      </c>
      <c r="O73" s="5">
        <v>1547</v>
      </c>
      <c r="P73" s="6">
        <v>1547.6666666666667</v>
      </c>
      <c r="Q73" s="15">
        <v>5.3</v>
      </c>
      <c r="R73" s="9">
        <v>38</v>
      </c>
      <c r="S73" s="17" t="s">
        <v>5</v>
      </c>
      <c r="T73" s="9" t="s">
        <v>5</v>
      </c>
      <c r="U73" s="9" t="s">
        <v>5</v>
      </c>
      <c r="V73" s="9" t="s">
        <v>5</v>
      </c>
      <c r="W73" s="17">
        <v>15.4</v>
      </c>
      <c r="X73" s="11">
        <v>58</v>
      </c>
      <c r="Y73" s="12">
        <v>2.9870057999999999</v>
      </c>
      <c r="Z73" s="31">
        <v>9.6</v>
      </c>
      <c r="AA73" s="31">
        <v>9.9</v>
      </c>
      <c r="AB73" s="32">
        <v>83</v>
      </c>
      <c r="AC73" s="32">
        <v>93</v>
      </c>
      <c r="AD73" s="8" t="s">
        <v>6</v>
      </c>
      <c r="AE73" s="8" t="s">
        <v>13</v>
      </c>
      <c r="AF73" s="14" t="s">
        <v>210</v>
      </c>
    </row>
    <row r="74" spans="1:32" ht="31.5" x14ac:dyDescent="0.25">
      <c r="A74" s="1">
        <v>1800</v>
      </c>
      <c r="B74" s="2">
        <v>45770</v>
      </c>
      <c r="C74" s="3" t="s">
        <v>0</v>
      </c>
      <c r="D74" s="1" t="s">
        <v>9</v>
      </c>
      <c r="E74" s="1">
        <v>1</v>
      </c>
      <c r="F74" s="1">
        <v>12504019</v>
      </c>
      <c r="G74" s="1">
        <v>1230</v>
      </c>
      <c r="H74" s="1" t="s">
        <v>10</v>
      </c>
      <c r="I74" s="1" t="s">
        <v>155</v>
      </c>
      <c r="J74" s="3" t="s">
        <v>211</v>
      </c>
      <c r="K74" s="3">
        <v>1571</v>
      </c>
      <c r="L74" s="5">
        <v>1541</v>
      </c>
      <c r="M74" s="5">
        <v>1543</v>
      </c>
      <c r="N74" s="5">
        <v>1541</v>
      </c>
      <c r="O74" s="5">
        <v>1540</v>
      </c>
      <c r="P74" s="6">
        <v>1541.3333333333333</v>
      </c>
      <c r="Q74" s="15">
        <v>4.8</v>
      </c>
      <c r="R74" s="9">
        <v>37</v>
      </c>
      <c r="S74" s="17">
        <v>20</v>
      </c>
      <c r="T74" s="9">
        <v>164.8</v>
      </c>
      <c r="U74" s="9">
        <v>62</v>
      </c>
      <c r="V74" s="10">
        <v>102.80000000000001</v>
      </c>
      <c r="W74" s="17" t="s">
        <v>5</v>
      </c>
      <c r="X74" s="11">
        <v>57</v>
      </c>
      <c r="Y74" s="12">
        <v>2.6585712000000004</v>
      </c>
      <c r="Z74" s="31">
        <v>11.1</v>
      </c>
      <c r="AA74" s="31">
        <v>11.7</v>
      </c>
      <c r="AB74" s="32">
        <v>85</v>
      </c>
      <c r="AC74" s="47">
        <v>83</v>
      </c>
      <c r="AD74" s="8" t="s">
        <v>6</v>
      </c>
      <c r="AE74" s="8" t="s">
        <v>53</v>
      </c>
      <c r="AF74" s="14" t="s">
        <v>212</v>
      </c>
    </row>
    <row r="75" spans="1:32" ht="31.5" x14ac:dyDescent="0.25">
      <c r="A75" s="1">
        <v>1802</v>
      </c>
      <c r="B75" s="2">
        <v>45770</v>
      </c>
      <c r="C75" s="3" t="s">
        <v>0</v>
      </c>
      <c r="D75" s="1" t="s">
        <v>9</v>
      </c>
      <c r="E75" s="1">
        <v>1</v>
      </c>
      <c r="F75" s="1">
        <v>12504019</v>
      </c>
      <c r="G75" s="1">
        <v>1250</v>
      </c>
      <c r="H75" s="1" t="s">
        <v>10</v>
      </c>
      <c r="I75" s="1" t="s">
        <v>126</v>
      </c>
      <c r="J75" s="3" t="s">
        <v>213</v>
      </c>
      <c r="K75" s="3">
        <v>1572</v>
      </c>
      <c r="L75" s="5">
        <v>1546</v>
      </c>
      <c r="M75" s="5">
        <v>1545</v>
      </c>
      <c r="N75" s="5">
        <v>1543</v>
      </c>
      <c r="O75" s="5">
        <v>1542</v>
      </c>
      <c r="P75" s="6">
        <v>1543.3333333333333</v>
      </c>
      <c r="Q75" s="15">
        <v>4.8</v>
      </c>
      <c r="R75" s="9">
        <v>34</v>
      </c>
      <c r="S75" s="8">
        <v>14</v>
      </c>
      <c r="T75" s="9">
        <v>160.9</v>
      </c>
      <c r="U75" s="9">
        <v>60.2</v>
      </c>
      <c r="V75" s="10">
        <v>100.7</v>
      </c>
      <c r="W75" s="17" t="s">
        <v>5</v>
      </c>
      <c r="X75" s="11">
        <v>57</v>
      </c>
      <c r="Y75" s="12">
        <v>2.7018</v>
      </c>
      <c r="Z75" s="31">
        <v>11.2</v>
      </c>
      <c r="AA75" s="31">
        <v>11.1</v>
      </c>
      <c r="AB75" s="32">
        <v>80</v>
      </c>
      <c r="AC75" s="49">
        <v>90</v>
      </c>
      <c r="AD75" s="50" t="s">
        <v>6</v>
      </c>
      <c r="AE75" s="8" t="s">
        <v>7</v>
      </c>
      <c r="AF75" s="14" t="s">
        <v>214</v>
      </c>
    </row>
    <row r="76" spans="1:32" ht="31.5" x14ac:dyDescent="0.25">
      <c r="A76" s="1">
        <v>1805</v>
      </c>
      <c r="B76" s="2">
        <v>45770</v>
      </c>
      <c r="C76" s="3" t="s">
        <v>0</v>
      </c>
      <c r="D76" s="1" t="s">
        <v>9</v>
      </c>
      <c r="E76" s="1">
        <v>1</v>
      </c>
      <c r="F76" s="1">
        <v>12504019</v>
      </c>
      <c r="G76" s="1">
        <v>1250</v>
      </c>
      <c r="H76" s="1" t="s">
        <v>215</v>
      </c>
      <c r="I76" s="1" t="s">
        <v>11</v>
      </c>
      <c r="J76" s="1" t="s">
        <v>216</v>
      </c>
      <c r="K76" s="9">
        <v>1566</v>
      </c>
      <c r="L76" s="5">
        <v>1546</v>
      </c>
      <c r="M76" s="5">
        <v>1548</v>
      </c>
      <c r="N76" s="5">
        <v>1548</v>
      </c>
      <c r="O76" s="5">
        <v>1543</v>
      </c>
      <c r="P76" s="6">
        <v>1546.3333333333333</v>
      </c>
      <c r="Q76" s="15">
        <v>5</v>
      </c>
      <c r="R76" s="9">
        <v>39</v>
      </c>
      <c r="S76" s="8">
        <v>17</v>
      </c>
      <c r="T76" s="9">
        <v>165.2</v>
      </c>
      <c r="U76" s="9">
        <v>60</v>
      </c>
      <c r="V76" s="10">
        <v>105.19999999999999</v>
      </c>
      <c r="W76" s="17" t="s">
        <v>5</v>
      </c>
      <c r="X76" s="11">
        <v>57</v>
      </c>
      <c r="Y76" s="12">
        <v>2.8143750000000001</v>
      </c>
      <c r="Z76" s="31">
        <v>9.6999999999999993</v>
      </c>
      <c r="AA76" s="31">
        <v>10.5</v>
      </c>
      <c r="AB76" s="32">
        <v>78</v>
      </c>
      <c r="AC76" s="32">
        <v>87</v>
      </c>
      <c r="AD76" s="8" t="s">
        <v>6</v>
      </c>
      <c r="AE76" s="8" t="s">
        <v>7</v>
      </c>
      <c r="AF76" s="14" t="s">
        <v>217</v>
      </c>
    </row>
    <row r="77" spans="1:32" ht="31.5" x14ac:dyDescent="0.25">
      <c r="A77" s="1">
        <v>1820</v>
      </c>
      <c r="B77" s="2">
        <v>45770</v>
      </c>
      <c r="C77" s="3" t="s">
        <v>0</v>
      </c>
      <c r="D77" s="1" t="s">
        <v>9</v>
      </c>
      <c r="E77" s="1">
        <v>2</v>
      </c>
      <c r="F77" s="1">
        <v>22504021</v>
      </c>
      <c r="G77" s="1">
        <v>1250</v>
      </c>
      <c r="H77" s="1" t="s">
        <v>176</v>
      </c>
      <c r="I77" s="1" t="s">
        <v>132</v>
      </c>
      <c r="J77" s="1" t="s">
        <v>218</v>
      </c>
      <c r="K77" s="4">
        <v>1570</v>
      </c>
      <c r="L77" s="4">
        <v>1544</v>
      </c>
      <c r="M77" s="5">
        <v>1542</v>
      </c>
      <c r="N77" s="5">
        <v>1541</v>
      </c>
      <c r="O77" s="5">
        <v>1541</v>
      </c>
      <c r="P77" s="6">
        <v>1541.3333333333333</v>
      </c>
      <c r="Q77" s="7">
        <v>5</v>
      </c>
      <c r="R77" s="4">
        <v>36</v>
      </c>
      <c r="S77" s="8">
        <v>20</v>
      </c>
      <c r="T77" s="9" t="s">
        <v>5</v>
      </c>
      <c r="U77" s="9" t="s">
        <v>5</v>
      </c>
      <c r="V77" s="9" t="s">
        <v>5</v>
      </c>
      <c r="W77" s="11">
        <v>11.3</v>
      </c>
      <c r="X77" s="11">
        <v>58</v>
      </c>
      <c r="Y77" s="12">
        <v>2.86375</v>
      </c>
      <c r="Z77" s="7">
        <v>8.5</v>
      </c>
      <c r="AA77" s="7">
        <v>10.199999999999999</v>
      </c>
      <c r="AB77" s="13">
        <v>77</v>
      </c>
      <c r="AC77" s="13">
        <v>90</v>
      </c>
      <c r="AD77" s="8" t="s">
        <v>6</v>
      </c>
      <c r="AE77" s="8" t="s">
        <v>13</v>
      </c>
      <c r="AF77" s="14" t="s">
        <v>219</v>
      </c>
    </row>
    <row r="78" spans="1:32" ht="15.75" x14ac:dyDescent="0.25">
      <c r="A78" s="1">
        <v>1822</v>
      </c>
      <c r="B78" s="2">
        <v>45770</v>
      </c>
      <c r="C78" s="3" t="s">
        <v>0</v>
      </c>
      <c r="D78" s="1" t="s">
        <v>9</v>
      </c>
      <c r="E78" s="1">
        <v>2</v>
      </c>
      <c r="F78" s="1">
        <v>22504021</v>
      </c>
      <c r="G78" s="1">
        <v>1250</v>
      </c>
      <c r="H78" s="1" t="s">
        <v>176</v>
      </c>
      <c r="I78" s="1" t="s">
        <v>120</v>
      </c>
      <c r="J78" s="1" t="s">
        <v>220</v>
      </c>
      <c r="K78" s="4">
        <v>1569</v>
      </c>
      <c r="L78" s="5">
        <v>1541</v>
      </c>
      <c r="M78" s="5">
        <v>1541</v>
      </c>
      <c r="N78" s="5">
        <v>1536</v>
      </c>
      <c r="O78" s="5">
        <v>1532</v>
      </c>
      <c r="P78" s="6">
        <v>1536.3333333333333</v>
      </c>
      <c r="Q78" s="7">
        <v>5</v>
      </c>
      <c r="R78" s="4">
        <v>35</v>
      </c>
      <c r="S78" s="8">
        <v>33</v>
      </c>
      <c r="T78" s="9" t="s">
        <v>5</v>
      </c>
      <c r="U78" s="9" t="s">
        <v>5</v>
      </c>
      <c r="V78" s="9" t="s">
        <v>5</v>
      </c>
      <c r="W78" s="11">
        <v>15.8</v>
      </c>
      <c r="X78" s="11">
        <v>58</v>
      </c>
      <c r="Y78" s="12">
        <v>2.86375</v>
      </c>
      <c r="Z78" s="7">
        <v>9</v>
      </c>
      <c r="AA78" s="7">
        <v>9.4</v>
      </c>
      <c r="AB78" s="13">
        <v>84</v>
      </c>
      <c r="AC78" s="13">
        <v>92</v>
      </c>
      <c r="AD78" s="8" t="s">
        <v>6</v>
      </c>
      <c r="AE78" s="8" t="s">
        <v>13</v>
      </c>
      <c r="AF78" s="14" t="s">
        <v>221</v>
      </c>
    </row>
    <row r="79" spans="1:32" ht="31.5" x14ac:dyDescent="0.25">
      <c r="A79" s="1">
        <v>1881</v>
      </c>
      <c r="B79" s="2">
        <v>45771</v>
      </c>
      <c r="C79" s="3" t="s">
        <v>0</v>
      </c>
      <c r="D79" s="1" t="s">
        <v>9</v>
      </c>
      <c r="E79" s="1">
        <v>1</v>
      </c>
      <c r="F79" s="1">
        <v>12504020</v>
      </c>
      <c r="G79" s="1">
        <v>1250</v>
      </c>
      <c r="H79" s="1" t="s">
        <v>222</v>
      </c>
      <c r="I79" s="1" t="s">
        <v>152</v>
      </c>
      <c r="J79" s="3" t="s">
        <v>223</v>
      </c>
      <c r="K79" s="3">
        <v>1572</v>
      </c>
      <c r="L79" s="5">
        <v>1545</v>
      </c>
      <c r="M79" s="5">
        <v>1547</v>
      </c>
      <c r="N79" s="5">
        <v>1544</v>
      </c>
      <c r="O79" s="5">
        <v>1543</v>
      </c>
      <c r="P79" s="6">
        <v>1544.6666666666667</v>
      </c>
      <c r="Q79" s="15">
        <v>5</v>
      </c>
      <c r="R79" s="9">
        <v>39</v>
      </c>
      <c r="S79" s="8">
        <v>39</v>
      </c>
      <c r="T79" s="9">
        <v>167</v>
      </c>
      <c r="U79" s="9">
        <v>61</v>
      </c>
      <c r="V79" s="10">
        <v>106</v>
      </c>
      <c r="W79" s="17">
        <v>23.2</v>
      </c>
      <c r="X79" s="11">
        <v>57</v>
      </c>
      <c r="Y79" s="12">
        <v>2.8143750000000001</v>
      </c>
      <c r="Z79" s="31">
        <v>9.5</v>
      </c>
      <c r="AA79" s="31">
        <v>10.5</v>
      </c>
      <c r="AB79" s="32">
        <v>75</v>
      </c>
      <c r="AC79" s="32">
        <v>82</v>
      </c>
      <c r="AD79" s="50" t="s">
        <v>6</v>
      </c>
      <c r="AE79" s="8" t="s">
        <v>72</v>
      </c>
      <c r="AF79" s="51" t="s">
        <v>224</v>
      </c>
    </row>
    <row r="80" spans="1:32" ht="31.5" x14ac:dyDescent="0.25">
      <c r="A80" s="1">
        <v>1882</v>
      </c>
      <c r="B80" s="2">
        <v>45771</v>
      </c>
      <c r="C80" s="3" t="s">
        <v>0</v>
      </c>
      <c r="D80" s="1" t="s">
        <v>9</v>
      </c>
      <c r="E80" s="1">
        <v>1</v>
      </c>
      <c r="F80" s="1">
        <v>12504020</v>
      </c>
      <c r="G80" s="1">
        <v>1250</v>
      </c>
      <c r="H80" s="1" t="s">
        <v>225</v>
      </c>
      <c r="I80" s="1" t="s">
        <v>122</v>
      </c>
      <c r="J80" s="1" t="s">
        <v>226</v>
      </c>
      <c r="K80" s="9">
        <v>1573</v>
      </c>
      <c r="L80" s="5">
        <v>1547</v>
      </c>
      <c r="M80" s="5">
        <v>1547</v>
      </c>
      <c r="N80" s="5">
        <v>1548</v>
      </c>
      <c r="O80" s="5">
        <v>1547</v>
      </c>
      <c r="P80" s="6">
        <v>1547.3333333333333</v>
      </c>
      <c r="Q80" s="15">
        <v>4.5999999999999996</v>
      </c>
      <c r="R80" s="9">
        <v>37</v>
      </c>
      <c r="S80" s="8">
        <v>24</v>
      </c>
      <c r="T80" s="9">
        <v>159</v>
      </c>
      <c r="U80" s="9">
        <v>63</v>
      </c>
      <c r="V80" s="10">
        <v>96</v>
      </c>
      <c r="W80" s="17" t="s">
        <v>5</v>
      </c>
      <c r="X80" s="11">
        <v>57</v>
      </c>
      <c r="Y80" s="12">
        <v>2.5892249999999999</v>
      </c>
      <c r="Z80" s="31">
        <v>7.5</v>
      </c>
      <c r="AA80" s="31">
        <v>7.5</v>
      </c>
      <c r="AB80" s="32">
        <v>68</v>
      </c>
      <c r="AC80" s="32">
        <v>67</v>
      </c>
      <c r="AD80" s="50" t="s">
        <v>6</v>
      </c>
      <c r="AE80" s="8" t="s">
        <v>72</v>
      </c>
      <c r="AF80" s="14" t="s">
        <v>227</v>
      </c>
    </row>
    <row r="81" spans="1:32" ht="63" x14ac:dyDescent="0.25">
      <c r="A81" s="1">
        <v>1884</v>
      </c>
      <c r="B81" s="2">
        <v>45771</v>
      </c>
      <c r="C81" s="3" t="s">
        <v>0</v>
      </c>
      <c r="D81" s="1" t="s">
        <v>9</v>
      </c>
      <c r="E81" s="1">
        <v>1</v>
      </c>
      <c r="F81" s="1">
        <v>12504020</v>
      </c>
      <c r="G81" s="1">
        <v>1250</v>
      </c>
      <c r="H81" s="1" t="s">
        <v>228</v>
      </c>
      <c r="I81" s="1" t="s">
        <v>229</v>
      </c>
      <c r="J81" s="1" t="s">
        <v>230</v>
      </c>
      <c r="K81" s="9">
        <v>1572</v>
      </c>
      <c r="L81" s="5">
        <v>1548</v>
      </c>
      <c r="M81" s="5">
        <v>1549</v>
      </c>
      <c r="N81" s="5">
        <v>1550</v>
      </c>
      <c r="O81" s="5">
        <v>1549</v>
      </c>
      <c r="P81" s="6">
        <v>1549.3333333333333</v>
      </c>
      <c r="Q81" s="15">
        <v>4.8</v>
      </c>
      <c r="R81" s="9">
        <v>35</v>
      </c>
      <c r="S81" s="8">
        <v>2</v>
      </c>
      <c r="T81" s="9">
        <v>166</v>
      </c>
      <c r="U81" s="9">
        <v>63</v>
      </c>
      <c r="V81" s="10">
        <v>103</v>
      </c>
      <c r="W81" s="17" t="s">
        <v>5</v>
      </c>
      <c r="X81" s="11">
        <v>57</v>
      </c>
      <c r="Y81" s="12">
        <v>2.7018</v>
      </c>
      <c r="Z81" s="31">
        <v>8.3000000000000007</v>
      </c>
      <c r="AA81" s="31">
        <v>8</v>
      </c>
      <c r="AB81" s="32">
        <v>92</v>
      </c>
      <c r="AC81" s="32">
        <v>100</v>
      </c>
      <c r="AD81" s="50" t="s">
        <v>6</v>
      </c>
      <c r="AE81" s="8" t="s">
        <v>72</v>
      </c>
      <c r="AF81" s="14" t="s">
        <v>231</v>
      </c>
    </row>
    <row r="82" spans="1:32" ht="31.5" x14ac:dyDescent="0.25">
      <c r="A82" s="1">
        <v>1889</v>
      </c>
      <c r="B82" s="2">
        <v>45771</v>
      </c>
      <c r="C82" s="3" t="s">
        <v>0</v>
      </c>
      <c r="D82" s="1" t="s">
        <v>9</v>
      </c>
      <c r="E82" s="1">
        <v>2</v>
      </c>
      <c r="F82" s="1">
        <v>22502022</v>
      </c>
      <c r="G82" s="1">
        <v>1250</v>
      </c>
      <c r="H82" s="1" t="s">
        <v>232</v>
      </c>
      <c r="I82" s="1" t="s">
        <v>148</v>
      </c>
      <c r="J82" s="3" t="s">
        <v>233</v>
      </c>
      <c r="K82" s="3">
        <v>1571</v>
      </c>
      <c r="L82" s="5">
        <v>1544</v>
      </c>
      <c r="M82" s="5">
        <v>1544</v>
      </c>
      <c r="N82" s="5">
        <v>1543</v>
      </c>
      <c r="O82" s="5">
        <v>1536</v>
      </c>
      <c r="P82" s="6">
        <v>1541</v>
      </c>
      <c r="Q82" s="15">
        <v>4.8</v>
      </c>
      <c r="R82" s="9">
        <v>38</v>
      </c>
      <c r="S82" s="17">
        <v>17</v>
      </c>
      <c r="T82" s="9" t="s">
        <v>5</v>
      </c>
      <c r="U82" s="9" t="s">
        <v>5</v>
      </c>
      <c r="V82" s="9" t="s">
        <v>5</v>
      </c>
      <c r="W82" s="17">
        <v>15.1</v>
      </c>
      <c r="X82" s="11">
        <v>58</v>
      </c>
      <c r="Y82" s="12">
        <v>2.7491999999999996</v>
      </c>
      <c r="Z82" s="7">
        <v>8</v>
      </c>
      <c r="AA82" s="7">
        <v>6.1</v>
      </c>
      <c r="AB82" s="13">
        <v>92</v>
      </c>
      <c r="AC82" s="13">
        <v>70</v>
      </c>
      <c r="AD82" s="8" t="s">
        <v>6</v>
      </c>
      <c r="AE82" s="8" t="s">
        <v>72</v>
      </c>
      <c r="AF82" s="14" t="s">
        <v>234</v>
      </c>
    </row>
    <row r="83" spans="1:32" ht="47.25" x14ac:dyDescent="0.25">
      <c r="A83" s="1">
        <v>1890</v>
      </c>
      <c r="B83" s="2">
        <v>45771</v>
      </c>
      <c r="C83" s="3" t="s">
        <v>0</v>
      </c>
      <c r="D83" s="1" t="s">
        <v>9</v>
      </c>
      <c r="E83" s="1">
        <v>2</v>
      </c>
      <c r="F83" s="1">
        <v>22502022</v>
      </c>
      <c r="G83" s="1">
        <v>1250</v>
      </c>
      <c r="H83" s="1" t="s">
        <v>222</v>
      </c>
      <c r="I83" s="1" t="s">
        <v>155</v>
      </c>
      <c r="J83" s="1" t="s">
        <v>235</v>
      </c>
      <c r="K83" s="4">
        <v>1578</v>
      </c>
      <c r="L83" s="5">
        <v>1539</v>
      </c>
      <c r="M83" s="5">
        <v>1540</v>
      </c>
      <c r="N83" s="5">
        <v>1543</v>
      </c>
      <c r="O83" s="5" t="s">
        <v>5</v>
      </c>
      <c r="P83" s="6">
        <v>1541.5</v>
      </c>
      <c r="Q83" s="7">
        <v>4.5</v>
      </c>
      <c r="R83" s="4">
        <v>37</v>
      </c>
      <c r="S83" s="8">
        <v>22</v>
      </c>
      <c r="T83" s="9" t="s">
        <v>5</v>
      </c>
      <c r="U83" s="9" t="s">
        <v>5</v>
      </c>
      <c r="V83" s="9" t="s">
        <v>5</v>
      </c>
      <c r="W83" s="17">
        <v>13.4</v>
      </c>
      <c r="X83" s="11">
        <v>58</v>
      </c>
      <c r="Y83" s="12">
        <v>2.577375</v>
      </c>
      <c r="Z83" s="7">
        <v>10.9</v>
      </c>
      <c r="AA83" s="7">
        <v>7</v>
      </c>
      <c r="AB83" s="13">
        <v>94</v>
      </c>
      <c r="AC83" s="13">
        <v>63</v>
      </c>
      <c r="AD83" s="8" t="s">
        <v>236</v>
      </c>
      <c r="AE83" s="8" t="s">
        <v>72</v>
      </c>
      <c r="AF83" s="14" t="s">
        <v>237</v>
      </c>
    </row>
    <row r="84" spans="1:32" ht="31.5" x14ac:dyDescent="0.25">
      <c r="A84" s="1">
        <v>1952</v>
      </c>
      <c r="B84" s="2">
        <v>45772</v>
      </c>
      <c r="C84" s="3" t="s">
        <v>0</v>
      </c>
      <c r="D84" s="1" t="s">
        <v>9</v>
      </c>
      <c r="E84" s="1">
        <v>1</v>
      </c>
      <c r="F84" s="1">
        <v>12504022</v>
      </c>
      <c r="G84" s="1">
        <v>1240</v>
      </c>
      <c r="H84" s="1" t="s">
        <v>55</v>
      </c>
      <c r="I84" s="1" t="s">
        <v>120</v>
      </c>
      <c r="J84" s="3" t="s">
        <v>238</v>
      </c>
      <c r="K84" s="3">
        <v>1570</v>
      </c>
      <c r="L84" s="5">
        <v>1548</v>
      </c>
      <c r="M84" s="5">
        <v>1548</v>
      </c>
      <c r="N84" s="5">
        <v>1545</v>
      </c>
      <c r="O84" s="5">
        <v>1542</v>
      </c>
      <c r="P84" s="6">
        <v>1545</v>
      </c>
      <c r="Q84" s="15">
        <v>5</v>
      </c>
      <c r="R84" s="9">
        <v>36</v>
      </c>
      <c r="S84" s="8">
        <v>4</v>
      </c>
      <c r="T84" s="9">
        <v>171.4</v>
      </c>
      <c r="U84" s="9">
        <v>64.099999999999994</v>
      </c>
      <c r="V84" s="10">
        <v>107.30000000000001</v>
      </c>
      <c r="W84" s="17" t="s">
        <v>5</v>
      </c>
      <c r="X84" s="11">
        <v>57</v>
      </c>
      <c r="Y84" s="12">
        <v>2.7918600000000007</v>
      </c>
      <c r="Z84" s="31">
        <v>10.9</v>
      </c>
      <c r="AA84" s="31">
        <v>11.8</v>
      </c>
      <c r="AB84" s="32">
        <v>86</v>
      </c>
      <c r="AC84" s="49">
        <v>91</v>
      </c>
      <c r="AD84" s="50" t="s">
        <v>6</v>
      </c>
      <c r="AE84" s="8" t="s">
        <v>53</v>
      </c>
      <c r="AF84" s="14" t="s">
        <v>239</v>
      </c>
    </row>
    <row r="85" spans="1:32" ht="15.75" x14ac:dyDescent="0.25">
      <c r="A85" s="1">
        <v>2141</v>
      </c>
      <c r="B85" s="2">
        <v>45774</v>
      </c>
      <c r="C85" s="3" t="s">
        <v>0</v>
      </c>
      <c r="D85" s="1" t="s">
        <v>365</v>
      </c>
      <c r="E85" s="1">
        <v>2</v>
      </c>
      <c r="F85" s="1">
        <v>22502024</v>
      </c>
      <c r="G85" s="1">
        <v>1250</v>
      </c>
      <c r="H85" s="1" t="s">
        <v>176</v>
      </c>
      <c r="I85" s="1" t="s">
        <v>240</v>
      </c>
      <c r="J85" s="1" t="s">
        <v>241</v>
      </c>
      <c r="K85" s="4">
        <v>1570</v>
      </c>
      <c r="L85" s="5">
        <v>1537</v>
      </c>
      <c r="M85" s="5">
        <v>1540</v>
      </c>
      <c r="N85" s="5">
        <v>1541</v>
      </c>
      <c r="O85" s="5">
        <v>1541</v>
      </c>
      <c r="P85" s="6">
        <v>1540.6666666666667</v>
      </c>
      <c r="Q85" s="7">
        <v>5.5</v>
      </c>
      <c r="R85" s="4">
        <v>29</v>
      </c>
      <c r="S85" s="8" t="s">
        <v>5</v>
      </c>
      <c r="T85" s="9" t="s">
        <v>5</v>
      </c>
      <c r="U85" s="9" t="s">
        <v>5</v>
      </c>
      <c r="V85" s="9" t="s">
        <v>5</v>
      </c>
      <c r="W85" s="11">
        <v>17.2</v>
      </c>
      <c r="X85" s="11">
        <v>58</v>
      </c>
      <c r="Y85" s="12">
        <v>3.1501250000000001</v>
      </c>
      <c r="Z85" s="7">
        <v>6.9</v>
      </c>
      <c r="AA85" s="7">
        <v>7.8</v>
      </c>
      <c r="AB85" s="13">
        <v>65</v>
      </c>
      <c r="AC85" s="13">
        <v>67</v>
      </c>
      <c r="AD85" s="8" t="s">
        <v>6</v>
      </c>
      <c r="AE85" s="8" t="s">
        <v>53</v>
      </c>
      <c r="AF85" s="14" t="s">
        <v>242</v>
      </c>
    </row>
    <row r="86" spans="1:32" ht="15.75" x14ac:dyDescent="0.25">
      <c r="A86" s="1">
        <v>2169</v>
      </c>
      <c r="B86" s="2">
        <v>45775</v>
      </c>
      <c r="C86" s="1" t="s">
        <v>18</v>
      </c>
      <c r="D86" s="1" t="s">
        <v>19</v>
      </c>
      <c r="E86" s="1">
        <v>2</v>
      </c>
      <c r="F86" s="1">
        <v>22502025</v>
      </c>
      <c r="G86" s="1">
        <v>1250</v>
      </c>
      <c r="H86" s="1" t="s">
        <v>10</v>
      </c>
      <c r="I86" s="1" t="s">
        <v>98</v>
      </c>
      <c r="J86" s="52" t="s">
        <v>243</v>
      </c>
      <c r="K86" s="53">
        <v>1596</v>
      </c>
      <c r="L86" s="5">
        <v>1561</v>
      </c>
      <c r="M86" s="5">
        <v>1564</v>
      </c>
      <c r="N86" s="5">
        <v>1565</v>
      </c>
      <c r="O86" s="5">
        <v>1568</v>
      </c>
      <c r="P86" s="6">
        <v>1565.6666666666667</v>
      </c>
      <c r="Q86" s="15">
        <v>3.8</v>
      </c>
      <c r="R86" s="9">
        <v>52</v>
      </c>
      <c r="S86" s="8">
        <v>27</v>
      </c>
      <c r="T86" s="9" t="s">
        <v>5</v>
      </c>
      <c r="U86" s="9" t="s">
        <v>5</v>
      </c>
      <c r="V86" s="9" t="s">
        <v>5</v>
      </c>
      <c r="W86" s="9" t="s">
        <v>100</v>
      </c>
      <c r="X86" s="11">
        <v>58</v>
      </c>
      <c r="Y86" s="12">
        <v>2.17645</v>
      </c>
      <c r="Z86" s="31">
        <v>8.4</v>
      </c>
      <c r="AA86" s="31">
        <v>8.8000000000000007</v>
      </c>
      <c r="AB86" s="32">
        <v>81</v>
      </c>
      <c r="AC86" s="32">
        <v>90</v>
      </c>
      <c r="AD86" s="8" t="s">
        <v>6</v>
      </c>
      <c r="AE86" s="8" t="s">
        <v>72</v>
      </c>
      <c r="AF86" s="40" t="s">
        <v>96</v>
      </c>
    </row>
    <row r="87" spans="1:32" ht="31.5" x14ac:dyDescent="0.25">
      <c r="A87" s="1">
        <v>2188</v>
      </c>
      <c r="B87" s="2">
        <v>45775</v>
      </c>
      <c r="C87" s="3" t="s">
        <v>264</v>
      </c>
      <c r="D87" s="1" t="s">
        <v>9</v>
      </c>
      <c r="E87" s="1">
        <v>2</v>
      </c>
      <c r="F87" s="1">
        <v>22502025</v>
      </c>
      <c r="G87" s="1">
        <v>1250</v>
      </c>
      <c r="H87" s="1" t="s">
        <v>244</v>
      </c>
      <c r="I87" s="1" t="s">
        <v>90</v>
      </c>
      <c r="J87" s="3" t="s">
        <v>245</v>
      </c>
      <c r="K87" s="3">
        <v>1570</v>
      </c>
      <c r="L87" s="5">
        <v>1550</v>
      </c>
      <c r="M87" s="5">
        <v>1550</v>
      </c>
      <c r="N87" s="5">
        <v>1547</v>
      </c>
      <c r="O87" s="5">
        <v>1547</v>
      </c>
      <c r="P87" s="6">
        <v>1548</v>
      </c>
      <c r="Q87" s="15">
        <v>5.4</v>
      </c>
      <c r="R87" s="9">
        <v>39</v>
      </c>
      <c r="S87" s="17">
        <v>25</v>
      </c>
      <c r="T87" s="9" t="s">
        <v>5</v>
      </c>
      <c r="U87" s="9" t="s">
        <v>5</v>
      </c>
      <c r="V87" s="10" t="s">
        <v>5</v>
      </c>
      <c r="W87" s="9">
        <v>12.3</v>
      </c>
      <c r="X87" s="11">
        <v>58</v>
      </c>
      <c r="Y87" s="12">
        <v>3.0928500000000003</v>
      </c>
      <c r="Z87" s="7">
        <v>9.8000000000000007</v>
      </c>
      <c r="AA87" s="7">
        <v>9.6</v>
      </c>
      <c r="AB87" s="13">
        <v>93</v>
      </c>
      <c r="AC87" s="13">
        <v>91</v>
      </c>
      <c r="AD87" s="8" t="s">
        <v>6</v>
      </c>
      <c r="AE87" s="8" t="s">
        <v>13</v>
      </c>
      <c r="AF87" s="14" t="s">
        <v>246</v>
      </c>
    </row>
    <row r="88" spans="1:32" ht="47.25" x14ac:dyDescent="0.25">
      <c r="A88" s="1">
        <v>1580</v>
      </c>
      <c r="B88" s="2">
        <v>45767</v>
      </c>
      <c r="C88" s="3" t="s">
        <v>0</v>
      </c>
      <c r="D88" s="1" t="s">
        <v>1</v>
      </c>
      <c r="E88" s="1">
        <v>2</v>
      </c>
      <c r="F88" s="1">
        <v>22504018</v>
      </c>
      <c r="G88" s="1">
        <v>1210</v>
      </c>
      <c r="H88" s="1" t="s">
        <v>2</v>
      </c>
      <c r="I88" s="1" t="s">
        <v>3</v>
      </c>
      <c r="J88" s="1" t="s">
        <v>4</v>
      </c>
      <c r="K88" s="4">
        <v>1575</v>
      </c>
      <c r="L88" s="5">
        <v>1551</v>
      </c>
      <c r="M88" s="5">
        <v>1550</v>
      </c>
      <c r="N88" s="5">
        <v>1550</v>
      </c>
      <c r="O88" s="5">
        <v>1550</v>
      </c>
      <c r="P88" s="6">
        <v>1550</v>
      </c>
      <c r="Q88" s="7">
        <v>4.9000000000000004</v>
      </c>
      <c r="R88" s="4">
        <v>38</v>
      </c>
      <c r="S88" s="8">
        <v>28</v>
      </c>
      <c r="T88" s="9" t="s">
        <v>5</v>
      </c>
      <c r="U88" s="9" t="s">
        <v>5</v>
      </c>
      <c r="V88" s="10" t="s">
        <v>5</v>
      </c>
      <c r="W88" s="11">
        <v>10.6</v>
      </c>
      <c r="X88" s="11">
        <v>58</v>
      </c>
      <c r="Y88" s="12">
        <v>2.7166678000000006</v>
      </c>
      <c r="Z88" s="7">
        <v>8.5</v>
      </c>
      <c r="AA88" s="7">
        <v>8.6999999999999993</v>
      </c>
      <c r="AB88" s="13">
        <v>82</v>
      </c>
      <c r="AC88" s="13">
        <v>84</v>
      </c>
      <c r="AD88" s="8" t="s">
        <v>6</v>
      </c>
      <c r="AE88" s="8" t="s">
        <v>7</v>
      </c>
      <c r="AF88" s="14" t="s">
        <v>8</v>
      </c>
    </row>
    <row r="89" spans="1:32" ht="15.75" x14ac:dyDescent="0.25">
      <c r="A89" s="1">
        <v>1738</v>
      </c>
      <c r="B89" s="2">
        <v>45769</v>
      </c>
      <c r="C89" s="3" t="s">
        <v>0</v>
      </c>
      <c r="D89" s="1" t="s">
        <v>9</v>
      </c>
      <c r="E89" s="1">
        <v>2</v>
      </c>
      <c r="F89" s="1">
        <v>22502020</v>
      </c>
      <c r="G89" s="1">
        <v>1250</v>
      </c>
      <c r="H89" s="1" t="s">
        <v>10</v>
      </c>
      <c r="I89" s="1" t="s">
        <v>11</v>
      </c>
      <c r="J89" s="1" t="s">
        <v>12</v>
      </c>
      <c r="K89" s="4">
        <v>1570</v>
      </c>
      <c r="L89" s="5">
        <v>1544</v>
      </c>
      <c r="M89" s="5">
        <v>1545</v>
      </c>
      <c r="N89" s="5">
        <v>1545</v>
      </c>
      <c r="O89" s="5">
        <v>1546</v>
      </c>
      <c r="P89" s="6">
        <v>1545.3333333333333</v>
      </c>
      <c r="Q89" s="7">
        <v>5.7</v>
      </c>
      <c r="R89" s="4">
        <v>34</v>
      </c>
      <c r="S89" s="8">
        <v>34</v>
      </c>
      <c r="T89" s="9" t="s">
        <v>5</v>
      </c>
      <c r="U89" s="9" t="s">
        <v>5</v>
      </c>
      <c r="V89" s="9" t="s">
        <v>5</v>
      </c>
      <c r="W89" s="11">
        <v>11.4</v>
      </c>
      <c r="X89" s="11">
        <v>58</v>
      </c>
      <c r="Y89" s="12">
        <v>3.264675</v>
      </c>
      <c r="Z89" s="7">
        <v>10.9</v>
      </c>
      <c r="AA89" s="7">
        <v>12</v>
      </c>
      <c r="AB89" s="13">
        <v>86</v>
      </c>
      <c r="AC89" s="13">
        <v>91</v>
      </c>
      <c r="AD89" s="8" t="s">
        <v>6</v>
      </c>
      <c r="AE89" s="8" t="s">
        <v>13</v>
      </c>
      <c r="AF89" s="14" t="s">
        <v>14</v>
      </c>
    </row>
    <row r="90" spans="1:32" ht="47.25" x14ac:dyDescent="0.25">
      <c r="A90" s="1">
        <v>1741</v>
      </c>
      <c r="B90" s="2">
        <v>45769</v>
      </c>
      <c r="C90" s="3" t="s">
        <v>0</v>
      </c>
      <c r="D90" s="1" t="s">
        <v>9</v>
      </c>
      <c r="E90" s="1">
        <v>2</v>
      </c>
      <c r="F90" s="1">
        <v>22502020</v>
      </c>
      <c r="G90" s="1">
        <v>1260</v>
      </c>
      <c r="H90" s="1" t="s">
        <v>10</v>
      </c>
      <c r="I90" s="1" t="s">
        <v>15</v>
      </c>
      <c r="J90" s="1" t="s">
        <v>16</v>
      </c>
      <c r="K90" s="4">
        <v>1570</v>
      </c>
      <c r="L90" s="5">
        <v>1549</v>
      </c>
      <c r="M90" s="5">
        <v>1549</v>
      </c>
      <c r="N90" s="5">
        <v>1549</v>
      </c>
      <c r="O90" s="5">
        <v>1549</v>
      </c>
      <c r="P90" s="6">
        <v>1549</v>
      </c>
      <c r="Q90" s="7">
        <v>5.3</v>
      </c>
      <c r="R90" s="4">
        <v>36</v>
      </c>
      <c r="S90" s="8" t="s">
        <v>5</v>
      </c>
      <c r="T90" s="9" t="s">
        <v>5</v>
      </c>
      <c r="U90" s="9" t="s">
        <v>5</v>
      </c>
      <c r="V90" s="9" t="s">
        <v>5</v>
      </c>
      <c r="W90" s="11" t="s">
        <v>5</v>
      </c>
      <c r="X90" s="11">
        <v>58</v>
      </c>
      <c r="Y90" s="12">
        <v>3.0598596000000002</v>
      </c>
      <c r="Z90" s="7">
        <v>11.3</v>
      </c>
      <c r="AA90" s="7">
        <v>12.1</v>
      </c>
      <c r="AB90" s="13">
        <v>88</v>
      </c>
      <c r="AC90" s="13">
        <v>97</v>
      </c>
      <c r="AD90" s="8" t="s">
        <v>6</v>
      </c>
      <c r="AE90" s="8" t="s">
        <v>13</v>
      </c>
      <c r="AF90" s="14" t="s">
        <v>17</v>
      </c>
    </row>
    <row r="91" spans="1:32" ht="47.25" x14ac:dyDescent="0.25">
      <c r="A91" s="1">
        <v>2084</v>
      </c>
      <c r="B91" s="2">
        <v>45774</v>
      </c>
      <c r="C91" s="1" t="s">
        <v>18</v>
      </c>
      <c r="D91" s="1" t="s">
        <v>19</v>
      </c>
      <c r="E91" s="1">
        <v>2</v>
      </c>
      <c r="F91" s="1">
        <v>22502024</v>
      </c>
      <c r="G91" s="1">
        <v>1250</v>
      </c>
      <c r="H91" s="1" t="s">
        <v>10</v>
      </c>
      <c r="I91" s="1" t="s">
        <v>20</v>
      </c>
      <c r="J91" s="3" t="s">
        <v>21</v>
      </c>
      <c r="K91" s="3">
        <v>1572</v>
      </c>
      <c r="L91" s="5">
        <v>1545</v>
      </c>
      <c r="M91" s="5">
        <v>1543</v>
      </c>
      <c r="N91" s="5">
        <v>1541</v>
      </c>
      <c r="O91" s="5">
        <v>1543</v>
      </c>
      <c r="P91" s="6">
        <v>1542.3333333333333</v>
      </c>
      <c r="Q91" s="15">
        <v>5</v>
      </c>
      <c r="R91" s="16">
        <v>34</v>
      </c>
      <c r="S91" s="17">
        <v>33</v>
      </c>
      <c r="T91" s="9" t="s">
        <v>5</v>
      </c>
      <c r="U91" s="9" t="s">
        <v>5</v>
      </c>
      <c r="V91" s="10" t="s">
        <v>5</v>
      </c>
      <c r="W91" s="11">
        <v>15.4</v>
      </c>
      <c r="X91" s="11">
        <v>58</v>
      </c>
      <c r="Y91" s="12">
        <v>2.86375</v>
      </c>
      <c r="Z91" s="18">
        <v>6.8</v>
      </c>
      <c r="AA91" s="18">
        <v>9.1</v>
      </c>
      <c r="AB91" s="19">
        <v>56</v>
      </c>
      <c r="AC91" s="19">
        <v>82</v>
      </c>
      <c r="AD91" s="8" t="s">
        <v>6</v>
      </c>
      <c r="AE91" s="8" t="s">
        <v>22</v>
      </c>
      <c r="AF91" s="14" t="s">
        <v>23</v>
      </c>
    </row>
  </sheetData>
  <mergeCells count="26">
    <mergeCell ref="AE1:AE2"/>
    <mergeCell ref="AF1:AF2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4">
    <cfRule type="cellIs" dxfId="673" priority="25" stopIfTrue="1" operator="greaterThanOrEqual">
      <formula>1565</formula>
    </cfRule>
    <cfRule type="cellIs" dxfId="672" priority="26" stopIfTrue="1" operator="lessThanOrEqual">
      <formula>1545</formula>
    </cfRule>
  </conditionalFormatting>
  <conditionalFormatting sqref="L5:P7">
    <cfRule type="cellIs" dxfId="671" priority="23" stopIfTrue="1" operator="greaterThanOrEqual">
      <formula>1565</formula>
    </cfRule>
    <cfRule type="cellIs" dxfId="670" priority="24" stopIfTrue="1" operator="lessThanOrEqual">
      <formula>1545</formula>
    </cfRule>
  </conditionalFormatting>
  <conditionalFormatting sqref="L8:P12">
    <cfRule type="cellIs" dxfId="669" priority="21" stopIfTrue="1" operator="greaterThanOrEqual">
      <formula>1565</formula>
    </cfRule>
    <cfRule type="cellIs" dxfId="668" priority="22" stopIfTrue="1" operator="lessThanOrEqual">
      <formula>1545</formula>
    </cfRule>
  </conditionalFormatting>
  <conditionalFormatting sqref="L13:P13">
    <cfRule type="cellIs" dxfId="667" priority="19" stopIfTrue="1" operator="greaterThanOrEqual">
      <formula>1565</formula>
    </cfRule>
    <cfRule type="cellIs" dxfId="666" priority="20" stopIfTrue="1" operator="lessThanOrEqual">
      <formula>1545</formula>
    </cfRule>
  </conditionalFormatting>
  <conditionalFormatting sqref="L14:P20">
    <cfRule type="cellIs" dxfId="665" priority="17" stopIfTrue="1" operator="greaterThanOrEqual">
      <formula>1565</formula>
    </cfRule>
    <cfRule type="cellIs" dxfId="664" priority="18" stopIfTrue="1" operator="lessThanOrEqual">
      <formula>1545</formula>
    </cfRule>
  </conditionalFormatting>
  <conditionalFormatting sqref="L21:P24">
    <cfRule type="cellIs" dxfId="663" priority="15" stopIfTrue="1" operator="greaterThanOrEqual">
      <formula>1565</formula>
    </cfRule>
    <cfRule type="cellIs" dxfId="662" priority="16" stopIfTrue="1" operator="lessThanOrEqual">
      <formula>1545</formula>
    </cfRule>
  </conditionalFormatting>
  <conditionalFormatting sqref="L25:P68">
    <cfRule type="cellIs" dxfId="661" priority="13" stopIfTrue="1" operator="greaterThanOrEqual">
      <formula>1565</formula>
    </cfRule>
    <cfRule type="cellIs" dxfId="660" priority="14" stopIfTrue="1" operator="lessThanOrEqual">
      <formula>1545</formula>
    </cfRule>
  </conditionalFormatting>
  <conditionalFormatting sqref="L69:P69">
    <cfRule type="cellIs" dxfId="659" priority="11" stopIfTrue="1" operator="greaterThanOrEqual">
      <formula>1565</formula>
    </cfRule>
    <cfRule type="cellIs" dxfId="658" priority="12" stopIfTrue="1" operator="lessThanOrEqual">
      <formula>1545</formula>
    </cfRule>
  </conditionalFormatting>
  <conditionalFormatting sqref="L70:P84">
    <cfRule type="cellIs" dxfId="657" priority="9" stopIfTrue="1" operator="greaterThanOrEqual">
      <formula>1565</formula>
    </cfRule>
    <cfRule type="cellIs" dxfId="656" priority="10" stopIfTrue="1" operator="lessThanOrEqual">
      <formula>1545</formula>
    </cfRule>
  </conditionalFormatting>
  <conditionalFormatting sqref="L85:P87">
    <cfRule type="cellIs" dxfId="655" priority="7" stopIfTrue="1" operator="greaterThanOrEqual">
      <formula>1565</formula>
    </cfRule>
    <cfRule type="cellIs" dxfId="654" priority="8" stopIfTrue="1" operator="lessThanOrEqual">
      <formula>1545</formula>
    </cfRule>
  </conditionalFormatting>
  <conditionalFormatting sqref="L88:P88">
    <cfRule type="cellIs" dxfId="653" priority="5" stopIfTrue="1" operator="greaterThanOrEqual">
      <formula>1565</formula>
    </cfRule>
    <cfRule type="cellIs" dxfId="652" priority="6" stopIfTrue="1" operator="lessThanOrEqual">
      <formula>1545</formula>
    </cfRule>
  </conditionalFormatting>
  <conditionalFormatting sqref="L89:P90">
    <cfRule type="cellIs" dxfId="651" priority="3" stopIfTrue="1" operator="greaterThanOrEqual">
      <formula>1565</formula>
    </cfRule>
    <cfRule type="cellIs" dxfId="650" priority="4" stopIfTrue="1" operator="lessThanOrEqual">
      <formula>1545</formula>
    </cfRule>
  </conditionalFormatting>
  <conditionalFormatting sqref="L91:P91">
    <cfRule type="cellIs" dxfId="649" priority="1" stopIfTrue="1" operator="greaterThanOrEqual">
      <formula>1565</formula>
    </cfRule>
    <cfRule type="cellIs" dxfId="648" priority="2" stopIfTrue="1" operator="lessThanOrEqual">
      <formula>1545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6019-282B-475E-B3D6-5FCB6139CBD8}">
  <dimension ref="A1:AF37"/>
  <sheetViews>
    <sheetView workbookViewId="0">
      <selection activeCell="D15" sqref="D15"/>
    </sheetView>
  </sheetViews>
  <sheetFormatPr defaultRowHeight="15" x14ac:dyDescent="0.25"/>
  <cols>
    <col min="1" max="1" width="6.5703125" customWidth="1"/>
    <col min="2" max="2" width="20.42578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ht="75" x14ac:dyDescent="0.25">
      <c r="A1" s="27" t="s">
        <v>24</v>
      </c>
      <c r="B1" s="28" t="s">
        <v>25</v>
      </c>
      <c r="C1" s="28" t="s">
        <v>26</v>
      </c>
      <c r="D1" s="28" t="s">
        <v>27</v>
      </c>
      <c r="E1" s="27" t="s">
        <v>28</v>
      </c>
      <c r="F1" s="27" t="s">
        <v>29</v>
      </c>
      <c r="G1" s="27" t="s">
        <v>30</v>
      </c>
      <c r="H1" s="27" t="s">
        <v>31</v>
      </c>
      <c r="I1" s="27" t="s">
        <v>32</v>
      </c>
      <c r="J1" s="27" t="s">
        <v>33</v>
      </c>
      <c r="K1" s="27" t="s">
        <v>34</v>
      </c>
      <c r="L1" s="20" t="s">
        <v>35</v>
      </c>
      <c r="M1" s="20"/>
      <c r="N1" s="20"/>
      <c r="O1" s="20"/>
      <c r="P1" s="20"/>
      <c r="Q1" s="27" t="s">
        <v>36</v>
      </c>
      <c r="R1" s="28" t="s">
        <v>37</v>
      </c>
      <c r="S1" s="27" t="s">
        <v>38</v>
      </c>
      <c r="T1" s="27" t="s">
        <v>39</v>
      </c>
      <c r="U1" s="27" t="s">
        <v>40</v>
      </c>
      <c r="V1" s="27" t="s">
        <v>41</v>
      </c>
      <c r="W1" s="27" t="s">
        <v>42</v>
      </c>
      <c r="X1" s="27" t="s">
        <v>43</v>
      </c>
      <c r="Y1" s="27" t="s">
        <v>44</v>
      </c>
      <c r="Z1" s="22" t="s">
        <v>45</v>
      </c>
      <c r="AA1" s="22"/>
      <c r="AB1" s="23" t="s">
        <v>46</v>
      </c>
      <c r="AC1" s="23"/>
      <c r="AD1" s="27" t="s">
        <v>47</v>
      </c>
      <c r="AE1" s="27" t="s">
        <v>48</v>
      </c>
      <c r="AF1" s="29" t="s">
        <v>49</v>
      </c>
    </row>
    <row r="2" spans="1:32" ht="31.5" x14ac:dyDescent="0.25">
      <c r="A2" s="1">
        <v>204</v>
      </c>
      <c r="B2" s="2">
        <v>45780</v>
      </c>
      <c r="C2" s="1" t="s">
        <v>0</v>
      </c>
      <c r="D2" s="1" t="s">
        <v>19</v>
      </c>
      <c r="E2" s="1">
        <v>1</v>
      </c>
      <c r="F2" s="1">
        <v>12505003</v>
      </c>
      <c r="G2" s="1">
        <v>1230</v>
      </c>
      <c r="H2" s="1" t="s">
        <v>10</v>
      </c>
      <c r="I2" s="1" t="s">
        <v>98</v>
      </c>
      <c r="J2" s="3" t="s">
        <v>247</v>
      </c>
      <c r="K2" s="3">
        <v>1575</v>
      </c>
      <c r="L2" s="5">
        <v>1572</v>
      </c>
      <c r="M2" s="5">
        <v>1566</v>
      </c>
      <c r="N2" s="5">
        <v>1568</v>
      </c>
      <c r="O2" s="5">
        <v>1567</v>
      </c>
      <c r="P2" s="30">
        <v>1567</v>
      </c>
      <c r="Q2" s="15">
        <v>3.8</v>
      </c>
      <c r="R2" s="9">
        <v>40</v>
      </c>
      <c r="S2" s="17">
        <v>35</v>
      </c>
      <c r="T2" s="9" t="s">
        <v>5</v>
      </c>
      <c r="U2" s="9" t="s">
        <v>5</v>
      </c>
      <c r="V2" s="9" t="s">
        <v>5</v>
      </c>
      <c r="W2" s="17" t="s">
        <v>248</v>
      </c>
      <c r="X2" s="11">
        <v>58</v>
      </c>
      <c r="Y2" s="12">
        <v>2.1416268000000001</v>
      </c>
      <c r="Z2" s="18">
        <v>9.8000000000000007</v>
      </c>
      <c r="AA2" s="18">
        <v>9.9</v>
      </c>
      <c r="AB2" s="19">
        <v>82</v>
      </c>
      <c r="AC2" s="19">
        <v>81</v>
      </c>
      <c r="AD2" s="8" t="s">
        <v>6</v>
      </c>
      <c r="AE2" s="33" t="s">
        <v>7</v>
      </c>
      <c r="AF2" s="14" t="s">
        <v>249</v>
      </c>
    </row>
    <row r="3" spans="1:32" ht="31.5" x14ac:dyDescent="0.25">
      <c r="A3" s="1">
        <v>205</v>
      </c>
      <c r="B3" s="2">
        <v>45780</v>
      </c>
      <c r="C3" s="1" t="s">
        <v>0</v>
      </c>
      <c r="D3" s="1" t="s">
        <v>19</v>
      </c>
      <c r="E3" s="1">
        <v>1</v>
      </c>
      <c r="F3" s="1">
        <v>12505003</v>
      </c>
      <c r="G3" s="1">
        <v>1230</v>
      </c>
      <c r="H3" s="1" t="s">
        <v>10</v>
      </c>
      <c r="I3" s="1" t="s">
        <v>86</v>
      </c>
      <c r="J3" s="3" t="s">
        <v>250</v>
      </c>
      <c r="K3" s="3">
        <v>1575</v>
      </c>
      <c r="L3" s="5">
        <v>1552</v>
      </c>
      <c r="M3" s="5">
        <v>1551</v>
      </c>
      <c r="N3" s="5">
        <v>1550</v>
      </c>
      <c r="O3" s="5">
        <v>1551</v>
      </c>
      <c r="P3" s="30">
        <v>1550.6666666666667</v>
      </c>
      <c r="Q3" s="15">
        <v>5.2</v>
      </c>
      <c r="R3" s="9">
        <v>39</v>
      </c>
      <c r="S3" s="17">
        <v>4</v>
      </c>
      <c r="T3" s="9">
        <v>166.8</v>
      </c>
      <c r="U3" s="9">
        <v>66.7</v>
      </c>
      <c r="V3" s="9">
        <v>100.10000000000001</v>
      </c>
      <c r="W3" s="17" t="s">
        <v>5</v>
      </c>
      <c r="X3" s="11">
        <v>57</v>
      </c>
      <c r="Y3" s="12">
        <v>2.8801188000000004</v>
      </c>
      <c r="Z3" s="18">
        <v>11.5</v>
      </c>
      <c r="AA3" s="18">
        <v>12</v>
      </c>
      <c r="AB3" s="19">
        <v>86</v>
      </c>
      <c r="AC3" s="19">
        <v>88</v>
      </c>
      <c r="AD3" s="8" t="s">
        <v>6</v>
      </c>
      <c r="AE3" s="33" t="s">
        <v>7</v>
      </c>
      <c r="AF3" s="40" t="s">
        <v>251</v>
      </c>
    </row>
    <row r="4" spans="1:32" ht="31.5" x14ac:dyDescent="0.25">
      <c r="A4" s="1">
        <v>207</v>
      </c>
      <c r="B4" s="2">
        <v>45780</v>
      </c>
      <c r="C4" s="1" t="s">
        <v>0</v>
      </c>
      <c r="D4" s="1" t="s">
        <v>19</v>
      </c>
      <c r="E4" s="1">
        <v>1</v>
      </c>
      <c r="F4" s="1">
        <v>12505003</v>
      </c>
      <c r="G4" s="1">
        <v>1230</v>
      </c>
      <c r="H4" s="1" t="s">
        <v>10</v>
      </c>
      <c r="I4" s="1" t="s">
        <v>77</v>
      </c>
      <c r="J4" s="3" t="s">
        <v>252</v>
      </c>
      <c r="K4" s="3">
        <v>1585</v>
      </c>
      <c r="L4" s="5">
        <v>1557</v>
      </c>
      <c r="M4" s="5">
        <v>1558</v>
      </c>
      <c r="N4" s="5">
        <v>1558</v>
      </c>
      <c r="O4" s="5">
        <v>1558</v>
      </c>
      <c r="P4" s="30">
        <v>1558</v>
      </c>
      <c r="Q4" s="15">
        <v>4</v>
      </c>
      <c r="R4" s="9">
        <v>34</v>
      </c>
      <c r="S4" s="17" t="s">
        <v>5</v>
      </c>
      <c r="T4" s="9" t="s">
        <v>5</v>
      </c>
      <c r="U4" s="9" t="s">
        <v>5</v>
      </c>
      <c r="V4" s="9" t="s">
        <v>5</v>
      </c>
      <c r="W4" s="17" t="s">
        <v>5</v>
      </c>
      <c r="X4" s="11">
        <v>57</v>
      </c>
      <c r="Y4" s="12">
        <v>2.2154760000000002</v>
      </c>
      <c r="Z4" s="18">
        <v>10.5</v>
      </c>
      <c r="AA4" s="18">
        <v>10.9</v>
      </c>
      <c r="AB4" s="19">
        <v>85</v>
      </c>
      <c r="AC4" s="19">
        <v>88</v>
      </c>
      <c r="AD4" s="17" t="s">
        <v>6</v>
      </c>
      <c r="AE4" s="33" t="s">
        <v>7</v>
      </c>
      <c r="AF4" s="14" t="s">
        <v>253</v>
      </c>
    </row>
    <row r="5" spans="1:32" ht="31.5" x14ac:dyDescent="0.25">
      <c r="A5" s="1">
        <v>208</v>
      </c>
      <c r="B5" s="2">
        <v>45780</v>
      </c>
      <c r="C5" s="1" t="s">
        <v>0</v>
      </c>
      <c r="D5" s="1" t="s">
        <v>19</v>
      </c>
      <c r="E5" s="1">
        <v>1</v>
      </c>
      <c r="F5" s="1">
        <v>12505003</v>
      </c>
      <c r="G5" s="1">
        <v>1230</v>
      </c>
      <c r="H5" s="1" t="s">
        <v>10</v>
      </c>
      <c r="I5" s="1" t="s">
        <v>189</v>
      </c>
      <c r="J5" s="3" t="s">
        <v>254</v>
      </c>
      <c r="K5" s="3">
        <v>1570</v>
      </c>
      <c r="L5" s="5">
        <v>1549</v>
      </c>
      <c r="M5" s="5">
        <v>1550</v>
      </c>
      <c r="N5" s="5">
        <v>1550</v>
      </c>
      <c r="O5" s="5">
        <v>1545</v>
      </c>
      <c r="P5" s="30">
        <v>1548.3333333333333</v>
      </c>
      <c r="Q5" s="15">
        <v>5.2</v>
      </c>
      <c r="R5" s="9">
        <v>38</v>
      </c>
      <c r="S5" s="17" t="s">
        <v>5</v>
      </c>
      <c r="T5" s="9">
        <v>167.2</v>
      </c>
      <c r="U5" s="9">
        <v>64.2</v>
      </c>
      <c r="V5" s="9">
        <v>102.99999999999999</v>
      </c>
      <c r="W5" s="17" t="s">
        <v>5</v>
      </c>
      <c r="X5" s="11">
        <v>57</v>
      </c>
      <c r="Y5" s="12">
        <v>2.8801188000000004</v>
      </c>
      <c r="Z5" s="18">
        <v>8.3000000000000007</v>
      </c>
      <c r="AA5" s="18">
        <v>9</v>
      </c>
      <c r="AB5" s="19">
        <v>76</v>
      </c>
      <c r="AC5" s="19">
        <v>83</v>
      </c>
      <c r="AD5" s="17" t="s">
        <v>6</v>
      </c>
      <c r="AE5" s="33" t="s">
        <v>53</v>
      </c>
      <c r="AF5" s="14" t="s">
        <v>255</v>
      </c>
    </row>
    <row r="6" spans="1:32" ht="31.5" x14ac:dyDescent="0.25">
      <c r="A6" s="1">
        <v>215</v>
      </c>
      <c r="B6" s="2">
        <v>45780</v>
      </c>
      <c r="C6" s="1" t="s">
        <v>0</v>
      </c>
      <c r="D6" s="1" t="s">
        <v>19</v>
      </c>
      <c r="E6" s="1">
        <v>2</v>
      </c>
      <c r="F6" s="1">
        <v>22505003</v>
      </c>
      <c r="G6" s="1">
        <v>1230</v>
      </c>
      <c r="H6" s="1" t="s">
        <v>10</v>
      </c>
      <c r="I6" s="1" t="s">
        <v>98</v>
      </c>
      <c r="J6" s="3" t="s">
        <v>256</v>
      </c>
      <c r="K6" s="3">
        <v>1600</v>
      </c>
      <c r="L6" s="5">
        <v>1568</v>
      </c>
      <c r="M6" s="5">
        <v>1569</v>
      </c>
      <c r="N6" s="5">
        <v>1570</v>
      </c>
      <c r="O6" s="5">
        <v>1570</v>
      </c>
      <c r="P6" s="30">
        <v>1569.6666666666667</v>
      </c>
      <c r="Q6" s="15">
        <v>3.5</v>
      </c>
      <c r="R6" s="9">
        <v>44</v>
      </c>
      <c r="S6" s="17" t="s">
        <v>5</v>
      </c>
      <c r="T6" s="9" t="s">
        <v>5</v>
      </c>
      <c r="U6" s="9" t="s">
        <v>5</v>
      </c>
      <c r="V6" s="9" t="s">
        <v>5</v>
      </c>
      <c r="W6" s="17" t="s">
        <v>248</v>
      </c>
      <c r="X6" s="11">
        <v>58</v>
      </c>
      <c r="Y6" s="12">
        <v>1.9725510000000002</v>
      </c>
      <c r="Z6" s="31">
        <v>7.5</v>
      </c>
      <c r="AA6" s="31">
        <v>7.1</v>
      </c>
      <c r="AB6" s="32">
        <v>80</v>
      </c>
      <c r="AC6" s="32">
        <v>76</v>
      </c>
      <c r="AD6" s="17" t="s">
        <v>6</v>
      </c>
      <c r="AE6" s="33" t="s">
        <v>7</v>
      </c>
      <c r="AF6" s="14" t="s">
        <v>257</v>
      </c>
    </row>
    <row r="7" spans="1:32" ht="31.5" x14ac:dyDescent="0.25">
      <c r="A7" s="1">
        <v>226</v>
      </c>
      <c r="B7" s="2">
        <v>45781</v>
      </c>
      <c r="C7" s="1" t="s">
        <v>18</v>
      </c>
      <c r="D7" s="1" t="s">
        <v>258</v>
      </c>
      <c r="E7" s="1">
        <v>1</v>
      </c>
      <c r="F7" s="1">
        <v>12505003</v>
      </c>
      <c r="G7" s="1">
        <v>1230</v>
      </c>
      <c r="H7" s="1" t="s">
        <v>10</v>
      </c>
      <c r="I7" s="1" t="s">
        <v>229</v>
      </c>
      <c r="J7" s="1" t="s">
        <v>259</v>
      </c>
      <c r="K7" s="9">
        <v>1568</v>
      </c>
      <c r="L7" s="5">
        <v>1544</v>
      </c>
      <c r="M7" s="5">
        <v>1544</v>
      </c>
      <c r="N7" s="5">
        <v>1545</v>
      </c>
      <c r="O7" s="5">
        <v>1547</v>
      </c>
      <c r="P7" s="30">
        <v>1545.3333333333333</v>
      </c>
      <c r="Q7" s="15">
        <v>5.6</v>
      </c>
      <c r="R7" s="9">
        <v>32</v>
      </c>
      <c r="S7" s="8">
        <v>4</v>
      </c>
      <c r="T7" s="9">
        <v>168</v>
      </c>
      <c r="U7" s="9">
        <v>66</v>
      </c>
      <c r="V7" s="10">
        <v>102</v>
      </c>
      <c r="W7" s="17" t="s">
        <v>5</v>
      </c>
      <c r="X7" s="11">
        <v>57</v>
      </c>
      <c r="Y7" s="12">
        <v>3.1016664</v>
      </c>
      <c r="Z7" s="31">
        <v>11.2</v>
      </c>
      <c r="AA7" s="31">
        <v>11.8</v>
      </c>
      <c r="AB7" s="32">
        <v>81</v>
      </c>
      <c r="AC7" s="32">
        <v>87</v>
      </c>
      <c r="AD7" s="17" t="s">
        <v>6</v>
      </c>
      <c r="AE7" s="33" t="s">
        <v>53</v>
      </c>
      <c r="AF7" s="14" t="s">
        <v>260</v>
      </c>
    </row>
    <row r="8" spans="1:32" ht="47.25" x14ac:dyDescent="0.25">
      <c r="A8" s="1">
        <v>233</v>
      </c>
      <c r="B8" s="2">
        <v>45781</v>
      </c>
      <c r="C8" s="1" t="s">
        <v>18</v>
      </c>
      <c r="D8" s="1" t="s">
        <v>258</v>
      </c>
      <c r="E8" s="1">
        <v>1</v>
      </c>
      <c r="F8" s="1">
        <v>12505003</v>
      </c>
      <c r="G8" s="1">
        <v>1230</v>
      </c>
      <c r="H8" s="1" t="s">
        <v>10</v>
      </c>
      <c r="I8" s="1" t="s">
        <v>261</v>
      </c>
      <c r="J8" s="1" t="s">
        <v>262</v>
      </c>
      <c r="K8" s="4">
        <v>1570</v>
      </c>
      <c r="L8" s="5">
        <v>1544</v>
      </c>
      <c r="M8" s="5">
        <v>1549</v>
      </c>
      <c r="N8" s="5">
        <v>1550</v>
      </c>
      <c r="O8" s="5">
        <v>1549</v>
      </c>
      <c r="P8" s="30">
        <v>1549.3333333333333</v>
      </c>
      <c r="Q8" s="7">
        <v>5.6</v>
      </c>
      <c r="R8" s="4">
        <v>32</v>
      </c>
      <c r="S8" s="8">
        <v>34</v>
      </c>
      <c r="T8" s="9">
        <v>161.80000000000001</v>
      </c>
      <c r="U8" s="9">
        <v>65.599999999999994</v>
      </c>
      <c r="V8" s="9">
        <v>96.200000000000017</v>
      </c>
      <c r="W8" s="17">
        <v>5.3</v>
      </c>
      <c r="X8" s="11">
        <v>57</v>
      </c>
      <c r="Y8" s="12">
        <v>3.1016664</v>
      </c>
      <c r="Z8" s="7">
        <v>12.2</v>
      </c>
      <c r="AA8" s="7">
        <v>13.5</v>
      </c>
      <c r="AB8" s="13">
        <v>84</v>
      </c>
      <c r="AC8" s="13">
        <v>95</v>
      </c>
      <c r="AD8" s="17" t="s">
        <v>6</v>
      </c>
      <c r="AE8" s="33" t="s">
        <v>53</v>
      </c>
      <c r="AF8" s="14" t="s">
        <v>263</v>
      </c>
    </row>
    <row r="9" spans="1:32" ht="31.5" x14ac:dyDescent="0.25">
      <c r="A9" s="1">
        <v>274</v>
      </c>
      <c r="B9" s="2">
        <v>45781</v>
      </c>
      <c r="C9" s="1" t="s">
        <v>264</v>
      </c>
      <c r="D9" s="1" t="s">
        <v>265</v>
      </c>
      <c r="E9" s="1">
        <v>2</v>
      </c>
      <c r="F9" s="1">
        <v>22505003</v>
      </c>
      <c r="G9" s="1">
        <v>1260</v>
      </c>
      <c r="H9" s="1" t="s">
        <v>266</v>
      </c>
      <c r="I9" s="1" t="s">
        <v>66</v>
      </c>
      <c r="J9" s="3" t="s">
        <v>267</v>
      </c>
      <c r="K9" s="3">
        <v>1569</v>
      </c>
      <c r="L9" s="5">
        <v>1543</v>
      </c>
      <c r="M9" s="5">
        <v>1543</v>
      </c>
      <c r="N9" s="5">
        <v>1543</v>
      </c>
      <c r="O9" s="5" t="s">
        <v>5</v>
      </c>
      <c r="P9" s="30">
        <v>1543</v>
      </c>
      <c r="Q9" s="15">
        <v>5.4</v>
      </c>
      <c r="R9" s="9">
        <v>29</v>
      </c>
      <c r="S9" s="8" t="s">
        <v>5</v>
      </c>
      <c r="T9" s="9">
        <v>157.6</v>
      </c>
      <c r="U9" s="9">
        <v>66.599999999999994</v>
      </c>
      <c r="V9" s="10">
        <v>91</v>
      </c>
      <c r="W9" s="9">
        <v>14.7</v>
      </c>
      <c r="X9" s="11">
        <v>58</v>
      </c>
      <c r="Y9" s="12">
        <v>3.1175928000000006</v>
      </c>
      <c r="Z9" s="31">
        <v>9.6999999999999993</v>
      </c>
      <c r="AA9" s="31">
        <v>10</v>
      </c>
      <c r="AB9" s="32">
        <v>81</v>
      </c>
      <c r="AC9" s="32">
        <v>84</v>
      </c>
      <c r="AD9" s="8" t="s">
        <v>6</v>
      </c>
      <c r="AE9" s="42" t="s">
        <v>22</v>
      </c>
      <c r="AF9" s="14" t="s">
        <v>268</v>
      </c>
    </row>
    <row r="10" spans="1:32" ht="30" x14ac:dyDescent="0.25">
      <c r="A10" s="1">
        <v>276</v>
      </c>
      <c r="B10" s="2">
        <v>45781</v>
      </c>
      <c r="C10" s="1" t="s">
        <v>264</v>
      </c>
      <c r="D10" s="1" t="s">
        <v>265</v>
      </c>
      <c r="E10" s="1">
        <v>2</v>
      </c>
      <c r="F10" s="1">
        <v>22505003</v>
      </c>
      <c r="G10" s="1">
        <v>1260</v>
      </c>
      <c r="H10" s="1" t="s">
        <v>266</v>
      </c>
      <c r="I10" s="1" t="s">
        <v>269</v>
      </c>
      <c r="J10" s="3" t="s">
        <v>270</v>
      </c>
      <c r="K10" s="3">
        <v>1569</v>
      </c>
      <c r="L10" s="5">
        <v>1549</v>
      </c>
      <c r="M10" s="5">
        <v>1550</v>
      </c>
      <c r="N10" s="5">
        <v>1549</v>
      </c>
      <c r="O10" s="5">
        <v>1548</v>
      </c>
      <c r="P10" s="30">
        <v>1549</v>
      </c>
      <c r="Q10" s="15">
        <v>5</v>
      </c>
      <c r="R10" s="9">
        <v>32</v>
      </c>
      <c r="S10" s="8" t="s">
        <v>5</v>
      </c>
      <c r="T10" s="9">
        <v>163.80000000000001</v>
      </c>
      <c r="U10" s="9">
        <v>60</v>
      </c>
      <c r="V10" s="10">
        <v>103.80000000000001</v>
      </c>
      <c r="W10" s="9">
        <v>13.8</v>
      </c>
      <c r="X10" s="11">
        <v>58</v>
      </c>
      <c r="Y10" s="12">
        <v>2.8866600000000004</v>
      </c>
      <c r="Z10" s="31">
        <v>9.4</v>
      </c>
      <c r="AA10" s="31">
        <v>9.6999999999999993</v>
      </c>
      <c r="AB10" s="32">
        <v>80</v>
      </c>
      <c r="AC10" s="32">
        <v>82</v>
      </c>
      <c r="AD10" s="8" t="s">
        <v>6</v>
      </c>
      <c r="AE10" s="42" t="s">
        <v>22</v>
      </c>
      <c r="AF10" s="33" t="s">
        <v>271</v>
      </c>
    </row>
    <row r="11" spans="1:32" ht="31.5" x14ac:dyDescent="0.25">
      <c r="A11" s="1">
        <v>301</v>
      </c>
      <c r="B11" s="2">
        <v>45781</v>
      </c>
      <c r="C11" s="1" t="s">
        <v>0</v>
      </c>
      <c r="D11" s="1" t="s">
        <v>19</v>
      </c>
      <c r="E11" s="1">
        <v>2</v>
      </c>
      <c r="F11" s="1">
        <v>22505003</v>
      </c>
      <c r="G11" s="1">
        <v>1260</v>
      </c>
      <c r="H11" s="1" t="s">
        <v>272</v>
      </c>
      <c r="I11" s="1" t="s">
        <v>273</v>
      </c>
      <c r="J11" s="3" t="s">
        <v>274</v>
      </c>
      <c r="K11" s="3">
        <v>1565</v>
      </c>
      <c r="L11" s="5">
        <v>1545</v>
      </c>
      <c r="M11" s="5">
        <v>1544</v>
      </c>
      <c r="N11" s="5">
        <v>1545</v>
      </c>
      <c r="O11" s="5">
        <v>1542</v>
      </c>
      <c r="P11" s="30">
        <v>1543.6666666666667</v>
      </c>
      <c r="Q11" s="15">
        <v>5.2</v>
      </c>
      <c r="R11" s="9">
        <v>37</v>
      </c>
      <c r="S11" s="17">
        <v>25</v>
      </c>
      <c r="T11" s="9" t="s">
        <v>5</v>
      </c>
      <c r="U11" s="9" t="s">
        <v>5</v>
      </c>
      <c r="V11" s="10" t="s">
        <v>5</v>
      </c>
      <c r="W11" s="17">
        <v>17.2</v>
      </c>
      <c r="X11" s="11">
        <v>58</v>
      </c>
      <c r="Y11" s="12">
        <v>3.0021264000000003</v>
      </c>
      <c r="Z11" s="31">
        <v>10.1</v>
      </c>
      <c r="AA11" s="31">
        <v>10.6</v>
      </c>
      <c r="AB11" s="32">
        <v>87</v>
      </c>
      <c r="AC11" s="32">
        <v>89</v>
      </c>
      <c r="AD11" s="17" t="s">
        <v>6</v>
      </c>
      <c r="AE11" s="8" t="s">
        <v>7</v>
      </c>
      <c r="AF11" s="14" t="s">
        <v>275</v>
      </c>
    </row>
    <row r="12" spans="1:32" ht="31.5" x14ac:dyDescent="0.25">
      <c r="A12" s="1">
        <v>391</v>
      </c>
      <c r="B12" s="2">
        <v>45782</v>
      </c>
      <c r="C12" s="1" t="s">
        <v>0</v>
      </c>
      <c r="D12" s="1" t="s">
        <v>276</v>
      </c>
      <c r="E12" s="1">
        <v>2</v>
      </c>
      <c r="F12" s="1">
        <v>22505004</v>
      </c>
      <c r="G12" s="1">
        <v>1340</v>
      </c>
      <c r="H12" s="1" t="s">
        <v>10</v>
      </c>
      <c r="I12" s="1" t="s">
        <v>277</v>
      </c>
      <c r="J12" s="1" t="s">
        <v>278</v>
      </c>
      <c r="K12" s="9">
        <v>1570</v>
      </c>
      <c r="L12" s="5">
        <v>1550</v>
      </c>
      <c r="M12" s="5">
        <v>1550</v>
      </c>
      <c r="N12" s="5">
        <v>1550</v>
      </c>
      <c r="O12" s="5">
        <v>1548</v>
      </c>
      <c r="P12" s="30">
        <v>1549.3333333333333</v>
      </c>
      <c r="Q12" s="15">
        <v>4</v>
      </c>
      <c r="R12" s="9">
        <v>26</v>
      </c>
      <c r="S12" s="8">
        <v>30</v>
      </c>
      <c r="T12" s="9" t="s">
        <v>5</v>
      </c>
      <c r="U12" s="9" t="s">
        <v>5</v>
      </c>
      <c r="V12" s="10" t="s">
        <v>5</v>
      </c>
      <c r="W12" s="17" t="s">
        <v>5</v>
      </c>
      <c r="X12" s="11">
        <v>58</v>
      </c>
      <c r="Y12" s="12">
        <v>2.4559519999999999</v>
      </c>
      <c r="Z12" s="31">
        <v>9.4</v>
      </c>
      <c r="AA12" s="31">
        <v>8.3000000000000007</v>
      </c>
      <c r="AB12" s="32">
        <v>81</v>
      </c>
      <c r="AC12" s="32">
        <v>76</v>
      </c>
      <c r="AD12" s="17" t="s">
        <v>6</v>
      </c>
      <c r="AE12" s="42" t="s">
        <v>53</v>
      </c>
      <c r="AF12" s="14" t="s">
        <v>279</v>
      </c>
    </row>
    <row r="13" spans="1:32" ht="31.5" x14ac:dyDescent="0.25">
      <c r="A13" s="1">
        <v>1163</v>
      </c>
      <c r="B13" s="2">
        <v>45795</v>
      </c>
      <c r="C13" s="1" t="s">
        <v>18</v>
      </c>
      <c r="D13" s="1" t="s">
        <v>280</v>
      </c>
      <c r="E13" s="1">
        <v>1</v>
      </c>
      <c r="F13" s="1">
        <v>12505016</v>
      </c>
      <c r="G13" s="1">
        <v>1340</v>
      </c>
      <c r="H13" s="1" t="s">
        <v>10</v>
      </c>
      <c r="I13" s="1" t="s">
        <v>132</v>
      </c>
      <c r="J13" s="3" t="s">
        <v>281</v>
      </c>
      <c r="K13" s="3">
        <v>1575</v>
      </c>
      <c r="L13" s="5">
        <v>1542</v>
      </c>
      <c r="M13" s="5">
        <v>1539</v>
      </c>
      <c r="N13" s="5">
        <v>1540</v>
      </c>
      <c r="O13" s="5">
        <v>1539</v>
      </c>
      <c r="P13" s="6">
        <v>1539.3333333333333</v>
      </c>
      <c r="Q13" s="15">
        <v>5.3</v>
      </c>
      <c r="R13" s="9">
        <v>32</v>
      </c>
      <c r="S13" s="8">
        <v>33</v>
      </c>
      <c r="T13" s="9">
        <v>163.30000000000001</v>
      </c>
      <c r="U13" s="9">
        <v>62</v>
      </c>
      <c r="V13" s="9">
        <v>101.30000000000001</v>
      </c>
      <c r="W13" s="11" t="s">
        <v>5</v>
      </c>
      <c r="X13" s="11">
        <v>58</v>
      </c>
      <c r="Y13" s="12">
        <v>3.2541363999999997</v>
      </c>
      <c r="Z13" s="31">
        <v>11.6</v>
      </c>
      <c r="AA13" s="31">
        <v>11.4</v>
      </c>
      <c r="AB13" s="32">
        <v>83</v>
      </c>
      <c r="AC13" s="8">
        <v>85</v>
      </c>
      <c r="AD13" s="8" t="s">
        <v>6</v>
      </c>
      <c r="AE13" s="8" t="s">
        <v>7</v>
      </c>
      <c r="AF13" s="14" t="s">
        <v>282</v>
      </c>
    </row>
    <row r="14" spans="1:32" ht="15.75" x14ac:dyDescent="0.25">
      <c r="A14" s="1">
        <v>1236</v>
      </c>
      <c r="B14" s="2">
        <v>45795</v>
      </c>
      <c r="C14" s="1" t="s">
        <v>0</v>
      </c>
      <c r="D14" s="1" t="s">
        <v>265</v>
      </c>
      <c r="E14" s="1">
        <v>2</v>
      </c>
      <c r="F14" s="1">
        <v>22505017</v>
      </c>
      <c r="G14" s="1">
        <v>1260</v>
      </c>
      <c r="H14" s="1" t="s">
        <v>55</v>
      </c>
      <c r="I14" s="1" t="s">
        <v>56</v>
      </c>
      <c r="J14" s="3" t="s">
        <v>283</v>
      </c>
      <c r="K14" s="3">
        <v>1569</v>
      </c>
      <c r="L14" s="5">
        <v>1540</v>
      </c>
      <c r="M14" s="5">
        <v>1535</v>
      </c>
      <c r="N14" s="5">
        <v>1530</v>
      </c>
      <c r="O14" s="5">
        <v>1530</v>
      </c>
      <c r="P14" s="6">
        <v>1531.6666666666667</v>
      </c>
      <c r="Q14" s="15">
        <v>5.4</v>
      </c>
      <c r="R14" s="9">
        <v>17</v>
      </c>
      <c r="S14" s="8" t="s">
        <v>5</v>
      </c>
      <c r="T14" s="9" t="s">
        <v>5</v>
      </c>
      <c r="U14" s="9" t="s">
        <v>5</v>
      </c>
      <c r="V14" s="10" t="s">
        <v>5</v>
      </c>
      <c r="W14" s="11" t="s">
        <v>5</v>
      </c>
      <c r="X14" s="11">
        <v>57</v>
      </c>
      <c r="Y14" s="12">
        <v>3.0638412000000006</v>
      </c>
      <c r="Z14" s="31">
        <v>9.9</v>
      </c>
      <c r="AA14" s="31">
        <v>8.4</v>
      </c>
      <c r="AB14" s="32">
        <v>75</v>
      </c>
      <c r="AC14" s="32">
        <v>79</v>
      </c>
      <c r="AD14" s="8" t="s">
        <v>6</v>
      </c>
      <c r="AE14" s="8" t="s">
        <v>7</v>
      </c>
      <c r="AF14" s="14" t="s">
        <v>284</v>
      </c>
    </row>
    <row r="15" spans="1:32" ht="15.75" x14ac:dyDescent="0.25">
      <c r="A15" s="1">
        <v>72</v>
      </c>
      <c r="B15" s="2">
        <v>45778</v>
      </c>
      <c r="C15" s="1" t="s">
        <v>0</v>
      </c>
      <c r="D15" s="1" t="s">
        <v>265</v>
      </c>
      <c r="E15" s="1">
        <v>2</v>
      </c>
      <c r="F15" s="1">
        <v>22505001</v>
      </c>
      <c r="G15" s="1">
        <v>1260</v>
      </c>
      <c r="H15" s="1" t="s">
        <v>10</v>
      </c>
      <c r="I15" s="1" t="s">
        <v>120</v>
      </c>
      <c r="J15" s="1" t="s">
        <v>285</v>
      </c>
      <c r="K15" s="4">
        <v>1547</v>
      </c>
      <c r="L15" s="5">
        <v>1547</v>
      </c>
      <c r="M15" s="5">
        <v>1550</v>
      </c>
      <c r="N15" s="5">
        <v>1549</v>
      </c>
      <c r="O15" s="5">
        <v>1548</v>
      </c>
      <c r="P15" s="30">
        <v>1549</v>
      </c>
      <c r="Q15" s="7">
        <v>5.5</v>
      </c>
      <c r="R15" s="4">
        <v>32</v>
      </c>
      <c r="S15" s="8" t="s">
        <v>5</v>
      </c>
      <c r="T15" s="9" t="s">
        <v>5</v>
      </c>
      <c r="U15" s="9" t="s">
        <v>5</v>
      </c>
      <c r="V15" s="9" t="s">
        <v>5</v>
      </c>
      <c r="W15" s="37">
        <v>11.2</v>
      </c>
      <c r="X15" s="11">
        <v>58</v>
      </c>
      <c r="Y15" s="12">
        <v>3.1753260000000005</v>
      </c>
      <c r="Z15" s="7">
        <v>10.6</v>
      </c>
      <c r="AA15" s="7">
        <v>10.7</v>
      </c>
      <c r="AB15" s="13">
        <v>84</v>
      </c>
      <c r="AC15" s="13">
        <v>83</v>
      </c>
      <c r="AD15" s="17" t="s">
        <v>6</v>
      </c>
      <c r="AE15" s="33" t="s">
        <v>13</v>
      </c>
      <c r="AF15" s="14" t="s">
        <v>58</v>
      </c>
    </row>
    <row r="16" spans="1:32" ht="15.75" x14ac:dyDescent="0.25">
      <c r="A16" s="1">
        <v>177</v>
      </c>
      <c r="B16" s="2">
        <v>45780</v>
      </c>
      <c r="C16" s="1" t="s">
        <v>18</v>
      </c>
      <c r="D16" s="1" t="s">
        <v>258</v>
      </c>
      <c r="E16" s="1">
        <v>1</v>
      </c>
      <c r="F16" s="1">
        <v>12505002</v>
      </c>
      <c r="G16" s="1">
        <v>1250</v>
      </c>
      <c r="H16" s="1" t="s">
        <v>244</v>
      </c>
      <c r="I16" s="1" t="s">
        <v>164</v>
      </c>
      <c r="J16" s="3" t="s">
        <v>286</v>
      </c>
      <c r="K16" s="3">
        <v>1570</v>
      </c>
      <c r="L16" s="5">
        <v>1544</v>
      </c>
      <c r="M16" s="5">
        <v>1546</v>
      </c>
      <c r="N16" s="5">
        <v>1545</v>
      </c>
      <c r="O16" s="5">
        <v>1538</v>
      </c>
      <c r="P16" s="30">
        <v>1543</v>
      </c>
      <c r="Q16" s="15">
        <v>5.7</v>
      </c>
      <c r="R16" s="9">
        <v>34</v>
      </c>
      <c r="S16" s="8">
        <v>21</v>
      </c>
      <c r="T16" s="9" t="s">
        <v>5</v>
      </c>
      <c r="U16" s="9" t="s">
        <v>5</v>
      </c>
      <c r="V16" s="9" t="s">
        <v>5</v>
      </c>
      <c r="W16" s="9">
        <v>23</v>
      </c>
      <c r="X16" s="11">
        <v>57</v>
      </c>
      <c r="Y16" s="12">
        <v>3.2083875000000002</v>
      </c>
      <c r="Z16" s="31">
        <v>10.6</v>
      </c>
      <c r="AA16" s="31">
        <v>10.9</v>
      </c>
      <c r="AB16" s="32">
        <v>86</v>
      </c>
      <c r="AC16" s="32">
        <v>98</v>
      </c>
      <c r="AD16" s="8" t="s">
        <v>6</v>
      </c>
      <c r="AE16" s="33" t="s">
        <v>53</v>
      </c>
      <c r="AF16" s="14" t="s">
        <v>58</v>
      </c>
    </row>
    <row r="17" spans="1:32" ht="15.75" x14ac:dyDescent="0.25">
      <c r="A17" s="1">
        <v>185</v>
      </c>
      <c r="B17" s="2">
        <v>45780</v>
      </c>
      <c r="C17" s="1" t="s">
        <v>18</v>
      </c>
      <c r="D17" s="1" t="s">
        <v>258</v>
      </c>
      <c r="E17" s="1">
        <v>2</v>
      </c>
      <c r="F17" s="1">
        <v>22505002</v>
      </c>
      <c r="G17" s="1">
        <v>1260</v>
      </c>
      <c r="H17" s="1" t="s">
        <v>55</v>
      </c>
      <c r="I17" s="1" t="s">
        <v>120</v>
      </c>
      <c r="J17" s="3" t="s">
        <v>287</v>
      </c>
      <c r="K17" s="3">
        <v>1568</v>
      </c>
      <c r="L17" s="5">
        <v>1547</v>
      </c>
      <c r="M17" s="5">
        <v>1545</v>
      </c>
      <c r="N17" s="5">
        <v>1545</v>
      </c>
      <c r="O17" s="5" t="s">
        <v>5</v>
      </c>
      <c r="P17" s="30">
        <v>1545</v>
      </c>
      <c r="Q17" s="15">
        <v>5.8</v>
      </c>
      <c r="R17" s="9">
        <v>32</v>
      </c>
      <c r="S17" s="8" t="s">
        <v>5</v>
      </c>
      <c r="T17" s="9" t="s">
        <v>5</v>
      </c>
      <c r="U17" s="9" t="s">
        <v>5</v>
      </c>
      <c r="V17" s="9" t="s">
        <v>5</v>
      </c>
      <c r="W17" s="9">
        <v>14.2</v>
      </c>
      <c r="X17" s="11">
        <v>58</v>
      </c>
      <c r="Y17" s="12">
        <v>3.3485256000000003</v>
      </c>
      <c r="Z17" s="31">
        <v>7.4</v>
      </c>
      <c r="AA17" s="31">
        <v>7.2</v>
      </c>
      <c r="AB17" s="32">
        <v>60</v>
      </c>
      <c r="AC17" s="32">
        <v>59</v>
      </c>
      <c r="AD17" s="8" t="s">
        <v>6</v>
      </c>
      <c r="AE17" s="33" t="s">
        <v>13</v>
      </c>
      <c r="AF17" s="14" t="s">
        <v>96</v>
      </c>
    </row>
    <row r="18" spans="1:32" ht="30" x14ac:dyDescent="0.25">
      <c r="A18" s="1">
        <v>186</v>
      </c>
      <c r="B18" s="2">
        <v>45780</v>
      </c>
      <c r="C18" s="1" t="s">
        <v>18</v>
      </c>
      <c r="D18" s="1" t="s">
        <v>258</v>
      </c>
      <c r="E18" s="1">
        <v>2</v>
      </c>
      <c r="F18" s="1">
        <v>22505002</v>
      </c>
      <c r="G18" s="1">
        <v>1260</v>
      </c>
      <c r="H18" s="1" t="s">
        <v>55</v>
      </c>
      <c r="I18" s="1" t="s">
        <v>103</v>
      </c>
      <c r="J18" s="3" t="s">
        <v>288</v>
      </c>
      <c r="K18" s="3">
        <v>1566</v>
      </c>
      <c r="L18" s="5">
        <v>1538</v>
      </c>
      <c r="M18" s="5">
        <v>1539</v>
      </c>
      <c r="N18" s="5">
        <v>1538</v>
      </c>
      <c r="O18" s="5">
        <v>1538</v>
      </c>
      <c r="P18" s="30">
        <v>1538.3333333333333</v>
      </c>
      <c r="Q18" s="15">
        <v>5.3</v>
      </c>
      <c r="R18" s="9">
        <v>31</v>
      </c>
      <c r="S18" s="8">
        <v>25</v>
      </c>
      <c r="T18" s="9" t="s">
        <v>5</v>
      </c>
      <c r="U18" s="9" t="s">
        <v>5</v>
      </c>
      <c r="V18" s="9" t="s">
        <v>5</v>
      </c>
      <c r="W18" s="9">
        <v>15.4</v>
      </c>
      <c r="X18" s="11">
        <v>58</v>
      </c>
      <c r="Y18" s="12">
        <v>3.0598596000000002</v>
      </c>
      <c r="Z18" s="31">
        <v>6.6</v>
      </c>
      <c r="AA18" s="31">
        <v>7.2</v>
      </c>
      <c r="AB18" s="32">
        <v>54</v>
      </c>
      <c r="AC18" s="32">
        <v>58</v>
      </c>
      <c r="AD18" s="8" t="s">
        <v>6</v>
      </c>
      <c r="AE18" s="33" t="s">
        <v>289</v>
      </c>
      <c r="AF18" s="14" t="s">
        <v>58</v>
      </c>
    </row>
    <row r="19" spans="1:32" ht="15.75" x14ac:dyDescent="0.25">
      <c r="A19" s="1">
        <v>193</v>
      </c>
      <c r="B19" s="2">
        <v>45780</v>
      </c>
      <c r="C19" s="1" t="s">
        <v>18</v>
      </c>
      <c r="D19" s="1" t="s">
        <v>258</v>
      </c>
      <c r="E19" s="1">
        <v>2</v>
      </c>
      <c r="F19" s="1">
        <v>22505002</v>
      </c>
      <c r="G19" s="1">
        <v>1250</v>
      </c>
      <c r="H19" s="1" t="s">
        <v>244</v>
      </c>
      <c r="I19" s="1" t="s">
        <v>80</v>
      </c>
      <c r="J19" s="3" t="s">
        <v>290</v>
      </c>
      <c r="K19" s="3">
        <v>1568</v>
      </c>
      <c r="L19" s="5">
        <v>1543</v>
      </c>
      <c r="M19" s="5">
        <v>1542</v>
      </c>
      <c r="N19" s="5">
        <v>1542</v>
      </c>
      <c r="O19" s="5" t="s">
        <v>5</v>
      </c>
      <c r="P19" s="30">
        <v>1542</v>
      </c>
      <c r="Q19" s="15">
        <v>5.6</v>
      </c>
      <c r="R19" s="9">
        <v>31</v>
      </c>
      <c r="S19" s="17" t="s">
        <v>5</v>
      </c>
      <c r="T19" s="9" t="s">
        <v>5</v>
      </c>
      <c r="U19" s="9" t="s">
        <v>5</v>
      </c>
      <c r="V19" s="10" t="s">
        <v>5</v>
      </c>
      <c r="W19" s="11">
        <v>15.9</v>
      </c>
      <c r="X19" s="11">
        <v>58</v>
      </c>
      <c r="Y19" s="12">
        <v>3.2073999999999998</v>
      </c>
      <c r="Z19" s="31">
        <v>8.5</v>
      </c>
      <c r="AA19" s="31">
        <v>7.9</v>
      </c>
      <c r="AB19" s="32">
        <v>73</v>
      </c>
      <c r="AC19" s="32">
        <v>67</v>
      </c>
      <c r="AD19" s="8" t="s">
        <v>6</v>
      </c>
      <c r="AE19" s="33" t="s">
        <v>13</v>
      </c>
      <c r="AF19" s="14" t="s">
        <v>61</v>
      </c>
    </row>
    <row r="20" spans="1:32" ht="15.75" x14ac:dyDescent="0.25">
      <c r="A20" s="1">
        <v>315</v>
      </c>
      <c r="B20" s="2">
        <v>45782</v>
      </c>
      <c r="C20" s="1" t="s">
        <v>18</v>
      </c>
      <c r="D20" s="1" t="s">
        <v>9</v>
      </c>
      <c r="E20" s="1">
        <v>1</v>
      </c>
      <c r="F20" s="1">
        <v>12505004</v>
      </c>
      <c r="G20" s="1">
        <v>1340</v>
      </c>
      <c r="H20" s="1" t="s">
        <v>10</v>
      </c>
      <c r="I20" s="1" t="s">
        <v>93</v>
      </c>
      <c r="J20" s="1" t="s">
        <v>291</v>
      </c>
      <c r="K20" s="4">
        <v>1568</v>
      </c>
      <c r="L20" s="5">
        <v>1549</v>
      </c>
      <c r="M20" s="5">
        <v>1547</v>
      </c>
      <c r="N20" s="5">
        <v>1546</v>
      </c>
      <c r="O20" s="5">
        <v>1545</v>
      </c>
      <c r="P20" s="30">
        <v>1546</v>
      </c>
      <c r="Q20" s="7">
        <v>5.4</v>
      </c>
      <c r="R20" s="4">
        <v>33</v>
      </c>
      <c r="S20" s="8">
        <v>4</v>
      </c>
      <c r="T20" s="9">
        <v>173.7</v>
      </c>
      <c r="U20" s="9">
        <v>65.3</v>
      </c>
      <c r="V20" s="9">
        <v>108.39999999999999</v>
      </c>
      <c r="W20" s="9">
        <v>16.8</v>
      </c>
      <c r="X20" s="11">
        <v>57</v>
      </c>
      <c r="Y20" s="12">
        <v>3.2583708000000002</v>
      </c>
      <c r="Z20" s="7">
        <v>6.5</v>
      </c>
      <c r="AA20" s="7">
        <v>6.2</v>
      </c>
      <c r="AB20" s="13">
        <v>49</v>
      </c>
      <c r="AC20" s="13">
        <v>46</v>
      </c>
      <c r="AD20" s="17" t="s">
        <v>6</v>
      </c>
      <c r="AE20" s="8" t="s">
        <v>53</v>
      </c>
      <c r="AF20" s="14" t="s">
        <v>96</v>
      </c>
    </row>
    <row r="21" spans="1:32" ht="47.25" x14ac:dyDescent="0.25">
      <c r="A21" s="1">
        <v>341</v>
      </c>
      <c r="B21" s="2">
        <v>45782</v>
      </c>
      <c r="C21" s="1" t="s">
        <v>264</v>
      </c>
      <c r="D21" s="1" t="s">
        <v>265</v>
      </c>
      <c r="E21" s="1">
        <v>1</v>
      </c>
      <c r="F21" s="1">
        <v>12505004</v>
      </c>
      <c r="G21" s="1">
        <v>1330</v>
      </c>
      <c r="H21" s="1" t="s">
        <v>10</v>
      </c>
      <c r="I21" s="1" t="s">
        <v>80</v>
      </c>
      <c r="J21" s="3" t="s">
        <v>292</v>
      </c>
      <c r="K21" s="3">
        <v>1573</v>
      </c>
      <c r="L21" s="5">
        <v>1545</v>
      </c>
      <c r="M21" s="5">
        <v>1547</v>
      </c>
      <c r="N21" s="5">
        <v>1547</v>
      </c>
      <c r="O21" s="5">
        <v>1548</v>
      </c>
      <c r="P21" s="30">
        <v>1547.3333333333333</v>
      </c>
      <c r="Q21" s="15">
        <v>5</v>
      </c>
      <c r="R21" s="9">
        <v>28</v>
      </c>
      <c r="S21" s="9">
        <v>17</v>
      </c>
      <c r="T21" s="9">
        <v>158.5</v>
      </c>
      <c r="U21" s="9">
        <v>63</v>
      </c>
      <c r="V21" s="10">
        <v>95.5</v>
      </c>
      <c r="W21" s="9" t="s">
        <v>5</v>
      </c>
      <c r="X21" s="11">
        <v>57</v>
      </c>
      <c r="Y21" s="54">
        <v>2.9944949999999997</v>
      </c>
      <c r="Z21" s="7">
        <v>7.2</v>
      </c>
      <c r="AA21" s="7">
        <v>6.1</v>
      </c>
      <c r="AB21" s="13">
        <v>38</v>
      </c>
      <c r="AC21" s="13">
        <v>36</v>
      </c>
      <c r="AD21" s="8" t="s">
        <v>6</v>
      </c>
      <c r="AE21" s="8" t="s">
        <v>72</v>
      </c>
      <c r="AF21" s="43" t="s">
        <v>293</v>
      </c>
    </row>
    <row r="22" spans="1:32" ht="15.75" x14ac:dyDescent="0.25">
      <c r="A22" s="1">
        <v>345</v>
      </c>
      <c r="B22" s="2">
        <v>45782</v>
      </c>
      <c r="C22" s="1" t="s">
        <v>264</v>
      </c>
      <c r="D22" s="1" t="s">
        <v>265</v>
      </c>
      <c r="E22" s="1">
        <v>1</v>
      </c>
      <c r="F22" s="1">
        <v>12505004</v>
      </c>
      <c r="G22" s="1">
        <v>1330</v>
      </c>
      <c r="H22" s="1" t="s">
        <v>55</v>
      </c>
      <c r="I22" s="1" t="s">
        <v>11</v>
      </c>
      <c r="J22" s="3" t="s">
        <v>294</v>
      </c>
      <c r="K22" s="3">
        <v>1570</v>
      </c>
      <c r="L22" s="5">
        <v>1542</v>
      </c>
      <c r="M22" s="5">
        <v>1543</v>
      </c>
      <c r="N22" s="5">
        <v>1542</v>
      </c>
      <c r="O22" s="5">
        <v>1542</v>
      </c>
      <c r="P22" s="30">
        <v>1542.3333333333333</v>
      </c>
      <c r="Q22" s="15">
        <v>5.3</v>
      </c>
      <c r="R22" s="9">
        <v>31</v>
      </c>
      <c r="S22" s="9" t="s">
        <v>5</v>
      </c>
      <c r="T22" s="9">
        <v>172</v>
      </c>
      <c r="U22" s="9">
        <v>75</v>
      </c>
      <c r="V22" s="9">
        <v>97</v>
      </c>
      <c r="W22" s="9" t="s">
        <v>5</v>
      </c>
      <c r="X22" s="11">
        <v>57</v>
      </c>
      <c r="Y22" s="12">
        <v>3.1741646999999995</v>
      </c>
      <c r="Z22" s="31">
        <v>7.5</v>
      </c>
      <c r="AA22" s="31">
        <v>6.8</v>
      </c>
      <c r="AB22" s="32">
        <v>52</v>
      </c>
      <c r="AC22" s="32">
        <v>49</v>
      </c>
      <c r="AD22" s="8" t="s">
        <v>6</v>
      </c>
      <c r="AE22" s="8" t="s">
        <v>53</v>
      </c>
      <c r="AF22" s="14" t="s">
        <v>61</v>
      </c>
    </row>
    <row r="23" spans="1:32" ht="15.75" x14ac:dyDescent="0.25">
      <c r="A23" s="1">
        <v>348</v>
      </c>
      <c r="B23" s="2">
        <v>45782</v>
      </c>
      <c r="C23" s="1" t="s">
        <v>264</v>
      </c>
      <c r="D23" s="1" t="s">
        <v>265</v>
      </c>
      <c r="E23" s="1">
        <v>1</v>
      </c>
      <c r="F23" s="1">
        <v>12505004</v>
      </c>
      <c r="G23" s="1">
        <v>1330</v>
      </c>
      <c r="H23" s="1" t="s">
        <v>55</v>
      </c>
      <c r="I23" s="1" t="s">
        <v>15</v>
      </c>
      <c r="J23" s="3" t="s">
        <v>295</v>
      </c>
      <c r="K23" s="3">
        <v>1570</v>
      </c>
      <c r="L23" s="5">
        <v>1550</v>
      </c>
      <c r="M23" s="5">
        <v>1551</v>
      </c>
      <c r="N23" s="5">
        <v>1550</v>
      </c>
      <c r="O23" s="5">
        <v>1548</v>
      </c>
      <c r="P23" s="30">
        <v>1549.6666666666667</v>
      </c>
      <c r="Q23" s="15">
        <v>5</v>
      </c>
      <c r="R23" s="9">
        <v>35</v>
      </c>
      <c r="S23" s="9">
        <v>7</v>
      </c>
      <c r="T23" s="9">
        <v>166</v>
      </c>
      <c r="U23" s="9">
        <v>58</v>
      </c>
      <c r="V23" s="9">
        <v>108</v>
      </c>
      <c r="W23" s="9" t="s">
        <v>5</v>
      </c>
      <c r="X23" s="11">
        <v>57</v>
      </c>
      <c r="Y23" s="38">
        <v>2.9944949999999997</v>
      </c>
      <c r="Z23" s="18">
        <v>6.9</v>
      </c>
      <c r="AA23" s="18">
        <v>6.8</v>
      </c>
      <c r="AB23" s="19">
        <v>51</v>
      </c>
      <c r="AC23" s="19">
        <v>50</v>
      </c>
      <c r="AD23" s="8" t="s">
        <v>6</v>
      </c>
      <c r="AE23" s="42" t="s">
        <v>53</v>
      </c>
      <c r="AF23" s="40" t="s">
        <v>96</v>
      </c>
    </row>
    <row r="24" spans="1:32" ht="47.25" x14ac:dyDescent="0.25">
      <c r="A24" s="1">
        <v>399</v>
      </c>
      <c r="B24" s="2">
        <v>45783</v>
      </c>
      <c r="C24" s="1" t="s">
        <v>18</v>
      </c>
      <c r="D24" s="1" t="s">
        <v>9</v>
      </c>
      <c r="E24" s="1">
        <v>1</v>
      </c>
      <c r="F24" s="1">
        <v>12505004</v>
      </c>
      <c r="G24" s="1">
        <v>1260</v>
      </c>
      <c r="H24" s="1" t="s">
        <v>10</v>
      </c>
      <c r="I24" s="1" t="s">
        <v>296</v>
      </c>
      <c r="J24" s="1" t="s">
        <v>297</v>
      </c>
      <c r="K24" s="4">
        <v>1569</v>
      </c>
      <c r="L24" s="5">
        <v>1544</v>
      </c>
      <c r="M24" s="5">
        <v>1542</v>
      </c>
      <c r="N24" s="5">
        <v>1540</v>
      </c>
      <c r="O24" s="5">
        <v>1539</v>
      </c>
      <c r="P24" s="30">
        <v>1540.3333333333333</v>
      </c>
      <c r="Q24" s="7">
        <v>4.5999999999999996</v>
      </c>
      <c r="R24" s="4">
        <v>43</v>
      </c>
      <c r="S24" s="8">
        <v>7</v>
      </c>
      <c r="T24" s="9">
        <v>164</v>
      </c>
      <c r="U24" s="9">
        <v>60</v>
      </c>
      <c r="V24" s="9">
        <v>104</v>
      </c>
      <c r="W24" s="9" t="s">
        <v>5</v>
      </c>
      <c r="X24" s="11">
        <v>53</v>
      </c>
      <c r="Y24" s="12">
        <v>2.4267852000000003</v>
      </c>
      <c r="Z24" s="7">
        <v>7.8</v>
      </c>
      <c r="AA24" s="7">
        <v>7</v>
      </c>
      <c r="AB24" s="13">
        <v>58</v>
      </c>
      <c r="AC24" s="13">
        <v>44</v>
      </c>
      <c r="AD24" s="17" t="s">
        <v>6</v>
      </c>
      <c r="AE24" s="42" t="s">
        <v>53</v>
      </c>
      <c r="AF24" s="14" t="s">
        <v>298</v>
      </c>
    </row>
    <row r="25" spans="1:32" ht="63" x14ac:dyDescent="0.25">
      <c r="A25" s="1">
        <v>400</v>
      </c>
      <c r="B25" s="2">
        <v>45783</v>
      </c>
      <c r="C25" s="1" t="s">
        <v>18</v>
      </c>
      <c r="D25" s="1" t="s">
        <v>9</v>
      </c>
      <c r="E25" s="1">
        <v>1</v>
      </c>
      <c r="F25" s="1">
        <v>12505004</v>
      </c>
      <c r="G25" s="1">
        <v>1260</v>
      </c>
      <c r="H25" s="1" t="s">
        <v>10</v>
      </c>
      <c r="I25" s="1" t="s">
        <v>162</v>
      </c>
      <c r="J25" s="1" t="s">
        <v>299</v>
      </c>
      <c r="K25" s="4">
        <v>1570</v>
      </c>
      <c r="L25" s="5">
        <v>1539</v>
      </c>
      <c r="M25" s="5">
        <v>1536</v>
      </c>
      <c r="N25" s="5">
        <v>1536</v>
      </c>
      <c r="O25" s="5">
        <v>1536</v>
      </c>
      <c r="P25" s="30">
        <v>1536</v>
      </c>
      <c r="Q25" s="7">
        <v>4.8</v>
      </c>
      <c r="R25" s="4">
        <v>42</v>
      </c>
      <c r="S25" s="8" t="s">
        <v>5</v>
      </c>
      <c r="T25" s="9">
        <v>161</v>
      </c>
      <c r="U25" s="9">
        <v>61</v>
      </c>
      <c r="V25" s="9">
        <v>100</v>
      </c>
      <c r="W25" s="9" t="s">
        <v>5</v>
      </c>
      <c r="X25" s="11">
        <v>53</v>
      </c>
      <c r="Y25" s="12">
        <v>2.5322976000000001</v>
      </c>
      <c r="Z25" s="7">
        <v>6.4</v>
      </c>
      <c r="AA25" s="7">
        <v>5</v>
      </c>
      <c r="AB25" s="13">
        <v>49</v>
      </c>
      <c r="AC25" s="13">
        <v>42</v>
      </c>
      <c r="AD25" s="17" t="s">
        <v>6</v>
      </c>
      <c r="AE25" s="42" t="s">
        <v>72</v>
      </c>
      <c r="AF25" s="14" t="s">
        <v>300</v>
      </c>
    </row>
    <row r="26" spans="1:32" ht="15.75" x14ac:dyDescent="0.25">
      <c r="A26" s="1">
        <v>754</v>
      </c>
      <c r="B26" s="2">
        <v>45787</v>
      </c>
      <c r="C26" s="1" t="s">
        <v>264</v>
      </c>
      <c r="D26" s="1" t="s">
        <v>276</v>
      </c>
      <c r="E26" s="1">
        <v>2</v>
      </c>
      <c r="F26" s="1">
        <v>22505008</v>
      </c>
      <c r="G26" s="1">
        <v>1260</v>
      </c>
      <c r="H26" s="1" t="s">
        <v>10</v>
      </c>
      <c r="I26" s="1" t="s">
        <v>63</v>
      </c>
      <c r="J26" s="5" t="s">
        <v>301</v>
      </c>
      <c r="K26" s="5">
        <v>1569</v>
      </c>
      <c r="L26" s="5">
        <v>1546</v>
      </c>
      <c r="M26" s="5">
        <v>1546</v>
      </c>
      <c r="N26" s="5">
        <v>1546</v>
      </c>
      <c r="O26" s="5">
        <v>1546</v>
      </c>
      <c r="P26" s="30">
        <v>1546</v>
      </c>
      <c r="Q26" s="18">
        <v>5.7</v>
      </c>
      <c r="R26" s="36">
        <v>30</v>
      </c>
      <c r="S26" s="17">
        <v>34</v>
      </c>
      <c r="T26" s="9" t="s">
        <v>5</v>
      </c>
      <c r="U26" s="9" t="s">
        <v>5</v>
      </c>
      <c r="V26" s="9" t="s">
        <v>5</v>
      </c>
      <c r="W26" s="11">
        <v>11.2</v>
      </c>
      <c r="X26" s="11">
        <v>57</v>
      </c>
      <c r="Y26" s="12">
        <v>3.2340546000000003</v>
      </c>
      <c r="Z26" s="18">
        <v>9.6999999999999993</v>
      </c>
      <c r="AA26" s="18">
        <v>8.8000000000000007</v>
      </c>
      <c r="AB26" s="19">
        <v>80</v>
      </c>
      <c r="AC26" s="19">
        <v>77</v>
      </c>
      <c r="AD26" s="8" t="s">
        <v>6</v>
      </c>
      <c r="AE26" s="33" t="s">
        <v>302</v>
      </c>
      <c r="AF26" s="40" t="s">
        <v>96</v>
      </c>
    </row>
    <row r="27" spans="1:32" ht="31.5" x14ac:dyDescent="0.25">
      <c r="A27" s="1">
        <v>816</v>
      </c>
      <c r="B27" s="2">
        <v>45788</v>
      </c>
      <c r="C27" s="1" t="s">
        <v>264</v>
      </c>
      <c r="D27" s="1" t="s">
        <v>19</v>
      </c>
      <c r="E27" s="1">
        <v>1</v>
      </c>
      <c r="F27" s="1">
        <v>12505009</v>
      </c>
      <c r="G27" s="1">
        <v>1230</v>
      </c>
      <c r="H27" s="1" t="s">
        <v>55</v>
      </c>
      <c r="I27" s="1" t="s">
        <v>303</v>
      </c>
      <c r="J27" s="5" t="s">
        <v>304</v>
      </c>
      <c r="K27" s="3">
        <v>1570</v>
      </c>
      <c r="L27" s="5">
        <v>1540</v>
      </c>
      <c r="M27" s="5">
        <v>1539</v>
      </c>
      <c r="N27" s="5">
        <v>1535</v>
      </c>
      <c r="O27" s="5">
        <v>1533</v>
      </c>
      <c r="P27" s="30">
        <v>1535.6666666666667</v>
      </c>
      <c r="Q27" s="18">
        <v>5.5</v>
      </c>
      <c r="R27" s="36">
        <v>35</v>
      </c>
      <c r="S27" s="8">
        <v>6</v>
      </c>
      <c r="T27" s="9">
        <v>164.6</v>
      </c>
      <c r="U27" s="9">
        <v>61.5</v>
      </c>
      <c r="V27" s="10">
        <v>103.1</v>
      </c>
      <c r="W27" s="11" t="s">
        <v>5</v>
      </c>
      <c r="X27" s="11">
        <v>56</v>
      </c>
      <c r="Y27" s="12">
        <v>2.9928360000000005</v>
      </c>
      <c r="Z27" s="18">
        <v>10.5</v>
      </c>
      <c r="AA27" s="18">
        <v>10.4</v>
      </c>
      <c r="AB27" s="19">
        <v>84</v>
      </c>
      <c r="AC27" s="19">
        <v>83</v>
      </c>
      <c r="AD27" s="8" t="s">
        <v>6</v>
      </c>
      <c r="AE27" s="33" t="s">
        <v>53</v>
      </c>
      <c r="AF27" s="14" t="s">
        <v>305</v>
      </c>
    </row>
    <row r="28" spans="1:32" ht="47.25" x14ac:dyDescent="0.25">
      <c r="A28" s="1">
        <v>915</v>
      </c>
      <c r="B28" s="2">
        <v>45789</v>
      </c>
      <c r="C28" s="1" t="s">
        <v>264</v>
      </c>
      <c r="D28" s="1" t="s">
        <v>19</v>
      </c>
      <c r="E28" s="1">
        <v>2</v>
      </c>
      <c r="F28" s="1">
        <v>22505011</v>
      </c>
      <c r="G28" s="1">
        <v>1250</v>
      </c>
      <c r="H28" s="1" t="s">
        <v>10</v>
      </c>
      <c r="I28" s="1" t="s">
        <v>98</v>
      </c>
      <c r="J28" s="3" t="s">
        <v>306</v>
      </c>
      <c r="K28" s="3">
        <v>1600</v>
      </c>
      <c r="L28" s="5">
        <v>1551</v>
      </c>
      <c r="M28" s="5">
        <v>1555</v>
      </c>
      <c r="N28" s="5">
        <v>1557</v>
      </c>
      <c r="O28" s="5">
        <v>1541</v>
      </c>
      <c r="P28" s="30">
        <v>1551</v>
      </c>
      <c r="Q28" s="15">
        <v>4.8</v>
      </c>
      <c r="R28" s="9">
        <v>41</v>
      </c>
      <c r="S28" s="17">
        <v>24</v>
      </c>
      <c r="T28" s="9" t="s">
        <v>5</v>
      </c>
      <c r="U28" s="9" t="s">
        <v>5</v>
      </c>
      <c r="V28" s="9" t="s">
        <v>5</v>
      </c>
      <c r="W28" s="11" t="s">
        <v>100</v>
      </c>
      <c r="X28" s="11">
        <v>57</v>
      </c>
      <c r="Y28" s="12">
        <v>2.7018</v>
      </c>
      <c r="Z28" s="31">
        <v>10.3</v>
      </c>
      <c r="AA28" s="31">
        <v>9.1999999999999993</v>
      </c>
      <c r="AB28" s="32">
        <v>89</v>
      </c>
      <c r="AC28" s="32">
        <v>79</v>
      </c>
      <c r="AD28" s="8" t="s">
        <v>6</v>
      </c>
      <c r="AE28" s="33" t="s">
        <v>307</v>
      </c>
      <c r="AF28" s="14" t="s">
        <v>308</v>
      </c>
    </row>
    <row r="29" spans="1:32" ht="15.75" x14ac:dyDescent="0.25">
      <c r="A29" s="1">
        <v>928</v>
      </c>
      <c r="B29" s="2">
        <v>45789</v>
      </c>
      <c r="C29" s="1" t="s">
        <v>0</v>
      </c>
      <c r="D29" s="1" t="s">
        <v>9</v>
      </c>
      <c r="E29" s="1">
        <v>2</v>
      </c>
      <c r="F29" s="1">
        <v>22505011</v>
      </c>
      <c r="G29" s="1">
        <v>1250</v>
      </c>
      <c r="H29" s="1" t="s">
        <v>10</v>
      </c>
      <c r="I29" s="1" t="s">
        <v>120</v>
      </c>
      <c r="J29" s="1" t="s">
        <v>309</v>
      </c>
      <c r="K29" s="4">
        <v>1566</v>
      </c>
      <c r="L29" s="3">
        <v>1545</v>
      </c>
      <c r="M29" s="3">
        <v>1545</v>
      </c>
      <c r="N29" s="3">
        <v>1544</v>
      </c>
      <c r="O29" s="3">
        <v>1545</v>
      </c>
      <c r="P29" s="55">
        <v>1544.6666666666667</v>
      </c>
      <c r="Q29" s="7">
        <v>5.5</v>
      </c>
      <c r="R29" s="4">
        <v>34</v>
      </c>
      <c r="S29" s="56">
        <v>34</v>
      </c>
      <c r="T29" s="9" t="s">
        <v>5</v>
      </c>
      <c r="U29" s="9" t="s">
        <v>5</v>
      </c>
      <c r="V29" s="9" t="s">
        <v>5</v>
      </c>
      <c r="W29" s="11" t="s">
        <v>5</v>
      </c>
      <c r="X29" s="11">
        <v>57</v>
      </c>
      <c r="Y29" s="54">
        <v>3.0958125000000001</v>
      </c>
      <c r="Z29" s="7">
        <v>9.9</v>
      </c>
      <c r="AA29" s="7">
        <v>9.6</v>
      </c>
      <c r="AB29" s="13">
        <v>87</v>
      </c>
      <c r="AC29" s="13">
        <v>82</v>
      </c>
      <c r="AD29" s="8" t="s">
        <v>6</v>
      </c>
      <c r="AE29" s="33" t="s">
        <v>22</v>
      </c>
      <c r="AF29" s="14" t="s">
        <v>96</v>
      </c>
    </row>
    <row r="30" spans="1:32" ht="15.75" x14ac:dyDescent="0.25">
      <c r="A30" s="1">
        <v>928</v>
      </c>
      <c r="B30" s="2">
        <v>45789</v>
      </c>
      <c r="C30" s="1" t="s">
        <v>0</v>
      </c>
      <c r="D30" s="1" t="s">
        <v>9</v>
      </c>
      <c r="E30" s="1">
        <v>2</v>
      </c>
      <c r="F30" s="1">
        <v>22505011</v>
      </c>
      <c r="G30" s="1">
        <v>1250</v>
      </c>
      <c r="H30" s="1" t="s">
        <v>10</v>
      </c>
      <c r="I30" s="1" t="s">
        <v>103</v>
      </c>
      <c r="J30" s="1" t="s">
        <v>310</v>
      </c>
      <c r="K30" s="4">
        <v>1571</v>
      </c>
      <c r="L30" s="3">
        <v>1550</v>
      </c>
      <c r="M30" s="3">
        <v>1552</v>
      </c>
      <c r="N30" s="3">
        <v>1553</v>
      </c>
      <c r="O30" s="3">
        <v>1553</v>
      </c>
      <c r="P30" s="55">
        <v>1552.6666666666667</v>
      </c>
      <c r="Q30" s="7">
        <v>5.3</v>
      </c>
      <c r="R30" s="4">
        <v>32</v>
      </c>
      <c r="S30" s="56">
        <v>32</v>
      </c>
      <c r="T30" s="9" t="s">
        <v>5</v>
      </c>
      <c r="U30" s="9" t="s">
        <v>5</v>
      </c>
      <c r="V30" s="9" t="s">
        <v>5</v>
      </c>
      <c r="W30" s="11">
        <v>13.3</v>
      </c>
      <c r="X30" s="11">
        <v>57</v>
      </c>
      <c r="Y30" s="54">
        <v>2.9832375</v>
      </c>
      <c r="Z30" s="7">
        <v>10.1</v>
      </c>
      <c r="AA30" s="7">
        <v>9.6</v>
      </c>
      <c r="AB30" s="13">
        <v>87</v>
      </c>
      <c r="AC30" s="13">
        <v>83</v>
      </c>
      <c r="AD30" s="8" t="s">
        <v>6</v>
      </c>
      <c r="AE30" s="33" t="s">
        <v>22</v>
      </c>
      <c r="AF30" s="14" t="s">
        <v>68</v>
      </c>
    </row>
    <row r="31" spans="1:32" ht="31.5" x14ac:dyDescent="0.25">
      <c r="A31" s="1">
        <v>928</v>
      </c>
      <c r="B31" s="2">
        <v>45789</v>
      </c>
      <c r="C31" s="1" t="s">
        <v>0</v>
      </c>
      <c r="D31" s="1" t="s">
        <v>9</v>
      </c>
      <c r="E31" s="1">
        <v>2</v>
      </c>
      <c r="F31" s="1">
        <v>22505011</v>
      </c>
      <c r="G31" s="1">
        <v>1250</v>
      </c>
      <c r="H31" s="1" t="s">
        <v>10</v>
      </c>
      <c r="I31" s="1" t="s">
        <v>113</v>
      </c>
      <c r="J31" s="1" t="s">
        <v>311</v>
      </c>
      <c r="K31" s="4">
        <v>1566</v>
      </c>
      <c r="L31" s="3">
        <v>1546</v>
      </c>
      <c r="M31" s="3">
        <v>1544</v>
      </c>
      <c r="N31" s="3">
        <v>1543</v>
      </c>
      <c r="O31" s="3">
        <v>1546</v>
      </c>
      <c r="P31" s="55">
        <v>1544.3333333333333</v>
      </c>
      <c r="Q31" s="7">
        <v>5.6</v>
      </c>
      <c r="R31" s="4">
        <v>36</v>
      </c>
      <c r="S31" s="56">
        <v>36</v>
      </c>
      <c r="T31" s="9" t="s">
        <v>5</v>
      </c>
      <c r="U31" s="9" t="s">
        <v>5</v>
      </c>
      <c r="V31" s="9" t="s">
        <v>5</v>
      </c>
      <c r="W31" s="11" t="s">
        <v>5</v>
      </c>
      <c r="X31" s="11">
        <v>57</v>
      </c>
      <c r="Y31" s="54">
        <v>3.1520999999999999</v>
      </c>
      <c r="Z31" s="7">
        <v>8.8000000000000007</v>
      </c>
      <c r="AA31" s="7">
        <v>10</v>
      </c>
      <c r="AB31" s="13">
        <v>90</v>
      </c>
      <c r="AC31" s="13">
        <v>87</v>
      </c>
      <c r="AD31" s="8" t="s">
        <v>6</v>
      </c>
      <c r="AE31" s="33" t="s">
        <v>22</v>
      </c>
      <c r="AF31" s="14" t="s">
        <v>312</v>
      </c>
    </row>
    <row r="32" spans="1:32" ht="31.5" x14ac:dyDescent="0.25">
      <c r="A32" s="1">
        <v>1048</v>
      </c>
      <c r="B32" s="2">
        <v>45793</v>
      </c>
      <c r="C32" s="1" t="s">
        <v>264</v>
      </c>
      <c r="D32" s="1" t="s">
        <v>258</v>
      </c>
      <c r="E32" s="1">
        <v>2</v>
      </c>
      <c r="F32" s="1">
        <v>22505015</v>
      </c>
      <c r="G32" s="1">
        <v>1260</v>
      </c>
      <c r="H32" s="1" t="s">
        <v>55</v>
      </c>
      <c r="I32" s="1" t="s">
        <v>194</v>
      </c>
      <c r="J32" s="3" t="s">
        <v>313</v>
      </c>
      <c r="K32" s="3">
        <v>1568</v>
      </c>
      <c r="L32" s="5">
        <v>1540</v>
      </c>
      <c r="M32" s="5">
        <v>1538</v>
      </c>
      <c r="N32" s="5">
        <v>1537</v>
      </c>
      <c r="O32" s="5">
        <v>1539</v>
      </c>
      <c r="P32" s="6">
        <v>1538</v>
      </c>
      <c r="Q32" s="15">
        <v>5.4</v>
      </c>
      <c r="R32" s="9">
        <v>30</v>
      </c>
      <c r="S32" s="17">
        <v>25</v>
      </c>
      <c r="T32" s="9" t="s">
        <v>5</v>
      </c>
      <c r="U32" s="9" t="s">
        <v>5</v>
      </c>
      <c r="V32" s="9" t="s">
        <v>5</v>
      </c>
      <c r="W32" s="17">
        <v>9.9</v>
      </c>
      <c r="X32" s="11">
        <v>57</v>
      </c>
      <c r="Y32" s="12">
        <v>3.0638412000000006</v>
      </c>
      <c r="Z32" s="31">
        <v>7.3</v>
      </c>
      <c r="AA32" s="31">
        <v>8.5</v>
      </c>
      <c r="AB32" s="32">
        <v>66</v>
      </c>
      <c r="AC32" s="32">
        <v>79</v>
      </c>
      <c r="AD32" s="8" t="s">
        <v>6</v>
      </c>
      <c r="AE32" s="8" t="s">
        <v>289</v>
      </c>
      <c r="AF32" s="14" t="s">
        <v>314</v>
      </c>
    </row>
    <row r="33" spans="1:32" ht="47.25" x14ac:dyDescent="0.25">
      <c r="A33" s="1">
        <v>1173</v>
      </c>
      <c r="B33" s="2">
        <v>45795</v>
      </c>
      <c r="C33" s="1" t="s">
        <v>18</v>
      </c>
      <c r="D33" s="1" t="s">
        <v>280</v>
      </c>
      <c r="E33" s="1">
        <v>2</v>
      </c>
      <c r="F33" s="1">
        <v>22505017</v>
      </c>
      <c r="G33" s="1">
        <v>1260</v>
      </c>
      <c r="H33" s="1" t="s">
        <v>10</v>
      </c>
      <c r="I33" s="1" t="s">
        <v>315</v>
      </c>
      <c r="J33" s="3" t="s">
        <v>316</v>
      </c>
      <c r="K33" s="3">
        <v>1573</v>
      </c>
      <c r="L33" s="5">
        <v>1543</v>
      </c>
      <c r="M33" s="5">
        <v>1542</v>
      </c>
      <c r="N33" s="5">
        <v>1542</v>
      </c>
      <c r="O33" s="5">
        <v>1542</v>
      </c>
      <c r="P33" s="6">
        <v>1542</v>
      </c>
      <c r="Q33" s="15">
        <v>5.2</v>
      </c>
      <c r="R33" s="9">
        <v>27</v>
      </c>
      <c r="S33" s="17">
        <v>6</v>
      </c>
      <c r="T33" s="9" t="s">
        <v>5</v>
      </c>
      <c r="U33" s="9" t="s">
        <v>5</v>
      </c>
      <c r="V33" s="9" t="s">
        <v>5</v>
      </c>
      <c r="W33" s="11">
        <v>12.1</v>
      </c>
      <c r="X33" s="11">
        <v>57</v>
      </c>
      <c r="Y33" s="12">
        <v>2.9503656000000005</v>
      </c>
      <c r="Z33" s="31">
        <v>7.1</v>
      </c>
      <c r="AA33" s="31">
        <v>6.1</v>
      </c>
      <c r="AB33" s="32">
        <v>74</v>
      </c>
      <c r="AC33" s="32">
        <v>73</v>
      </c>
      <c r="AD33" s="8" t="s">
        <v>6</v>
      </c>
      <c r="AE33" s="8" t="s">
        <v>53</v>
      </c>
      <c r="AF33" s="14" t="s">
        <v>317</v>
      </c>
    </row>
    <row r="34" spans="1:32" ht="31.5" x14ac:dyDescent="0.25">
      <c r="A34" s="1">
        <v>1228</v>
      </c>
      <c r="B34" s="2">
        <v>45795</v>
      </c>
      <c r="C34" s="3" t="s">
        <v>0</v>
      </c>
      <c r="D34" s="1" t="s">
        <v>265</v>
      </c>
      <c r="E34" s="1">
        <v>1</v>
      </c>
      <c r="F34" s="1">
        <v>12505016</v>
      </c>
      <c r="G34" s="1">
        <v>1340</v>
      </c>
      <c r="H34" s="1" t="s">
        <v>10</v>
      </c>
      <c r="I34" s="1" t="s">
        <v>146</v>
      </c>
      <c r="J34" s="1" t="s">
        <v>318</v>
      </c>
      <c r="K34" s="4">
        <v>1569</v>
      </c>
      <c r="L34" s="5">
        <v>1544</v>
      </c>
      <c r="M34" s="5">
        <v>1539</v>
      </c>
      <c r="N34" s="5">
        <v>1539</v>
      </c>
      <c r="O34" s="5">
        <v>1536</v>
      </c>
      <c r="P34" s="6">
        <v>1538</v>
      </c>
      <c r="Q34" s="7">
        <v>5.2</v>
      </c>
      <c r="R34" s="4">
        <v>35</v>
      </c>
      <c r="S34" s="8" t="s">
        <v>5</v>
      </c>
      <c r="T34" s="9">
        <v>174</v>
      </c>
      <c r="U34" s="9">
        <v>59</v>
      </c>
      <c r="V34" s="9">
        <v>115</v>
      </c>
      <c r="W34" s="11" t="s">
        <v>5</v>
      </c>
      <c r="X34" s="11">
        <v>58</v>
      </c>
      <c r="Y34" s="12">
        <v>3.1927376000000001</v>
      </c>
      <c r="Z34" s="7">
        <v>11.6</v>
      </c>
      <c r="AA34" s="7">
        <v>11.7</v>
      </c>
      <c r="AB34" s="13">
        <v>87</v>
      </c>
      <c r="AC34" s="13">
        <v>88</v>
      </c>
      <c r="AD34" s="8" t="s">
        <v>6</v>
      </c>
      <c r="AE34" s="42" t="s">
        <v>53</v>
      </c>
      <c r="AF34" s="14" t="s">
        <v>319</v>
      </c>
    </row>
    <row r="35" spans="1:32" ht="47.25" x14ac:dyDescent="0.25">
      <c r="A35" s="1">
        <v>1576</v>
      </c>
      <c r="B35" s="2">
        <v>45801</v>
      </c>
      <c r="C35" s="1" t="s">
        <v>264</v>
      </c>
      <c r="D35" s="1" t="s">
        <v>265</v>
      </c>
      <c r="E35" s="1">
        <v>2</v>
      </c>
      <c r="F35" s="1">
        <v>22505026</v>
      </c>
      <c r="G35" s="1">
        <v>1260</v>
      </c>
      <c r="H35" s="1" t="s">
        <v>320</v>
      </c>
      <c r="I35" s="1" t="s">
        <v>74</v>
      </c>
      <c r="J35" s="5" t="s">
        <v>321</v>
      </c>
      <c r="K35" s="3">
        <v>1574</v>
      </c>
      <c r="L35" s="5">
        <v>1542</v>
      </c>
      <c r="M35" s="5">
        <v>1550</v>
      </c>
      <c r="N35" s="5">
        <v>1548</v>
      </c>
      <c r="O35" s="5">
        <v>1546</v>
      </c>
      <c r="P35" s="55">
        <v>1548</v>
      </c>
      <c r="Q35" s="18">
        <v>5.2</v>
      </c>
      <c r="R35" s="36">
        <v>39</v>
      </c>
      <c r="S35" s="17">
        <v>2</v>
      </c>
      <c r="T35" s="9" t="s">
        <v>5</v>
      </c>
      <c r="U35" s="9" t="s">
        <v>5</v>
      </c>
      <c r="V35" s="9" t="s">
        <v>5</v>
      </c>
      <c r="W35" s="9">
        <v>12.8</v>
      </c>
      <c r="X35" s="11">
        <v>57</v>
      </c>
      <c r="Y35" s="54">
        <v>2.9503656000000005</v>
      </c>
      <c r="Z35" s="18">
        <v>8.3000000000000007</v>
      </c>
      <c r="AA35" s="18">
        <v>9.1</v>
      </c>
      <c r="AB35" s="19">
        <v>77</v>
      </c>
      <c r="AC35" s="19">
        <v>82</v>
      </c>
      <c r="AD35" s="8" t="s">
        <v>6</v>
      </c>
      <c r="AE35" s="33" t="s">
        <v>72</v>
      </c>
      <c r="AF35" s="14" t="s">
        <v>322</v>
      </c>
    </row>
    <row r="36" spans="1:32" ht="47.25" x14ac:dyDescent="0.25">
      <c r="A36" s="1">
        <v>1641</v>
      </c>
      <c r="B36" s="2">
        <v>45802</v>
      </c>
      <c r="C36" s="1" t="s">
        <v>0</v>
      </c>
      <c r="D36" s="1" t="s">
        <v>19</v>
      </c>
      <c r="E36" s="1">
        <v>1</v>
      </c>
      <c r="F36" s="1">
        <v>12505025</v>
      </c>
      <c r="G36" s="1">
        <v>1250</v>
      </c>
      <c r="H36" s="1" t="s">
        <v>10</v>
      </c>
      <c r="I36" s="1" t="s">
        <v>74</v>
      </c>
      <c r="J36" s="5" t="s">
        <v>323</v>
      </c>
      <c r="K36" s="3">
        <v>1581</v>
      </c>
      <c r="L36" s="5">
        <v>159</v>
      </c>
      <c r="M36" s="5">
        <v>1559</v>
      </c>
      <c r="N36" s="5">
        <v>1558</v>
      </c>
      <c r="O36" s="5">
        <v>1556</v>
      </c>
      <c r="P36" s="55">
        <v>1557.6666666666667</v>
      </c>
      <c r="Q36" s="15">
        <v>4.5999999999999996</v>
      </c>
      <c r="R36" s="9">
        <v>43</v>
      </c>
      <c r="S36" s="17">
        <v>43</v>
      </c>
      <c r="T36" s="9">
        <v>173.1</v>
      </c>
      <c r="U36" s="9">
        <v>59</v>
      </c>
      <c r="V36" s="10">
        <v>114.1</v>
      </c>
      <c r="W36" s="9" t="s">
        <v>5</v>
      </c>
      <c r="X36" s="11">
        <v>57</v>
      </c>
      <c r="Y36" s="54">
        <v>2.5892249999999999</v>
      </c>
      <c r="Z36" s="31">
        <v>8.1</v>
      </c>
      <c r="AA36" s="31">
        <v>7.6</v>
      </c>
      <c r="AB36" s="32">
        <v>70</v>
      </c>
      <c r="AC36" s="32">
        <v>65</v>
      </c>
      <c r="AD36" s="8" t="s">
        <v>6</v>
      </c>
      <c r="AE36" s="33" t="s">
        <v>72</v>
      </c>
      <c r="AF36" s="14" t="s">
        <v>324</v>
      </c>
    </row>
    <row r="37" spans="1:32" ht="15.75" x14ac:dyDescent="0.25">
      <c r="A37" s="1">
        <v>1716</v>
      </c>
      <c r="B37" s="2">
        <v>45804</v>
      </c>
      <c r="C37" s="1" t="s">
        <v>0</v>
      </c>
      <c r="D37" s="1" t="s">
        <v>19</v>
      </c>
      <c r="E37" s="1">
        <v>1</v>
      </c>
      <c r="F37" s="1">
        <v>12505028</v>
      </c>
      <c r="G37" s="1">
        <v>1260</v>
      </c>
      <c r="H37" s="1" t="s">
        <v>55</v>
      </c>
      <c r="I37" s="1" t="s">
        <v>122</v>
      </c>
      <c r="J37" s="57" t="s">
        <v>325</v>
      </c>
      <c r="K37" s="3">
        <v>1567</v>
      </c>
      <c r="L37" s="58">
        <v>1550</v>
      </c>
      <c r="M37" s="58">
        <v>1551</v>
      </c>
      <c r="N37" s="58">
        <v>1552</v>
      </c>
      <c r="O37" s="58">
        <v>1552</v>
      </c>
      <c r="P37" s="55">
        <v>1551.6666666666667</v>
      </c>
      <c r="Q37" s="7">
        <v>5.4</v>
      </c>
      <c r="R37" s="4">
        <v>34</v>
      </c>
      <c r="S37" s="17">
        <v>4</v>
      </c>
      <c r="T37" s="9">
        <v>165.5</v>
      </c>
      <c r="U37" s="9">
        <v>60.4</v>
      </c>
      <c r="V37" s="10">
        <v>105.1</v>
      </c>
      <c r="W37" s="11">
        <v>19.399999999999999</v>
      </c>
      <c r="X37" s="11">
        <v>57</v>
      </c>
      <c r="Y37" s="54">
        <v>3.0638412000000006</v>
      </c>
      <c r="Z37" s="7">
        <v>9.4</v>
      </c>
      <c r="AA37" s="7">
        <v>10</v>
      </c>
      <c r="AB37" s="13">
        <v>75</v>
      </c>
      <c r="AC37" s="13">
        <v>75</v>
      </c>
      <c r="AD37" s="18" t="s">
        <v>6</v>
      </c>
      <c r="AE37" s="33" t="s">
        <v>53</v>
      </c>
      <c r="AF37" s="14" t="s">
        <v>61</v>
      </c>
    </row>
  </sheetData>
  <mergeCells count="3">
    <mergeCell ref="L1:P1"/>
    <mergeCell ref="Z1:AA1"/>
    <mergeCell ref="AB1:AC1"/>
  </mergeCells>
  <conditionalFormatting sqref="L2:P10">
    <cfRule type="cellIs" dxfId="733" priority="21" stopIfTrue="1" operator="greaterThanOrEqual">
      <formula>1565</formula>
    </cfRule>
    <cfRule type="cellIs" dxfId="732" priority="22" stopIfTrue="1" operator="lessThanOrEqual">
      <formula>1545</formula>
    </cfRule>
  </conditionalFormatting>
  <conditionalFormatting sqref="L11:P12">
    <cfRule type="cellIs" dxfId="730" priority="19" stopIfTrue="1" operator="greaterThanOrEqual">
      <formula>1565</formula>
    </cfRule>
    <cfRule type="cellIs" dxfId="731" priority="20" stopIfTrue="1" operator="lessThanOrEqual">
      <formula>1545</formula>
    </cfRule>
  </conditionalFormatting>
  <conditionalFormatting sqref="L13:P14">
    <cfRule type="cellIs" dxfId="729" priority="17" stopIfTrue="1" operator="greaterThanOrEqual">
      <formula>1565</formula>
    </cfRule>
    <cfRule type="cellIs" dxfId="728" priority="18" stopIfTrue="1" operator="lessThanOrEqual">
      <formula>1545</formula>
    </cfRule>
  </conditionalFormatting>
  <conditionalFormatting sqref="L15:P15">
    <cfRule type="cellIs" dxfId="710" priority="15" stopIfTrue="1" operator="greaterThanOrEqual">
      <formula>1565</formula>
    </cfRule>
    <cfRule type="cellIs" dxfId="711" priority="16" stopIfTrue="1" operator="lessThanOrEqual">
      <formula>1545</formula>
    </cfRule>
  </conditionalFormatting>
  <conditionalFormatting sqref="L16:P19">
    <cfRule type="cellIs" dxfId="708" priority="13" stopIfTrue="1" operator="greaterThanOrEqual">
      <formula>1565</formula>
    </cfRule>
    <cfRule type="cellIs" dxfId="709" priority="14" stopIfTrue="1" operator="lessThanOrEqual">
      <formula>1545</formula>
    </cfRule>
  </conditionalFormatting>
  <conditionalFormatting sqref="L20:P25">
    <cfRule type="cellIs" dxfId="706" priority="11" stopIfTrue="1" operator="greaterThanOrEqual">
      <formula>1565</formula>
    </cfRule>
    <cfRule type="cellIs" dxfId="707" priority="12" stopIfTrue="1" operator="lessThanOrEqual">
      <formula>1545</formula>
    </cfRule>
  </conditionalFormatting>
  <conditionalFormatting sqref="L26:P26">
    <cfRule type="cellIs" dxfId="705" priority="9" stopIfTrue="1" operator="greaterThanOrEqual">
      <formula>1565</formula>
    </cfRule>
    <cfRule type="cellIs" dxfId="704" priority="10" stopIfTrue="1" operator="lessThanOrEqual">
      <formula>1545</formula>
    </cfRule>
  </conditionalFormatting>
  <conditionalFormatting sqref="L27:P27">
    <cfRule type="cellIs" dxfId="702" priority="7" stopIfTrue="1" operator="greaterThanOrEqual">
      <formula>1565</formula>
    </cfRule>
    <cfRule type="cellIs" dxfId="703" priority="8" stopIfTrue="1" operator="lessThanOrEqual">
      <formula>1545</formula>
    </cfRule>
  </conditionalFormatting>
  <conditionalFormatting sqref="L28:P36">
    <cfRule type="cellIs" dxfId="701" priority="5" stopIfTrue="1" operator="greaterThanOrEqual">
      <formula>1565</formula>
    </cfRule>
    <cfRule type="cellIs" dxfId="700" priority="6" stopIfTrue="1" operator="lessThanOrEqual">
      <formula>1545</formula>
    </cfRule>
  </conditionalFormatting>
  <conditionalFormatting sqref="L37:O37">
    <cfRule type="cellIs" dxfId="699" priority="3" stopIfTrue="1" operator="greaterThanOrEqual">
      <formula>1565</formula>
    </cfRule>
    <cfRule type="cellIs" dxfId="698" priority="4" stopIfTrue="1" operator="lessThanOrEqual">
      <formula>1545</formula>
    </cfRule>
  </conditionalFormatting>
  <conditionalFormatting sqref="P37">
    <cfRule type="cellIs" dxfId="696" priority="1" stopIfTrue="1" operator="greaterThanOrEqual">
      <formula>1565</formula>
    </cfRule>
    <cfRule type="cellIs" dxfId="697" priority="2" stopIfTrue="1" operator="lessThanOrEqual">
      <formula>1545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0BE8-476A-4CA4-AC6D-622F44285A00}">
  <dimension ref="A1:AF30"/>
  <sheetViews>
    <sheetView zoomScale="70" zoomScaleNormal="70" workbookViewId="0">
      <selection activeCell="F8" sqref="F8"/>
    </sheetView>
  </sheetViews>
  <sheetFormatPr defaultColWidth="9.140625" defaultRowHeight="15" x14ac:dyDescent="0.25"/>
  <cols>
    <col min="1" max="1" width="9.42578125" customWidth="1"/>
    <col min="2" max="2" width="20.42578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9.7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9.7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ht="63" x14ac:dyDescent="0.25">
      <c r="A3" s="1">
        <v>50</v>
      </c>
      <c r="B3" s="2">
        <v>45813</v>
      </c>
      <c r="C3" s="1" t="s">
        <v>18</v>
      </c>
      <c r="D3" s="1" t="s">
        <v>9</v>
      </c>
      <c r="E3" s="1">
        <v>1</v>
      </c>
      <c r="F3" s="1">
        <v>12506003</v>
      </c>
      <c r="G3" s="1" t="s">
        <v>10</v>
      </c>
      <c r="H3" s="1" t="s">
        <v>189</v>
      </c>
      <c r="I3" s="3" t="s">
        <v>326</v>
      </c>
      <c r="J3" s="3">
        <v>1570</v>
      </c>
      <c r="K3" s="5">
        <v>156</v>
      </c>
      <c r="L3" s="5">
        <v>1553</v>
      </c>
      <c r="M3" s="5">
        <v>1554</v>
      </c>
      <c r="N3" s="5">
        <v>1554</v>
      </c>
      <c r="O3" s="30">
        <v>1553.6666666666667</v>
      </c>
      <c r="P3" s="15">
        <v>4.8</v>
      </c>
      <c r="Q3" s="9">
        <v>38</v>
      </c>
      <c r="R3" s="17" t="s">
        <v>5</v>
      </c>
      <c r="S3" s="9">
        <v>169</v>
      </c>
      <c r="T3" s="9">
        <v>63</v>
      </c>
      <c r="U3" s="9">
        <v>106</v>
      </c>
      <c r="V3" s="17" t="s">
        <v>5</v>
      </c>
      <c r="W3" s="11">
        <v>57</v>
      </c>
      <c r="X3" s="12">
        <v>2.6585712000000004</v>
      </c>
      <c r="Y3" s="31">
        <v>12</v>
      </c>
      <c r="Z3" s="31">
        <v>11.6</v>
      </c>
      <c r="AA3" s="32">
        <v>93</v>
      </c>
      <c r="AB3" s="32">
        <v>90</v>
      </c>
      <c r="AC3" s="17" t="s">
        <v>6</v>
      </c>
      <c r="AD3" s="33" t="s">
        <v>72</v>
      </c>
      <c r="AE3" s="14" t="s">
        <v>327</v>
      </c>
    </row>
    <row r="4" spans="1:32" ht="110.25" x14ac:dyDescent="0.25">
      <c r="A4" s="1">
        <v>116</v>
      </c>
      <c r="B4" s="2">
        <v>45814</v>
      </c>
      <c r="C4" s="1" t="s">
        <v>0</v>
      </c>
      <c r="D4" s="1" t="s">
        <v>328</v>
      </c>
      <c r="E4" s="1">
        <v>2</v>
      </c>
      <c r="F4" s="1">
        <v>22506003</v>
      </c>
      <c r="G4" s="1" t="s">
        <v>10</v>
      </c>
      <c r="H4" s="1" t="s">
        <v>98</v>
      </c>
      <c r="I4" s="3" t="s">
        <v>329</v>
      </c>
      <c r="J4" s="5">
        <v>1600</v>
      </c>
      <c r="K4" s="5">
        <v>1570</v>
      </c>
      <c r="L4" s="5">
        <v>1567</v>
      </c>
      <c r="M4" s="5">
        <v>1565</v>
      </c>
      <c r="N4" s="5" t="s">
        <v>5</v>
      </c>
      <c r="O4" s="30">
        <v>1566</v>
      </c>
      <c r="P4" s="18">
        <v>4</v>
      </c>
      <c r="Q4" s="36">
        <v>49</v>
      </c>
      <c r="R4" s="17">
        <v>14</v>
      </c>
      <c r="S4" s="9" t="s">
        <v>5</v>
      </c>
      <c r="T4" s="9" t="s">
        <v>5</v>
      </c>
      <c r="U4" s="10" t="s">
        <v>5</v>
      </c>
      <c r="V4" s="11" t="s">
        <v>5</v>
      </c>
      <c r="W4" s="11">
        <v>58</v>
      </c>
      <c r="X4" s="12">
        <v>1.906112</v>
      </c>
      <c r="Y4" s="18">
        <v>8</v>
      </c>
      <c r="Z4" s="18">
        <v>8.4</v>
      </c>
      <c r="AA4" s="19">
        <v>79</v>
      </c>
      <c r="AB4" s="19">
        <v>81</v>
      </c>
      <c r="AC4" s="8" t="s">
        <v>6</v>
      </c>
      <c r="AD4" s="33" t="s">
        <v>72</v>
      </c>
      <c r="AE4" s="14" t="s">
        <v>330</v>
      </c>
    </row>
    <row r="5" spans="1:32" ht="31.5" x14ac:dyDescent="0.25">
      <c r="A5" s="1">
        <v>345</v>
      </c>
      <c r="B5" s="2">
        <v>45819</v>
      </c>
      <c r="C5" s="1" t="s">
        <v>264</v>
      </c>
      <c r="D5" s="1" t="s">
        <v>9</v>
      </c>
      <c r="E5" s="1">
        <v>1</v>
      </c>
      <c r="F5" s="1">
        <v>12506011</v>
      </c>
      <c r="G5" s="1" t="s">
        <v>10</v>
      </c>
      <c r="H5" s="1" t="s">
        <v>331</v>
      </c>
      <c r="I5" s="3" t="s">
        <v>332</v>
      </c>
      <c r="J5" s="3">
        <v>1575</v>
      </c>
      <c r="K5" s="5">
        <v>1550</v>
      </c>
      <c r="L5" s="5">
        <v>1550</v>
      </c>
      <c r="M5" s="5">
        <v>1549</v>
      </c>
      <c r="N5" s="5">
        <v>1550</v>
      </c>
      <c r="O5" s="30">
        <v>1550</v>
      </c>
      <c r="P5" s="15">
        <v>4.3</v>
      </c>
      <c r="Q5" s="9">
        <v>41</v>
      </c>
      <c r="R5" s="9" t="s">
        <v>5</v>
      </c>
      <c r="S5" s="9">
        <v>158.19999999999999</v>
      </c>
      <c r="T5" s="9">
        <v>60</v>
      </c>
      <c r="U5" s="9">
        <v>98.2</v>
      </c>
      <c r="V5" s="9" t="s">
        <v>5</v>
      </c>
      <c r="W5" s="11">
        <v>57</v>
      </c>
      <c r="X5" s="12">
        <v>2.38</v>
      </c>
      <c r="Y5" s="31">
        <v>9.4</v>
      </c>
      <c r="Z5" s="31">
        <v>9.1</v>
      </c>
      <c r="AA5" s="32">
        <v>78</v>
      </c>
      <c r="AB5" s="32">
        <v>81</v>
      </c>
      <c r="AC5" s="8" t="s">
        <v>6</v>
      </c>
      <c r="AD5" s="8" t="s">
        <v>53</v>
      </c>
      <c r="AE5" s="14" t="s">
        <v>61</v>
      </c>
    </row>
    <row r="6" spans="1:32" ht="30" x14ac:dyDescent="0.25">
      <c r="A6" s="1">
        <v>360</v>
      </c>
      <c r="B6" s="2">
        <v>45819</v>
      </c>
      <c r="C6" s="1" t="s">
        <v>264</v>
      </c>
      <c r="D6" s="1" t="s">
        <v>9</v>
      </c>
      <c r="E6" s="1">
        <v>2</v>
      </c>
      <c r="F6" s="1">
        <v>22506008</v>
      </c>
      <c r="G6" s="1" t="s">
        <v>10</v>
      </c>
      <c r="H6" s="1" t="s">
        <v>86</v>
      </c>
      <c r="I6" s="3" t="s">
        <v>333</v>
      </c>
      <c r="J6" s="3">
        <v>1572</v>
      </c>
      <c r="K6" s="5">
        <v>1550</v>
      </c>
      <c r="L6" s="5">
        <v>1549</v>
      </c>
      <c r="M6" s="5">
        <v>1548</v>
      </c>
      <c r="N6" s="5">
        <v>1540</v>
      </c>
      <c r="O6" s="30">
        <v>1546</v>
      </c>
      <c r="P6" s="15">
        <v>3.7</v>
      </c>
      <c r="Q6" s="9">
        <v>39</v>
      </c>
      <c r="R6" s="8">
        <v>17</v>
      </c>
      <c r="S6" s="9" t="s">
        <v>5</v>
      </c>
      <c r="T6" s="9" t="s">
        <v>5</v>
      </c>
      <c r="U6" s="10" t="s">
        <v>5</v>
      </c>
      <c r="V6" s="9">
        <v>20.100000000000001</v>
      </c>
      <c r="W6" s="11">
        <v>58</v>
      </c>
      <c r="X6" s="12">
        <v>2.09</v>
      </c>
      <c r="Y6" s="31">
        <v>9.8000000000000007</v>
      </c>
      <c r="Z6" s="31">
        <v>9.1999999999999993</v>
      </c>
      <c r="AA6" s="32">
        <v>94</v>
      </c>
      <c r="AB6" s="32">
        <v>91</v>
      </c>
      <c r="AC6" s="8" t="s">
        <v>6</v>
      </c>
      <c r="AD6" s="42" t="s">
        <v>53</v>
      </c>
      <c r="AE6" s="33" t="s">
        <v>68</v>
      </c>
    </row>
    <row r="7" spans="1:32" ht="31.5" x14ac:dyDescent="0.25">
      <c r="A7" s="1">
        <v>473</v>
      </c>
      <c r="B7" s="2">
        <v>45821</v>
      </c>
      <c r="C7" s="1" t="s">
        <v>18</v>
      </c>
      <c r="D7" s="1" t="s">
        <v>265</v>
      </c>
      <c r="E7" s="1">
        <v>1</v>
      </c>
      <c r="F7" s="1">
        <v>12506013</v>
      </c>
      <c r="G7" s="1" t="s">
        <v>10</v>
      </c>
      <c r="H7" s="1" t="s">
        <v>129</v>
      </c>
      <c r="I7" s="1" t="s">
        <v>334</v>
      </c>
      <c r="J7" s="4">
        <v>1568</v>
      </c>
      <c r="K7" s="5">
        <v>1546</v>
      </c>
      <c r="L7" s="5">
        <v>1550</v>
      </c>
      <c r="M7" s="5">
        <v>1550</v>
      </c>
      <c r="N7" s="5">
        <v>1549</v>
      </c>
      <c r="O7" s="30">
        <v>1549.6666666666667</v>
      </c>
      <c r="P7" s="7">
        <v>5.4</v>
      </c>
      <c r="Q7" s="4">
        <v>32</v>
      </c>
      <c r="R7" s="8">
        <v>8</v>
      </c>
      <c r="S7" s="9">
        <v>158</v>
      </c>
      <c r="T7" s="9">
        <v>63</v>
      </c>
      <c r="U7" s="10">
        <v>95</v>
      </c>
      <c r="V7" s="17" t="s">
        <v>5</v>
      </c>
      <c r="W7" s="11">
        <v>57</v>
      </c>
      <c r="X7" s="12">
        <v>3.0881574000000005</v>
      </c>
      <c r="Y7" s="7">
        <v>12.6</v>
      </c>
      <c r="Z7" s="7">
        <v>11.9</v>
      </c>
      <c r="AA7" s="13">
        <v>96</v>
      </c>
      <c r="AB7" s="13">
        <v>93</v>
      </c>
      <c r="AC7" s="17" t="s">
        <v>6</v>
      </c>
      <c r="AD7" s="42" t="s">
        <v>53</v>
      </c>
      <c r="AE7" s="14" t="s">
        <v>68</v>
      </c>
    </row>
    <row r="8" spans="1:32" ht="94.5" x14ac:dyDescent="0.25">
      <c r="A8" s="1">
        <v>484</v>
      </c>
      <c r="B8" s="2">
        <v>45821</v>
      </c>
      <c r="C8" s="1" t="s">
        <v>18</v>
      </c>
      <c r="D8" s="1" t="s">
        <v>265</v>
      </c>
      <c r="E8" s="1">
        <v>2</v>
      </c>
      <c r="F8" s="1">
        <v>22506009</v>
      </c>
      <c r="G8" s="1" t="s">
        <v>10</v>
      </c>
      <c r="H8" s="1" t="s">
        <v>182</v>
      </c>
      <c r="I8" s="1" t="s">
        <v>335</v>
      </c>
      <c r="J8" s="4">
        <v>1567</v>
      </c>
      <c r="K8" s="5">
        <v>1548</v>
      </c>
      <c r="L8" s="5">
        <v>1550</v>
      </c>
      <c r="M8" s="5">
        <v>1545</v>
      </c>
      <c r="N8" s="5" t="s">
        <v>5</v>
      </c>
      <c r="O8" s="30">
        <v>1547.5</v>
      </c>
      <c r="P8" s="7">
        <v>5.6</v>
      </c>
      <c r="Q8" s="4">
        <v>31</v>
      </c>
      <c r="R8" s="8">
        <v>24</v>
      </c>
      <c r="S8" s="9" t="s">
        <v>5</v>
      </c>
      <c r="T8" s="9" t="s">
        <v>5</v>
      </c>
      <c r="U8" s="10" t="s">
        <v>5</v>
      </c>
      <c r="V8" s="9" t="s">
        <v>5</v>
      </c>
      <c r="W8" s="11">
        <v>57</v>
      </c>
      <c r="X8" s="12">
        <v>3.1520999999999999</v>
      </c>
      <c r="Y8" s="7">
        <v>9</v>
      </c>
      <c r="Z8" s="7">
        <v>9.1</v>
      </c>
      <c r="AA8" s="13">
        <v>96</v>
      </c>
      <c r="AB8" s="13">
        <v>95</v>
      </c>
      <c r="AC8" s="17" t="s">
        <v>6</v>
      </c>
      <c r="AD8" s="42" t="s">
        <v>13</v>
      </c>
      <c r="AE8" s="14" t="s">
        <v>336</v>
      </c>
    </row>
    <row r="9" spans="1:32" ht="220.5" x14ac:dyDescent="0.25">
      <c r="A9" s="1">
        <v>657</v>
      </c>
      <c r="B9" s="2">
        <v>45823</v>
      </c>
      <c r="C9" s="1" t="s">
        <v>0</v>
      </c>
      <c r="D9" s="1" t="s">
        <v>1</v>
      </c>
      <c r="E9" s="1">
        <v>1</v>
      </c>
      <c r="F9" s="1">
        <v>12506018</v>
      </c>
      <c r="G9" s="1" t="s">
        <v>10</v>
      </c>
      <c r="H9" s="1" t="s">
        <v>77</v>
      </c>
      <c r="I9" s="3" t="s">
        <v>337</v>
      </c>
      <c r="J9" s="3">
        <v>1571</v>
      </c>
      <c r="K9" s="5">
        <v>1540</v>
      </c>
      <c r="L9" s="5">
        <v>1534</v>
      </c>
      <c r="M9" s="5">
        <v>1534</v>
      </c>
      <c r="N9" s="5">
        <v>1533</v>
      </c>
      <c r="O9" s="30">
        <v>1533.6666666666667</v>
      </c>
      <c r="P9" s="15">
        <v>4.5</v>
      </c>
      <c r="Q9" s="9">
        <v>30</v>
      </c>
      <c r="R9" s="8" t="s">
        <v>5</v>
      </c>
      <c r="S9" s="9">
        <v>164</v>
      </c>
      <c r="T9" s="9">
        <v>85</v>
      </c>
      <c r="U9" s="9">
        <v>79</v>
      </c>
      <c r="V9" s="11" t="s">
        <v>5</v>
      </c>
      <c r="W9" s="11">
        <v>57</v>
      </c>
      <c r="X9" s="12">
        <v>2.5126740000000005</v>
      </c>
      <c r="Y9" s="31">
        <v>11.5</v>
      </c>
      <c r="Z9" s="31">
        <v>13.4</v>
      </c>
      <c r="AA9" s="32">
        <v>76</v>
      </c>
      <c r="AB9" s="32">
        <v>81</v>
      </c>
      <c r="AC9" s="8" t="s">
        <v>6</v>
      </c>
      <c r="AD9" s="33" t="s">
        <v>72</v>
      </c>
      <c r="AE9" s="14" t="s">
        <v>338</v>
      </c>
    </row>
    <row r="10" spans="1:32" ht="63" x14ac:dyDescent="0.25">
      <c r="A10" s="1">
        <v>836</v>
      </c>
      <c r="B10" s="2">
        <v>45826</v>
      </c>
      <c r="C10" s="1" t="s">
        <v>18</v>
      </c>
      <c r="D10" s="1" t="s">
        <v>258</v>
      </c>
      <c r="E10" s="1">
        <v>2</v>
      </c>
      <c r="F10" s="1">
        <v>22506014</v>
      </c>
      <c r="G10" s="1" t="s">
        <v>62</v>
      </c>
      <c r="H10" s="1" t="s">
        <v>132</v>
      </c>
      <c r="I10" s="3" t="s">
        <v>339</v>
      </c>
      <c r="J10" s="3">
        <v>1570</v>
      </c>
      <c r="K10" s="5">
        <v>1554</v>
      </c>
      <c r="L10" s="5">
        <v>1552</v>
      </c>
      <c r="M10" s="5">
        <v>1552</v>
      </c>
      <c r="N10" s="59">
        <v>1550</v>
      </c>
      <c r="O10" s="30">
        <v>1551.3333333333333</v>
      </c>
      <c r="P10" s="36">
        <v>5</v>
      </c>
      <c r="Q10" s="36">
        <v>40</v>
      </c>
      <c r="R10" s="17">
        <v>12</v>
      </c>
      <c r="S10" s="36" t="s">
        <v>5</v>
      </c>
      <c r="T10" s="36" t="s">
        <v>5</v>
      </c>
      <c r="U10" s="36" t="s">
        <v>5</v>
      </c>
      <c r="V10" s="36" t="s">
        <v>5</v>
      </c>
      <c r="W10" s="11">
        <v>57</v>
      </c>
      <c r="X10" s="12">
        <v>2.8143750000000001</v>
      </c>
      <c r="Y10" s="18">
        <v>9.6999999999999993</v>
      </c>
      <c r="Z10" s="31">
        <v>9.6999999999999993</v>
      </c>
      <c r="AA10" s="32">
        <v>88</v>
      </c>
      <c r="AB10" s="32">
        <v>97</v>
      </c>
      <c r="AC10" s="11" t="s">
        <v>6</v>
      </c>
      <c r="AD10" s="33" t="s">
        <v>13</v>
      </c>
      <c r="AE10" s="14" t="s">
        <v>340</v>
      </c>
    </row>
    <row r="11" spans="1:32" ht="110.25" x14ac:dyDescent="0.25">
      <c r="A11" s="1">
        <v>856</v>
      </c>
      <c r="B11" s="2">
        <v>45826</v>
      </c>
      <c r="C11" s="1" t="s">
        <v>264</v>
      </c>
      <c r="D11" s="1" t="s">
        <v>265</v>
      </c>
      <c r="E11" s="1">
        <v>1</v>
      </c>
      <c r="F11" s="1">
        <v>12506023</v>
      </c>
      <c r="G11" s="1" t="s">
        <v>10</v>
      </c>
      <c r="H11" s="1" t="s">
        <v>20</v>
      </c>
      <c r="I11" s="3" t="s">
        <v>341</v>
      </c>
      <c r="J11" s="3">
        <v>1265</v>
      </c>
      <c r="K11" s="5">
        <v>1544</v>
      </c>
      <c r="L11" s="5">
        <v>1543</v>
      </c>
      <c r="M11" s="5">
        <v>1543</v>
      </c>
      <c r="N11" s="59">
        <v>1540</v>
      </c>
      <c r="O11" s="30">
        <v>1542</v>
      </c>
      <c r="P11" s="36">
        <v>4</v>
      </c>
      <c r="Q11" s="36">
        <v>39</v>
      </c>
      <c r="R11" s="17">
        <v>28</v>
      </c>
      <c r="S11" s="36">
        <v>168.3</v>
      </c>
      <c r="T11" s="36">
        <v>70</v>
      </c>
      <c r="U11" s="10">
        <v>98.300000000000011</v>
      </c>
      <c r="V11" s="11" t="s">
        <v>5</v>
      </c>
      <c r="W11" s="11">
        <v>57</v>
      </c>
      <c r="X11" s="12">
        <v>2.2695120000000002</v>
      </c>
      <c r="Y11" s="18">
        <v>9.1</v>
      </c>
      <c r="Z11" s="31">
        <v>9.3000000000000007</v>
      </c>
      <c r="AA11" s="32">
        <v>79</v>
      </c>
      <c r="AB11" s="32">
        <v>89</v>
      </c>
      <c r="AC11" s="11" t="s">
        <v>6</v>
      </c>
      <c r="AD11" s="33" t="s">
        <v>53</v>
      </c>
      <c r="AE11" s="14" t="s">
        <v>342</v>
      </c>
    </row>
    <row r="12" spans="1:32" ht="31.5" x14ac:dyDescent="0.25">
      <c r="A12" s="1">
        <v>901</v>
      </c>
      <c r="B12" s="2">
        <v>45827</v>
      </c>
      <c r="C12" s="1" t="s">
        <v>18</v>
      </c>
      <c r="D12" s="1" t="s">
        <v>9</v>
      </c>
      <c r="E12" s="1">
        <v>1</v>
      </c>
      <c r="F12" s="1">
        <v>12506024</v>
      </c>
      <c r="G12" s="1" t="s">
        <v>10</v>
      </c>
      <c r="H12" s="1" t="s">
        <v>98</v>
      </c>
      <c r="I12" s="3" t="s">
        <v>343</v>
      </c>
      <c r="J12" s="3">
        <v>1607</v>
      </c>
      <c r="K12" s="5">
        <v>1570</v>
      </c>
      <c r="L12" s="5">
        <v>1572</v>
      </c>
      <c r="M12" s="5">
        <v>1572</v>
      </c>
      <c r="N12" s="59">
        <v>1572</v>
      </c>
      <c r="O12" s="30">
        <v>1572</v>
      </c>
      <c r="P12" s="36">
        <v>3.4</v>
      </c>
      <c r="Q12" s="36">
        <v>43</v>
      </c>
      <c r="R12" s="17">
        <v>12</v>
      </c>
      <c r="S12" s="36">
        <v>156</v>
      </c>
      <c r="T12" s="36">
        <v>56</v>
      </c>
      <c r="U12" s="10">
        <v>100</v>
      </c>
      <c r="V12" s="11" t="s">
        <v>100</v>
      </c>
      <c r="W12" s="11">
        <v>58</v>
      </c>
      <c r="X12" s="12">
        <v>1.9161924000000001</v>
      </c>
      <c r="Y12" s="18">
        <v>7.2</v>
      </c>
      <c r="Z12" s="31">
        <v>7.9</v>
      </c>
      <c r="AA12" s="32">
        <v>81</v>
      </c>
      <c r="AB12" s="32">
        <v>87</v>
      </c>
      <c r="AC12" s="11" t="s">
        <v>6</v>
      </c>
      <c r="AD12" s="33" t="s">
        <v>72</v>
      </c>
      <c r="AE12" s="14" t="s">
        <v>96</v>
      </c>
    </row>
    <row r="13" spans="1:32" ht="110.25" x14ac:dyDescent="0.25">
      <c r="A13" s="1">
        <v>928</v>
      </c>
      <c r="B13" s="2">
        <v>45827</v>
      </c>
      <c r="C13" s="1" t="s">
        <v>264</v>
      </c>
      <c r="D13" s="1" t="s">
        <v>265</v>
      </c>
      <c r="E13" s="1">
        <v>1</v>
      </c>
      <c r="F13" s="1">
        <v>12506025</v>
      </c>
      <c r="G13" s="1" t="s">
        <v>10</v>
      </c>
      <c r="H13" s="1" t="s">
        <v>77</v>
      </c>
      <c r="I13" s="5" t="s">
        <v>344</v>
      </c>
      <c r="J13" s="3">
        <v>1566</v>
      </c>
      <c r="K13" s="5">
        <v>1552</v>
      </c>
      <c r="L13" s="5">
        <v>1552</v>
      </c>
      <c r="M13" s="5">
        <v>1551</v>
      </c>
      <c r="N13" s="59">
        <v>1549</v>
      </c>
      <c r="O13" s="30">
        <v>1550.6666666666667</v>
      </c>
      <c r="P13" s="36">
        <v>5.5</v>
      </c>
      <c r="Q13" s="36">
        <v>28</v>
      </c>
      <c r="R13" s="17" t="s">
        <v>5</v>
      </c>
      <c r="S13" s="36">
        <v>167</v>
      </c>
      <c r="T13" s="36">
        <v>64</v>
      </c>
      <c r="U13" s="10">
        <v>103</v>
      </c>
      <c r="V13" s="36" t="s">
        <v>5</v>
      </c>
      <c r="W13" s="11">
        <v>57</v>
      </c>
      <c r="X13" s="12">
        <v>3.3434775000000001</v>
      </c>
      <c r="Y13" s="18">
        <v>10.5</v>
      </c>
      <c r="Z13" s="18">
        <v>11</v>
      </c>
      <c r="AA13" s="19">
        <v>79</v>
      </c>
      <c r="AB13" s="19">
        <v>82</v>
      </c>
      <c r="AC13" s="11" t="s">
        <v>6</v>
      </c>
      <c r="AD13" s="33" t="s">
        <v>53</v>
      </c>
      <c r="AE13" s="14" t="s">
        <v>345</v>
      </c>
    </row>
    <row r="14" spans="1:32" ht="78.75" x14ac:dyDescent="0.25">
      <c r="A14" s="1">
        <v>931</v>
      </c>
      <c r="B14" s="2">
        <v>45827</v>
      </c>
      <c r="C14" s="1" t="s">
        <v>264</v>
      </c>
      <c r="D14" s="1" t="s">
        <v>265</v>
      </c>
      <c r="E14" s="1">
        <v>2</v>
      </c>
      <c r="F14" s="1">
        <v>22506015</v>
      </c>
      <c r="G14" s="1" t="s">
        <v>10</v>
      </c>
      <c r="H14" s="1" t="s">
        <v>346</v>
      </c>
      <c r="I14" s="5" t="s">
        <v>347</v>
      </c>
      <c r="J14" s="5">
        <v>1570</v>
      </c>
      <c r="K14" s="5">
        <v>1551</v>
      </c>
      <c r="L14" s="5">
        <v>1554</v>
      </c>
      <c r="M14" s="5">
        <v>1552</v>
      </c>
      <c r="N14" s="59">
        <v>1550</v>
      </c>
      <c r="O14" s="30">
        <v>1552</v>
      </c>
      <c r="P14" s="36">
        <v>5</v>
      </c>
      <c r="Q14" s="36">
        <v>32</v>
      </c>
      <c r="R14" s="17">
        <v>6</v>
      </c>
      <c r="S14" s="36" t="s">
        <v>5</v>
      </c>
      <c r="T14" s="36" t="s">
        <v>5</v>
      </c>
      <c r="U14" s="36" t="s">
        <v>5</v>
      </c>
      <c r="V14" s="11" t="s">
        <v>5</v>
      </c>
      <c r="W14" s="11">
        <v>57</v>
      </c>
      <c r="X14" s="12">
        <v>2.7693450000000004</v>
      </c>
      <c r="Y14" s="18">
        <v>9.4</v>
      </c>
      <c r="Z14" s="18">
        <v>10.8</v>
      </c>
      <c r="AA14" s="19">
        <v>77</v>
      </c>
      <c r="AB14" s="19">
        <v>87</v>
      </c>
      <c r="AC14" s="11" t="s">
        <v>6</v>
      </c>
      <c r="AD14" s="33" t="s">
        <v>13</v>
      </c>
      <c r="AE14" s="14" t="s">
        <v>348</v>
      </c>
    </row>
    <row r="15" spans="1:32" ht="141.75" x14ac:dyDescent="0.25">
      <c r="A15" s="1">
        <v>955</v>
      </c>
      <c r="B15" s="2">
        <v>45827</v>
      </c>
      <c r="C15" s="1" t="s">
        <v>0</v>
      </c>
      <c r="D15" s="1" t="s">
        <v>258</v>
      </c>
      <c r="E15" s="34">
        <v>2</v>
      </c>
      <c r="F15" s="1">
        <v>22506016</v>
      </c>
      <c r="G15" s="1" t="s">
        <v>10</v>
      </c>
      <c r="H15" s="1" t="s">
        <v>86</v>
      </c>
      <c r="I15" s="3" t="s">
        <v>349</v>
      </c>
      <c r="J15" s="3">
        <v>1566</v>
      </c>
      <c r="K15" s="5">
        <v>1558</v>
      </c>
      <c r="L15" s="5">
        <v>1546</v>
      </c>
      <c r="M15" s="5">
        <v>1547</v>
      </c>
      <c r="N15" s="59">
        <v>1548</v>
      </c>
      <c r="O15" s="30">
        <v>1547</v>
      </c>
      <c r="P15" s="36">
        <v>4.5</v>
      </c>
      <c r="Q15" s="36">
        <v>32</v>
      </c>
      <c r="R15" s="17">
        <v>4</v>
      </c>
      <c r="S15" s="36" t="s">
        <v>5</v>
      </c>
      <c r="T15" s="36" t="s">
        <v>5</v>
      </c>
      <c r="U15" s="36" t="s">
        <v>5</v>
      </c>
      <c r="V15" s="36" t="s">
        <v>5</v>
      </c>
      <c r="W15" s="11">
        <v>58</v>
      </c>
      <c r="X15" s="12">
        <v>2.7835649999999998</v>
      </c>
      <c r="Y15" s="18">
        <v>4.7</v>
      </c>
      <c r="Z15" s="31">
        <v>5</v>
      </c>
      <c r="AA15" s="32">
        <v>40</v>
      </c>
      <c r="AB15" s="32">
        <v>49</v>
      </c>
      <c r="AC15" s="17" t="s">
        <v>6</v>
      </c>
      <c r="AD15" s="33" t="s">
        <v>53</v>
      </c>
      <c r="AE15" s="41" t="s">
        <v>350</v>
      </c>
    </row>
    <row r="16" spans="1:32" ht="63" x14ac:dyDescent="0.25">
      <c r="A16" s="1">
        <v>956</v>
      </c>
      <c r="B16" s="2">
        <v>45827</v>
      </c>
      <c r="C16" s="1" t="s">
        <v>0</v>
      </c>
      <c r="D16" s="1" t="s">
        <v>258</v>
      </c>
      <c r="E16" s="34">
        <v>2</v>
      </c>
      <c r="F16" s="1">
        <v>22506016</v>
      </c>
      <c r="G16" s="1" t="s">
        <v>10</v>
      </c>
      <c r="H16" s="1" t="s">
        <v>77</v>
      </c>
      <c r="I16" s="3" t="s">
        <v>351</v>
      </c>
      <c r="J16" s="3">
        <v>1573</v>
      </c>
      <c r="K16" s="5">
        <v>1552</v>
      </c>
      <c r="L16" s="5">
        <v>1553</v>
      </c>
      <c r="M16" s="5">
        <v>1552</v>
      </c>
      <c r="N16" s="59">
        <v>1553</v>
      </c>
      <c r="O16" s="30">
        <v>1552.6666666666667</v>
      </c>
      <c r="P16" s="36">
        <v>5.3</v>
      </c>
      <c r="Q16" s="36">
        <v>31</v>
      </c>
      <c r="R16" s="17">
        <v>23</v>
      </c>
      <c r="S16" s="36" t="s">
        <v>5</v>
      </c>
      <c r="T16" s="36" t="s">
        <v>5</v>
      </c>
      <c r="U16" s="36" t="s">
        <v>5</v>
      </c>
      <c r="V16" s="36" t="s">
        <v>5</v>
      </c>
      <c r="W16" s="11">
        <v>58</v>
      </c>
      <c r="X16" s="12">
        <v>3.2784209999999998</v>
      </c>
      <c r="Y16" s="18">
        <v>4.5999999999999996</v>
      </c>
      <c r="Z16" s="31">
        <v>7.1</v>
      </c>
      <c r="AA16" s="32">
        <v>40</v>
      </c>
      <c r="AB16" s="32">
        <v>94</v>
      </c>
      <c r="AC16" s="17" t="s">
        <v>6</v>
      </c>
      <c r="AD16" s="33" t="s">
        <v>53</v>
      </c>
      <c r="AE16" s="14" t="s">
        <v>352</v>
      </c>
    </row>
    <row r="17" spans="1:31" ht="31.5" x14ac:dyDescent="0.25">
      <c r="A17" s="1">
        <v>958</v>
      </c>
      <c r="B17" s="2">
        <v>45827</v>
      </c>
      <c r="C17" s="1" t="s">
        <v>0</v>
      </c>
      <c r="D17" s="1" t="s">
        <v>258</v>
      </c>
      <c r="E17" s="34">
        <v>2</v>
      </c>
      <c r="F17" s="1">
        <v>22506016</v>
      </c>
      <c r="G17" s="1" t="s">
        <v>10</v>
      </c>
      <c r="H17" s="1" t="s">
        <v>189</v>
      </c>
      <c r="I17" s="3" t="s">
        <v>353</v>
      </c>
      <c r="J17" s="3">
        <v>1569</v>
      </c>
      <c r="K17" s="5">
        <v>1547</v>
      </c>
      <c r="L17" s="5">
        <v>1545</v>
      </c>
      <c r="M17" s="5">
        <v>1546</v>
      </c>
      <c r="N17" s="59">
        <v>1547</v>
      </c>
      <c r="O17" s="30">
        <v>1546</v>
      </c>
      <c r="P17" s="36">
        <v>5.4</v>
      </c>
      <c r="Q17" s="36">
        <v>32</v>
      </c>
      <c r="R17" s="36" t="s">
        <v>5</v>
      </c>
      <c r="S17" s="36" t="s">
        <v>5</v>
      </c>
      <c r="T17" s="36" t="s">
        <v>5</v>
      </c>
      <c r="U17" s="36" t="s">
        <v>5</v>
      </c>
      <c r="V17" s="36" t="s">
        <v>5</v>
      </c>
      <c r="W17" s="11">
        <v>58</v>
      </c>
      <c r="X17" s="12">
        <v>3.3402780000000001</v>
      </c>
      <c r="Y17" s="18">
        <v>4.9000000000000004</v>
      </c>
      <c r="Z17" s="31">
        <v>7.6</v>
      </c>
      <c r="AA17" s="32">
        <v>44</v>
      </c>
      <c r="AB17" s="32">
        <v>64</v>
      </c>
      <c r="AC17" s="17" t="s">
        <v>6</v>
      </c>
      <c r="AD17" s="33" t="s">
        <v>53</v>
      </c>
      <c r="AE17" s="14" t="s">
        <v>61</v>
      </c>
    </row>
    <row r="18" spans="1:31" ht="31.5" x14ac:dyDescent="0.25">
      <c r="A18" s="1">
        <v>960</v>
      </c>
      <c r="B18" s="2">
        <v>45827</v>
      </c>
      <c r="C18" s="1" t="s">
        <v>0</v>
      </c>
      <c r="D18" s="1" t="s">
        <v>258</v>
      </c>
      <c r="E18" s="34">
        <v>2</v>
      </c>
      <c r="F18" s="1">
        <v>22506016</v>
      </c>
      <c r="G18" s="1" t="s">
        <v>10</v>
      </c>
      <c r="H18" s="1" t="s">
        <v>70</v>
      </c>
      <c r="I18" s="3" t="s">
        <v>354</v>
      </c>
      <c r="J18" s="3">
        <v>1565</v>
      </c>
      <c r="K18" s="5">
        <v>1539</v>
      </c>
      <c r="L18" s="5">
        <v>1540</v>
      </c>
      <c r="M18" s="5">
        <v>1540</v>
      </c>
      <c r="N18" s="59">
        <v>1540</v>
      </c>
      <c r="O18" s="30">
        <v>1540</v>
      </c>
      <c r="P18" s="36">
        <v>5.5</v>
      </c>
      <c r="Q18" s="36">
        <v>34</v>
      </c>
      <c r="R18" s="36" t="s">
        <v>5</v>
      </c>
      <c r="S18" s="36" t="s">
        <v>5</v>
      </c>
      <c r="T18" s="36" t="s">
        <v>5</v>
      </c>
      <c r="U18" s="36" t="s">
        <v>5</v>
      </c>
      <c r="V18" s="36" t="s">
        <v>5</v>
      </c>
      <c r="W18" s="11">
        <v>57</v>
      </c>
      <c r="X18" s="12">
        <v>3.3434775000000001</v>
      </c>
      <c r="Y18" s="18">
        <v>4.8</v>
      </c>
      <c r="Z18" s="31">
        <v>5.6</v>
      </c>
      <c r="AA18" s="32">
        <v>41</v>
      </c>
      <c r="AB18" s="32">
        <v>49</v>
      </c>
      <c r="AC18" s="17" t="s">
        <v>6</v>
      </c>
      <c r="AD18" s="39" t="s">
        <v>13</v>
      </c>
      <c r="AE18" s="14" t="s">
        <v>61</v>
      </c>
    </row>
    <row r="19" spans="1:31" ht="47.25" x14ac:dyDescent="0.25">
      <c r="A19" s="1">
        <v>965</v>
      </c>
      <c r="B19" s="2">
        <v>45827</v>
      </c>
      <c r="C19" s="1" t="s">
        <v>0</v>
      </c>
      <c r="D19" s="1" t="s">
        <v>258</v>
      </c>
      <c r="E19" s="34">
        <v>2</v>
      </c>
      <c r="F19" s="1">
        <v>22506016</v>
      </c>
      <c r="G19" s="1" t="s">
        <v>10</v>
      </c>
      <c r="H19" s="1" t="s">
        <v>182</v>
      </c>
      <c r="I19" s="1" t="s">
        <v>355</v>
      </c>
      <c r="J19" s="9">
        <v>1565</v>
      </c>
      <c r="K19" s="9">
        <v>1549</v>
      </c>
      <c r="L19" s="5">
        <v>1549</v>
      </c>
      <c r="M19" s="5">
        <v>1548</v>
      </c>
      <c r="N19" s="59">
        <v>1549</v>
      </c>
      <c r="O19" s="30">
        <v>1548.6666666666667</v>
      </c>
      <c r="P19" s="36">
        <v>5.2</v>
      </c>
      <c r="Q19" s="36">
        <v>34</v>
      </c>
      <c r="R19" s="36">
        <v>12</v>
      </c>
      <c r="S19" s="36" t="s">
        <v>5</v>
      </c>
      <c r="T19" s="36" t="s">
        <v>5</v>
      </c>
      <c r="U19" s="36" t="s">
        <v>5</v>
      </c>
      <c r="V19" s="36" t="s">
        <v>5</v>
      </c>
      <c r="W19" s="11">
        <v>57</v>
      </c>
      <c r="X19" s="12">
        <v>3.1611060000000002</v>
      </c>
      <c r="Y19" s="18">
        <v>5.3</v>
      </c>
      <c r="Z19" s="31">
        <v>6</v>
      </c>
      <c r="AA19" s="32">
        <v>40</v>
      </c>
      <c r="AB19" s="32">
        <v>48</v>
      </c>
      <c r="AC19" s="17" t="s">
        <v>6</v>
      </c>
      <c r="AD19" s="39" t="s">
        <v>13</v>
      </c>
      <c r="AE19" s="14" t="s">
        <v>356</v>
      </c>
    </row>
    <row r="20" spans="1:31" ht="31.5" x14ac:dyDescent="0.25">
      <c r="A20" s="1">
        <v>967</v>
      </c>
      <c r="B20" s="2">
        <v>45827</v>
      </c>
      <c r="C20" s="1" t="s">
        <v>0</v>
      </c>
      <c r="D20" s="1" t="s">
        <v>258</v>
      </c>
      <c r="E20" s="34">
        <v>2</v>
      </c>
      <c r="F20" s="1">
        <v>22506016</v>
      </c>
      <c r="G20" s="1" t="s">
        <v>10</v>
      </c>
      <c r="H20" s="1" t="s">
        <v>20</v>
      </c>
      <c r="I20" s="1" t="s">
        <v>357</v>
      </c>
      <c r="J20" s="9">
        <v>1571</v>
      </c>
      <c r="K20" s="5">
        <v>1554</v>
      </c>
      <c r="L20" s="5">
        <v>1555</v>
      </c>
      <c r="M20" s="5">
        <v>1553</v>
      </c>
      <c r="N20" s="59">
        <v>1552</v>
      </c>
      <c r="O20" s="30">
        <v>1553.3333333333333</v>
      </c>
      <c r="P20" s="36">
        <v>5</v>
      </c>
      <c r="Q20" s="36">
        <v>35</v>
      </c>
      <c r="R20" s="17">
        <v>36</v>
      </c>
      <c r="S20" s="36" t="s">
        <v>5</v>
      </c>
      <c r="T20" s="36" t="s">
        <v>5</v>
      </c>
      <c r="U20" s="36" t="s">
        <v>5</v>
      </c>
      <c r="V20" s="36" t="s">
        <v>5</v>
      </c>
      <c r="W20" s="11">
        <v>57</v>
      </c>
      <c r="X20" s="12">
        <v>3.0395250000000003</v>
      </c>
      <c r="Y20" s="18">
        <v>5.0999999999999996</v>
      </c>
      <c r="Z20" s="31">
        <v>6.5</v>
      </c>
      <c r="AA20" s="32">
        <v>45</v>
      </c>
      <c r="AB20" s="32">
        <v>59</v>
      </c>
      <c r="AC20" s="17" t="s">
        <v>6</v>
      </c>
      <c r="AD20" s="39" t="s">
        <v>13</v>
      </c>
      <c r="AE20" s="14" t="s">
        <v>58</v>
      </c>
    </row>
    <row r="21" spans="1:31" ht="126" x14ac:dyDescent="0.25">
      <c r="A21" s="1">
        <v>1078</v>
      </c>
      <c r="B21" s="2">
        <v>45829</v>
      </c>
      <c r="C21" s="1" t="s">
        <v>264</v>
      </c>
      <c r="D21" s="1" t="s">
        <v>19</v>
      </c>
      <c r="E21" s="1">
        <v>1</v>
      </c>
      <c r="F21" s="1">
        <v>12506030</v>
      </c>
      <c r="G21" s="1" t="s">
        <v>10</v>
      </c>
      <c r="H21" s="1" t="s">
        <v>86</v>
      </c>
      <c r="I21" s="3" t="s">
        <v>358</v>
      </c>
      <c r="J21" s="3">
        <v>1568</v>
      </c>
      <c r="K21" s="5">
        <v>1550</v>
      </c>
      <c r="L21" s="5">
        <v>1548</v>
      </c>
      <c r="M21" s="5">
        <v>1550</v>
      </c>
      <c r="N21" s="5">
        <v>1549</v>
      </c>
      <c r="O21" s="55">
        <v>1549</v>
      </c>
      <c r="P21" s="15">
        <v>4.4000000000000004</v>
      </c>
      <c r="Q21" s="9">
        <v>32</v>
      </c>
      <c r="R21" s="17" t="s">
        <v>5</v>
      </c>
      <c r="S21" s="9">
        <v>137.19999999999999</v>
      </c>
      <c r="T21" s="9">
        <v>64</v>
      </c>
      <c r="U21" s="9">
        <v>73.199999999999989</v>
      </c>
      <c r="V21" s="11" t="s">
        <v>5</v>
      </c>
      <c r="W21" s="11">
        <v>57</v>
      </c>
      <c r="X21" s="54">
        <v>2.4766500000000002</v>
      </c>
      <c r="Y21" s="18">
        <v>7.1</v>
      </c>
      <c r="Z21" s="18">
        <v>9.3000000000000007</v>
      </c>
      <c r="AA21" s="19">
        <v>70</v>
      </c>
      <c r="AB21" s="19">
        <v>90</v>
      </c>
      <c r="AC21" s="8" t="s">
        <v>6</v>
      </c>
      <c r="AD21" s="33" t="s">
        <v>72</v>
      </c>
      <c r="AE21" s="14" t="s">
        <v>359</v>
      </c>
    </row>
    <row r="22" spans="1:31" ht="78.75" x14ac:dyDescent="0.25">
      <c r="A22" s="1">
        <v>1341</v>
      </c>
      <c r="B22" s="2">
        <v>45832</v>
      </c>
      <c r="C22" s="1" t="s">
        <v>0</v>
      </c>
      <c r="D22" s="1" t="s">
        <v>9</v>
      </c>
      <c r="E22" s="1">
        <v>1</v>
      </c>
      <c r="F22" s="1">
        <v>12506032</v>
      </c>
      <c r="G22" s="1" t="s">
        <v>10</v>
      </c>
      <c r="H22" s="1" t="s">
        <v>15</v>
      </c>
      <c r="I22" s="3" t="s">
        <v>360</v>
      </c>
      <c r="J22" s="3">
        <v>1568</v>
      </c>
      <c r="K22" s="5">
        <v>1548</v>
      </c>
      <c r="L22" s="5">
        <v>1550</v>
      </c>
      <c r="M22" s="5">
        <v>1546</v>
      </c>
      <c r="N22" s="5">
        <v>1544</v>
      </c>
      <c r="O22" s="30">
        <v>1546.6666666666667</v>
      </c>
      <c r="P22" s="36">
        <v>5.2</v>
      </c>
      <c r="Q22" s="36">
        <v>39</v>
      </c>
      <c r="R22" s="17">
        <v>31</v>
      </c>
      <c r="S22" s="36">
        <v>165</v>
      </c>
      <c r="T22" s="36">
        <v>62</v>
      </c>
      <c r="U22" s="10">
        <v>103</v>
      </c>
      <c r="V22" s="11" t="s">
        <v>5</v>
      </c>
      <c r="W22" s="11">
        <v>57</v>
      </c>
      <c r="X22" s="12">
        <v>2.8801188000000004</v>
      </c>
      <c r="Y22" s="18">
        <v>10.199999999999999</v>
      </c>
      <c r="Z22" s="31">
        <v>11.1</v>
      </c>
      <c r="AA22" s="32">
        <v>82</v>
      </c>
      <c r="AB22" s="32">
        <v>90</v>
      </c>
      <c r="AC22" s="11" t="s">
        <v>6</v>
      </c>
      <c r="AD22" s="33" t="s">
        <v>53</v>
      </c>
      <c r="AE22" s="14" t="s">
        <v>361</v>
      </c>
    </row>
    <row r="23" spans="1:31" ht="110.25" x14ac:dyDescent="0.25">
      <c r="A23" s="1">
        <v>1404</v>
      </c>
      <c r="B23" s="2">
        <v>45833</v>
      </c>
      <c r="C23" s="1" t="s">
        <v>0</v>
      </c>
      <c r="D23" s="1" t="s">
        <v>9</v>
      </c>
      <c r="E23" s="1">
        <v>1</v>
      </c>
      <c r="F23" s="1">
        <v>12506033</v>
      </c>
      <c r="G23" s="1" t="s">
        <v>10</v>
      </c>
      <c r="H23" s="1" t="s">
        <v>20</v>
      </c>
      <c r="I23" s="5" t="s">
        <v>362</v>
      </c>
      <c r="J23" s="5">
        <v>1571</v>
      </c>
      <c r="K23" s="5">
        <v>1547</v>
      </c>
      <c r="L23" s="5">
        <v>1548</v>
      </c>
      <c r="M23" s="5">
        <v>1548</v>
      </c>
      <c r="N23" s="5">
        <v>1547</v>
      </c>
      <c r="O23" s="30">
        <v>1547.6666666666667</v>
      </c>
      <c r="P23" s="36">
        <v>4.5999999999999996</v>
      </c>
      <c r="Q23" s="36">
        <v>38</v>
      </c>
      <c r="R23" s="17">
        <v>20</v>
      </c>
      <c r="S23" s="36">
        <v>169</v>
      </c>
      <c r="T23" s="36">
        <v>60</v>
      </c>
      <c r="U23" s="10">
        <v>109</v>
      </c>
      <c r="V23" s="11" t="s">
        <v>5</v>
      </c>
      <c r="W23" s="11">
        <v>58</v>
      </c>
      <c r="X23" s="12">
        <v>2.6346499999999997</v>
      </c>
      <c r="Y23" s="18">
        <v>10.1</v>
      </c>
      <c r="Z23" s="18">
        <v>11.3</v>
      </c>
      <c r="AA23" s="19">
        <v>76</v>
      </c>
      <c r="AB23" s="19">
        <v>87</v>
      </c>
      <c r="AC23" s="11" t="s">
        <v>6</v>
      </c>
      <c r="AD23" s="33" t="s">
        <v>72</v>
      </c>
      <c r="AE23" s="40" t="s">
        <v>363</v>
      </c>
    </row>
    <row r="24" spans="1:31" ht="31.5" x14ac:dyDescent="0.25">
      <c r="A24" s="1">
        <v>1406</v>
      </c>
      <c r="B24" s="2">
        <v>45833</v>
      </c>
      <c r="C24" s="1" t="s">
        <v>0</v>
      </c>
      <c r="D24" s="1" t="s">
        <v>9</v>
      </c>
      <c r="E24" s="1">
        <v>1</v>
      </c>
      <c r="F24" s="1">
        <v>12506033</v>
      </c>
      <c r="G24" s="1" t="s">
        <v>10</v>
      </c>
      <c r="H24" s="1" t="s">
        <v>315</v>
      </c>
      <c r="I24" s="3" t="s">
        <v>364</v>
      </c>
      <c r="J24" s="3">
        <v>1571</v>
      </c>
      <c r="K24" s="5">
        <v>1548</v>
      </c>
      <c r="L24" s="5">
        <v>1545</v>
      </c>
      <c r="M24" s="5">
        <v>1545</v>
      </c>
      <c r="N24" s="5">
        <v>1543</v>
      </c>
      <c r="O24" s="30">
        <v>1544.3333333333333</v>
      </c>
      <c r="P24" s="36">
        <v>4.9000000000000004</v>
      </c>
      <c r="Q24" s="36">
        <v>36</v>
      </c>
      <c r="R24" s="17">
        <v>25</v>
      </c>
      <c r="S24" s="36">
        <v>164</v>
      </c>
      <c r="T24" s="36">
        <v>60</v>
      </c>
      <c r="U24" s="10">
        <v>104</v>
      </c>
      <c r="V24" s="11" t="s">
        <v>5</v>
      </c>
      <c r="W24" s="11">
        <v>58</v>
      </c>
      <c r="X24" s="12">
        <v>2.8289268000000005</v>
      </c>
      <c r="Y24" s="18">
        <v>10.3</v>
      </c>
      <c r="Z24" s="31">
        <v>12.4</v>
      </c>
      <c r="AA24" s="32">
        <v>81</v>
      </c>
      <c r="AB24" s="32">
        <v>91</v>
      </c>
      <c r="AC24" s="11" t="s">
        <v>6</v>
      </c>
      <c r="AD24" s="33" t="s">
        <v>53</v>
      </c>
      <c r="AE24" s="41" t="s">
        <v>61</v>
      </c>
    </row>
    <row r="25" spans="1:31" ht="78.75" x14ac:dyDescent="0.25">
      <c r="A25" s="1">
        <v>1501</v>
      </c>
      <c r="B25" s="2">
        <v>45835</v>
      </c>
      <c r="C25" s="1" t="s">
        <v>18</v>
      </c>
      <c r="D25" s="1" t="s">
        <v>365</v>
      </c>
      <c r="E25" s="1">
        <v>1</v>
      </c>
      <c r="F25" s="1">
        <v>12506034</v>
      </c>
      <c r="G25" s="1" t="s">
        <v>176</v>
      </c>
      <c r="H25" s="1" t="s">
        <v>152</v>
      </c>
      <c r="I25" s="3" t="s">
        <v>366</v>
      </c>
      <c r="J25" s="3">
        <v>1570</v>
      </c>
      <c r="K25" s="5">
        <v>1547</v>
      </c>
      <c r="L25" s="5">
        <v>1545</v>
      </c>
      <c r="M25" s="5">
        <v>1544</v>
      </c>
      <c r="N25" s="5">
        <v>1543</v>
      </c>
      <c r="O25" s="30">
        <v>1544</v>
      </c>
      <c r="P25" s="36">
        <v>5.2</v>
      </c>
      <c r="Q25" s="36">
        <v>35</v>
      </c>
      <c r="R25" s="17" t="s">
        <v>5</v>
      </c>
      <c r="S25" s="36">
        <v>162</v>
      </c>
      <c r="T25" s="36">
        <v>64</v>
      </c>
      <c r="U25" s="10">
        <v>98</v>
      </c>
      <c r="V25" s="17" t="s">
        <v>5</v>
      </c>
      <c r="W25" s="11">
        <v>58</v>
      </c>
      <c r="X25" s="12">
        <v>2.9782999999999999</v>
      </c>
      <c r="Y25" s="18">
        <v>5.9</v>
      </c>
      <c r="Z25" s="11">
        <v>4.9000000000000004</v>
      </c>
      <c r="AA25" s="11">
        <v>65</v>
      </c>
      <c r="AB25" s="11">
        <v>57</v>
      </c>
      <c r="AC25" s="11" t="s">
        <v>6</v>
      </c>
      <c r="AD25" s="33" t="s">
        <v>72</v>
      </c>
      <c r="AE25" s="41" t="s">
        <v>367</v>
      </c>
    </row>
    <row r="26" spans="1:31" ht="31.5" x14ac:dyDescent="0.25">
      <c r="A26" s="1">
        <v>1504</v>
      </c>
      <c r="B26" s="2">
        <v>45835</v>
      </c>
      <c r="C26" s="1" t="s">
        <v>18</v>
      </c>
      <c r="D26" s="1" t="s">
        <v>365</v>
      </c>
      <c r="E26" s="1">
        <v>1</v>
      </c>
      <c r="F26" s="1">
        <v>12506034</v>
      </c>
      <c r="G26" s="1" t="s">
        <v>368</v>
      </c>
      <c r="H26" s="1" t="s">
        <v>229</v>
      </c>
      <c r="I26" s="3" t="s">
        <v>369</v>
      </c>
      <c r="J26" s="3">
        <v>1567</v>
      </c>
      <c r="K26" s="5">
        <v>1540</v>
      </c>
      <c r="L26" s="5">
        <v>1538</v>
      </c>
      <c r="M26" s="5">
        <v>1536</v>
      </c>
      <c r="N26" s="5">
        <v>1534</v>
      </c>
      <c r="O26" s="30">
        <v>1536</v>
      </c>
      <c r="P26" s="36">
        <v>5.3</v>
      </c>
      <c r="Q26" s="36">
        <v>36</v>
      </c>
      <c r="R26" s="17" t="s">
        <v>5</v>
      </c>
      <c r="S26" s="36">
        <v>170</v>
      </c>
      <c r="T26" s="36">
        <v>63</v>
      </c>
      <c r="U26" s="10">
        <v>107</v>
      </c>
      <c r="V26" s="17" t="s">
        <v>5</v>
      </c>
      <c r="W26" s="11">
        <v>58</v>
      </c>
      <c r="X26" s="12">
        <v>3.0355749999999997</v>
      </c>
      <c r="Y26" s="18">
        <v>5.4</v>
      </c>
      <c r="Z26" s="31">
        <v>10.1</v>
      </c>
      <c r="AA26" s="32">
        <v>71</v>
      </c>
      <c r="AB26" s="32">
        <v>85</v>
      </c>
      <c r="AC26" s="11" t="s">
        <v>6</v>
      </c>
      <c r="AD26" s="33" t="s">
        <v>72</v>
      </c>
      <c r="AE26" s="14" t="s">
        <v>68</v>
      </c>
    </row>
    <row r="27" spans="1:31" ht="31.5" x14ac:dyDescent="0.25">
      <c r="A27" s="1">
        <v>1529</v>
      </c>
      <c r="B27" s="2">
        <v>45835</v>
      </c>
      <c r="C27" s="1" t="s">
        <v>264</v>
      </c>
      <c r="D27" s="1" t="s">
        <v>258</v>
      </c>
      <c r="E27" s="1">
        <v>1</v>
      </c>
      <c r="F27" s="1">
        <v>12506034</v>
      </c>
      <c r="G27" s="1" t="s">
        <v>10</v>
      </c>
      <c r="H27" s="1" t="s">
        <v>155</v>
      </c>
      <c r="I27" s="3" t="s">
        <v>370</v>
      </c>
      <c r="J27" s="3">
        <v>1563</v>
      </c>
      <c r="K27" s="5">
        <v>1540</v>
      </c>
      <c r="L27" s="5">
        <v>1540</v>
      </c>
      <c r="M27" s="5">
        <v>1542</v>
      </c>
      <c r="N27" s="5">
        <v>1542</v>
      </c>
      <c r="O27" s="30">
        <v>1541.3333333333333</v>
      </c>
      <c r="P27" s="36">
        <v>5.6</v>
      </c>
      <c r="Q27" s="36">
        <v>32</v>
      </c>
      <c r="R27" s="17" t="s">
        <v>5</v>
      </c>
      <c r="S27" s="36">
        <v>160.30000000000001</v>
      </c>
      <c r="T27" s="36">
        <v>58</v>
      </c>
      <c r="U27" s="10">
        <v>102.30000000000001</v>
      </c>
      <c r="V27" s="17" t="s">
        <v>5</v>
      </c>
      <c r="W27" s="11">
        <v>58</v>
      </c>
      <c r="X27" s="12">
        <v>3.1817408</v>
      </c>
      <c r="Y27" s="18">
        <v>11.6</v>
      </c>
      <c r="Z27" s="31">
        <v>12.1</v>
      </c>
      <c r="AA27" s="32">
        <v>93</v>
      </c>
      <c r="AB27" s="32">
        <v>97</v>
      </c>
      <c r="AC27" s="11" t="s">
        <v>6</v>
      </c>
      <c r="AD27" s="33" t="s">
        <v>53</v>
      </c>
      <c r="AE27" s="14" t="s">
        <v>242</v>
      </c>
    </row>
    <row r="28" spans="1:31" ht="31.5" x14ac:dyDescent="0.25">
      <c r="A28" s="1">
        <v>1533</v>
      </c>
      <c r="B28" s="2">
        <v>45835</v>
      </c>
      <c r="C28" s="1" t="s">
        <v>264</v>
      </c>
      <c r="D28" s="1" t="s">
        <v>258</v>
      </c>
      <c r="E28" s="1">
        <v>1</v>
      </c>
      <c r="F28" s="1">
        <v>12506034</v>
      </c>
      <c r="G28" s="1" t="s">
        <v>10</v>
      </c>
      <c r="H28" s="1" t="s">
        <v>371</v>
      </c>
      <c r="I28" s="3" t="s">
        <v>372</v>
      </c>
      <c r="J28" s="3">
        <v>1567</v>
      </c>
      <c r="K28" s="5">
        <v>1540</v>
      </c>
      <c r="L28" s="5">
        <v>1541</v>
      </c>
      <c r="M28" s="5">
        <v>1541</v>
      </c>
      <c r="N28" s="5">
        <v>1543</v>
      </c>
      <c r="O28" s="30">
        <v>1541.6666666666667</v>
      </c>
      <c r="P28" s="36">
        <v>4.8</v>
      </c>
      <c r="Q28" s="36">
        <v>9</v>
      </c>
      <c r="R28" s="17">
        <v>14</v>
      </c>
      <c r="S28" s="36">
        <v>162</v>
      </c>
      <c r="T28" s="36">
        <v>59</v>
      </c>
      <c r="U28" s="10">
        <v>103</v>
      </c>
      <c r="V28" s="17" t="s">
        <v>5</v>
      </c>
      <c r="W28" s="11">
        <v>58</v>
      </c>
      <c r="X28" s="12">
        <v>2.7272064</v>
      </c>
      <c r="Y28" s="18">
        <v>11.9</v>
      </c>
      <c r="Z28" s="31">
        <v>12.8</v>
      </c>
      <c r="AA28" s="32">
        <v>84</v>
      </c>
      <c r="AB28" s="32">
        <v>90</v>
      </c>
      <c r="AC28" s="11" t="s">
        <v>6</v>
      </c>
      <c r="AD28" s="33" t="s">
        <v>53</v>
      </c>
      <c r="AE28" s="14" t="s">
        <v>61</v>
      </c>
    </row>
    <row r="29" spans="1:31" ht="31.5" x14ac:dyDescent="0.25">
      <c r="A29" s="1">
        <v>1568</v>
      </c>
      <c r="B29" s="2">
        <v>45835</v>
      </c>
      <c r="C29" s="1" t="s">
        <v>0</v>
      </c>
      <c r="D29" s="1" t="s">
        <v>9</v>
      </c>
      <c r="E29" s="1">
        <v>1</v>
      </c>
      <c r="F29" s="1">
        <v>12506034</v>
      </c>
      <c r="G29" s="1" t="s">
        <v>10</v>
      </c>
      <c r="H29" s="1" t="s">
        <v>373</v>
      </c>
      <c r="I29" s="3" t="s">
        <v>374</v>
      </c>
      <c r="J29" s="3">
        <v>1575</v>
      </c>
      <c r="K29" s="5">
        <v>1537</v>
      </c>
      <c r="L29" s="5">
        <v>1538</v>
      </c>
      <c r="M29" s="5">
        <v>1540</v>
      </c>
      <c r="N29" s="5">
        <v>1548</v>
      </c>
      <c r="O29" s="30">
        <v>1542</v>
      </c>
      <c r="P29" s="36">
        <v>5</v>
      </c>
      <c r="Q29" s="36">
        <v>41</v>
      </c>
      <c r="R29" s="17" t="s">
        <v>5</v>
      </c>
      <c r="S29" s="36">
        <v>170</v>
      </c>
      <c r="T29" s="36">
        <v>60</v>
      </c>
      <c r="U29" s="10">
        <v>110</v>
      </c>
      <c r="V29" s="17" t="s">
        <v>5</v>
      </c>
      <c r="W29" s="11">
        <v>58</v>
      </c>
      <c r="X29" s="12">
        <v>2.8866600000000004</v>
      </c>
      <c r="Y29" s="18">
        <v>9.1999999999999993</v>
      </c>
      <c r="Z29" s="31">
        <v>10.1</v>
      </c>
      <c r="AA29" s="32">
        <v>83</v>
      </c>
      <c r="AB29" s="32">
        <v>94</v>
      </c>
      <c r="AC29" s="11" t="s">
        <v>6</v>
      </c>
      <c r="AD29" s="33" t="s">
        <v>53</v>
      </c>
      <c r="AE29" s="14" t="s">
        <v>58</v>
      </c>
    </row>
    <row r="30" spans="1:31" ht="31.5" x14ac:dyDescent="0.25">
      <c r="A30" s="1">
        <v>1571</v>
      </c>
      <c r="B30" s="2">
        <v>45835</v>
      </c>
      <c r="C30" s="1" t="s">
        <v>0</v>
      </c>
      <c r="D30" s="1" t="s">
        <v>9</v>
      </c>
      <c r="E30" s="34">
        <v>2</v>
      </c>
      <c r="F30" s="1">
        <v>22506025</v>
      </c>
      <c r="G30" s="1" t="s">
        <v>10</v>
      </c>
      <c r="H30" s="1" t="s">
        <v>146</v>
      </c>
      <c r="I30" s="1" t="s">
        <v>375</v>
      </c>
      <c r="J30" s="1">
        <v>1567</v>
      </c>
      <c r="K30" s="9">
        <v>1545</v>
      </c>
      <c r="L30" s="5">
        <v>1546</v>
      </c>
      <c r="M30" s="5">
        <v>1545</v>
      </c>
      <c r="N30" s="5">
        <v>1541</v>
      </c>
      <c r="O30" s="30">
        <v>1544</v>
      </c>
      <c r="P30" s="36">
        <v>5</v>
      </c>
      <c r="Q30" s="36">
        <v>33</v>
      </c>
      <c r="R30" s="17">
        <v>17</v>
      </c>
      <c r="S30" s="36" t="s">
        <v>5</v>
      </c>
      <c r="T30" s="36" t="s">
        <v>5</v>
      </c>
      <c r="U30" s="36" t="s">
        <v>5</v>
      </c>
      <c r="V30" s="36">
        <v>16.600000000000001</v>
      </c>
      <c r="W30" s="11">
        <v>58</v>
      </c>
      <c r="X30" s="12">
        <v>2.8866600000000004</v>
      </c>
      <c r="Y30" s="18">
        <v>6.6</v>
      </c>
      <c r="Z30" s="31">
        <v>10.199999999999999</v>
      </c>
      <c r="AA30" s="32">
        <v>62</v>
      </c>
      <c r="AB30" s="32">
        <v>78</v>
      </c>
      <c r="AC30" s="11" t="s">
        <v>6</v>
      </c>
      <c r="AD30" s="33" t="s">
        <v>53</v>
      </c>
      <c r="AE30" s="14" t="s">
        <v>68</v>
      </c>
    </row>
  </sheetData>
  <mergeCells count="26">
    <mergeCell ref="AB1:AC1"/>
    <mergeCell ref="AD1:AD2"/>
    <mergeCell ref="AE1:AE2"/>
    <mergeCell ref="AF1:AF2"/>
    <mergeCell ref="H1:H2"/>
    <mergeCell ref="I1:I2"/>
    <mergeCell ref="J1:J2"/>
    <mergeCell ref="K1:K2"/>
    <mergeCell ref="L1:P2"/>
    <mergeCell ref="V1:V2"/>
    <mergeCell ref="S1:S2"/>
    <mergeCell ref="T1:T2"/>
    <mergeCell ref="U1:U2"/>
    <mergeCell ref="W1:W2"/>
    <mergeCell ref="X1:X2"/>
    <mergeCell ref="Y1:Y2"/>
    <mergeCell ref="Z1:AA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conditionalFormatting sqref="K3:O3">
    <cfRule type="cellIs" dxfId="646" priority="21" stopIfTrue="1" operator="greaterThanOrEqual">
      <formula>1565</formula>
    </cfRule>
    <cfRule type="cellIs" dxfId="647" priority="22" stopIfTrue="1" operator="lessThanOrEqual">
      <formula>1545</formula>
    </cfRule>
  </conditionalFormatting>
  <conditionalFormatting sqref="K4:O4">
    <cfRule type="cellIs" dxfId="644" priority="19" stopIfTrue="1" operator="greaterThanOrEqual">
      <formula>1565</formula>
    </cfRule>
    <cfRule type="cellIs" dxfId="645" priority="20" stopIfTrue="1" operator="lessThanOrEqual">
      <formula>1545</formula>
    </cfRule>
  </conditionalFormatting>
  <conditionalFormatting sqref="K5:O6">
    <cfRule type="cellIs" dxfId="643" priority="17" stopIfTrue="1" operator="greaterThanOrEqual">
      <formula>1565</formula>
    </cfRule>
    <cfRule type="cellIs" dxfId="642" priority="18" stopIfTrue="1" operator="lessThanOrEqual">
      <formula>1545</formula>
    </cfRule>
  </conditionalFormatting>
  <conditionalFormatting sqref="K7:O8">
    <cfRule type="cellIs" dxfId="640" priority="15" stopIfTrue="1" operator="greaterThanOrEqual">
      <formula>1565</formula>
    </cfRule>
    <cfRule type="cellIs" dxfId="641" priority="16" stopIfTrue="1" operator="lessThanOrEqual">
      <formula>1545</formula>
    </cfRule>
  </conditionalFormatting>
  <conditionalFormatting sqref="K9:O9">
    <cfRule type="cellIs" dxfId="638" priority="13" stopIfTrue="1" operator="greaterThanOrEqual">
      <formula>1565</formula>
    </cfRule>
    <cfRule type="cellIs" dxfId="639" priority="14" stopIfTrue="1" operator="lessThanOrEqual">
      <formula>1545</formula>
    </cfRule>
  </conditionalFormatting>
  <conditionalFormatting sqref="K10:M11">
    <cfRule type="cellIs" dxfId="637" priority="11" stopIfTrue="1" operator="greaterThanOrEqual">
      <formula>1565</formula>
    </cfRule>
    <cfRule type="cellIs" dxfId="636" priority="12" stopIfTrue="1" operator="lessThanOrEqual">
      <formula>1545</formula>
    </cfRule>
  </conditionalFormatting>
  <conditionalFormatting sqref="O10:O20">
    <cfRule type="cellIs" dxfId="635" priority="9" stopIfTrue="1" operator="greaterThanOrEqual">
      <formula>1565</formula>
    </cfRule>
    <cfRule type="cellIs" dxfId="634" priority="10" stopIfTrue="1" operator="lessThanOrEqual">
      <formula>1545</formula>
    </cfRule>
  </conditionalFormatting>
  <conditionalFormatting sqref="K12:M20">
    <cfRule type="cellIs" dxfId="632" priority="7" stopIfTrue="1" operator="greaterThanOrEqual">
      <formula>1565</formula>
    </cfRule>
    <cfRule type="cellIs" dxfId="633" priority="8" stopIfTrue="1" operator="lessThanOrEqual">
      <formula>1545</formula>
    </cfRule>
  </conditionalFormatting>
  <conditionalFormatting sqref="K21:O21">
    <cfRule type="cellIs" dxfId="630" priority="5" stopIfTrue="1" operator="greaterThanOrEqual">
      <formula>1565</formula>
    </cfRule>
    <cfRule type="cellIs" dxfId="631" priority="6" stopIfTrue="1" operator="lessThanOrEqual">
      <formula>1545</formula>
    </cfRule>
  </conditionalFormatting>
  <conditionalFormatting sqref="K22:O22">
    <cfRule type="cellIs" dxfId="629" priority="3" stopIfTrue="1" operator="greaterThanOrEqual">
      <formula>1565</formula>
    </cfRule>
    <cfRule type="cellIs" dxfId="628" priority="4" stopIfTrue="1" operator="lessThanOrEqual">
      <formula>1545</formula>
    </cfRule>
  </conditionalFormatting>
  <conditionalFormatting sqref="K23:O30">
    <cfRule type="cellIs" dxfId="627" priority="1" stopIfTrue="1" operator="greaterThanOrEqual">
      <formula>1565</formula>
    </cfRule>
    <cfRule type="cellIs" dxfId="626" priority="2" stopIfTrue="1" operator="lessThanOrEqual">
      <formula>1545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721-7F3C-4CC4-A074-AF1458E7170A}">
  <dimension ref="A1:AG105"/>
  <sheetViews>
    <sheetView zoomScale="40" zoomScaleNormal="40" workbookViewId="0">
      <selection activeCell="AK16" sqref="AK16"/>
    </sheetView>
  </sheetViews>
  <sheetFormatPr defaultColWidth="9.140625" defaultRowHeight="15" x14ac:dyDescent="0.25"/>
  <cols>
    <col min="1" max="1" width="6.5703125" customWidth="1"/>
    <col min="2" max="2" width="21.5703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3" s="60" customFormat="1" ht="72.7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3" s="60" customFormat="1" ht="4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3" ht="31.5" x14ac:dyDescent="0.25">
      <c r="A3" s="1">
        <v>13</v>
      </c>
      <c r="B3" s="2">
        <v>45839</v>
      </c>
      <c r="C3" s="1" t="s">
        <v>18</v>
      </c>
      <c r="D3" s="1" t="s">
        <v>276</v>
      </c>
      <c r="E3" s="1">
        <v>2</v>
      </c>
      <c r="F3" s="1">
        <v>22506030</v>
      </c>
      <c r="G3" s="1">
        <v>1230</v>
      </c>
      <c r="H3" s="1" t="s">
        <v>10</v>
      </c>
      <c r="I3" s="1" t="s">
        <v>103</v>
      </c>
      <c r="J3" s="3" t="s">
        <v>379</v>
      </c>
      <c r="K3" s="3">
        <v>1575</v>
      </c>
      <c r="L3" s="5">
        <v>1547</v>
      </c>
      <c r="M3" s="5">
        <v>1547</v>
      </c>
      <c r="N3" s="5">
        <v>1546</v>
      </c>
      <c r="O3" s="5">
        <v>1544</v>
      </c>
      <c r="P3" s="30">
        <v>1545.6666666666667</v>
      </c>
      <c r="Q3" s="15">
        <v>5.3</v>
      </c>
      <c r="R3" s="9">
        <v>34</v>
      </c>
      <c r="S3" s="8">
        <v>18</v>
      </c>
      <c r="T3" s="9" t="s">
        <v>5</v>
      </c>
      <c r="U3" s="9" t="s">
        <v>5</v>
      </c>
      <c r="V3" s="9" t="s">
        <v>5</v>
      </c>
      <c r="W3" s="9" t="s">
        <v>5</v>
      </c>
      <c r="X3" s="11">
        <v>57</v>
      </c>
      <c r="Y3" s="12">
        <v>2.9355057000000002</v>
      </c>
      <c r="Z3" s="7">
        <v>11.5</v>
      </c>
      <c r="AA3" s="7">
        <v>12.1</v>
      </c>
      <c r="AB3" s="13">
        <v>84</v>
      </c>
      <c r="AC3" s="13">
        <v>86</v>
      </c>
      <c r="AD3" s="8" t="s">
        <v>6</v>
      </c>
      <c r="AE3" s="33" t="s">
        <v>53</v>
      </c>
      <c r="AF3" s="43" t="s">
        <v>380</v>
      </c>
      <c r="AG3" s="62"/>
    </row>
    <row r="4" spans="1:33" ht="31.5" x14ac:dyDescent="0.25">
      <c r="A4" s="1">
        <v>16</v>
      </c>
      <c r="B4" s="2">
        <v>45839</v>
      </c>
      <c r="C4" s="1" t="s">
        <v>18</v>
      </c>
      <c r="D4" s="1" t="s">
        <v>276</v>
      </c>
      <c r="E4" s="1">
        <v>2</v>
      </c>
      <c r="F4" s="1">
        <v>22506030</v>
      </c>
      <c r="G4" s="1">
        <v>1230</v>
      </c>
      <c r="H4" s="1" t="s">
        <v>10</v>
      </c>
      <c r="I4" s="1" t="s">
        <v>83</v>
      </c>
      <c r="J4" s="3" t="s">
        <v>381</v>
      </c>
      <c r="K4" s="3">
        <v>1571</v>
      </c>
      <c r="L4" s="5">
        <v>1544</v>
      </c>
      <c r="M4" s="5">
        <v>1543</v>
      </c>
      <c r="N4" s="5">
        <v>1541</v>
      </c>
      <c r="O4" s="5">
        <v>1542</v>
      </c>
      <c r="P4" s="30">
        <v>1542</v>
      </c>
      <c r="Q4" s="15">
        <v>5.2</v>
      </c>
      <c r="R4" s="9">
        <v>35</v>
      </c>
      <c r="S4" s="8">
        <v>12</v>
      </c>
      <c r="T4" s="9" t="s">
        <v>5</v>
      </c>
      <c r="U4" s="9" t="s">
        <v>5</v>
      </c>
      <c r="V4" s="9" t="s">
        <v>5</v>
      </c>
      <c r="W4" s="9" t="s">
        <v>5</v>
      </c>
      <c r="X4" s="11">
        <v>57</v>
      </c>
      <c r="Y4" s="12">
        <v>2.8801188000000004</v>
      </c>
      <c r="Z4" s="31">
        <v>11.3</v>
      </c>
      <c r="AA4" s="31">
        <v>10.9</v>
      </c>
      <c r="AB4" s="13">
        <v>82</v>
      </c>
      <c r="AC4" s="13">
        <v>77</v>
      </c>
      <c r="AD4" s="8" t="s">
        <v>6</v>
      </c>
      <c r="AE4" s="33" t="s">
        <v>53</v>
      </c>
      <c r="AF4" s="14" t="s">
        <v>382</v>
      </c>
      <c r="AG4" s="62"/>
    </row>
    <row r="5" spans="1:33" ht="47.25" x14ac:dyDescent="0.25">
      <c r="A5" s="1">
        <v>48</v>
      </c>
      <c r="B5" s="2">
        <v>45839</v>
      </c>
      <c r="C5" s="1" t="s">
        <v>0</v>
      </c>
      <c r="D5" s="1" t="s">
        <v>265</v>
      </c>
      <c r="E5" s="1">
        <v>2</v>
      </c>
      <c r="F5" s="1">
        <v>22507001</v>
      </c>
      <c r="G5" s="1">
        <v>1250</v>
      </c>
      <c r="H5" s="1" t="s">
        <v>55</v>
      </c>
      <c r="I5" s="1" t="s">
        <v>132</v>
      </c>
      <c r="J5" s="3" t="s">
        <v>383</v>
      </c>
      <c r="K5" s="3">
        <v>1570</v>
      </c>
      <c r="L5" s="5">
        <v>1554</v>
      </c>
      <c r="M5" s="5">
        <v>1555</v>
      </c>
      <c r="N5" s="5">
        <v>1556</v>
      </c>
      <c r="O5" s="5">
        <v>1557</v>
      </c>
      <c r="P5" s="30">
        <v>1556</v>
      </c>
      <c r="Q5" s="15">
        <v>5.0999999999999996</v>
      </c>
      <c r="R5" s="9">
        <v>32</v>
      </c>
      <c r="S5" s="17" t="s">
        <v>5</v>
      </c>
      <c r="T5" s="9" t="s">
        <v>5</v>
      </c>
      <c r="U5" s="9" t="s">
        <v>5</v>
      </c>
      <c r="V5" s="9" t="s">
        <v>5</v>
      </c>
      <c r="W5" s="17" t="s">
        <v>5</v>
      </c>
      <c r="X5" s="11">
        <v>57</v>
      </c>
      <c r="Y5" s="12">
        <v>2.8706624999999999</v>
      </c>
      <c r="Z5" s="18">
        <v>8.1999999999999993</v>
      </c>
      <c r="AA5" s="18">
        <v>9.4</v>
      </c>
      <c r="AB5" s="19">
        <v>72</v>
      </c>
      <c r="AC5" s="19">
        <v>76</v>
      </c>
      <c r="AD5" s="17" t="s">
        <v>6</v>
      </c>
      <c r="AE5" s="33" t="s">
        <v>53</v>
      </c>
      <c r="AF5" s="14" t="s">
        <v>384</v>
      </c>
      <c r="AG5" s="63"/>
    </row>
    <row r="6" spans="1:33" ht="63" x14ac:dyDescent="0.25">
      <c r="A6" s="1">
        <v>57</v>
      </c>
      <c r="B6" s="2">
        <v>45840</v>
      </c>
      <c r="C6" s="1" t="s">
        <v>18</v>
      </c>
      <c r="D6" s="1" t="s">
        <v>276</v>
      </c>
      <c r="E6" s="1">
        <v>1</v>
      </c>
      <c r="F6" s="1">
        <v>12507002</v>
      </c>
      <c r="G6" s="1">
        <v>1252</v>
      </c>
      <c r="H6" s="1" t="s">
        <v>55</v>
      </c>
      <c r="I6" s="1" t="s">
        <v>189</v>
      </c>
      <c r="J6" s="3" t="s">
        <v>385</v>
      </c>
      <c r="K6" s="3">
        <v>1573</v>
      </c>
      <c r="L6" s="5">
        <v>1564</v>
      </c>
      <c r="M6" s="5">
        <v>1565</v>
      </c>
      <c r="N6" s="5">
        <v>1561</v>
      </c>
      <c r="O6" s="5">
        <v>1562</v>
      </c>
      <c r="P6" s="30">
        <v>1562.6666666666667</v>
      </c>
      <c r="Q6" s="15">
        <v>4</v>
      </c>
      <c r="R6" s="9">
        <v>40</v>
      </c>
      <c r="S6" s="8" t="s">
        <v>5</v>
      </c>
      <c r="T6" s="9" t="s">
        <v>5</v>
      </c>
      <c r="U6" s="9" t="s">
        <v>5</v>
      </c>
      <c r="V6" s="9" t="s">
        <v>5</v>
      </c>
      <c r="W6" s="11" t="s">
        <v>5</v>
      </c>
      <c r="X6" s="11">
        <v>58</v>
      </c>
      <c r="Y6" s="12">
        <v>2.2946656000000001</v>
      </c>
      <c r="Z6" s="31">
        <v>8.8000000000000007</v>
      </c>
      <c r="AA6" s="31">
        <v>7.7</v>
      </c>
      <c r="AB6" s="32">
        <v>78</v>
      </c>
      <c r="AC6" s="32">
        <v>67</v>
      </c>
      <c r="AD6" s="8" t="s">
        <v>6</v>
      </c>
      <c r="AE6" s="33" t="s">
        <v>53</v>
      </c>
      <c r="AF6" s="14" t="s">
        <v>386</v>
      </c>
      <c r="AG6" s="62"/>
    </row>
    <row r="7" spans="1:33" ht="15.75" x14ac:dyDescent="0.25">
      <c r="A7" s="1">
        <v>61</v>
      </c>
      <c r="B7" s="2">
        <v>45840</v>
      </c>
      <c r="C7" s="1" t="s">
        <v>18</v>
      </c>
      <c r="D7" s="1" t="s">
        <v>276</v>
      </c>
      <c r="E7" s="1">
        <v>1</v>
      </c>
      <c r="F7" s="1">
        <v>12507002</v>
      </c>
      <c r="G7" s="1">
        <v>1252</v>
      </c>
      <c r="H7" s="1" t="s">
        <v>10</v>
      </c>
      <c r="I7" s="1" t="s">
        <v>74</v>
      </c>
      <c r="J7" s="3" t="s">
        <v>387</v>
      </c>
      <c r="K7" s="3">
        <v>1570</v>
      </c>
      <c r="L7" s="5">
        <v>1550</v>
      </c>
      <c r="M7" s="5">
        <v>1549</v>
      </c>
      <c r="N7" s="5">
        <v>1550</v>
      </c>
      <c r="O7" s="5">
        <v>1548</v>
      </c>
      <c r="P7" s="30">
        <v>1549</v>
      </c>
      <c r="Q7" s="15">
        <v>5.5</v>
      </c>
      <c r="R7" s="9">
        <v>35</v>
      </c>
      <c r="S7" s="8">
        <v>20</v>
      </c>
      <c r="T7" s="36">
        <v>165.6</v>
      </c>
      <c r="U7" s="36">
        <v>61.05</v>
      </c>
      <c r="V7" s="10">
        <v>104.55</v>
      </c>
      <c r="W7" s="11" t="s">
        <v>5</v>
      </c>
      <c r="X7" s="11">
        <v>58</v>
      </c>
      <c r="Y7" s="12">
        <v>3.1551651999999999</v>
      </c>
      <c r="Z7" s="31">
        <v>9.5</v>
      </c>
      <c r="AA7" s="31">
        <v>7.9</v>
      </c>
      <c r="AB7" s="32">
        <v>74</v>
      </c>
      <c r="AC7" s="8">
        <v>61</v>
      </c>
      <c r="AD7" s="8" t="s">
        <v>6</v>
      </c>
      <c r="AE7" s="33" t="s">
        <v>53</v>
      </c>
      <c r="AF7" s="14" t="s">
        <v>388</v>
      </c>
      <c r="AG7" s="62"/>
    </row>
    <row r="8" spans="1:33" ht="15.75" x14ac:dyDescent="0.25">
      <c r="A8" s="1">
        <v>65</v>
      </c>
      <c r="B8" s="2">
        <v>45840</v>
      </c>
      <c r="C8" s="1" t="s">
        <v>18</v>
      </c>
      <c r="D8" s="1" t="s">
        <v>276</v>
      </c>
      <c r="E8" s="1">
        <v>2</v>
      </c>
      <c r="F8" s="1">
        <v>22507001</v>
      </c>
      <c r="G8" s="1">
        <v>1252</v>
      </c>
      <c r="H8" s="1" t="s">
        <v>55</v>
      </c>
      <c r="I8" s="1" t="s">
        <v>113</v>
      </c>
      <c r="J8" s="3" t="s">
        <v>389</v>
      </c>
      <c r="K8" s="3">
        <v>1569</v>
      </c>
      <c r="L8" s="5">
        <v>1550</v>
      </c>
      <c r="M8" s="5">
        <v>1551</v>
      </c>
      <c r="N8" s="5">
        <v>1551</v>
      </c>
      <c r="O8" s="5">
        <v>1550</v>
      </c>
      <c r="P8" s="30">
        <v>1550.6666666666667</v>
      </c>
      <c r="Q8" s="15">
        <v>5</v>
      </c>
      <c r="R8" s="9">
        <v>37</v>
      </c>
      <c r="S8" s="8">
        <v>14</v>
      </c>
      <c r="T8" s="36" t="s">
        <v>5</v>
      </c>
      <c r="U8" s="36" t="s">
        <v>5</v>
      </c>
      <c r="V8" s="36" t="s">
        <v>5</v>
      </c>
      <c r="W8" s="11" t="s">
        <v>5</v>
      </c>
      <c r="X8" s="11">
        <v>57</v>
      </c>
      <c r="Y8" s="12">
        <v>2.8188780000000002</v>
      </c>
      <c r="Z8" s="7">
        <v>9.8000000000000007</v>
      </c>
      <c r="AA8" s="7">
        <v>11.2</v>
      </c>
      <c r="AB8" s="13">
        <v>83</v>
      </c>
      <c r="AC8" s="13">
        <v>95</v>
      </c>
      <c r="AD8" s="8" t="s">
        <v>6</v>
      </c>
      <c r="AE8" s="33" t="s">
        <v>53</v>
      </c>
      <c r="AF8" s="43" t="s">
        <v>14</v>
      </c>
      <c r="AG8" s="62"/>
    </row>
    <row r="9" spans="1:33" ht="47.25" x14ac:dyDescent="0.25">
      <c r="A9" s="1">
        <v>67</v>
      </c>
      <c r="B9" s="2">
        <v>45840</v>
      </c>
      <c r="C9" s="1" t="s">
        <v>18</v>
      </c>
      <c r="D9" s="1" t="s">
        <v>276</v>
      </c>
      <c r="E9" s="1">
        <v>2</v>
      </c>
      <c r="F9" s="1">
        <v>22507001</v>
      </c>
      <c r="G9" s="1">
        <v>1252</v>
      </c>
      <c r="H9" s="1" t="s">
        <v>55</v>
      </c>
      <c r="I9" s="1" t="s">
        <v>155</v>
      </c>
      <c r="J9" s="3" t="s">
        <v>390</v>
      </c>
      <c r="K9" s="3">
        <v>1567</v>
      </c>
      <c r="L9" s="5">
        <v>1552</v>
      </c>
      <c r="M9" s="5">
        <v>1552</v>
      </c>
      <c r="N9" s="5">
        <v>1551</v>
      </c>
      <c r="O9" s="5">
        <v>1552</v>
      </c>
      <c r="P9" s="30">
        <v>1551.6666666666667</v>
      </c>
      <c r="Q9" s="15">
        <v>5</v>
      </c>
      <c r="R9" s="9">
        <v>28</v>
      </c>
      <c r="S9" s="8">
        <v>17</v>
      </c>
      <c r="T9" s="36" t="s">
        <v>5</v>
      </c>
      <c r="U9" s="36" t="s">
        <v>5</v>
      </c>
      <c r="V9" s="36" t="s">
        <v>5</v>
      </c>
      <c r="W9" s="11" t="s">
        <v>5</v>
      </c>
      <c r="X9" s="11">
        <v>57</v>
      </c>
      <c r="Y9" s="12">
        <v>2.8188780000000002</v>
      </c>
      <c r="Z9" s="31">
        <v>9.1999999999999993</v>
      </c>
      <c r="AA9" s="31">
        <v>11.1</v>
      </c>
      <c r="AB9" s="13">
        <v>79</v>
      </c>
      <c r="AC9" s="13">
        <v>93</v>
      </c>
      <c r="AD9" s="8" t="s">
        <v>6</v>
      </c>
      <c r="AE9" s="33" t="s">
        <v>53</v>
      </c>
      <c r="AF9" s="14" t="s">
        <v>391</v>
      </c>
      <c r="AG9" s="62"/>
    </row>
    <row r="10" spans="1:33" ht="31.5" x14ac:dyDescent="0.25">
      <c r="A10" s="1">
        <v>186</v>
      </c>
      <c r="B10" s="2">
        <v>45842</v>
      </c>
      <c r="C10" s="1" t="s">
        <v>264</v>
      </c>
      <c r="D10" s="1" t="s">
        <v>1</v>
      </c>
      <c r="E10" s="1">
        <v>2</v>
      </c>
      <c r="F10" s="1">
        <v>22507003</v>
      </c>
      <c r="G10" s="1">
        <v>915</v>
      </c>
      <c r="H10" s="1" t="s">
        <v>10</v>
      </c>
      <c r="I10" s="1" t="s">
        <v>11</v>
      </c>
      <c r="J10" s="3" t="s">
        <v>392</v>
      </c>
      <c r="K10" s="3">
        <v>1575</v>
      </c>
      <c r="L10" s="5">
        <v>1540</v>
      </c>
      <c r="M10" s="5">
        <v>1541</v>
      </c>
      <c r="N10" s="5">
        <v>1540</v>
      </c>
      <c r="O10" s="5">
        <v>1540</v>
      </c>
      <c r="P10" s="30">
        <v>1540.3333333333333</v>
      </c>
      <c r="Q10" s="15">
        <v>4.5</v>
      </c>
      <c r="R10" s="9">
        <v>54</v>
      </c>
      <c r="S10" s="17">
        <v>18</v>
      </c>
      <c r="T10" s="9" t="s">
        <v>5</v>
      </c>
      <c r="U10" s="9" t="s">
        <v>5</v>
      </c>
      <c r="V10" s="9" t="s">
        <v>5</v>
      </c>
      <c r="W10" s="9" t="s">
        <v>5</v>
      </c>
      <c r="X10" s="11">
        <v>58</v>
      </c>
      <c r="Y10" s="12">
        <v>1.8866385000000001</v>
      </c>
      <c r="Z10" s="31">
        <v>8.8000000000000007</v>
      </c>
      <c r="AA10" s="31">
        <v>9</v>
      </c>
      <c r="AB10" s="32">
        <v>91</v>
      </c>
      <c r="AC10" s="32">
        <v>90</v>
      </c>
      <c r="AD10" s="8" t="s">
        <v>6</v>
      </c>
      <c r="AE10" s="33" t="s">
        <v>53</v>
      </c>
      <c r="AF10" s="14" t="s">
        <v>393</v>
      </c>
      <c r="AG10" s="60"/>
    </row>
    <row r="11" spans="1:33" ht="31.5" x14ac:dyDescent="0.25">
      <c r="A11" s="1">
        <v>264</v>
      </c>
      <c r="B11" s="2">
        <v>45844</v>
      </c>
      <c r="C11" s="1" t="s">
        <v>18</v>
      </c>
      <c r="D11" s="1" t="s">
        <v>258</v>
      </c>
      <c r="E11" s="1">
        <v>1</v>
      </c>
      <c r="F11" s="1">
        <v>12507007</v>
      </c>
      <c r="G11" s="1">
        <v>1010</v>
      </c>
      <c r="H11" s="1" t="s">
        <v>55</v>
      </c>
      <c r="I11" s="1" t="s">
        <v>103</v>
      </c>
      <c r="J11" s="3" t="s">
        <v>394</v>
      </c>
      <c r="K11" s="3">
        <v>1570</v>
      </c>
      <c r="L11" s="5">
        <v>1551</v>
      </c>
      <c r="M11" s="5">
        <v>1555</v>
      </c>
      <c r="N11" s="5">
        <v>1555</v>
      </c>
      <c r="O11" s="5">
        <v>1555</v>
      </c>
      <c r="P11" s="30">
        <v>1555</v>
      </c>
      <c r="Q11" s="11">
        <v>5.2</v>
      </c>
      <c r="R11" s="11">
        <v>44</v>
      </c>
      <c r="S11" s="11">
        <v>23</v>
      </c>
      <c r="T11" s="11">
        <v>164</v>
      </c>
      <c r="U11" s="11">
        <v>62</v>
      </c>
      <c r="V11" s="10">
        <v>102</v>
      </c>
      <c r="W11" s="11" t="s">
        <v>5</v>
      </c>
      <c r="X11" s="11">
        <v>58</v>
      </c>
      <c r="Y11" s="12">
        <v>2.4064664000000002</v>
      </c>
      <c r="Z11" s="11">
        <v>11.2</v>
      </c>
      <c r="AA11" s="11">
        <v>12.4</v>
      </c>
      <c r="AB11" s="11">
        <v>85</v>
      </c>
      <c r="AC11" s="11">
        <v>98</v>
      </c>
      <c r="AD11" s="11" t="s">
        <v>6</v>
      </c>
      <c r="AE11" s="33" t="s">
        <v>53</v>
      </c>
      <c r="AF11" s="41" t="s">
        <v>395</v>
      </c>
      <c r="AG11" s="60"/>
    </row>
    <row r="12" spans="1:33" ht="15.75" x14ac:dyDescent="0.25">
      <c r="A12" s="1">
        <v>344</v>
      </c>
      <c r="B12" s="2">
        <v>45845</v>
      </c>
      <c r="C12" s="1" t="s">
        <v>0</v>
      </c>
      <c r="D12" s="1" t="s">
        <v>19</v>
      </c>
      <c r="E12" s="1">
        <v>1</v>
      </c>
      <c r="F12" s="1">
        <v>12507009</v>
      </c>
      <c r="G12" s="1">
        <v>1250</v>
      </c>
      <c r="H12" s="1" t="s">
        <v>55</v>
      </c>
      <c r="I12" s="1" t="s">
        <v>371</v>
      </c>
      <c r="J12" s="3" t="s">
        <v>396</v>
      </c>
      <c r="K12" s="5">
        <v>1569</v>
      </c>
      <c r="L12" s="5">
        <v>1547</v>
      </c>
      <c r="M12" s="5">
        <v>1548</v>
      </c>
      <c r="N12" s="5">
        <v>1549</v>
      </c>
      <c r="O12" s="5">
        <v>1550</v>
      </c>
      <c r="P12" s="30">
        <v>1549</v>
      </c>
      <c r="Q12" s="18">
        <v>5.3</v>
      </c>
      <c r="R12" s="36">
        <v>36</v>
      </c>
      <c r="S12" s="17" t="s">
        <v>5</v>
      </c>
      <c r="T12" s="9">
        <v>160</v>
      </c>
      <c r="U12" s="9">
        <v>60.76</v>
      </c>
      <c r="V12" s="10">
        <v>99.240000000000009</v>
      </c>
      <c r="W12" s="11" t="s">
        <v>5</v>
      </c>
      <c r="X12" s="11">
        <v>58</v>
      </c>
      <c r="Y12" s="12">
        <v>3.0355749999999997</v>
      </c>
      <c r="Z12" s="18">
        <v>9.4</v>
      </c>
      <c r="AA12" s="18">
        <v>9.3000000000000007</v>
      </c>
      <c r="AB12" s="19">
        <v>73</v>
      </c>
      <c r="AC12" s="19">
        <v>72</v>
      </c>
      <c r="AD12" s="8" t="s">
        <v>6</v>
      </c>
      <c r="AE12" s="33" t="s">
        <v>53</v>
      </c>
      <c r="AF12" s="14" t="s">
        <v>397</v>
      </c>
      <c r="AG12" s="60"/>
    </row>
    <row r="13" spans="1:33" ht="15.75" x14ac:dyDescent="0.25">
      <c r="A13" s="1">
        <v>345</v>
      </c>
      <c r="B13" s="2">
        <v>45845</v>
      </c>
      <c r="C13" s="1" t="s">
        <v>0</v>
      </c>
      <c r="D13" s="1" t="s">
        <v>19</v>
      </c>
      <c r="E13" s="1">
        <v>1</v>
      </c>
      <c r="F13" s="1">
        <v>12507009</v>
      </c>
      <c r="G13" s="1">
        <v>1250</v>
      </c>
      <c r="H13" s="1" t="s">
        <v>55</v>
      </c>
      <c r="I13" s="1" t="s">
        <v>11</v>
      </c>
      <c r="J13" s="5" t="s">
        <v>398</v>
      </c>
      <c r="K13" s="3">
        <v>1572</v>
      </c>
      <c r="L13" s="5">
        <v>1550</v>
      </c>
      <c r="M13" s="5">
        <v>1552</v>
      </c>
      <c r="N13" s="5">
        <v>1548</v>
      </c>
      <c r="O13" s="5">
        <v>1550</v>
      </c>
      <c r="P13" s="30">
        <v>1550</v>
      </c>
      <c r="Q13" s="15">
        <v>5</v>
      </c>
      <c r="R13" s="9">
        <v>34</v>
      </c>
      <c r="S13" s="17">
        <v>24</v>
      </c>
      <c r="T13" s="9">
        <v>156.74</v>
      </c>
      <c r="U13" s="9">
        <v>58.8</v>
      </c>
      <c r="V13" s="10">
        <v>97.940000000000012</v>
      </c>
      <c r="W13" s="11" t="s">
        <v>5</v>
      </c>
      <c r="X13" s="11">
        <v>58</v>
      </c>
      <c r="Y13" s="12">
        <v>2.86375</v>
      </c>
      <c r="Z13" s="31">
        <v>8.6</v>
      </c>
      <c r="AA13" s="31">
        <v>8.9</v>
      </c>
      <c r="AB13" s="32">
        <v>72</v>
      </c>
      <c r="AC13" s="32">
        <v>71</v>
      </c>
      <c r="AD13" s="8" t="s">
        <v>6</v>
      </c>
      <c r="AE13" s="33" t="s">
        <v>53</v>
      </c>
      <c r="AF13" s="14" t="s">
        <v>397</v>
      </c>
      <c r="AG13" s="60"/>
    </row>
    <row r="14" spans="1:33" ht="31.5" x14ac:dyDescent="0.25">
      <c r="A14" s="1">
        <v>360</v>
      </c>
      <c r="B14" s="2">
        <v>45846</v>
      </c>
      <c r="C14" s="1" t="s">
        <v>18</v>
      </c>
      <c r="D14" s="1" t="s">
        <v>9</v>
      </c>
      <c r="E14" s="1">
        <v>1</v>
      </c>
      <c r="F14" s="1">
        <v>12507009</v>
      </c>
      <c r="G14" s="1">
        <v>1252</v>
      </c>
      <c r="H14" s="1" t="s">
        <v>10</v>
      </c>
      <c r="I14" s="1" t="s">
        <v>240</v>
      </c>
      <c r="J14" s="3" t="s">
        <v>399</v>
      </c>
      <c r="K14" s="3">
        <v>1590</v>
      </c>
      <c r="L14" s="5">
        <v>1553</v>
      </c>
      <c r="M14" s="5">
        <v>1554</v>
      </c>
      <c r="N14" s="5">
        <v>1553</v>
      </c>
      <c r="O14" s="5" t="s">
        <v>5</v>
      </c>
      <c r="P14" s="30">
        <v>1553.5</v>
      </c>
      <c r="Q14" s="15">
        <v>4</v>
      </c>
      <c r="R14" s="9">
        <v>36</v>
      </c>
      <c r="S14" s="8">
        <v>31</v>
      </c>
      <c r="T14" s="9">
        <v>150</v>
      </c>
      <c r="U14" s="9">
        <v>60</v>
      </c>
      <c r="V14" s="10">
        <v>90</v>
      </c>
      <c r="W14" s="11" t="s">
        <v>5</v>
      </c>
      <c r="X14" s="11">
        <v>58</v>
      </c>
      <c r="Y14" s="12">
        <v>2.2946656000000001</v>
      </c>
      <c r="Z14" s="31">
        <v>9.3000000000000007</v>
      </c>
      <c r="AA14" s="31">
        <v>9.8000000000000007</v>
      </c>
      <c r="AB14" s="32">
        <v>77</v>
      </c>
      <c r="AC14" s="32">
        <v>78</v>
      </c>
      <c r="AD14" s="8" t="s">
        <v>6</v>
      </c>
      <c r="AE14" s="33" t="s">
        <v>53</v>
      </c>
      <c r="AF14" s="14" t="s">
        <v>400</v>
      </c>
      <c r="AG14" s="60"/>
    </row>
    <row r="15" spans="1:33" ht="31.5" x14ac:dyDescent="0.25">
      <c r="A15" s="1">
        <v>475</v>
      </c>
      <c r="B15" s="2">
        <v>45847</v>
      </c>
      <c r="C15" s="1" t="s">
        <v>0</v>
      </c>
      <c r="D15" s="1" t="s">
        <v>19</v>
      </c>
      <c r="E15" s="1">
        <v>2</v>
      </c>
      <c r="F15" s="1">
        <v>22507009</v>
      </c>
      <c r="G15" s="1">
        <v>1230</v>
      </c>
      <c r="H15" s="1" t="s">
        <v>10</v>
      </c>
      <c r="I15" s="1" t="s">
        <v>269</v>
      </c>
      <c r="J15" s="1" t="s">
        <v>401</v>
      </c>
      <c r="K15" s="9">
        <v>1567</v>
      </c>
      <c r="L15" s="5">
        <v>1550</v>
      </c>
      <c r="M15" s="5">
        <v>1549</v>
      </c>
      <c r="N15" s="5">
        <v>1551</v>
      </c>
      <c r="O15" s="5">
        <v>1551</v>
      </c>
      <c r="P15" s="30">
        <v>1550.3333333333333</v>
      </c>
      <c r="Q15" s="15">
        <v>4.8</v>
      </c>
      <c r="R15" s="9">
        <v>36</v>
      </c>
      <c r="S15" s="8">
        <v>17</v>
      </c>
      <c r="T15" s="9" t="s">
        <v>5</v>
      </c>
      <c r="U15" s="9" t="s">
        <v>5</v>
      </c>
      <c r="V15" s="9" t="s">
        <v>5</v>
      </c>
      <c r="W15" s="11">
        <v>10.9</v>
      </c>
      <c r="X15" s="11">
        <v>58</v>
      </c>
      <c r="Y15" s="12">
        <v>2.7052128</v>
      </c>
      <c r="Z15" s="31">
        <v>8.3000000000000007</v>
      </c>
      <c r="AA15" s="31">
        <v>8.9</v>
      </c>
      <c r="AB15" s="32">
        <v>73</v>
      </c>
      <c r="AC15" s="32">
        <v>76</v>
      </c>
      <c r="AD15" s="17" t="s">
        <v>6</v>
      </c>
      <c r="AE15" s="33" t="s">
        <v>53</v>
      </c>
      <c r="AF15" s="14" t="s">
        <v>402</v>
      </c>
      <c r="AG15" s="60"/>
    </row>
    <row r="16" spans="1:33" ht="31.5" x14ac:dyDescent="0.25">
      <c r="A16" s="1">
        <v>478</v>
      </c>
      <c r="B16" s="2">
        <v>45847</v>
      </c>
      <c r="C16" s="1" t="s">
        <v>0</v>
      </c>
      <c r="D16" s="1" t="s">
        <v>19</v>
      </c>
      <c r="E16" s="1">
        <v>2</v>
      </c>
      <c r="F16" s="1">
        <v>22507010</v>
      </c>
      <c r="G16" s="1">
        <v>1270</v>
      </c>
      <c r="H16" s="1" t="s">
        <v>10</v>
      </c>
      <c r="I16" s="1" t="s">
        <v>86</v>
      </c>
      <c r="J16" s="1" t="s">
        <v>403</v>
      </c>
      <c r="K16" s="4">
        <v>1570</v>
      </c>
      <c r="L16" s="5">
        <v>1546</v>
      </c>
      <c r="M16" s="5">
        <v>1541</v>
      </c>
      <c r="N16" s="5">
        <v>1542</v>
      </c>
      <c r="O16" s="5">
        <v>1540</v>
      </c>
      <c r="P16" s="30">
        <v>1541</v>
      </c>
      <c r="Q16" s="7">
        <v>5.2</v>
      </c>
      <c r="R16" s="4">
        <v>34</v>
      </c>
      <c r="S16" s="8">
        <v>17</v>
      </c>
      <c r="T16" s="9" t="s">
        <v>5</v>
      </c>
      <c r="U16" s="9" t="s">
        <v>5</v>
      </c>
      <c r="V16" s="9" t="s">
        <v>5</v>
      </c>
      <c r="W16" s="17">
        <v>13</v>
      </c>
      <c r="X16" s="11">
        <v>58</v>
      </c>
      <c r="Y16" s="12">
        <v>3.0259528000000002</v>
      </c>
      <c r="Z16" s="7">
        <v>6.6</v>
      </c>
      <c r="AA16" s="7">
        <v>8.4</v>
      </c>
      <c r="AB16" s="13">
        <v>58</v>
      </c>
      <c r="AC16" s="13">
        <v>71</v>
      </c>
      <c r="AD16" s="17" t="s">
        <v>6</v>
      </c>
      <c r="AE16" s="39" t="s">
        <v>7</v>
      </c>
      <c r="AF16" s="14" t="s">
        <v>404</v>
      </c>
      <c r="AG16" s="60"/>
    </row>
    <row r="17" spans="1:33" ht="15.75" x14ac:dyDescent="0.25">
      <c r="A17" s="1">
        <v>493</v>
      </c>
      <c r="B17" s="2">
        <v>45848</v>
      </c>
      <c r="C17" s="1" t="s">
        <v>18</v>
      </c>
      <c r="D17" s="1" t="s">
        <v>9</v>
      </c>
      <c r="E17" s="1">
        <v>1</v>
      </c>
      <c r="F17" s="1">
        <v>12507011</v>
      </c>
      <c r="G17" s="1">
        <v>1270</v>
      </c>
      <c r="H17" s="1" t="s">
        <v>10</v>
      </c>
      <c r="I17" s="1" t="s">
        <v>15</v>
      </c>
      <c r="J17" s="3" t="s">
        <v>405</v>
      </c>
      <c r="K17" s="3">
        <v>1570</v>
      </c>
      <c r="L17" s="5">
        <v>1555</v>
      </c>
      <c r="M17" s="5">
        <v>1555</v>
      </c>
      <c r="N17" s="5">
        <v>1554</v>
      </c>
      <c r="O17" s="5">
        <v>1556</v>
      </c>
      <c r="P17" s="30">
        <v>1555</v>
      </c>
      <c r="Q17" s="15">
        <v>5.2</v>
      </c>
      <c r="R17" s="9">
        <v>33</v>
      </c>
      <c r="S17" s="8" t="s">
        <v>5</v>
      </c>
      <c r="T17" s="9">
        <v>160.69999999999999</v>
      </c>
      <c r="U17" s="9">
        <v>65.7</v>
      </c>
      <c r="V17" s="10">
        <v>94.999999999999986</v>
      </c>
      <c r="W17" s="11" t="s">
        <v>5</v>
      </c>
      <c r="X17" s="11">
        <v>58</v>
      </c>
      <c r="Y17" s="12">
        <v>3.0259528000000002</v>
      </c>
      <c r="Z17" s="64">
        <v>10.6</v>
      </c>
      <c r="AA17" s="64">
        <v>10.7</v>
      </c>
      <c r="AB17" s="49">
        <v>85</v>
      </c>
      <c r="AC17" s="49">
        <v>86</v>
      </c>
      <c r="AD17" s="8" t="s">
        <v>6</v>
      </c>
      <c r="AE17" s="33" t="s">
        <v>53</v>
      </c>
      <c r="AF17" s="14" t="s">
        <v>406</v>
      </c>
      <c r="AG17" s="60"/>
    </row>
    <row r="18" spans="1:33" ht="31.5" x14ac:dyDescent="0.25">
      <c r="A18" s="1">
        <v>602</v>
      </c>
      <c r="B18" s="2">
        <v>45849</v>
      </c>
      <c r="C18" s="1" t="s">
        <v>264</v>
      </c>
      <c r="D18" s="1" t="s">
        <v>19</v>
      </c>
      <c r="E18" s="1">
        <v>2</v>
      </c>
      <c r="F18" s="1">
        <v>22507012</v>
      </c>
      <c r="G18" s="1">
        <v>1260</v>
      </c>
      <c r="H18" s="1" t="s">
        <v>10</v>
      </c>
      <c r="I18" s="1" t="s">
        <v>86</v>
      </c>
      <c r="J18" s="1" t="s">
        <v>407</v>
      </c>
      <c r="K18" s="4">
        <v>1568</v>
      </c>
      <c r="L18" s="5">
        <v>1560</v>
      </c>
      <c r="M18" s="5">
        <v>1562</v>
      </c>
      <c r="N18" s="5">
        <v>1560</v>
      </c>
      <c r="O18" s="5">
        <v>1561</v>
      </c>
      <c r="P18" s="30">
        <v>1561</v>
      </c>
      <c r="Q18" s="7">
        <v>4.9000000000000004</v>
      </c>
      <c r="R18" s="4">
        <v>39</v>
      </c>
      <c r="S18" s="8">
        <v>21</v>
      </c>
      <c r="T18" s="9" t="s">
        <v>5</v>
      </c>
      <c r="U18" s="9" t="s">
        <v>5</v>
      </c>
      <c r="V18" s="10" t="s">
        <v>5</v>
      </c>
      <c r="W18" s="37" t="s">
        <v>5</v>
      </c>
      <c r="X18" s="11">
        <v>57</v>
      </c>
      <c r="Y18" s="12">
        <v>2.7801522000000003</v>
      </c>
      <c r="Z18" s="7">
        <v>9.4</v>
      </c>
      <c r="AA18" s="7">
        <v>10.1</v>
      </c>
      <c r="AB18" s="13">
        <v>84</v>
      </c>
      <c r="AC18" s="13">
        <v>88</v>
      </c>
      <c r="AD18" s="17" t="s">
        <v>6</v>
      </c>
      <c r="AE18" s="39" t="s">
        <v>53</v>
      </c>
      <c r="AF18" s="14" t="s">
        <v>408</v>
      </c>
      <c r="AG18" s="60"/>
    </row>
    <row r="19" spans="1:33" ht="15.75" x14ac:dyDescent="0.25">
      <c r="A19" s="1">
        <v>634</v>
      </c>
      <c r="B19" s="2">
        <v>45850</v>
      </c>
      <c r="C19" s="1" t="s">
        <v>264</v>
      </c>
      <c r="D19" s="1" t="s">
        <v>19</v>
      </c>
      <c r="E19" s="1">
        <v>1</v>
      </c>
      <c r="F19" s="1">
        <v>12507013</v>
      </c>
      <c r="G19" s="1">
        <v>1230</v>
      </c>
      <c r="H19" s="1" t="s">
        <v>10</v>
      </c>
      <c r="I19" s="1" t="s">
        <v>229</v>
      </c>
      <c r="J19" s="3" t="s">
        <v>409</v>
      </c>
      <c r="K19" s="3">
        <v>1565</v>
      </c>
      <c r="L19" s="5">
        <v>1543</v>
      </c>
      <c r="M19" s="5">
        <v>1543</v>
      </c>
      <c r="N19" s="5">
        <v>1544</v>
      </c>
      <c r="O19" s="5">
        <v>1544</v>
      </c>
      <c r="P19" s="30">
        <v>1543.6666666666667</v>
      </c>
      <c r="Q19" s="15">
        <v>5.5</v>
      </c>
      <c r="R19" s="9">
        <v>31</v>
      </c>
      <c r="S19" s="8">
        <v>26</v>
      </c>
      <c r="T19" s="9">
        <v>160.6</v>
      </c>
      <c r="U19" s="9">
        <v>59.5</v>
      </c>
      <c r="V19" s="10">
        <v>101.1</v>
      </c>
      <c r="W19" s="11" t="s">
        <v>5</v>
      </c>
      <c r="X19" s="11">
        <v>58</v>
      </c>
      <c r="Y19" s="12">
        <v>3.099723</v>
      </c>
      <c r="Z19" s="31">
        <v>10.1</v>
      </c>
      <c r="AA19" s="31">
        <v>11</v>
      </c>
      <c r="AB19" s="32">
        <v>81</v>
      </c>
      <c r="AC19" s="32">
        <v>86</v>
      </c>
      <c r="AD19" s="8" t="s">
        <v>6</v>
      </c>
      <c r="AE19" s="33" t="s">
        <v>53</v>
      </c>
      <c r="AF19" s="14" t="s">
        <v>410</v>
      </c>
      <c r="AG19" s="60"/>
    </row>
    <row r="20" spans="1:33" ht="47.25" x14ac:dyDescent="0.25">
      <c r="A20" s="1">
        <v>634</v>
      </c>
      <c r="B20" s="2">
        <v>45850</v>
      </c>
      <c r="C20" s="1" t="s">
        <v>264</v>
      </c>
      <c r="D20" s="1" t="s">
        <v>19</v>
      </c>
      <c r="E20" s="1">
        <v>1</v>
      </c>
      <c r="F20" s="1">
        <v>12507013</v>
      </c>
      <c r="G20" s="1">
        <v>1230</v>
      </c>
      <c r="H20" s="1" t="s">
        <v>10</v>
      </c>
      <c r="I20" s="1" t="s">
        <v>20</v>
      </c>
      <c r="J20" s="3" t="s">
        <v>411</v>
      </c>
      <c r="K20" s="3">
        <v>1567</v>
      </c>
      <c r="L20" s="5">
        <v>1546</v>
      </c>
      <c r="M20" s="5" t="s">
        <v>5</v>
      </c>
      <c r="N20" s="5" t="s">
        <v>5</v>
      </c>
      <c r="O20" s="5" t="s">
        <v>5</v>
      </c>
      <c r="P20" s="5" t="s">
        <v>5</v>
      </c>
      <c r="Q20" s="15" t="s">
        <v>5</v>
      </c>
      <c r="R20" s="9">
        <v>14</v>
      </c>
      <c r="S20" s="8">
        <v>23</v>
      </c>
      <c r="T20" s="9">
        <v>158.30000000000001</v>
      </c>
      <c r="U20" s="9">
        <v>60</v>
      </c>
      <c r="V20" s="10">
        <v>98.300000000000011</v>
      </c>
      <c r="W20" s="11" t="s">
        <v>5</v>
      </c>
      <c r="X20" s="11">
        <v>58</v>
      </c>
      <c r="Y20" s="12" t="s">
        <v>5</v>
      </c>
      <c r="Z20" s="31">
        <v>8.4</v>
      </c>
      <c r="AA20" s="31">
        <v>9.1999999999999993</v>
      </c>
      <c r="AB20" s="32">
        <v>77</v>
      </c>
      <c r="AC20" s="32">
        <v>83</v>
      </c>
      <c r="AD20" s="8" t="s">
        <v>412</v>
      </c>
      <c r="AE20" s="33" t="s">
        <v>53</v>
      </c>
      <c r="AF20" s="14" t="s">
        <v>413</v>
      </c>
      <c r="AG20" s="60"/>
    </row>
    <row r="21" spans="1:33" ht="47.25" x14ac:dyDescent="0.25">
      <c r="A21" s="1">
        <v>634</v>
      </c>
      <c r="B21" s="2">
        <v>45850</v>
      </c>
      <c r="C21" s="1" t="s">
        <v>0</v>
      </c>
      <c r="D21" s="1" t="s">
        <v>258</v>
      </c>
      <c r="E21" s="1">
        <v>1</v>
      </c>
      <c r="F21" s="1">
        <v>12507015</v>
      </c>
      <c r="G21" s="1">
        <v>1230</v>
      </c>
      <c r="H21" s="1" t="s">
        <v>10</v>
      </c>
      <c r="I21" s="1" t="s">
        <v>70</v>
      </c>
      <c r="J21" s="3" t="s">
        <v>414</v>
      </c>
      <c r="K21" s="3">
        <v>1566</v>
      </c>
      <c r="L21" s="5">
        <v>1548</v>
      </c>
      <c r="M21" s="5">
        <v>1546</v>
      </c>
      <c r="N21" s="5">
        <v>1547</v>
      </c>
      <c r="O21" s="5">
        <v>1546</v>
      </c>
      <c r="P21" s="30">
        <v>1546.3333333333333</v>
      </c>
      <c r="Q21" s="15">
        <v>5</v>
      </c>
      <c r="R21" s="9">
        <v>40</v>
      </c>
      <c r="S21" s="17">
        <v>21</v>
      </c>
      <c r="T21" s="9">
        <v>170</v>
      </c>
      <c r="U21" s="9">
        <v>62.2</v>
      </c>
      <c r="V21" s="10">
        <v>107.8</v>
      </c>
      <c r="W21" s="9" t="s">
        <v>5</v>
      </c>
      <c r="X21" s="11">
        <v>58</v>
      </c>
      <c r="Y21" s="12">
        <v>2.81793</v>
      </c>
      <c r="Z21" s="18">
        <v>10.3</v>
      </c>
      <c r="AA21" s="18">
        <v>10.3</v>
      </c>
      <c r="AB21" s="19">
        <v>74</v>
      </c>
      <c r="AC21" s="19">
        <v>67</v>
      </c>
      <c r="AD21" s="8" t="s">
        <v>6</v>
      </c>
      <c r="AE21" s="33" t="s">
        <v>7</v>
      </c>
      <c r="AF21" s="40" t="s">
        <v>415</v>
      </c>
      <c r="AG21" s="60"/>
    </row>
    <row r="22" spans="1:33" ht="15.75" x14ac:dyDescent="0.25">
      <c r="A22" s="1">
        <v>32</v>
      </c>
      <c r="B22" s="2">
        <v>45851</v>
      </c>
      <c r="C22" s="1" t="s">
        <v>264</v>
      </c>
      <c r="D22" s="1" t="s">
        <v>19</v>
      </c>
      <c r="E22" s="1">
        <v>1</v>
      </c>
      <c r="F22" s="1">
        <v>12507015</v>
      </c>
      <c r="G22" s="1">
        <v>1230</v>
      </c>
      <c r="H22" s="1" t="s">
        <v>10</v>
      </c>
      <c r="I22" s="1" t="s">
        <v>416</v>
      </c>
      <c r="J22" s="5" t="s">
        <v>417</v>
      </c>
      <c r="K22" s="5">
        <v>1567</v>
      </c>
      <c r="L22" s="5">
        <v>1552</v>
      </c>
      <c r="M22" s="5">
        <v>1551</v>
      </c>
      <c r="N22" s="5">
        <v>1552</v>
      </c>
      <c r="O22" s="5" t="s">
        <v>5</v>
      </c>
      <c r="P22" s="30">
        <v>1551.5</v>
      </c>
      <c r="Q22" s="18">
        <v>5</v>
      </c>
      <c r="R22" s="36">
        <v>37</v>
      </c>
      <c r="S22" s="17">
        <v>23</v>
      </c>
      <c r="T22" s="36">
        <v>162.4</v>
      </c>
      <c r="U22" s="36">
        <v>57.3</v>
      </c>
      <c r="V22" s="10">
        <v>105.10000000000001</v>
      </c>
      <c r="W22" s="11" t="s">
        <v>5</v>
      </c>
      <c r="X22" s="11">
        <v>58</v>
      </c>
      <c r="Y22" s="12">
        <v>2.81793</v>
      </c>
      <c r="Z22" s="18">
        <v>8.6999999999999993</v>
      </c>
      <c r="AA22" s="18">
        <v>8.4</v>
      </c>
      <c r="AB22" s="19">
        <v>80</v>
      </c>
      <c r="AC22" s="19">
        <v>84</v>
      </c>
      <c r="AD22" s="8" t="s">
        <v>6</v>
      </c>
      <c r="AE22" s="33" t="s">
        <v>53</v>
      </c>
      <c r="AF22" s="14" t="s">
        <v>418</v>
      </c>
      <c r="AG22" s="60"/>
    </row>
    <row r="23" spans="1:33" ht="31.5" x14ac:dyDescent="0.25">
      <c r="A23" s="1">
        <v>34</v>
      </c>
      <c r="B23" s="2">
        <v>45851</v>
      </c>
      <c r="C23" s="1" t="s">
        <v>264</v>
      </c>
      <c r="D23" s="1" t="s">
        <v>19</v>
      </c>
      <c r="E23" s="1">
        <v>1</v>
      </c>
      <c r="F23" s="1">
        <v>12507015</v>
      </c>
      <c r="G23" s="1">
        <v>1230</v>
      </c>
      <c r="H23" s="1" t="s">
        <v>10</v>
      </c>
      <c r="I23" s="1" t="s">
        <v>419</v>
      </c>
      <c r="J23" s="3" t="s">
        <v>420</v>
      </c>
      <c r="K23" s="3">
        <v>1570</v>
      </c>
      <c r="L23" s="5">
        <v>1548</v>
      </c>
      <c r="M23" s="5">
        <v>1548</v>
      </c>
      <c r="N23" s="5">
        <v>1546</v>
      </c>
      <c r="O23" s="5">
        <v>1545</v>
      </c>
      <c r="P23" s="30">
        <v>1546.3333333333333</v>
      </c>
      <c r="Q23" s="15">
        <v>4.8</v>
      </c>
      <c r="R23" s="9">
        <v>40</v>
      </c>
      <c r="S23" s="17">
        <v>36</v>
      </c>
      <c r="T23" s="36">
        <v>160.19999999999999</v>
      </c>
      <c r="U23" s="36">
        <v>59</v>
      </c>
      <c r="V23" s="10">
        <v>101.19999999999999</v>
      </c>
      <c r="W23" s="11" t="s">
        <v>5</v>
      </c>
      <c r="X23" s="11">
        <v>58</v>
      </c>
      <c r="Y23" s="12">
        <v>2.7052128</v>
      </c>
      <c r="Z23" s="31">
        <v>10.3</v>
      </c>
      <c r="AA23" s="31">
        <v>10</v>
      </c>
      <c r="AB23" s="32">
        <v>75</v>
      </c>
      <c r="AC23" s="32">
        <v>81</v>
      </c>
      <c r="AD23" s="8" t="s">
        <v>6</v>
      </c>
      <c r="AE23" s="33" t="s">
        <v>7</v>
      </c>
      <c r="AF23" s="14" t="s">
        <v>421</v>
      </c>
      <c r="AG23" s="60"/>
    </row>
    <row r="24" spans="1:33" ht="31.5" x14ac:dyDescent="0.25">
      <c r="A24" s="1">
        <v>52</v>
      </c>
      <c r="B24" s="2">
        <v>45851</v>
      </c>
      <c r="C24" s="1" t="s">
        <v>0</v>
      </c>
      <c r="D24" s="1" t="s">
        <v>9</v>
      </c>
      <c r="E24" s="1">
        <v>1</v>
      </c>
      <c r="F24" s="1">
        <v>12507016</v>
      </c>
      <c r="G24" s="1">
        <v>1230</v>
      </c>
      <c r="H24" s="1" t="s">
        <v>10</v>
      </c>
      <c r="I24" s="1" t="s">
        <v>77</v>
      </c>
      <c r="J24" s="3" t="s">
        <v>422</v>
      </c>
      <c r="K24" s="3">
        <v>1565</v>
      </c>
      <c r="L24" s="5">
        <v>1548</v>
      </c>
      <c r="M24" s="5">
        <v>1548</v>
      </c>
      <c r="N24" s="5">
        <v>1548</v>
      </c>
      <c r="O24" s="5">
        <v>1547</v>
      </c>
      <c r="P24" s="30">
        <v>1547.6666666666667</v>
      </c>
      <c r="Q24" s="15">
        <v>5</v>
      </c>
      <c r="R24" s="9">
        <v>37</v>
      </c>
      <c r="S24" s="17" t="s">
        <v>5</v>
      </c>
      <c r="T24" s="9">
        <v>162</v>
      </c>
      <c r="U24" s="9">
        <v>60</v>
      </c>
      <c r="V24" s="10">
        <v>102</v>
      </c>
      <c r="W24" s="17" t="s">
        <v>5</v>
      </c>
      <c r="X24" s="11">
        <v>57</v>
      </c>
      <c r="Y24" s="12">
        <v>2.7693450000000004</v>
      </c>
      <c r="Z24" s="31">
        <v>9.6999999999999993</v>
      </c>
      <c r="AA24" s="31">
        <v>10.5</v>
      </c>
      <c r="AB24" s="32">
        <v>75</v>
      </c>
      <c r="AC24" s="32">
        <v>82</v>
      </c>
      <c r="AD24" s="8" t="s">
        <v>6</v>
      </c>
      <c r="AE24" s="33" t="s">
        <v>53</v>
      </c>
      <c r="AF24" s="14" t="s">
        <v>423</v>
      </c>
      <c r="AG24" s="60"/>
    </row>
    <row r="25" spans="1:33" ht="31.5" x14ac:dyDescent="0.25">
      <c r="A25" s="1">
        <v>5</v>
      </c>
      <c r="B25" s="2">
        <v>45852</v>
      </c>
      <c r="C25" s="1" t="s">
        <v>18</v>
      </c>
      <c r="D25" s="1" t="s">
        <v>265</v>
      </c>
      <c r="E25" s="1">
        <v>1</v>
      </c>
      <c r="F25" s="1">
        <v>12507016</v>
      </c>
      <c r="G25" s="1">
        <v>1255</v>
      </c>
      <c r="H25" s="1" t="s">
        <v>10</v>
      </c>
      <c r="I25" s="1" t="s">
        <v>182</v>
      </c>
      <c r="J25" s="3" t="s">
        <v>424</v>
      </c>
      <c r="K25" s="3">
        <v>1571</v>
      </c>
      <c r="L25" s="5">
        <v>1549</v>
      </c>
      <c r="M25" s="5">
        <v>1550</v>
      </c>
      <c r="N25" s="5">
        <v>1549</v>
      </c>
      <c r="O25" s="5">
        <v>1548</v>
      </c>
      <c r="P25" s="30">
        <v>1549</v>
      </c>
      <c r="Q25" s="15">
        <v>5.0999999999999996</v>
      </c>
      <c r="R25" s="9">
        <v>37</v>
      </c>
      <c r="S25" s="11" t="s">
        <v>5</v>
      </c>
      <c r="T25" s="9">
        <v>162</v>
      </c>
      <c r="U25" s="9">
        <v>61</v>
      </c>
      <c r="V25" s="10">
        <v>101</v>
      </c>
      <c r="W25" s="11">
        <v>21</v>
      </c>
      <c r="X25" s="11">
        <v>58</v>
      </c>
      <c r="Y25" s="12">
        <v>2.9327090999999998</v>
      </c>
      <c r="Z25" s="31">
        <v>9.9</v>
      </c>
      <c r="AA25" s="31">
        <v>11.5</v>
      </c>
      <c r="AB25" s="32">
        <v>72</v>
      </c>
      <c r="AC25" s="32">
        <v>76</v>
      </c>
      <c r="AD25" s="8" t="s">
        <v>6</v>
      </c>
      <c r="AE25" s="33" t="s">
        <v>53</v>
      </c>
      <c r="AF25" s="14" t="s">
        <v>425</v>
      </c>
      <c r="AG25" s="60"/>
    </row>
    <row r="26" spans="1:33" ht="15.75" x14ac:dyDescent="0.25">
      <c r="A26" s="1">
        <v>14</v>
      </c>
      <c r="B26" s="2">
        <v>45852</v>
      </c>
      <c r="C26" s="1" t="s">
        <v>18</v>
      </c>
      <c r="D26" s="1" t="s">
        <v>265</v>
      </c>
      <c r="E26" s="1">
        <v>1</v>
      </c>
      <c r="F26" s="1">
        <v>12507016</v>
      </c>
      <c r="G26" s="1">
        <v>1255</v>
      </c>
      <c r="H26" s="1" t="s">
        <v>10</v>
      </c>
      <c r="I26" s="1" t="s">
        <v>83</v>
      </c>
      <c r="J26" s="3" t="s">
        <v>426</v>
      </c>
      <c r="K26" s="3">
        <v>1575</v>
      </c>
      <c r="L26" s="5">
        <v>1550</v>
      </c>
      <c r="M26" s="5">
        <v>1548</v>
      </c>
      <c r="N26" s="5">
        <v>1546</v>
      </c>
      <c r="O26" s="5">
        <v>1545</v>
      </c>
      <c r="P26" s="30">
        <v>1546.3333333333333</v>
      </c>
      <c r="Q26" s="15">
        <v>5.2</v>
      </c>
      <c r="R26" s="9">
        <v>37</v>
      </c>
      <c r="S26" s="8" t="s">
        <v>5</v>
      </c>
      <c r="T26" s="9">
        <v>160</v>
      </c>
      <c r="U26" s="9">
        <v>58</v>
      </c>
      <c r="V26" s="10">
        <v>102</v>
      </c>
      <c r="W26" s="11" t="s">
        <v>5</v>
      </c>
      <c r="X26" s="11">
        <v>58</v>
      </c>
      <c r="Y26" s="12">
        <v>2.9902132000000003</v>
      </c>
      <c r="Z26" s="7">
        <v>10</v>
      </c>
      <c r="AA26" s="7">
        <v>10.7</v>
      </c>
      <c r="AB26" s="13">
        <v>78</v>
      </c>
      <c r="AC26" s="13">
        <v>83</v>
      </c>
      <c r="AD26" s="8" t="s">
        <v>6</v>
      </c>
      <c r="AE26" s="33" t="s">
        <v>53</v>
      </c>
      <c r="AF26" s="14" t="s">
        <v>397</v>
      </c>
      <c r="AG26" s="60"/>
    </row>
    <row r="27" spans="1:33" ht="31.5" x14ac:dyDescent="0.25">
      <c r="A27" s="1">
        <v>24</v>
      </c>
      <c r="B27" s="2">
        <v>45852</v>
      </c>
      <c r="C27" s="1" t="s">
        <v>264</v>
      </c>
      <c r="D27" s="1" t="s">
        <v>19</v>
      </c>
      <c r="E27" s="1">
        <v>1</v>
      </c>
      <c r="F27" s="1">
        <v>12507016</v>
      </c>
      <c r="G27" s="1">
        <v>1240</v>
      </c>
      <c r="H27" s="1" t="s">
        <v>10</v>
      </c>
      <c r="I27" s="1" t="s">
        <v>126</v>
      </c>
      <c r="J27" s="3" t="s">
        <v>427</v>
      </c>
      <c r="K27" s="3">
        <v>1570</v>
      </c>
      <c r="L27" s="5">
        <v>1549</v>
      </c>
      <c r="M27" s="5">
        <v>1547</v>
      </c>
      <c r="N27" s="5">
        <v>1548</v>
      </c>
      <c r="O27" s="5" t="s">
        <v>5</v>
      </c>
      <c r="P27" s="30">
        <v>1547.5</v>
      </c>
      <c r="Q27" s="15">
        <v>4.5</v>
      </c>
      <c r="R27" s="9">
        <v>36</v>
      </c>
      <c r="S27" s="8">
        <v>34</v>
      </c>
      <c r="T27" s="9">
        <v>162.1</v>
      </c>
      <c r="U27" s="9">
        <v>62</v>
      </c>
      <c r="V27" s="10">
        <v>100.1</v>
      </c>
      <c r="W27" s="11" t="s">
        <v>5</v>
      </c>
      <c r="X27" s="11">
        <v>58</v>
      </c>
      <c r="Y27" s="12">
        <v>2.556756</v>
      </c>
      <c r="Z27" s="31">
        <v>9.1</v>
      </c>
      <c r="AA27" s="31">
        <v>9.9</v>
      </c>
      <c r="AB27" s="32">
        <v>71</v>
      </c>
      <c r="AC27" s="32">
        <v>81</v>
      </c>
      <c r="AD27" s="8" t="s">
        <v>6</v>
      </c>
      <c r="AE27" s="33" t="s">
        <v>7</v>
      </c>
      <c r="AF27" s="14" t="s">
        <v>428</v>
      </c>
      <c r="AG27" s="60"/>
    </row>
    <row r="28" spans="1:33" ht="31.5" x14ac:dyDescent="0.25">
      <c r="A28" s="1">
        <v>26</v>
      </c>
      <c r="B28" s="2">
        <v>45852</v>
      </c>
      <c r="C28" s="1" t="s">
        <v>264</v>
      </c>
      <c r="D28" s="1" t="s">
        <v>19</v>
      </c>
      <c r="E28" s="1">
        <v>1</v>
      </c>
      <c r="F28" s="1">
        <v>12507016</v>
      </c>
      <c r="G28" s="1">
        <v>1240</v>
      </c>
      <c r="H28" s="1" t="s">
        <v>10</v>
      </c>
      <c r="I28" s="1" t="s">
        <v>371</v>
      </c>
      <c r="J28" s="3" t="s">
        <v>429</v>
      </c>
      <c r="K28" s="3">
        <v>1571</v>
      </c>
      <c r="L28" s="5">
        <v>1560</v>
      </c>
      <c r="M28" s="5">
        <v>1559</v>
      </c>
      <c r="N28" s="5">
        <v>1557</v>
      </c>
      <c r="O28" s="5">
        <v>1556</v>
      </c>
      <c r="P28" s="30">
        <v>1557.3333333333333</v>
      </c>
      <c r="Q28" s="15">
        <v>5</v>
      </c>
      <c r="R28" s="9">
        <v>35</v>
      </c>
      <c r="S28" s="8" t="s">
        <v>5</v>
      </c>
      <c r="T28" s="9">
        <v>165.7</v>
      </c>
      <c r="U28" s="9">
        <v>58.6</v>
      </c>
      <c r="V28" s="10">
        <v>107.1</v>
      </c>
      <c r="W28" s="11" t="s">
        <v>5</v>
      </c>
      <c r="X28" s="11">
        <v>58</v>
      </c>
      <c r="Y28" s="12">
        <v>2.84084</v>
      </c>
      <c r="Z28" s="31">
        <v>8.3000000000000007</v>
      </c>
      <c r="AA28" s="31">
        <v>9.9</v>
      </c>
      <c r="AB28" s="32">
        <v>70</v>
      </c>
      <c r="AC28" s="32">
        <v>79</v>
      </c>
      <c r="AD28" s="8" t="s">
        <v>6</v>
      </c>
      <c r="AE28" s="33" t="s">
        <v>53</v>
      </c>
      <c r="AF28" s="14" t="s">
        <v>430</v>
      </c>
      <c r="AG28" s="60"/>
    </row>
    <row r="29" spans="1:33" ht="31.5" x14ac:dyDescent="0.25">
      <c r="A29" s="1">
        <v>28</v>
      </c>
      <c r="B29" s="2">
        <v>45852</v>
      </c>
      <c r="C29" s="1" t="s">
        <v>264</v>
      </c>
      <c r="D29" s="1" t="s">
        <v>19</v>
      </c>
      <c r="E29" s="1">
        <v>1</v>
      </c>
      <c r="F29" s="1">
        <v>12507016</v>
      </c>
      <c r="G29" s="1">
        <v>1240</v>
      </c>
      <c r="H29" s="1" t="s">
        <v>10</v>
      </c>
      <c r="I29" s="1" t="s">
        <v>164</v>
      </c>
      <c r="J29" s="5" t="s">
        <v>431</v>
      </c>
      <c r="K29" s="3">
        <v>1572</v>
      </c>
      <c r="L29" s="5">
        <v>1554</v>
      </c>
      <c r="M29" s="5">
        <v>1555</v>
      </c>
      <c r="N29" s="5">
        <v>1549</v>
      </c>
      <c r="O29" s="5">
        <v>1547</v>
      </c>
      <c r="P29" s="30">
        <v>1550.3333333333333</v>
      </c>
      <c r="Q29" s="18">
        <v>5</v>
      </c>
      <c r="R29" s="36">
        <v>34</v>
      </c>
      <c r="S29" s="17">
        <v>35</v>
      </c>
      <c r="T29" s="36">
        <v>158.6</v>
      </c>
      <c r="U29" s="36">
        <v>59.8</v>
      </c>
      <c r="V29" s="10">
        <v>98.8</v>
      </c>
      <c r="W29" s="11" t="s">
        <v>5</v>
      </c>
      <c r="X29" s="11">
        <v>58</v>
      </c>
      <c r="Y29" s="12">
        <v>2.84084</v>
      </c>
      <c r="Z29" s="18">
        <v>9.5</v>
      </c>
      <c r="AA29" s="18">
        <v>11.1</v>
      </c>
      <c r="AB29" s="19">
        <v>78</v>
      </c>
      <c r="AC29" s="19">
        <v>71</v>
      </c>
      <c r="AD29" s="8" t="s">
        <v>6</v>
      </c>
      <c r="AE29" s="33" t="s">
        <v>53</v>
      </c>
      <c r="AF29" s="43" t="s">
        <v>432</v>
      </c>
      <c r="AG29" s="60"/>
    </row>
    <row r="30" spans="1:33" ht="31.5" x14ac:dyDescent="0.25">
      <c r="A30" s="1">
        <v>33</v>
      </c>
      <c r="B30" s="2">
        <v>45852</v>
      </c>
      <c r="C30" s="1" t="s">
        <v>264</v>
      </c>
      <c r="D30" s="1" t="s">
        <v>19</v>
      </c>
      <c r="E30" s="1">
        <v>1</v>
      </c>
      <c r="F30" s="1">
        <v>12507016</v>
      </c>
      <c r="G30" s="1">
        <v>1240</v>
      </c>
      <c r="H30" s="1" t="s">
        <v>10</v>
      </c>
      <c r="I30" s="1" t="s">
        <v>277</v>
      </c>
      <c r="J30" s="5" t="s">
        <v>433</v>
      </c>
      <c r="K30" s="5">
        <v>1570</v>
      </c>
      <c r="L30" s="5">
        <v>1548</v>
      </c>
      <c r="M30" s="5">
        <v>1547</v>
      </c>
      <c r="N30" s="5">
        <v>1545</v>
      </c>
      <c r="O30" s="5">
        <v>1545</v>
      </c>
      <c r="P30" s="30">
        <v>1545.6666666666667</v>
      </c>
      <c r="Q30" s="5">
        <v>5</v>
      </c>
      <c r="R30" s="36">
        <v>36</v>
      </c>
      <c r="S30" s="17" t="s">
        <v>5</v>
      </c>
      <c r="T30" s="36">
        <v>165.8</v>
      </c>
      <c r="U30" s="36">
        <v>61.4</v>
      </c>
      <c r="V30" s="10">
        <v>104.4</v>
      </c>
      <c r="W30" s="11" t="s">
        <v>5</v>
      </c>
      <c r="X30" s="11">
        <v>58</v>
      </c>
      <c r="Y30" s="12">
        <v>2.84084</v>
      </c>
      <c r="Z30" s="18">
        <v>8.8000000000000007</v>
      </c>
      <c r="AA30" s="18">
        <v>8.1999999999999993</v>
      </c>
      <c r="AB30" s="18">
        <v>70</v>
      </c>
      <c r="AC30" s="18">
        <v>65</v>
      </c>
      <c r="AD30" s="8" t="s">
        <v>6</v>
      </c>
      <c r="AE30" s="33" t="s">
        <v>7</v>
      </c>
      <c r="AF30" s="14" t="s">
        <v>434</v>
      </c>
      <c r="AG30" s="60"/>
    </row>
    <row r="31" spans="1:33" ht="63" x14ac:dyDescent="0.25">
      <c r="A31" s="1">
        <v>39</v>
      </c>
      <c r="B31" s="2">
        <v>45852</v>
      </c>
      <c r="C31" s="1" t="s">
        <v>264</v>
      </c>
      <c r="D31" s="1" t="s">
        <v>19</v>
      </c>
      <c r="E31" s="1">
        <v>2</v>
      </c>
      <c r="F31" s="1">
        <v>22507018</v>
      </c>
      <c r="G31" s="1">
        <v>1240</v>
      </c>
      <c r="H31" s="1" t="s">
        <v>10</v>
      </c>
      <c r="I31" s="1" t="s">
        <v>194</v>
      </c>
      <c r="J31" s="5" t="s">
        <v>435</v>
      </c>
      <c r="K31" s="3">
        <v>1572</v>
      </c>
      <c r="L31" s="5">
        <v>1539</v>
      </c>
      <c r="M31" s="5">
        <v>1537</v>
      </c>
      <c r="N31" s="5">
        <v>1534</v>
      </c>
      <c r="O31" s="5">
        <v>1534</v>
      </c>
      <c r="P31" s="30">
        <v>1535</v>
      </c>
      <c r="Q31" s="15">
        <v>4.5</v>
      </c>
      <c r="R31" s="9">
        <v>25</v>
      </c>
      <c r="S31" s="17" t="s">
        <v>5</v>
      </c>
      <c r="T31" s="11" t="s">
        <v>5</v>
      </c>
      <c r="U31" s="11" t="s">
        <v>5</v>
      </c>
      <c r="V31" s="11" t="s">
        <v>5</v>
      </c>
      <c r="W31" s="11">
        <v>12.4</v>
      </c>
      <c r="X31" s="11">
        <v>58</v>
      </c>
      <c r="Y31" s="12">
        <v>2.556756</v>
      </c>
      <c r="Z31" s="31">
        <v>8.3000000000000007</v>
      </c>
      <c r="AA31" s="31">
        <v>9.4</v>
      </c>
      <c r="AB31" s="32">
        <v>75</v>
      </c>
      <c r="AC31" s="32">
        <v>84</v>
      </c>
      <c r="AD31" s="8" t="s">
        <v>6</v>
      </c>
      <c r="AE31" s="33" t="s">
        <v>7</v>
      </c>
      <c r="AF31" s="14" t="s">
        <v>436</v>
      </c>
      <c r="AG31" s="60"/>
    </row>
    <row r="32" spans="1:33" ht="15.75" x14ac:dyDescent="0.25">
      <c r="A32" s="1">
        <v>58</v>
      </c>
      <c r="B32" s="2">
        <v>45853</v>
      </c>
      <c r="C32" s="1" t="s">
        <v>0</v>
      </c>
      <c r="D32" s="1" t="s">
        <v>9</v>
      </c>
      <c r="E32" s="1">
        <v>1</v>
      </c>
      <c r="F32" s="1">
        <v>12507017</v>
      </c>
      <c r="G32" s="1">
        <v>1250</v>
      </c>
      <c r="H32" s="1" t="s">
        <v>10</v>
      </c>
      <c r="I32" s="1" t="s">
        <v>331</v>
      </c>
      <c r="J32" s="3" t="s">
        <v>437</v>
      </c>
      <c r="K32" s="3">
        <v>1570</v>
      </c>
      <c r="L32" s="3">
        <v>1542</v>
      </c>
      <c r="M32" s="5">
        <v>1541</v>
      </c>
      <c r="N32" s="5">
        <v>1540</v>
      </c>
      <c r="O32" s="5">
        <v>1542</v>
      </c>
      <c r="P32" s="30">
        <v>1541</v>
      </c>
      <c r="Q32" s="15">
        <v>4.5</v>
      </c>
      <c r="R32" s="9">
        <v>41</v>
      </c>
      <c r="S32" s="8" t="s">
        <v>5</v>
      </c>
      <c r="T32" s="9">
        <v>163</v>
      </c>
      <c r="U32" s="9">
        <v>62</v>
      </c>
      <c r="V32" s="10">
        <v>101</v>
      </c>
      <c r="W32" s="17" t="s">
        <v>5</v>
      </c>
      <c r="X32" s="11">
        <v>58</v>
      </c>
      <c r="Y32" s="12">
        <v>2.577375</v>
      </c>
      <c r="Z32" s="31">
        <v>11.6</v>
      </c>
      <c r="AA32" s="31">
        <v>11.5</v>
      </c>
      <c r="AB32" s="32">
        <v>84</v>
      </c>
      <c r="AC32" s="32">
        <v>83</v>
      </c>
      <c r="AD32" s="8" t="s">
        <v>6</v>
      </c>
      <c r="AE32" s="33" t="s">
        <v>53</v>
      </c>
      <c r="AF32" s="14" t="s">
        <v>438</v>
      </c>
      <c r="AG32" s="60"/>
    </row>
    <row r="33" spans="1:33" ht="47.25" x14ac:dyDescent="0.25">
      <c r="A33" s="1">
        <v>64</v>
      </c>
      <c r="B33" s="2">
        <v>45853</v>
      </c>
      <c r="C33" s="1" t="s">
        <v>0</v>
      </c>
      <c r="D33" s="1" t="s">
        <v>9</v>
      </c>
      <c r="E33" s="1">
        <v>1</v>
      </c>
      <c r="F33" s="1">
        <v>12507017</v>
      </c>
      <c r="G33" s="1">
        <v>1250</v>
      </c>
      <c r="H33" s="1" t="s">
        <v>10</v>
      </c>
      <c r="I33" s="1" t="s">
        <v>269</v>
      </c>
      <c r="J33" s="65" t="s">
        <v>439</v>
      </c>
      <c r="K33" s="9">
        <v>1578</v>
      </c>
      <c r="L33" s="5">
        <v>1552</v>
      </c>
      <c r="M33" s="5">
        <v>1551</v>
      </c>
      <c r="N33" s="5">
        <v>1551</v>
      </c>
      <c r="O33" s="5">
        <v>1550</v>
      </c>
      <c r="P33" s="30">
        <v>1550.6666666666667</v>
      </c>
      <c r="Q33" s="15">
        <v>4.5</v>
      </c>
      <c r="R33" s="9">
        <v>42</v>
      </c>
      <c r="S33" s="8">
        <v>27</v>
      </c>
      <c r="T33" s="11">
        <v>158.30000000000001</v>
      </c>
      <c r="U33" s="11">
        <v>60</v>
      </c>
      <c r="V33" s="10">
        <v>98.300000000000011</v>
      </c>
      <c r="W33" s="11" t="s">
        <v>5</v>
      </c>
      <c r="X33" s="11">
        <v>58</v>
      </c>
      <c r="Y33" s="12">
        <v>2.577375</v>
      </c>
      <c r="Z33" s="31">
        <v>9.5</v>
      </c>
      <c r="AA33" s="31">
        <v>9.6999999999999993</v>
      </c>
      <c r="AB33" s="32">
        <v>79</v>
      </c>
      <c r="AC33" s="32">
        <v>80</v>
      </c>
      <c r="AD33" s="8" t="s">
        <v>6</v>
      </c>
      <c r="AE33" s="33" t="s">
        <v>7</v>
      </c>
      <c r="AF33" s="14" t="s">
        <v>440</v>
      </c>
      <c r="AG33" s="60"/>
    </row>
    <row r="34" spans="1:33" ht="31.5" x14ac:dyDescent="0.25">
      <c r="A34" s="1">
        <v>3</v>
      </c>
      <c r="B34" s="2">
        <v>45854</v>
      </c>
      <c r="C34" s="1" t="s">
        <v>18</v>
      </c>
      <c r="D34" s="1" t="s">
        <v>265</v>
      </c>
      <c r="E34" s="1">
        <v>1</v>
      </c>
      <c r="F34" s="1">
        <v>12507017</v>
      </c>
      <c r="G34" s="1">
        <v>1250</v>
      </c>
      <c r="H34" s="1" t="s">
        <v>55</v>
      </c>
      <c r="I34" s="1" t="s">
        <v>59</v>
      </c>
      <c r="J34" s="3" t="s">
        <v>441</v>
      </c>
      <c r="K34" s="3">
        <v>1570</v>
      </c>
      <c r="L34" s="5">
        <v>1549</v>
      </c>
      <c r="M34" s="5">
        <v>1550</v>
      </c>
      <c r="N34" s="5">
        <v>1550</v>
      </c>
      <c r="O34" s="5">
        <v>1550</v>
      </c>
      <c r="P34" s="30">
        <v>1550</v>
      </c>
      <c r="Q34" s="15">
        <v>5.3</v>
      </c>
      <c r="R34" s="9">
        <v>30</v>
      </c>
      <c r="S34" s="11">
        <v>32</v>
      </c>
      <c r="T34" s="8">
        <v>158</v>
      </c>
      <c r="U34" s="8">
        <v>63</v>
      </c>
      <c r="V34" s="10">
        <v>95</v>
      </c>
      <c r="W34" s="11" t="s">
        <v>5</v>
      </c>
      <c r="X34" s="11">
        <v>58</v>
      </c>
      <c r="Y34" s="12">
        <v>3.0355749999999997</v>
      </c>
      <c r="Z34" s="31">
        <v>11.4</v>
      </c>
      <c r="AA34" s="31">
        <v>11.1</v>
      </c>
      <c r="AB34" s="32">
        <v>84</v>
      </c>
      <c r="AC34" s="32">
        <v>83</v>
      </c>
      <c r="AD34" s="8" t="s">
        <v>6</v>
      </c>
      <c r="AE34" s="33" t="s">
        <v>7</v>
      </c>
      <c r="AF34" s="14" t="s">
        <v>442</v>
      </c>
      <c r="AG34" s="60"/>
    </row>
    <row r="35" spans="1:33" ht="15.75" x14ac:dyDescent="0.25">
      <c r="A35" s="1">
        <v>24</v>
      </c>
      <c r="B35" s="2">
        <v>45854</v>
      </c>
      <c r="C35" s="1" t="s">
        <v>264</v>
      </c>
      <c r="D35" s="1" t="s">
        <v>19</v>
      </c>
      <c r="E35" s="1">
        <v>1</v>
      </c>
      <c r="F35" s="1">
        <v>12507018</v>
      </c>
      <c r="G35" s="1">
        <v>1250</v>
      </c>
      <c r="H35" s="1" t="s">
        <v>10</v>
      </c>
      <c r="I35" s="1" t="s">
        <v>152</v>
      </c>
      <c r="J35" s="3" t="s">
        <v>443</v>
      </c>
      <c r="K35" s="3">
        <v>1574</v>
      </c>
      <c r="L35" s="5">
        <v>1550</v>
      </c>
      <c r="M35" s="5">
        <v>1551</v>
      </c>
      <c r="N35" s="5">
        <v>1548</v>
      </c>
      <c r="O35" s="5">
        <v>1546</v>
      </c>
      <c r="P35" s="30">
        <v>1548.3333333333333</v>
      </c>
      <c r="Q35" s="15">
        <v>4.3</v>
      </c>
      <c r="R35" s="9">
        <v>38</v>
      </c>
      <c r="S35" s="8">
        <v>33</v>
      </c>
      <c r="T35" s="9">
        <v>159.4</v>
      </c>
      <c r="U35" s="9">
        <v>59.6</v>
      </c>
      <c r="V35" s="10">
        <v>99.800000000000011</v>
      </c>
      <c r="W35" s="11" t="s">
        <v>5</v>
      </c>
      <c r="X35" s="11">
        <v>58</v>
      </c>
      <c r="Y35" s="12">
        <v>2.4628249999999996</v>
      </c>
      <c r="Z35" s="31">
        <v>9.9</v>
      </c>
      <c r="AA35" s="31">
        <v>9.9</v>
      </c>
      <c r="AB35" s="32">
        <v>76</v>
      </c>
      <c r="AC35" s="32">
        <v>83</v>
      </c>
      <c r="AD35" s="8" t="s">
        <v>6</v>
      </c>
      <c r="AE35" s="33" t="s">
        <v>53</v>
      </c>
      <c r="AF35" s="14" t="s">
        <v>444</v>
      </c>
      <c r="AG35" s="60"/>
    </row>
    <row r="36" spans="1:33" ht="15.75" x14ac:dyDescent="0.25">
      <c r="A36" s="1">
        <v>5</v>
      </c>
      <c r="B36" s="2">
        <v>45855</v>
      </c>
      <c r="C36" s="1" t="s">
        <v>18</v>
      </c>
      <c r="D36" s="1" t="s">
        <v>265</v>
      </c>
      <c r="E36" s="1">
        <v>1</v>
      </c>
      <c r="F36" s="1">
        <v>12507019</v>
      </c>
      <c r="G36" s="1">
        <v>1250</v>
      </c>
      <c r="H36" s="1" t="s">
        <v>10</v>
      </c>
      <c r="I36" s="1" t="s">
        <v>229</v>
      </c>
      <c r="J36" s="3" t="s">
        <v>445</v>
      </c>
      <c r="K36" s="3">
        <v>1570</v>
      </c>
      <c r="L36" s="5">
        <v>1547</v>
      </c>
      <c r="M36" s="5">
        <v>1546</v>
      </c>
      <c r="N36" s="5">
        <v>1545</v>
      </c>
      <c r="O36" s="5">
        <v>1546</v>
      </c>
      <c r="P36" s="30">
        <v>1545.6666666666667</v>
      </c>
      <c r="Q36" s="15">
        <v>5.5350000000000001</v>
      </c>
      <c r="R36" s="9">
        <v>35</v>
      </c>
      <c r="S36" s="11" t="s">
        <v>5</v>
      </c>
      <c r="T36" s="9">
        <v>166</v>
      </c>
      <c r="U36" s="9">
        <v>60</v>
      </c>
      <c r="V36" s="10">
        <v>106</v>
      </c>
      <c r="W36" s="11" t="s">
        <v>5</v>
      </c>
      <c r="X36" s="11">
        <v>58</v>
      </c>
      <c r="Y36" s="12">
        <v>3.1701712500000001</v>
      </c>
      <c r="Z36" s="31">
        <v>11.2</v>
      </c>
      <c r="AA36" s="31">
        <v>12</v>
      </c>
      <c r="AB36" s="32">
        <v>89</v>
      </c>
      <c r="AC36" s="32">
        <v>96</v>
      </c>
      <c r="AD36" s="8" t="s">
        <v>6</v>
      </c>
      <c r="AE36" s="33" t="s">
        <v>53</v>
      </c>
      <c r="AF36" s="14" t="s">
        <v>397</v>
      </c>
      <c r="AG36" s="60"/>
    </row>
    <row r="37" spans="1:33" ht="31.5" x14ac:dyDescent="0.25">
      <c r="A37" s="1">
        <v>6</v>
      </c>
      <c r="B37" s="2">
        <v>45855</v>
      </c>
      <c r="C37" s="1" t="s">
        <v>18</v>
      </c>
      <c r="D37" s="1" t="s">
        <v>265</v>
      </c>
      <c r="E37" s="1">
        <v>1</v>
      </c>
      <c r="F37" s="1">
        <v>12507019</v>
      </c>
      <c r="G37" s="1">
        <v>1250</v>
      </c>
      <c r="H37" s="1" t="s">
        <v>10</v>
      </c>
      <c r="I37" s="1" t="s">
        <v>20</v>
      </c>
      <c r="J37" s="3" t="s">
        <v>446</v>
      </c>
      <c r="K37" s="3">
        <v>1570</v>
      </c>
      <c r="L37" s="5">
        <v>1551</v>
      </c>
      <c r="M37" s="5">
        <v>1550</v>
      </c>
      <c r="N37" s="5">
        <v>1548</v>
      </c>
      <c r="O37" s="5">
        <v>1548</v>
      </c>
      <c r="P37" s="30">
        <v>1548.6666666666667</v>
      </c>
      <c r="Q37" s="15">
        <v>5</v>
      </c>
      <c r="R37" s="9">
        <v>34</v>
      </c>
      <c r="S37" s="11" t="s">
        <v>5</v>
      </c>
      <c r="T37" s="9">
        <v>162</v>
      </c>
      <c r="U37" s="9">
        <v>57</v>
      </c>
      <c r="V37" s="10">
        <v>105</v>
      </c>
      <c r="W37" s="11" t="s">
        <v>5</v>
      </c>
      <c r="X37" s="11">
        <v>58</v>
      </c>
      <c r="Y37" s="12">
        <v>2.86375</v>
      </c>
      <c r="Z37" s="64">
        <v>11.9</v>
      </c>
      <c r="AA37" s="64">
        <v>11.8</v>
      </c>
      <c r="AB37" s="49">
        <v>89</v>
      </c>
      <c r="AC37" s="49">
        <v>93</v>
      </c>
      <c r="AD37" s="8" t="s">
        <v>6</v>
      </c>
      <c r="AE37" s="33" t="s">
        <v>7</v>
      </c>
      <c r="AF37" s="14" t="s">
        <v>447</v>
      </c>
      <c r="AG37" s="60"/>
    </row>
    <row r="38" spans="1:33" ht="31.5" x14ac:dyDescent="0.25">
      <c r="A38" s="1">
        <v>36</v>
      </c>
      <c r="B38" s="2">
        <v>45855</v>
      </c>
      <c r="C38" s="1" t="s">
        <v>264</v>
      </c>
      <c r="D38" s="1" t="s">
        <v>258</v>
      </c>
      <c r="E38" s="1">
        <v>1</v>
      </c>
      <c r="F38" s="1">
        <v>12507020</v>
      </c>
      <c r="G38" s="1">
        <v>1250</v>
      </c>
      <c r="H38" s="1" t="s">
        <v>10</v>
      </c>
      <c r="I38" s="1" t="s">
        <v>98</v>
      </c>
      <c r="J38" s="5" t="s">
        <v>448</v>
      </c>
      <c r="K38" s="5">
        <v>1608</v>
      </c>
      <c r="L38" s="5">
        <v>1574</v>
      </c>
      <c r="M38" s="5">
        <v>1574</v>
      </c>
      <c r="N38" s="5">
        <v>1576</v>
      </c>
      <c r="O38" s="5">
        <v>1577</v>
      </c>
      <c r="P38" s="30">
        <v>1575.6666666666667</v>
      </c>
      <c r="Q38" s="18">
        <v>3.4</v>
      </c>
      <c r="R38" s="36">
        <v>41</v>
      </c>
      <c r="S38" s="17">
        <v>4</v>
      </c>
      <c r="T38" s="11">
        <v>156.80000000000001</v>
      </c>
      <c r="U38" s="11">
        <v>67.5</v>
      </c>
      <c r="V38" s="10">
        <v>89.300000000000011</v>
      </c>
      <c r="W38" s="11" t="s">
        <v>248</v>
      </c>
      <c r="X38" s="11">
        <v>58</v>
      </c>
      <c r="Y38" s="12">
        <v>1.9473499999999999</v>
      </c>
      <c r="Z38" s="18">
        <v>7.8</v>
      </c>
      <c r="AA38" s="18">
        <v>8.1999999999999993</v>
      </c>
      <c r="AB38" s="19">
        <v>74</v>
      </c>
      <c r="AC38" s="19">
        <v>79</v>
      </c>
      <c r="AD38" s="8" t="s">
        <v>6</v>
      </c>
      <c r="AE38" s="33" t="s">
        <v>7</v>
      </c>
      <c r="AF38" s="14" t="s">
        <v>449</v>
      </c>
      <c r="AG38" s="60"/>
    </row>
    <row r="39" spans="1:33" ht="31.5" x14ac:dyDescent="0.25">
      <c r="A39" s="1">
        <v>70</v>
      </c>
      <c r="B39" s="2">
        <v>45855</v>
      </c>
      <c r="C39" s="1" t="s">
        <v>0</v>
      </c>
      <c r="D39" s="1" t="s">
        <v>9</v>
      </c>
      <c r="E39" s="1">
        <v>2</v>
      </c>
      <c r="F39" s="1">
        <v>22507021</v>
      </c>
      <c r="G39" s="1">
        <v>1250</v>
      </c>
      <c r="H39" s="1" t="s">
        <v>55</v>
      </c>
      <c r="I39" s="1" t="s">
        <v>11</v>
      </c>
      <c r="J39" s="1" t="s">
        <v>450</v>
      </c>
      <c r="K39" s="4">
        <v>1572</v>
      </c>
      <c r="L39" s="5">
        <v>1539</v>
      </c>
      <c r="M39" s="5">
        <v>1537</v>
      </c>
      <c r="N39" s="5">
        <v>1539</v>
      </c>
      <c r="O39" s="5">
        <v>1539</v>
      </c>
      <c r="P39" s="30">
        <v>1538.3333333333333</v>
      </c>
      <c r="Q39" s="7">
        <v>4</v>
      </c>
      <c r="R39" s="4">
        <v>40</v>
      </c>
      <c r="S39" s="8" t="s">
        <v>5</v>
      </c>
      <c r="T39" s="9" t="s">
        <v>5</v>
      </c>
      <c r="U39" s="9" t="s">
        <v>5</v>
      </c>
      <c r="V39" s="9" t="s">
        <v>5</v>
      </c>
      <c r="W39" s="37">
        <v>15.1</v>
      </c>
      <c r="X39" s="11">
        <v>58</v>
      </c>
      <c r="Y39" s="12">
        <v>2.2909999999999999</v>
      </c>
      <c r="Z39" s="7">
        <v>7.3</v>
      </c>
      <c r="AA39" s="7">
        <v>7.6</v>
      </c>
      <c r="AB39" s="13">
        <v>71</v>
      </c>
      <c r="AC39" s="13">
        <v>69</v>
      </c>
      <c r="AD39" s="17" t="s">
        <v>6</v>
      </c>
      <c r="AE39" s="33" t="s">
        <v>7</v>
      </c>
      <c r="AF39" s="14" t="s">
        <v>451</v>
      </c>
      <c r="AG39" s="60"/>
    </row>
    <row r="40" spans="1:33" ht="47.25" x14ac:dyDescent="0.25">
      <c r="A40" s="1">
        <v>71</v>
      </c>
      <c r="B40" s="2">
        <v>45855</v>
      </c>
      <c r="C40" s="1" t="s">
        <v>0</v>
      </c>
      <c r="D40" s="1" t="s">
        <v>9</v>
      </c>
      <c r="E40" s="1">
        <v>2</v>
      </c>
      <c r="F40" s="1">
        <v>22507021</v>
      </c>
      <c r="G40" s="1">
        <v>1250</v>
      </c>
      <c r="H40" s="1" t="s">
        <v>10</v>
      </c>
      <c r="I40" s="1" t="s">
        <v>164</v>
      </c>
      <c r="J40" s="1" t="s">
        <v>452</v>
      </c>
      <c r="K40" s="4">
        <v>1583</v>
      </c>
      <c r="L40" s="5">
        <v>1554</v>
      </c>
      <c r="M40" s="5">
        <v>1557</v>
      </c>
      <c r="N40" s="5">
        <v>1559</v>
      </c>
      <c r="O40" s="5">
        <v>1550</v>
      </c>
      <c r="P40" s="30">
        <v>1555.3333333333333</v>
      </c>
      <c r="Q40" s="7">
        <v>4</v>
      </c>
      <c r="R40" s="4">
        <v>42</v>
      </c>
      <c r="S40" s="8">
        <v>22</v>
      </c>
      <c r="T40" s="9" t="s">
        <v>5</v>
      </c>
      <c r="U40" s="9" t="s">
        <v>5</v>
      </c>
      <c r="V40" s="10" t="s">
        <v>5</v>
      </c>
      <c r="W40" s="37">
        <v>16.5</v>
      </c>
      <c r="X40" s="11">
        <v>58</v>
      </c>
      <c r="Y40" s="12">
        <v>2.2909999999999999</v>
      </c>
      <c r="Z40" s="7">
        <v>7.5</v>
      </c>
      <c r="AA40" s="7">
        <v>7.8</v>
      </c>
      <c r="AB40" s="13">
        <v>75</v>
      </c>
      <c r="AC40" s="13">
        <v>82</v>
      </c>
      <c r="AD40" s="17" t="s">
        <v>6</v>
      </c>
      <c r="AE40" s="33" t="s">
        <v>7</v>
      </c>
      <c r="AF40" s="14" t="s">
        <v>453</v>
      </c>
      <c r="AG40" s="60"/>
    </row>
    <row r="41" spans="1:33" ht="31.5" x14ac:dyDescent="0.25">
      <c r="A41" s="1">
        <v>14</v>
      </c>
      <c r="B41" s="2">
        <v>45856</v>
      </c>
      <c r="C41" s="1" t="s">
        <v>18</v>
      </c>
      <c r="D41" s="1" t="s">
        <v>265</v>
      </c>
      <c r="E41" s="1">
        <v>2</v>
      </c>
      <c r="F41" s="1">
        <v>22507021</v>
      </c>
      <c r="G41" s="1">
        <v>1255</v>
      </c>
      <c r="H41" s="1" t="s">
        <v>266</v>
      </c>
      <c r="I41" s="1" t="s">
        <v>277</v>
      </c>
      <c r="J41" s="3" t="s">
        <v>454</v>
      </c>
      <c r="K41" s="3">
        <v>1580</v>
      </c>
      <c r="L41" s="5">
        <v>1534</v>
      </c>
      <c r="M41" s="5">
        <v>1538</v>
      </c>
      <c r="N41" s="5">
        <v>1539</v>
      </c>
      <c r="O41" s="5">
        <v>1539</v>
      </c>
      <c r="P41" s="30">
        <v>1538.6666666666667</v>
      </c>
      <c r="Q41" s="15">
        <v>4.3</v>
      </c>
      <c r="R41" s="9">
        <v>39</v>
      </c>
      <c r="S41" s="8" t="s">
        <v>5</v>
      </c>
      <c r="T41" s="11" t="s">
        <v>5</v>
      </c>
      <c r="U41" s="11" t="s">
        <v>5</v>
      </c>
      <c r="V41" s="11" t="s">
        <v>5</v>
      </c>
      <c r="W41" s="9" t="s">
        <v>5</v>
      </c>
      <c r="X41" s="11">
        <v>58</v>
      </c>
      <c r="Y41" s="12">
        <v>2.4726762999999998</v>
      </c>
      <c r="Z41" s="7">
        <v>8.4</v>
      </c>
      <c r="AA41" s="7">
        <v>8.1</v>
      </c>
      <c r="AB41" s="13">
        <v>79</v>
      </c>
      <c r="AC41" s="13">
        <v>74</v>
      </c>
      <c r="AD41" s="8" t="s">
        <v>6</v>
      </c>
      <c r="AE41" s="33" t="s">
        <v>455</v>
      </c>
      <c r="AF41" s="14" t="s">
        <v>456</v>
      </c>
      <c r="AG41" s="60"/>
    </row>
    <row r="42" spans="1:33" ht="15.75" x14ac:dyDescent="0.25">
      <c r="A42" s="1">
        <v>33</v>
      </c>
      <c r="B42" s="2">
        <v>45857</v>
      </c>
      <c r="C42" s="1" t="s">
        <v>264</v>
      </c>
      <c r="D42" s="1" t="s">
        <v>258</v>
      </c>
      <c r="E42" s="1">
        <v>1</v>
      </c>
      <c r="F42" s="1">
        <v>12507023</v>
      </c>
      <c r="G42" s="1">
        <v>1350</v>
      </c>
      <c r="H42" s="1" t="s">
        <v>10</v>
      </c>
      <c r="I42" s="1" t="s">
        <v>98</v>
      </c>
      <c r="J42" s="5" t="s">
        <v>457</v>
      </c>
      <c r="K42" s="5">
        <v>1611</v>
      </c>
      <c r="L42" s="5">
        <v>1563</v>
      </c>
      <c r="M42" s="5">
        <v>1569</v>
      </c>
      <c r="N42" s="5">
        <v>1570</v>
      </c>
      <c r="O42" s="5">
        <v>1576</v>
      </c>
      <c r="P42" s="30">
        <v>1571.6666666666667</v>
      </c>
      <c r="Q42" s="5">
        <v>3.4</v>
      </c>
      <c r="R42" s="36">
        <v>39</v>
      </c>
      <c r="S42" s="17">
        <v>28</v>
      </c>
      <c r="T42" s="9">
        <v>159.1</v>
      </c>
      <c r="U42" s="9">
        <v>64.400000000000006</v>
      </c>
      <c r="V42" s="10">
        <v>94.699999999999989</v>
      </c>
      <c r="W42" s="9" t="s">
        <v>248</v>
      </c>
      <c r="X42" s="11">
        <v>58</v>
      </c>
      <c r="Y42" s="12">
        <v>2.103138</v>
      </c>
      <c r="Z42" s="18">
        <v>8.6</v>
      </c>
      <c r="AA42" s="18">
        <v>9.5</v>
      </c>
      <c r="AB42" s="19">
        <v>75</v>
      </c>
      <c r="AC42" s="19">
        <v>84</v>
      </c>
      <c r="AD42" s="8" t="s">
        <v>6</v>
      </c>
      <c r="AE42" s="33" t="s">
        <v>7</v>
      </c>
      <c r="AF42" s="14" t="s">
        <v>406</v>
      </c>
      <c r="AG42" s="60"/>
    </row>
    <row r="43" spans="1:33" ht="31.5" x14ac:dyDescent="0.25">
      <c r="A43" s="1">
        <v>43</v>
      </c>
      <c r="B43" s="2">
        <v>45857</v>
      </c>
      <c r="C43" s="1" t="s">
        <v>264</v>
      </c>
      <c r="D43" s="1" t="s">
        <v>258</v>
      </c>
      <c r="E43" s="1">
        <v>2</v>
      </c>
      <c r="F43" s="1">
        <v>22507022</v>
      </c>
      <c r="G43" s="1">
        <v>1260</v>
      </c>
      <c r="H43" s="1" t="s">
        <v>10</v>
      </c>
      <c r="I43" s="1" t="s">
        <v>458</v>
      </c>
      <c r="J43" s="3" t="s">
        <v>459</v>
      </c>
      <c r="K43" s="3">
        <v>1570</v>
      </c>
      <c r="L43" s="5">
        <v>1552</v>
      </c>
      <c r="M43" s="5">
        <v>1555</v>
      </c>
      <c r="N43" s="5">
        <v>1552</v>
      </c>
      <c r="O43" s="5" t="s">
        <v>5</v>
      </c>
      <c r="P43" s="30">
        <v>1553.5</v>
      </c>
      <c r="Q43" s="15">
        <v>4.5</v>
      </c>
      <c r="R43" s="9">
        <v>39</v>
      </c>
      <c r="S43" s="17" t="s">
        <v>5</v>
      </c>
      <c r="T43" s="9" t="s">
        <v>5</v>
      </c>
      <c r="U43" s="9" t="s">
        <v>5</v>
      </c>
      <c r="V43" s="10" t="s">
        <v>5</v>
      </c>
      <c r="W43" s="9">
        <v>12.2</v>
      </c>
      <c r="X43" s="11">
        <v>57</v>
      </c>
      <c r="Y43" s="12">
        <v>2.5532010000000001</v>
      </c>
      <c r="Z43" s="18">
        <v>10.6</v>
      </c>
      <c r="AA43" s="18">
        <v>10.5</v>
      </c>
      <c r="AB43" s="19">
        <v>98</v>
      </c>
      <c r="AC43" s="19">
        <v>99</v>
      </c>
      <c r="AD43" s="8" t="s">
        <v>6</v>
      </c>
      <c r="AE43" s="33" t="s">
        <v>455</v>
      </c>
      <c r="AF43" s="14" t="s">
        <v>460</v>
      </c>
      <c r="AG43" s="60"/>
    </row>
    <row r="44" spans="1:33" ht="31.5" x14ac:dyDescent="0.25">
      <c r="A44" s="1">
        <v>54</v>
      </c>
      <c r="B44" s="2">
        <v>45857</v>
      </c>
      <c r="C44" s="1" t="s">
        <v>0</v>
      </c>
      <c r="D44" s="1" t="s">
        <v>265</v>
      </c>
      <c r="E44" s="1">
        <v>1</v>
      </c>
      <c r="F44" s="1">
        <v>12507023</v>
      </c>
      <c r="G44" s="1">
        <v>1335</v>
      </c>
      <c r="H44" s="1" t="s">
        <v>10</v>
      </c>
      <c r="I44" s="1" t="s">
        <v>152</v>
      </c>
      <c r="J44" s="3" t="s">
        <v>461</v>
      </c>
      <c r="K44" s="3">
        <v>1567</v>
      </c>
      <c r="L44" s="5">
        <v>1539</v>
      </c>
      <c r="M44" s="5">
        <v>1539</v>
      </c>
      <c r="N44" s="5">
        <v>1540</v>
      </c>
      <c r="O44" s="5">
        <v>1540</v>
      </c>
      <c r="P44" s="30">
        <v>1539.6666666666667</v>
      </c>
      <c r="Q44" s="15">
        <v>5</v>
      </c>
      <c r="R44" s="9">
        <v>29</v>
      </c>
      <c r="S44" s="17" t="s">
        <v>5</v>
      </c>
      <c r="T44" s="9">
        <v>162</v>
      </c>
      <c r="U44" s="9">
        <v>61</v>
      </c>
      <c r="V44" s="10">
        <v>101</v>
      </c>
      <c r="W44" s="17" t="s">
        <v>5</v>
      </c>
      <c r="X44" s="11">
        <v>58</v>
      </c>
      <c r="Y44" s="12">
        <v>3.0584850000000001</v>
      </c>
      <c r="Z44" s="31">
        <v>7.5</v>
      </c>
      <c r="AA44" s="31">
        <v>7.9</v>
      </c>
      <c r="AB44" s="32">
        <v>75</v>
      </c>
      <c r="AC44" s="32">
        <v>74</v>
      </c>
      <c r="AD44" s="11" t="s">
        <v>6</v>
      </c>
      <c r="AE44" s="33" t="s">
        <v>7</v>
      </c>
      <c r="AF44" s="14" t="s">
        <v>462</v>
      </c>
      <c r="AG44" s="60"/>
    </row>
    <row r="45" spans="1:33" ht="31.5" x14ac:dyDescent="0.25">
      <c r="A45" s="1">
        <v>63</v>
      </c>
      <c r="B45" s="2">
        <v>45857</v>
      </c>
      <c r="C45" s="1" t="s">
        <v>0</v>
      </c>
      <c r="D45" s="1" t="s">
        <v>265</v>
      </c>
      <c r="E45" s="1">
        <v>1</v>
      </c>
      <c r="F45" s="1">
        <v>12507023</v>
      </c>
      <c r="G45" s="1">
        <v>1335</v>
      </c>
      <c r="H45" s="1" t="s">
        <v>55</v>
      </c>
      <c r="I45" s="1" t="s">
        <v>110</v>
      </c>
      <c r="J45" s="1" t="s">
        <v>463</v>
      </c>
      <c r="K45" s="4">
        <v>1570</v>
      </c>
      <c r="L45" s="5">
        <v>1551</v>
      </c>
      <c r="M45" s="5">
        <v>1550</v>
      </c>
      <c r="N45" s="5">
        <v>1549</v>
      </c>
      <c r="O45" s="5">
        <v>1548</v>
      </c>
      <c r="P45" s="30">
        <v>1549</v>
      </c>
      <c r="Q45" s="7">
        <v>5.2</v>
      </c>
      <c r="R45" s="4">
        <v>29</v>
      </c>
      <c r="S45" s="8">
        <v>4</v>
      </c>
      <c r="T45" s="9">
        <v>166</v>
      </c>
      <c r="U45" s="9">
        <v>68</v>
      </c>
      <c r="V45" s="10">
        <v>98</v>
      </c>
      <c r="W45" s="37" t="s">
        <v>5</v>
      </c>
      <c r="X45" s="11">
        <v>58</v>
      </c>
      <c r="Y45" s="12">
        <v>3.1808244000000006</v>
      </c>
      <c r="Z45" s="7">
        <v>10.9</v>
      </c>
      <c r="AA45" s="7">
        <v>11.2</v>
      </c>
      <c r="AB45" s="13">
        <v>78</v>
      </c>
      <c r="AC45" s="13">
        <v>82</v>
      </c>
      <c r="AD45" s="8" t="s">
        <v>6</v>
      </c>
      <c r="AE45" s="33" t="s">
        <v>7</v>
      </c>
      <c r="AF45" s="14" t="s">
        <v>464</v>
      </c>
      <c r="AG45" s="60"/>
    </row>
    <row r="46" spans="1:33" ht="31.5" x14ac:dyDescent="0.25">
      <c r="A46" s="1">
        <v>10</v>
      </c>
      <c r="B46" s="2">
        <v>45858</v>
      </c>
      <c r="C46" s="1" t="s">
        <v>18</v>
      </c>
      <c r="D46" s="1" t="s">
        <v>19</v>
      </c>
      <c r="E46" s="1">
        <v>1</v>
      </c>
      <c r="F46" s="1">
        <v>12507024</v>
      </c>
      <c r="G46" s="1">
        <v>1350</v>
      </c>
      <c r="H46" s="1" t="s">
        <v>10</v>
      </c>
      <c r="I46" s="1" t="s">
        <v>152</v>
      </c>
      <c r="J46" s="3" t="s">
        <v>465</v>
      </c>
      <c r="K46" s="3">
        <v>1568</v>
      </c>
      <c r="L46" s="5">
        <v>1546</v>
      </c>
      <c r="M46" s="5">
        <v>1544</v>
      </c>
      <c r="N46" s="5">
        <v>1545</v>
      </c>
      <c r="O46" s="5" t="s">
        <v>5</v>
      </c>
      <c r="P46" s="30">
        <v>1544.5</v>
      </c>
      <c r="Q46" s="66">
        <v>4.8</v>
      </c>
      <c r="R46" s="9">
        <v>30</v>
      </c>
      <c r="S46" s="11" t="s">
        <v>5</v>
      </c>
      <c r="T46" s="9">
        <v>162</v>
      </c>
      <c r="U46" s="9">
        <v>65</v>
      </c>
      <c r="V46" s="10">
        <v>97</v>
      </c>
      <c r="W46" s="11" t="s">
        <v>5</v>
      </c>
      <c r="X46" s="11">
        <v>58</v>
      </c>
      <c r="Y46" s="12">
        <v>2.9691359999999998</v>
      </c>
      <c r="Z46" s="31">
        <v>9.1</v>
      </c>
      <c r="AA46" s="31">
        <v>10.5</v>
      </c>
      <c r="AB46" s="32">
        <v>70</v>
      </c>
      <c r="AC46" s="32">
        <v>81</v>
      </c>
      <c r="AD46" s="11" t="s">
        <v>6</v>
      </c>
      <c r="AE46" s="33" t="s">
        <v>7</v>
      </c>
      <c r="AF46" s="14" t="s">
        <v>466</v>
      </c>
      <c r="AG46" s="60"/>
    </row>
    <row r="47" spans="1:33" ht="31.5" x14ac:dyDescent="0.25">
      <c r="A47" s="1">
        <v>12</v>
      </c>
      <c r="B47" s="2">
        <v>45858</v>
      </c>
      <c r="C47" s="1" t="s">
        <v>18</v>
      </c>
      <c r="D47" s="1" t="s">
        <v>19</v>
      </c>
      <c r="E47" s="1">
        <v>1</v>
      </c>
      <c r="F47" s="1">
        <v>12507024</v>
      </c>
      <c r="G47" s="1">
        <v>1350</v>
      </c>
      <c r="H47" s="1" t="s">
        <v>10</v>
      </c>
      <c r="I47" s="1" t="s">
        <v>182</v>
      </c>
      <c r="J47" s="3" t="s">
        <v>467</v>
      </c>
      <c r="K47" s="3">
        <v>1568</v>
      </c>
      <c r="L47" s="5">
        <v>1547</v>
      </c>
      <c r="M47" s="5">
        <v>1546</v>
      </c>
      <c r="N47" s="5">
        <v>1545</v>
      </c>
      <c r="O47" s="5" t="s">
        <v>5</v>
      </c>
      <c r="P47" s="30">
        <v>1545.5</v>
      </c>
      <c r="Q47" s="15">
        <v>4.8</v>
      </c>
      <c r="R47" s="9">
        <v>30</v>
      </c>
      <c r="S47" s="8">
        <v>12</v>
      </c>
      <c r="T47" s="8">
        <v>159</v>
      </c>
      <c r="U47" s="8">
        <v>63</v>
      </c>
      <c r="V47" s="10">
        <v>96</v>
      </c>
      <c r="W47" s="11" t="s">
        <v>5</v>
      </c>
      <c r="X47" s="11">
        <v>58</v>
      </c>
      <c r="Y47" s="12">
        <v>2.9691359999999998</v>
      </c>
      <c r="Z47" s="64">
        <v>9.9</v>
      </c>
      <c r="AA47" s="64">
        <v>9.4</v>
      </c>
      <c r="AB47" s="49">
        <v>81</v>
      </c>
      <c r="AC47" s="49">
        <v>79</v>
      </c>
      <c r="AD47" s="11" t="s">
        <v>6</v>
      </c>
      <c r="AE47" s="33" t="s">
        <v>53</v>
      </c>
      <c r="AF47" s="14" t="s">
        <v>468</v>
      </c>
      <c r="AG47" s="60"/>
    </row>
    <row r="48" spans="1:33" ht="31.5" x14ac:dyDescent="0.25">
      <c r="A48" s="1">
        <v>13</v>
      </c>
      <c r="B48" s="2">
        <v>45858</v>
      </c>
      <c r="C48" s="1" t="s">
        <v>18</v>
      </c>
      <c r="D48" s="1" t="s">
        <v>19</v>
      </c>
      <c r="E48" s="1">
        <v>1</v>
      </c>
      <c r="F48" s="1">
        <v>12507024</v>
      </c>
      <c r="G48" s="1">
        <v>1350</v>
      </c>
      <c r="H48" s="1" t="s">
        <v>10</v>
      </c>
      <c r="I48" s="1" t="s">
        <v>229</v>
      </c>
      <c r="J48" s="3" t="s">
        <v>469</v>
      </c>
      <c r="K48" s="3">
        <v>1574</v>
      </c>
      <c r="L48" s="5">
        <v>1546</v>
      </c>
      <c r="M48" s="5">
        <v>1546</v>
      </c>
      <c r="N48" s="5">
        <v>1547</v>
      </c>
      <c r="O48" s="5">
        <v>1546</v>
      </c>
      <c r="P48" s="30">
        <v>1546.3333333333333</v>
      </c>
      <c r="Q48" s="15">
        <v>4.8</v>
      </c>
      <c r="R48" s="9">
        <v>35</v>
      </c>
      <c r="S48" s="8">
        <v>17</v>
      </c>
      <c r="T48" s="9">
        <v>163.80000000000001</v>
      </c>
      <c r="U48" s="9">
        <v>57.6</v>
      </c>
      <c r="V48" s="10">
        <v>106.20000000000002</v>
      </c>
      <c r="W48" s="11" t="s">
        <v>5</v>
      </c>
      <c r="X48" s="11">
        <v>58</v>
      </c>
      <c r="Y48" s="12">
        <v>2.9691359999999998</v>
      </c>
      <c r="Z48" s="7">
        <v>9.5</v>
      </c>
      <c r="AA48" s="7">
        <v>10.8</v>
      </c>
      <c r="AB48" s="13">
        <v>71</v>
      </c>
      <c r="AC48" s="13">
        <v>81</v>
      </c>
      <c r="AD48" s="11" t="s">
        <v>6</v>
      </c>
      <c r="AE48" s="33" t="s">
        <v>53</v>
      </c>
      <c r="AF48" s="14" t="s">
        <v>470</v>
      </c>
      <c r="AG48" s="60"/>
    </row>
    <row r="49" spans="1:33" ht="63" x14ac:dyDescent="0.25">
      <c r="A49" s="1">
        <v>18</v>
      </c>
      <c r="B49" s="2">
        <v>45858</v>
      </c>
      <c r="C49" s="1" t="s">
        <v>18</v>
      </c>
      <c r="D49" s="1" t="s">
        <v>19</v>
      </c>
      <c r="E49" s="1">
        <v>2</v>
      </c>
      <c r="F49" s="1">
        <v>22507023</v>
      </c>
      <c r="G49" s="1">
        <v>1350</v>
      </c>
      <c r="H49" s="1" t="s">
        <v>10</v>
      </c>
      <c r="I49" s="1" t="s">
        <v>83</v>
      </c>
      <c r="J49" s="3" t="s">
        <v>471</v>
      </c>
      <c r="K49" s="3">
        <v>1569</v>
      </c>
      <c r="L49" s="5">
        <v>1545</v>
      </c>
      <c r="M49" s="5">
        <v>1545</v>
      </c>
      <c r="N49" s="5">
        <v>1536</v>
      </c>
      <c r="O49" s="5">
        <v>1531</v>
      </c>
      <c r="P49" s="30">
        <v>1537.3333333333333</v>
      </c>
      <c r="Q49" s="15">
        <v>4</v>
      </c>
      <c r="R49" s="9">
        <v>24</v>
      </c>
      <c r="S49" s="8">
        <v>17</v>
      </c>
      <c r="T49" s="11" t="s">
        <v>5</v>
      </c>
      <c r="U49" s="11" t="s">
        <v>5</v>
      </c>
      <c r="V49" s="11" t="s">
        <v>5</v>
      </c>
      <c r="W49" s="11">
        <v>12.1</v>
      </c>
      <c r="X49" s="11">
        <v>57</v>
      </c>
      <c r="Y49" s="12">
        <v>2.4316200000000001</v>
      </c>
      <c r="Z49" s="12">
        <v>9.5</v>
      </c>
      <c r="AA49" s="12">
        <v>10.4</v>
      </c>
      <c r="AB49" s="11">
        <v>96</v>
      </c>
      <c r="AC49" s="11">
        <v>92</v>
      </c>
      <c r="AD49" s="8" t="s">
        <v>6</v>
      </c>
      <c r="AE49" s="33" t="s">
        <v>455</v>
      </c>
      <c r="AF49" s="14" t="s">
        <v>472</v>
      </c>
      <c r="AG49" s="60"/>
    </row>
    <row r="50" spans="1:33" ht="47.25" x14ac:dyDescent="0.25">
      <c r="A50" s="1">
        <v>30</v>
      </c>
      <c r="B50" s="2">
        <v>45858</v>
      </c>
      <c r="C50" s="1" t="s">
        <v>264</v>
      </c>
      <c r="D50" s="1" t="s">
        <v>9</v>
      </c>
      <c r="E50" s="1">
        <v>1</v>
      </c>
      <c r="F50" s="1">
        <v>12507024</v>
      </c>
      <c r="G50" s="1">
        <v>1350</v>
      </c>
      <c r="H50" s="1" t="s">
        <v>10</v>
      </c>
      <c r="I50" s="1" t="s">
        <v>132</v>
      </c>
      <c r="J50" s="3" t="s">
        <v>473</v>
      </c>
      <c r="K50" s="3">
        <v>1570</v>
      </c>
      <c r="L50" s="5">
        <v>1547</v>
      </c>
      <c r="M50" s="5">
        <v>1547</v>
      </c>
      <c r="N50" s="5">
        <v>1547</v>
      </c>
      <c r="O50" s="5">
        <v>1546</v>
      </c>
      <c r="P50" s="30">
        <v>1546.6666666666667</v>
      </c>
      <c r="Q50" s="15">
        <v>5</v>
      </c>
      <c r="R50" s="9">
        <v>31</v>
      </c>
      <c r="S50" s="17" t="s">
        <v>5</v>
      </c>
      <c r="T50" s="36">
        <v>163.5</v>
      </c>
      <c r="U50" s="36">
        <v>65.400000000000006</v>
      </c>
      <c r="V50" s="10">
        <v>98.1</v>
      </c>
      <c r="W50" s="11" t="s">
        <v>5</v>
      </c>
      <c r="X50" s="11">
        <v>58</v>
      </c>
      <c r="Y50" s="12">
        <v>3.0928499999999999</v>
      </c>
      <c r="Z50" s="31">
        <v>9.5</v>
      </c>
      <c r="AA50" s="31">
        <v>9.6999999999999993</v>
      </c>
      <c r="AB50" s="32">
        <v>73</v>
      </c>
      <c r="AC50" s="32">
        <v>74</v>
      </c>
      <c r="AD50" s="11" t="s">
        <v>6</v>
      </c>
      <c r="AE50" s="33" t="s">
        <v>53</v>
      </c>
      <c r="AF50" s="14" t="s">
        <v>474</v>
      </c>
      <c r="AG50" s="60"/>
    </row>
    <row r="51" spans="1:33" ht="31.5" x14ac:dyDescent="0.25">
      <c r="A51" s="1">
        <v>41</v>
      </c>
      <c r="B51" s="2">
        <v>45858</v>
      </c>
      <c r="C51" s="1" t="s">
        <v>264</v>
      </c>
      <c r="D51" s="1" t="s">
        <v>9</v>
      </c>
      <c r="E51" s="1">
        <v>1</v>
      </c>
      <c r="F51" s="1">
        <v>12507024</v>
      </c>
      <c r="G51" s="1">
        <v>1250</v>
      </c>
      <c r="H51" s="1" t="s">
        <v>176</v>
      </c>
      <c r="I51" s="1" t="s">
        <v>126</v>
      </c>
      <c r="J51" s="3" t="s">
        <v>475</v>
      </c>
      <c r="K51" s="3">
        <v>1567</v>
      </c>
      <c r="L51" s="5">
        <v>1548</v>
      </c>
      <c r="M51" s="5">
        <v>1555</v>
      </c>
      <c r="N51" s="5">
        <v>1551</v>
      </c>
      <c r="O51" s="5">
        <v>1546</v>
      </c>
      <c r="P51" s="30">
        <v>1550.6666666666667</v>
      </c>
      <c r="Q51" s="15">
        <v>4.8</v>
      </c>
      <c r="R51" s="9">
        <v>33</v>
      </c>
      <c r="S51" s="17" t="s">
        <v>5</v>
      </c>
      <c r="T51" s="9">
        <v>151.6</v>
      </c>
      <c r="U51" s="9">
        <v>59</v>
      </c>
      <c r="V51" s="10">
        <v>92.6</v>
      </c>
      <c r="W51" s="9" t="s">
        <v>5</v>
      </c>
      <c r="X51" s="11">
        <v>58</v>
      </c>
      <c r="Y51" s="12">
        <v>2.7491999999999996</v>
      </c>
      <c r="Z51" s="18">
        <v>8.9</v>
      </c>
      <c r="AA51" s="18">
        <v>8.9</v>
      </c>
      <c r="AB51" s="19">
        <v>76</v>
      </c>
      <c r="AC51" s="19">
        <v>75</v>
      </c>
      <c r="AD51" s="8" t="s">
        <v>6</v>
      </c>
      <c r="AE51" s="33" t="s">
        <v>455</v>
      </c>
      <c r="AF51" s="14" t="s">
        <v>476</v>
      </c>
      <c r="AG51" s="60"/>
    </row>
    <row r="52" spans="1:33" ht="47.25" x14ac:dyDescent="0.25">
      <c r="A52" s="1">
        <v>42</v>
      </c>
      <c r="B52" s="2">
        <v>45858</v>
      </c>
      <c r="C52" s="1" t="s">
        <v>264</v>
      </c>
      <c r="D52" s="1" t="s">
        <v>9</v>
      </c>
      <c r="E52" s="1">
        <v>1</v>
      </c>
      <c r="F52" s="1">
        <v>12507024</v>
      </c>
      <c r="G52" s="1">
        <v>1250</v>
      </c>
      <c r="H52" s="1" t="s">
        <v>176</v>
      </c>
      <c r="I52" s="1" t="s">
        <v>331</v>
      </c>
      <c r="J52" s="3" t="s">
        <v>477</v>
      </c>
      <c r="K52" s="3">
        <v>1568</v>
      </c>
      <c r="L52" s="5">
        <v>1544</v>
      </c>
      <c r="M52" s="5">
        <v>1543</v>
      </c>
      <c r="N52" s="5">
        <v>1541</v>
      </c>
      <c r="O52" s="5">
        <v>1538</v>
      </c>
      <c r="P52" s="30">
        <v>1540.6666666666667</v>
      </c>
      <c r="Q52" s="15">
        <v>5</v>
      </c>
      <c r="R52" s="9">
        <v>35</v>
      </c>
      <c r="S52" s="17" t="s">
        <v>5</v>
      </c>
      <c r="T52" s="9">
        <v>164.58</v>
      </c>
      <c r="U52" s="9">
        <v>59.4</v>
      </c>
      <c r="V52" s="10">
        <v>105.18</v>
      </c>
      <c r="W52" s="9" t="s">
        <v>5</v>
      </c>
      <c r="X52" s="11">
        <v>58</v>
      </c>
      <c r="Y52" s="12">
        <v>2.86375</v>
      </c>
      <c r="Z52" s="18">
        <v>9.3000000000000007</v>
      </c>
      <c r="AA52" s="18">
        <v>9.4</v>
      </c>
      <c r="AB52" s="19">
        <v>76</v>
      </c>
      <c r="AC52" s="19">
        <v>77</v>
      </c>
      <c r="AD52" s="8" t="s">
        <v>6</v>
      </c>
      <c r="AE52" s="33" t="s">
        <v>455</v>
      </c>
      <c r="AF52" s="14" t="s">
        <v>478</v>
      </c>
      <c r="AG52" s="60"/>
    </row>
    <row r="53" spans="1:33" ht="15.75" x14ac:dyDescent="0.25">
      <c r="A53" s="1">
        <v>55</v>
      </c>
      <c r="B53" s="2">
        <v>45858</v>
      </c>
      <c r="C53" s="1" t="s">
        <v>0</v>
      </c>
      <c r="D53" s="1" t="s">
        <v>9</v>
      </c>
      <c r="E53" s="1">
        <v>1</v>
      </c>
      <c r="F53" s="1">
        <v>12507024</v>
      </c>
      <c r="G53" s="1">
        <v>1250</v>
      </c>
      <c r="H53" s="1" t="s">
        <v>10</v>
      </c>
      <c r="I53" s="1" t="s">
        <v>164</v>
      </c>
      <c r="J53" s="1" t="s">
        <v>479</v>
      </c>
      <c r="K53" s="9">
        <v>1569</v>
      </c>
      <c r="L53" s="5">
        <v>1557</v>
      </c>
      <c r="M53" s="5">
        <v>1556</v>
      </c>
      <c r="N53" s="5">
        <v>1556</v>
      </c>
      <c r="O53" s="5">
        <v>1555</v>
      </c>
      <c r="P53" s="30">
        <v>1555.6666666666667</v>
      </c>
      <c r="Q53" s="15">
        <v>5</v>
      </c>
      <c r="R53" s="9">
        <v>30</v>
      </c>
      <c r="S53" s="8" t="s">
        <v>5</v>
      </c>
      <c r="T53" s="9">
        <v>164</v>
      </c>
      <c r="U53" s="9">
        <v>66</v>
      </c>
      <c r="V53" s="10">
        <v>98</v>
      </c>
      <c r="W53" s="9" t="s">
        <v>5</v>
      </c>
      <c r="X53" s="11">
        <v>58</v>
      </c>
      <c r="Y53" s="12">
        <v>2.86375</v>
      </c>
      <c r="Z53" s="31">
        <v>9.3000000000000007</v>
      </c>
      <c r="AA53" s="31">
        <v>9.9</v>
      </c>
      <c r="AB53" s="32">
        <v>75</v>
      </c>
      <c r="AC53" s="32">
        <v>80</v>
      </c>
      <c r="AD53" s="8" t="s">
        <v>6</v>
      </c>
      <c r="AE53" s="33" t="s">
        <v>53</v>
      </c>
      <c r="AF53" s="14" t="s">
        <v>480</v>
      </c>
      <c r="AG53" s="60"/>
    </row>
    <row r="54" spans="1:33" ht="15.75" x14ac:dyDescent="0.25">
      <c r="A54" s="1">
        <v>63</v>
      </c>
      <c r="B54" s="2">
        <v>45858</v>
      </c>
      <c r="C54" s="1" t="s">
        <v>0</v>
      </c>
      <c r="D54" s="1" t="s">
        <v>265</v>
      </c>
      <c r="E54" s="1">
        <v>1</v>
      </c>
      <c r="F54" s="1">
        <v>12507024</v>
      </c>
      <c r="G54" s="1">
        <v>1250</v>
      </c>
      <c r="H54" s="1" t="s">
        <v>10</v>
      </c>
      <c r="I54" s="1" t="s">
        <v>419</v>
      </c>
      <c r="J54" s="1" t="s">
        <v>481</v>
      </c>
      <c r="K54" s="4">
        <v>1566</v>
      </c>
      <c r="L54" s="5">
        <v>1546</v>
      </c>
      <c r="M54" s="5">
        <v>1546</v>
      </c>
      <c r="N54" s="5">
        <v>1546</v>
      </c>
      <c r="O54" s="5">
        <v>1549</v>
      </c>
      <c r="P54" s="30">
        <v>1547</v>
      </c>
      <c r="Q54" s="7">
        <v>5.5</v>
      </c>
      <c r="R54" s="4">
        <v>30</v>
      </c>
      <c r="S54" s="8" t="s">
        <v>5</v>
      </c>
      <c r="T54" s="9">
        <v>169</v>
      </c>
      <c r="U54" s="9">
        <v>62</v>
      </c>
      <c r="V54" s="10">
        <v>107</v>
      </c>
      <c r="W54" s="37" t="s">
        <v>5</v>
      </c>
      <c r="X54" s="11">
        <v>58</v>
      </c>
      <c r="Y54" s="12">
        <v>3.1501250000000001</v>
      </c>
      <c r="Z54" s="7">
        <v>11.2</v>
      </c>
      <c r="AA54" s="7">
        <v>11.3</v>
      </c>
      <c r="AB54" s="13">
        <v>80</v>
      </c>
      <c r="AC54" s="13">
        <v>81</v>
      </c>
      <c r="AD54" s="8" t="s">
        <v>6</v>
      </c>
      <c r="AE54" s="33" t="s">
        <v>53</v>
      </c>
      <c r="AF54" s="14" t="s">
        <v>397</v>
      </c>
      <c r="AG54" s="60"/>
    </row>
    <row r="55" spans="1:33" ht="15.75" x14ac:dyDescent="0.25">
      <c r="A55" s="1">
        <v>64</v>
      </c>
      <c r="B55" s="2">
        <v>45858</v>
      </c>
      <c r="C55" s="1" t="s">
        <v>0</v>
      </c>
      <c r="D55" s="1" t="s">
        <v>265</v>
      </c>
      <c r="E55" s="1">
        <v>1</v>
      </c>
      <c r="F55" s="1">
        <v>12507024</v>
      </c>
      <c r="G55" s="1">
        <v>1250</v>
      </c>
      <c r="H55" s="1" t="s">
        <v>10</v>
      </c>
      <c r="I55" s="1" t="s">
        <v>3</v>
      </c>
      <c r="J55" s="1" t="s">
        <v>482</v>
      </c>
      <c r="K55" s="4">
        <v>1568</v>
      </c>
      <c r="L55" s="5">
        <v>1548</v>
      </c>
      <c r="M55" s="5">
        <v>1548</v>
      </c>
      <c r="N55" s="5">
        <v>1548</v>
      </c>
      <c r="O55" s="5">
        <v>1546</v>
      </c>
      <c r="P55" s="30">
        <v>1547.3333333333333</v>
      </c>
      <c r="Q55" s="7">
        <v>5</v>
      </c>
      <c r="R55" s="4">
        <v>35</v>
      </c>
      <c r="S55" s="8">
        <v>27</v>
      </c>
      <c r="T55" s="9">
        <v>173</v>
      </c>
      <c r="U55" s="9">
        <v>59</v>
      </c>
      <c r="V55" s="10">
        <v>114</v>
      </c>
      <c r="W55" s="37" t="s">
        <v>5</v>
      </c>
      <c r="X55" s="11">
        <v>58</v>
      </c>
      <c r="Y55" s="12">
        <v>2.86375</v>
      </c>
      <c r="Z55" s="7">
        <v>7.4</v>
      </c>
      <c r="AA55" s="7">
        <v>6.8</v>
      </c>
      <c r="AB55" s="13">
        <v>80</v>
      </c>
      <c r="AC55" s="13">
        <v>75</v>
      </c>
      <c r="AD55" s="8" t="s">
        <v>6</v>
      </c>
      <c r="AE55" s="33" t="s">
        <v>53</v>
      </c>
      <c r="AF55" s="14" t="s">
        <v>418</v>
      </c>
      <c r="AG55" s="60"/>
    </row>
    <row r="56" spans="1:33" ht="31.5" x14ac:dyDescent="0.25">
      <c r="A56" s="1">
        <v>80</v>
      </c>
      <c r="B56" s="2">
        <v>45858</v>
      </c>
      <c r="C56" s="1" t="s">
        <v>0</v>
      </c>
      <c r="D56" s="1" t="s">
        <v>265</v>
      </c>
      <c r="E56" s="1">
        <v>2</v>
      </c>
      <c r="F56" s="1">
        <v>22507024</v>
      </c>
      <c r="G56" s="1">
        <v>1250</v>
      </c>
      <c r="H56" s="1" t="s">
        <v>10</v>
      </c>
      <c r="I56" s="1" t="s">
        <v>182</v>
      </c>
      <c r="J56" s="1" t="s">
        <v>483</v>
      </c>
      <c r="K56" s="4">
        <v>1569</v>
      </c>
      <c r="L56" s="5">
        <v>1542</v>
      </c>
      <c r="M56" s="5">
        <v>1540</v>
      </c>
      <c r="N56" s="5">
        <v>1538</v>
      </c>
      <c r="O56" s="5">
        <v>1538</v>
      </c>
      <c r="P56" s="30">
        <v>1538.6666666666667</v>
      </c>
      <c r="Q56" s="7">
        <v>5.3</v>
      </c>
      <c r="R56" s="4">
        <v>37</v>
      </c>
      <c r="S56" s="8">
        <v>34</v>
      </c>
      <c r="T56" s="9" t="s">
        <v>5</v>
      </c>
      <c r="U56" s="9" t="s">
        <v>5</v>
      </c>
      <c r="V56" s="9" t="s">
        <v>5</v>
      </c>
      <c r="W56" s="37">
        <v>18.5</v>
      </c>
      <c r="X56" s="11">
        <v>58</v>
      </c>
      <c r="Y56" s="12">
        <v>3.0355749999999997</v>
      </c>
      <c r="Z56" s="7">
        <v>7.5</v>
      </c>
      <c r="AA56" s="7">
        <v>8.6999999999999993</v>
      </c>
      <c r="AB56" s="13">
        <v>73</v>
      </c>
      <c r="AC56" s="13">
        <v>84</v>
      </c>
      <c r="AD56" s="17" t="s">
        <v>6</v>
      </c>
      <c r="AE56" s="33" t="s">
        <v>455</v>
      </c>
      <c r="AF56" s="14" t="s">
        <v>484</v>
      </c>
      <c r="AG56" s="60"/>
    </row>
    <row r="57" spans="1:33" ht="15.75" x14ac:dyDescent="0.25">
      <c r="A57" s="1">
        <v>3</v>
      </c>
      <c r="B57" s="2">
        <v>45859</v>
      </c>
      <c r="C57" s="1" t="s">
        <v>18</v>
      </c>
      <c r="D57" s="1" t="s">
        <v>19</v>
      </c>
      <c r="E57" s="1">
        <v>1</v>
      </c>
      <c r="F57" s="1">
        <v>12507024</v>
      </c>
      <c r="G57" s="1">
        <v>1250</v>
      </c>
      <c r="H57" s="1" t="s">
        <v>10</v>
      </c>
      <c r="I57" s="1" t="s">
        <v>458</v>
      </c>
      <c r="J57" s="3" t="s">
        <v>485</v>
      </c>
      <c r="K57" s="3">
        <v>1566</v>
      </c>
      <c r="L57" s="5">
        <v>1545</v>
      </c>
      <c r="M57" s="5">
        <v>1541</v>
      </c>
      <c r="N57" s="5">
        <v>1539</v>
      </c>
      <c r="O57" s="5">
        <v>1542</v>
      </c>
      <c r="P57" s="30">
        <v>1540.6666666666667</v>
      </c>
      <c r="Q57" s="15">
        <v>4</v>
      </c>
      <c r="R57" s="9">
        <v>28</v>
      </c>
      <c r="S57" s="11">
        <v>18</v>
      </c>
      <c r="T57" s="8">
        <v>146.80000000000001</v>
      </c>
      <c r="U57" s="8">
        <v>66.599999999999994</v>
      </c>
      <c r="V57" s="10">
        <v>80.200000000000017</v>
      </c>
      <c r="W57" s="11" t="s">
        <v>5</v>
      </c>
      <c r="X57" s="11">
        <v>58</v>
      </c>
      <c r="Y57" s="12">
        <v>2.2909999999999999</v>
      </c>
      <c r="Z57" s="31">
        <v>8.9</v>
      </c>
      <c r="AA57" s="31">
        <v>9</v>
      </c>
      <c r="AB57" s="32">
        <v>69</v>
      </c>
      <c r="AC57" s="32">
        <v>75</v>
      </c>
      <c r="AD57" s="11" t="s">
        <v>6</v>
      </c>
      <c r="AE57" s="33" t="s">
        <v>53</v>
      </c>
      <c r="AF57" s="41" t="s">
        <v>486</v>
      </c>
      <c r="AG57" s="60"/>
    </row>
    <row r="58" spans="1:33" ht="15.75" x14ac:dyDescent="0.25">
      <c r="A58" s="1">
        <v>6</v>
      </c>
      <c r="B58" s="2">
        <v>45859</v>
      </c>
      <c r="C58" s="1" t="s">
        <v>18</v>
      </c>
      <c r="D58" s="1" t="s">
        <v>19</v>
      </c>
      <c r="E58" s="1">
        <v>1</v>
      </c>
      <c r="F58" s="1">
        <v>12507024</v>
      </c>
      <c r="G58" s="1">
        <v>1250</v>
      </c>
      <c r="H58" s="1" t="s">
        <v>10</v>
      </c>
      <c r="I58" s="1" t="s">
        <v>373</v>
      </c>
      <c r="J58" s="3" t="s">
        <v>487</v>
      </c>
      <c r="K58" s="3">
        <v>1568</v>
      </c>
      <c r="L58" s="5">
        <v>1550</v>
      </c>
      <c r="M58" s="5">
        <v>1551</v>
      </c>
      <c r="N58" s="5">
        <v>1551</v>
      </c>
      <c r="O58" s="5" t="s">
        <v>5</v>
      </c>
      <c r="P58" s="30">
        <v>1551</v>
      </c>
      <c r="Q58" s="15">
        <v>5.5</v>
      </c>
      <c r="R58" s="9">
        <v>30</v>
      </c>
      <c r="S58" s="11">
        <v>28</v>
      </c>
      <c r="T58" s="9">
        <v>160</v>
      </c>
      <c r="U58" s="9">
        <v>64</v>
      </c>
      <c r="V58" s="10">
        <v>96</v>
      </c>
      <c r="W58" s="11" t="s">
        <v>5</v>
      </c>
      <c r="X58" s="11">
        <v>58</v>
      </c>
      <c r="Y58" s="12">
        <v>3.1501250000000001</v>
      </c>
      <c r="Z58" s="64">
        <v>10</v>
      </c>
      <c r="AA58" s="64">
        <v>10.3</v>
      </c>
      <c r="AB58" s="49">
        <v>74</v>
      </c>
      <c r="AC58" s="49">
        <v>78</v>
      </c>
      <c r="AD58" s="11" t="s">
        <v>488</v>
      </c>
      <c r="AE58" s="33" t="s">
        <v>53</v>
      </c>
      <c r="AF58" s="14" t="s">
        <v>489</v>
      </c>
      <c r="AG58" s="60"/>
    </row>
    <row r="59" spans="1:33" ht="47.25" x14ac:dyDescent="0.25">
      <c r="A59" s="1">
        <v>17</v>
      </c>
      <c r="B59" s="2">
        <v>45859</v>
      </c>
      <c r="C59" s="1" t="s">
        <v>18</v>
      </c>
      <c r="D59" s="1" t="s">
        <v>19</v>
      </c>
      <c r="E59" s="1">
        <v>2</v>
      </c>
      <c r="F59" s="1">
        <v>22507024</v>
      </c>
      <c r="G59" s="1">
        <v>1250</v>
      </c>
      <c r="H59" s="1" t="s">
        <v>10</v>
      </c>
      <c r="I59" s="1" t="s">
        <v>103</v>
      </c>
      <c r="J59" s="3" t="s">
        <v>490</v>
      </c>
      <c r="K59" s="3">
        <v>1570</v>
      </c>
      <c r="L59" s="5">
        <v>1550</v>
      </c>
      <c r="M59" s="5">
        <v>1548</v>
      </c>
      <c r="N59" s="5">
        <v>1548</v>
      </c>
      <c r="O59" s="5">
        <v>1547</v>
      </c>
      <c r="P59" s="30">
        <v>1547.6666666666667</v>
      </c>
      <c r="Q59" s="15">
        <v>4.5</v>
      </c>
      <c r="R59" s="9">
        <v>37</v>
      </c>
      <c r="S59" s="8">
        <v>22</v>
      </c>
      <c r="T59" s="11" t="s">
        <v>5</v>
      </c>
      <c r="U59" s="11" t="s">
        <v>5</v>
      </c>
      <c r="V59" s="11" t="s">
        <v>5</v>
      </c>
      <c r="W59" s="9">
        <v>16.2</v>
      </c>
      <c r="X59" s="11">
        <v>58</v>
      </c>
      <c r="Y59" s="12">
        <v>2.577375</v>
      </c>
      <c r="Z59" s="31">
        <v>6.8</v>
      </c>
      <c r="AA59" s="31">
        <v>8.4</v>
      </c>
      <c r="AB59" s="11">
        <v>67</v>
      </c>
      <c r="AC59" s="11">
        <v>82</v>
      </c>
      <c r="AD59" s="8" t="s">
        <v>6</v>
      </c>
      <c r="AE59" s="33" t="s">
        <v>7</v>
      </c>
      <c r="AF59" s="14" t="s">
        <v>491</v>
      </c>
      <c r="AG59" s="60"/>
    </row>
    <row r="60" spans="1:33" ht="47.25" x14ac:dyDescent="0.25">
      <c r="A60" s="1">
        <v>32</v>
      </c>
      <c r="B60" s="2">
        <v>45859</v>
      </c>
      <c r="C60" s="1" t="s">
        <v>264</v>
      </c>
      <c r="D60" s="1" t="s">
        <v>9</v>
      </c>
      <c r="E60" s="1">
        <v>1</v>
      </c>
      <c r="F60" s="1">
        <v>12507025</v>
      </c>
      <c r="G60" s="1">
        <v>1250</v>
      </c>
      <c r="H60" s="1" t="s">
        <v>55</v>
      </c>
      <c r="I60" s="1" t="s">
        <v>93</v>
      </c>
      <c r="J60" s="5" t="s">
        <v>492</v>
      </c>
      <c r="K60" s="5">
        <v>1568</v>
      </c>
      <c r="L60" s="5">
        <v>1554</v>
      </c>
      <c r="M60" s="5">
        <v>1554</v>
      </c>
      <c r="N60" s="5">
        <v>1554</v>
      </c>
      <c r="O60" s="5">
        <v>1552</v>
      </c>
      <c r="P60" s="30">
        <v>1553.3333333333333</v>
      </c>
      <c r="Q60" s="18">
        <v>5.2</v>
      </c>
      <c r="R60" s="36">
        <v>37</v>
      </c>
      <c r="S60" s="17" t="s">
        <v>5</v>
      </c>
      <c r="T60" s="9">
        <v>165</v>
      </c>
      <c r="U60" s="9">
        <v>59</v>
      </c>
      <c r="V60" s="10">
        <v>106</v>
      </c>
      <c r="W60" s="9" t="s">
        <v>5</v>
      </c>
      <c r="X60" s="11">
        <v>58</v>
      </c>
      <c r="Y60" s="12">
        <v>2.9782999999999999</v>
      </c>
      <c r="Z60" s="18">
        <v>9.8000000000000007</v>
      </c>
      <c r="AA60" s="18">
        <v>10.5</v>
      </c>
      <c r="AB60" s="19">
        <v>78</v>
      </c>
      <c r="AC60" s="19">
        <v>82</v>
      </c>
      <c r="AD60" s="8" t="s">
        <v>6</v>
      </c>
      <c r="AE60" s="33" t="s">
        <v>7</v>
      </c>
      <c r="AF60" s="14" t="s">
        <v>493</v>
      </c>
      <c r="AG60" s="60"/>
    </row>
    <row r="61" spans="1:33" ht="31.5" x14ac:dyDescent="0.25">
      <c r="A61" s="1">
        <v>41</v>
      </c>
      <c r="B61" s="2">
        <v>45859</v>
      </c>
      <c r="C61" s="1" t="s">
        <v>264</v>
      </c>
      <c r="D61" s="1" t="s">
        <v>9</v>
      </c>
      <c r="E61" s="1">
        <v>2</v>
      </c>
      <c r="F61" s="1">
        <v>22507024</v>
      </c>
      <c r="G61" s="1">
        <v>1250</v>
      </c>
      <c r="H61" s="1" t="s">
        <v>10</v>
      </c>
      <c r="I61" s="1" t="s">
        <v>11</v>
      </c>
      <c r="J61" s="3" t="s">
        <v>494</v>
      </c>
      <c r="K61" s="3">
        <v>1568</v>
      </c>
      <c r="L61" s="5">
        <v>1555</v>
      </c>
      <c r="M61" s="5">
        <v>1554</v>
      </c>
      <c r="N61" s="5">
        <v>1555</v>
      </c>
      <c r="O61" s="5">
        <v>1553</v>
      </c>
      <c r="P61" s="30">
        <v>1554</v>
      </c>
      <c r="Q61" s="15">
        <v>5.4</v>
      </c>
      <c r="R61" s="9">
        <v>35</v>
      </c>
      <c r="S61" s="17">
        <v>25</v>
      </c>
      <c r="T61" s="9" t="s">
        <v>5</v>
      </c>
      <c r="U61" s="9" t="s">
        <v>5</v>
      </c>
      <c r="V61" s="9" t="s">
        <v>5</v>
      </c>
      <c r="W61" s="9">
        <v>12.7</v>
      </c>
      <c r="X61" s="11">
        <v>58</v>
      </c>
      <c r="Y61" s="12">
        <v>3.0928500000000003</v>
      </c>
      <c r="Z61" s="18">
        <v>7.3</v>
      </c>
      <c r="AA61" s="18">
        <v>8.3000000000000007</v>
      </c>
      <c r="AB61" s="19">
        <v>71</v>
      </c>
      <c r="AC61" s="19">
        <v>80</v>
      </c>
      <c r="AD61" s="8" t="s">
        <v>6</v>
      </c>
      <c r="AE61" s="33" t="s">
        <v>455</v>
      </c>
      <c r="AF61" s="14" t="s">
        <v>495</v>
      </c>
      <c r="AG61" s="60"/>
    </row>
    <row r="62" spans="1:33" ht="47.25" x14ac:dyDescent="0.25">
      <c r="A62" s="1">
        <v>47</v>
      </c>
      <c r="B62" s="2">
        <v>45859</v>
      </c>
      <c r="C62" s="1" t="s">
        <v>264</v>
      </c>
      <c r="D62" s="1" t="s">
        <v>9</v>
      </c>
      <c r="E62" s="1">
        <v>2</v>
      </c>
      <c r="F62" s="1">
        <v>22507024</v>
      </c>
      <c r="G62" s="1">
        <v>1250</v>
      </c>
      <c r="H62" s="1" t="s">
        <v>55</v>
      </c>
      <c r="I62" s="1" t="s">
        <v>277</v>
      </c>
      <c r="J62" s="5" t="s">
        <v>496</v>
      </c>
      <c r="K62" s="3">
        <v>1566</v>
      </c>
      <c r="L62" s="5">
        <v>1548</v>
      </c>
      <c r="M62" s="5">
        <v>1549</v>
      </c>
      <c r="N62" s="5">
        <v>1547</v>
      </c>
      <c r="O62" s="5" t="s">
        <v>5</v>
      </c>
      <c r="P62" s="30">
        <v>1548</v>
      </c>
      <c r="Q62" s="15">
        <v>4.5999999999999996</v>
      </c>
      <c r="R62" s="9">
        <v>38</v>
      </c>
      <c r="S62" s="17">
        <v>18</v>
      </c>
      <c r="T62" s="9" t="s">
        <v>5</v>
      </c>
      <c r="U62" s="9" t="s">
        <v>5</v>
      </c>
      <c r="V62" s="9" t="s">
        <v>5</v>
      </c>
      <c r="W62" s="17">
        <v>15.1</v>
      </c>
      <c r="X62" s="11">
        <v>58</v>
      </c>
      <c r="Y62" s="12">
        <v>2.6346499999999997</v>
      </c>
      <c r="Z62" s="31">
        <v>7.5</v>
      </c>
      <c r="AA62" s="31">
        <v>7.5</v>
      </c>
      <c r="AB62" s="32">
        <v>79</v>
      </c>
      <c r="AC62" s="32">
        <v>76</v>
      </c>
      <c r="AD62" s="11" t="s">
        <v>6</v>
      </c>
      <c r="AE62" s="33" t="s">
        <v>7</v>
      </c>
      <c r="AF62" s="40" t="s">
        <v>497</v>
      </c>
      <c r="AG62" s="60"/>
    </row>
    <row r="63" spans="1:33" ht="15.75" x14ac:dyDescent="0.25">
      <c r="A63" s="1">
        <v>74</v>
      </c>
      <c r="B63" s="2">
        <v>45859</v>
      </c>
      <c r="C63" s="1" t="s">
        <v>0</v>
      </c>
      <c r="D63" s="1" t="s">
        <v>265</v>
      </c>
      <c r="E63" s="1">
        <v>2</v>
      </c>
      <c r="F63" s="1">
        <v>22507024</v>
      </c>
      <c r="G63" s="1">
        <v>1250</v>
      </c>
      <c r="H63" s="1" t="s">
        <v>10</v>
      </c>
      <c r="I63" s="1" t="s">
        <v>56</v>
      </c>
      <c r="J63" s="1" t="s">
        <v>498</v>
      </c>
      <c r="K63" s="4">
        <v>1573</v>
      </c>
      <c r="L63" s="5">
        <v>1544</v>
      </c>
      <c r="M63" s="5">
        <v>1549</v>
      </c>
      <c r="N63" s="5">
        <v>1548</v>
      </c>
      <c r="O63" s="5">
        <v>1548</v>
      </c>
      <c r="P63" s="30">
        <v>1548.3333333333333</v>
      </c>
      <c r="Q63" s="7">
        <v>4.3</v>
      </c>
      <c r="R63" s="4">
        <v>29</v>
      </c>
      <c r="S63" s="8" t="s">
        <v>5</v>
      </c>
      <c r="T63" s="9" t="s">
        <v>5</v>
      </c>
      <c r="U63" s="9" t="s">
        <v>5</v>
      </c>
      <c r="V63" s="10" t="s">
        <v>5</v>
      </c>
      <c r="W63" s="37">
        <v>10.7</v>
      </c>
      <c r="X63" s="11">
        <v>58</v>
      </c>
      <c r="Y63" s="12">
        <v>2.4628249999999996</v>
      </c>
      <c r="Z63" s="7">
        <v>8.1999999999999993</v>
      </c>
      <c r="AA63" s="7">
        <v>8.4</v>
      </c>
      <c r="AB63" s="13">
        <v>79</v>
      </c>
      <c r="AC63" s="13">
        <v>81</v>
      </c>
      <c r="AD63" s="17" t="s">
        <v>6</v>
      </c>
      <c r="AE63" s="33" t="s">
        <v>455</v>
      </c>
      <c r="AF63" s="14" t="s">
        <v>499</v>
      </c>
      <c r="AG63" s="60"/>
    </row>
    <row r="64" spans="1:33" ht="15.75" x14ac:dyDescent="0.25">
      <c r="A64" s="1">
        <v>75</v>
      </c>
      <c r="B64" s="2">
        <v>45859</v>
      </c>
      <c r="C64" s="1" t="s">
        <v>0</v>
      </c>
      <c r="D64" s="1" t="s">
        <v>265</v>
      </c>
      <c r="E64" s="1">
        <v>2</v>
      </c>
      <c r="F64" s="1">
        <v>22507024</v>
      </c>
      <c r="G64" s="1">
        <v>1250</v>
      </c>
      <c r="H64" s="1" t="s">
        <v>10</v>
      </c>
      <c r="I64" s="1" t="s">
        <v>159</v>
      </c>
      <c r="J64" s="1" t="s">
        <v>500</v>
      </c>
      <c r="K64" s="4">
        <v>1568</v>
      </c>
      <c r="L64" s="5">
        <v>1547</v>
      </c>
      <c r="M64" s="5">
        <v>1547</v>
      </c>
      <c r="N64" s="5">
        <v>1546</v>
      </c>
      <c r="O64" s="5">
        <v>1546</v>
      </c>
      <c r="P64" s="30">
        <v>1547</v>
      </c>
      <c r="Q64" s="7">
        <v>5.5</v>
      </c>
      <c r="R64" s="4">
        <v>30</v>
      </c>
      <c r="S64" s="8" t="s">
        <v>5</v>
      </c>
      <c r="T64" s="9" t="s">
        <v>5</v>
      </c>
      <c r="U64" s="9" t="s">
        <v>5</v>
      </c>
      <c r="V64" s="10" t="s">
        <v>5</v>
      </c>
      <c r="W64" s="9">
        <v>14.3</v>
      </c>
      <c r="X64" s="11">
        <v>58</v>
      </c>
      <c r="Y64" s="12">
        <v>3.1501250000000001</v>
      </c>
      <c r="Z64" s="7">
        <v>7.7</v>
      </c>
      <c r="AA64" s="7">
        <v>8.1999999999999993</v>
      </c>
      <c r="AB64" s="13">
        <v>74</v>
      </c>
      <c r="AC64" s="13">
        <v>78</v>
      </c>
      <c r="AD64" s="17" t="s">
        <v>6</v>
      </c>
      <c r="AE64" s="33" t="s">
        <v>455</v>
      </c>
      <c r="AF64" s="14" t="s">
        <v>501</v>
      </c>
      <c r="AG64" s="60"/>
    </row>
    <row r="65" spans="1:33" ht="15.75" x14ac:dyDescent="0.25">
      <c r="A65" s="1">
        <v>77</v>
      </c>
      <c r="B65" s="2">
        <v>45859</v>
      </c>
      <c r="C65" s="1" t="s">
        <v>0</v>
      </c>
      <c r="D65" s="1" t="s">
        <v>265</v>
      </c>
      <c r="E65" s="1">
        <v>2</v>
      </c>
      <c r="F65" s="1">
        <v>22507024</v>
      </c>
      <c r="G65" s="1">
        <v>1250</v>
      </c>
      <c r="H65" s="1" t="s">
        <v>176</v>
      </c>
      <c r="I65" s="1" t="s">
        <v>146</v>
      </c>
      <c r="J65" s="1" t="s">
        <v>502</v>
      </c>
      <c r="K65" s="4">
        <v>1566</v>
      </c>
      <c r="L65" s="5">
        <v>1540</v>
      </c>
      <c r="M65" s="5">
        <v>1542</v>
      </c>
      <c r="N65" s="5">
        <v>1542</v>
      </c>
      <c r="O65" s="5" t="s">
        <v>5</v>
      </c>
      <c r="P65" s="30">
        <v>1542</v>
      </c>
      <c r="Q65" s="7">
        <v>5.5</v>
      </c>
      <c r="R65" s="4">
        <v>34</v>
      </c>
      <c r="S65" s="8" t="s">
        <v>5</v>
      </c>
      <c r="T65" s="9" t="s">
        <v>5</v>
      </c>
      <c r="U65" s="9" t="s">
        <v>5</v>
      </c>
      <c r="V65" s="9" t="s">
        <v>5</v>
      </c>
      <c r="W65" s="37">
        <v>16.600000000000001</v>
      </c>
      <c r="X65" s="11">
        <v>58</v>
      </c>
      <c r="Y65" s="12">
        <v>3.1501250000000001</v>
      </c>
      <c r="Z65" s="7">
        <v>7.7</v>
      </c>
      <c r="AA65" s="7">
        <v>7.8</v>
      </c>
      <c r="AB65" s="13">
        <v>75</v>
      </c>
      <c r="AC65" s="13">
        <v>76</v>
      </c>
      <c r="AD65" s="17" t="s">
        <v>6</v>
      </c>
      <c r="AE65" s="33" t="s">
        <v>455</v>
      </c>
      <c r="AF65" s="14" t="s">
        <v>503</v>
      </c>
      <c r="AG65" s="60"/>
    </row>
    <row r="66" spans="1:33" ht="47.25" x14ac:dyDescent="0.25">
      <c r="A66" s="1">
        <v>78</v>
      </c>
      <c r="B66" s="2">
        <v>45859</v>
      </c>
      <c r="C66" s="1" t="s">
        <v>0</v>
      </c>
      <c r="D66" s="1" t="s">
        <v>265</v>
      </c>
      <c r="E66" s="1">
        <v>2</v>
      </c>
      <c r="F66" s="1">
        <v>22507024</v>
      </c>
      <c r="G66" s="1">
        <v>1250</v>
      </c>
      <c r="H66" s="1" t="s">
        <v>176</v>
      </c>
      <c r="I66" s="1" t="s">
        <v>504</v>
      </c>
      <c r="J66" s="1" t="s">
        <v>505</v>
      </c>
      <c r="K66" s="4">
        <v>1566</v>
      </c>
      <c r="L66" s="5">
        <v>1543</v>
      </c>
      <c r="M66" s="5">
        <v>1542</v>
      </c>
      <c r="N66" s="5">
        <v>1540</v>
      </c>
      <c r="O66" s="5" t="s">
        <v>5</v>
      </c>
      <c r="P66" s="30">
        <v>1541</v>
      </c>
      <c r="Q66" s="7">
        <v>5.2</v>
      </c>
      <c r="R66" s="4">
        <v>34</v>
      </c>
      <c r="S66" s="8">
        <v>18</v>
      </c>
      <c r="T66" s="9" t="s">
        <v>5</v>
      </c>
      <c r="U66" s="9" t="s">
        <v>5</v>
      </c>
      <c r="V66" s="9" t="s">
        <v>5</v>
      </c>
      <c r="W66" s="37">
        <v>17.2</v>
      </c>
      <c r="X66" s="11">
        <v>58</v>
      </c>
      <c r="Y66" s="12">
        <v>2.9782999999999999</v>
      </c>
      <c r="Z66" s="7">
        <v>8.1</v>
      </c>
      <c r="AA66" s="7">
        <v>6.9</v>
      </c>
      <c r="AB66" s="13">
        <v>80</v>
      </c>
      <c r="AC66" s="13">
        <v>67</v>
      </c>
      <c r="AD66" s="17" t="s">
        <v>6</v>
      </c>
      <c r="AE66" s="33" t="s">
        <v>455</v>
      </c>
      <c r="AF66" s="14" t="s">
        <v>506</v>
      </c>
      <c r="AG66" s="60"/>
    </row>
    <row r="67" spans="1:33" ht="15.75" x14ac:dyDescent="0.25">
      <c r="A67" s="1">
        <v>37</v>
      </c>
      <c r="B67" s="2">
        <v>45860</v>
      </c>
      <c r="C67" s="1" t="s">
        <v>264</v>
      </c>
      <c r="D67" s="1" t="s">
        <v>9</v>
      </c>
      <c r="E67" s="1">
        <v>1</v>
      </c>
      <c r="F67" s="16">
        <v>12507026</v>
      </c>
      <c r="G67" s="16">
        <v>1230</v>
      </c>
      <c r="H67" s="16" t="s">
        <v>10</v>
      </c>
      <c r="I67" s="16" t="s">
        <v>98</v>
      </c>
      <c r="J67" s="16" t="s">
        <v>507</v>
      </c>
      <c r="K67" s="5">
        <v>1605</v>
      </c>
      <c r="L67" s="5">
        <v>1572</v>
      </c>
      <c r="M67" s="5">
        <v>1571</v>
      </c>
      <c r="N67" s="5">
        <v>1575</v>
      </c>
      <c r="O67" s="5">
        <v>1575</v>
      </c>
      <c r="P67" s="30">
        <v>1573.6666666666667</v>
      </c>
      <c r="Q67" s="67">
        <v>3.4</v>
      </c>
      <c r="R67" s="67">
        <v>46</v>
      </c>
      <c r="S67" s="68" t="s">
        <v>5</v>
      </c>
      <c r="T67" s="9">
        <v>161.57</v>
      </c>
      <c r="U67" s="9">
        <v>62.6</v>
      </c>
      <c r="V67" s="10">
        <v>98.97</v>
      </c>
      <c r="W67" s="11" t="s">
        <v>5</v>
      </c>
      <c r="X67" s="11">
        <v>58</v>
      </c>
      <c r="Y67" s="12">
        <v>1.9161924000000001</v>
      </c>
      <c r="Z67" s="18">
        <v>8.1</v>
      </c>
      <c r="AA67" s="18">
        <v>8</v>
      </c>
      <c r="AB67" s="19">
        <v>74</v>
      </c>
      <c r="AC67" s="19">
        <v>77</v>
      </c>
      <c r="AD67" s="8" t="s">
        <v>6</v>
      </c>
      <c r="AE67" s="33" t="s">
        <v>53</v>
      </c>
      <c r="AF67" s="14" t="s">
        <v>508</v>
      </c>
      <c r="AG67" s="60"/>
    </row>
    <row r="68" spans="1:33" ht="15.75" x14ac:dyDescent="0.25">
      <c r="A68" s="1">
        <v>38</v>
      </c>
      <c r="B68" s="2">
        <v>45860</v>
      </c>
      <c r="C68" s="1" t="s">
        <v>264</v>
      </c>
      <c r="D68" s="1" t="s">
        <v>9</v>
      </c>
      <c r="E68" s="1">
        <v>1</v>
      </c>
      <c r="F68" s="16">
        <v>12507026</v>
      </c>
      <c r="G68" s="16">
        <v>1230</v>
      </c>
      <c r="H68" s="16" t="s">
        <v>10</v>
      </c>
      <c r="I68" s="16" t="s">
        <v>86</v>
      </c>
      <c r="J68" s="16" t="s">
        <v>509</v>
      </c>
      <c r="K68" s="3">
        <v>1565</v>
      </c>
      <c r="L68" s="5">
        <v>1552</v>
      </c>
      <c r="M68" s="5">
        <v>1543</v>
      </c>
      <c r="N68" s="5">
        <v>1544</v>
      </c>
      <c r="O68" s="5">
        <v>1544</v>
      </c>
      <c r="P68" s="30">
        <v>1543.6666666666667</v>
      </c>
      <c r="Q68" s="67">
        <v>5.2</v>
      </c>
      <c r="R68" s="67">
        <v>34</v>
      </c>
      <c r="S68" s="68">
        <v>23</v>
      </c>
      <c r="T68" s="9">
        <v>157</v>
      </c>
      <c r="U68" s="9">
        <v>61</v>
      </c>
      <c r="V68" s="10">
        <v>96</v>
      </c>
      <c r="W68" s="9" t="s">
        <v>5</v>
      </c>
      <c r="X68" s="11">
        <v>58</v>
      </c>
      <c r="Y68" s="12">
        <v>2.9306472000000001</v>
      </c>
      <c r="Z68" s="31">
        <v>8.1</v>
      </c>
      <c r="AA68" s="31">
        <v>9.4</v>
      </c>
      <c r="AB68" s="32">
        <v>61</v>
      </c>
      <c r="AC68" s="32">
        <v>70</v>
      </c>
      <c r="AD68" s="8" t="s">
        <v>6</v>
      </c>
      <c r="AE68" s="33" t="s">
        <v>72</v>
      </c>
      <c r="AF68" s="14" t="s">
        <v>510</v>
      </c>
      <c r="AG68" s="60"/>
    </row>
    <row r="69" spans="1:33" ht="31.5" x14ac:dyDescent="0.25">
      <c r="A69" s="1">
        <v>75</v>
      </c>
      <c r="B69" s="2">
        <v>45860</v>
      </c>
      <c r="C69" s="1" t="s">
        <v>0</v>
      </c>
      <c r="D69" s="1" t="s">
        <v>265</v>
      </c>
      <c r="E69" s="1">
        <v>2</v>
      </c>
      <c r="F69" s="16">
        <v>22507025</v>
      </c>
      <c r="G69" s="16">
        <v>1230</v>
      </c>
      <c r="H69" s="16" t="s">
        <v>10</v>
      </c>
      <c r="I69" s="16" t="s">
        <v>15</v>
      </c>
      <c r="J69" s="1" t="s">
        <v>511</v>
      </c>
      <c r="K69" s="4">
        <v>1566</v>
      </c>
      <c r="L69" s="5">
        <v>1546</v>
      </c>
      <c r="M69" s="5">
        <v>1542</v>
      </c>
      <c r="N69" s="5">
        <v>1541</v>
      </c>
      <c r="O69" s="5">
        <v>1541</v>
      </c>
      <c r="P69" s="30">
        <v>1541.3333333333333</v>
      </c>
      <c r="Q69" s="7">
        <v>5.2</v>
      </c>
      <c r="R69" s="4">
        <v>33</v>
      </c>
      <c r="S69" s="8">
        <v>28</v>
      </c>
      <c r="T69" s="9" t="s">
        <v>5</v>
      </c>
      <c r="U69" s="9" t="s">
        <v>5</v>
      </c>
      <c r="V69" s="9" t="s">
        <v>5</v>
      </c>
      <c r="W69" s="37">
        <v>22.1</v>
      </c>
      <c r="X69" s="11">
        <v>57</v>
      </c>
      <c r="Y69" s="12">
        <v>2.8801188000000004</v>
      </c>
      <c r="Z69" s="7">
        <v>7.9</v>
      </c>
      <c r="AA69" s="7">
        <v>9.3000000000000007</v>
      </c>
      <c r="AB69" s="13">
        <v>72</v>
      </c>
      <c r="AC69" s="13">
        <v>85</v>
      </c>
      <c r="AD69" s="17" t="s">
        <v>6</v>
      </c>
      <c r="AE69" s="33" t="s">
        <v>455</v>
      </c>
      <c r="AF69" s="14" t="s">
        <v>466</v>
      </c>
      <c r="AG69" s="60"/>
    </row>
    <row r="70" spans="1:33" ht="15.75" x14ac:dyDescent="0.25">
      <c r="A70" s="1">
        <v>77</v>
      </c>
      <c r="B70" s="2">
        <v>45860</v>
      </c>
      <c r="C70" s="1" t="s">
        <v>0</v>
      </c>
      <c r="D70" s="1" t="s">
        <v>265</v>
      </c>
      <c r="E70" s="1">
        <v>2</v>
      </c>
      <c r="F70" s="16">
        <v>22507025</v>
      </c>
      <c r="G70" s="16">
        <v>1230</v>
      </c>
      <c r="H70" s="16" t="s">
        <v>10</v>
      </c>
      <c r="I70" s="16" t="s">
        <v>129</v>
      </c>
      <c r="J70" s="1" t="s">
        <v>512</v>
      </c>
      <c r="K70" s="4">
        <v>1566</v>
      </c>
      <c r="L70" s="5">
        <v>1546</v>
      </c>
      <c r="M70" s="5">
        <v>1544</v>
      </c>
      <c r="N70" s="5">
        <v>1542</v>
      </c>
      <c r="O70" s="5" t="s">
        <v>5</v>
      </c>
      <c r="P70" s="30">
        <v>1543</v>
      </c>
      <c r="Q70" s="7">
        <v>5.6</v>
      </c>
      <c r="R70" s="4">
        <v>31</v>
      </c>
      <c r="S70" s="8">
        <v>29</v>
      </c>
      <c r="T70" s="9" t="s">
        <v>5</v>
      </c>
      <c r="U70" s="9" t="s">
        <v>5</v>
      </c>
      <c r="V70" s="9" t="s">
        <v>5</v>
      </c>
      <c r="W70" s="37">
        <v>23</v>
      </c>
      <c r="X70" s="11">
        <v>57</v>
      </c>
      <c r="Y70" s="12">
        <v>3.1016664</v>
      </c>
      <c r="Z70" s="7">
        <v>9</v>
      </c>
      <c r="AA70" s="7">
        <v>9.4</v>
      </c>
      <c r="AB70" s="13">
        <v>79</v>
      </c>
      <c r="AC70" s="13">
        <v>86</v>
      </c>
      <c r="AD70" s="17" t="s">
        <v>6</v>
      </c>
      <c r="AE70" s="33" t="s">
        <v>455</v>
      </c>
      <c r="AF70" s="14" t="s">
        <v>14</v>
      </c>
      <c r="AG70" s="60"/>
    </row>
    <row r="71" spans="1:33" ht="15.75" x14ac:dyDescent="0.25">
      <c r="A71" s="1">
        <v>48</v>
      </c>
      <c r="B71" s="2">
        <v>45861</v>
      </c>
      <c r="C71" s="1" t="s">
        <v>0</v>
      </c>
      <c r="D71" s="1" t="s">
        <v>265</v>
      </c>
      <c r="E71" s="1">
        <v>1</v>
      </c>
      <c r="F71" s="16">
        <v>12507026</v>
      </c>
      <c r="G71" s="16">
        <v>1250</v>
      </c>
      <c r="H71" s="16" t="s">
        <v>10</v>
      </c>
      <c r="I71" s="16" t="s">
        <v>504</v>
      </c>
      <c r="J71" s="16" t="s">
        <v>513</v>
      </c>
      <c r="K71" s="3">
        <v>1565</v>
      </c>
      <c r="L71" s="5">
        <v>1546</v>
      </c>
      <c r="M71" s="5">
        <v>1546</v>
      </c>
      <c r="N71" s="5">
        <v>1546</v>
      </c>
      <c r="O71" s="5">
        <v>1546</v>
      </c>
      <c r="P71" s="30">
        <v>1546</v>
      </c>
      <c r="Q71" s="67">
        <v>5.6</v>
      </c>
      <c r="R71" s="67">
        <v>29</v>
      </c>
      <c r="S71" s="68" t="s">
        <v>5</v>
      </c>
      <c r="T71" s="9">
        <v>159</v>
      </c>
      <c r="U71" s="9">
        <v>64</v>
      </c>
      <c r="V71" s="10">
        <v>95</v>
      </c>
      <c r="W71" s="17" t="s">
        <v>5</v>
      </c>
      <c r="X71" s="11">
        <v>58</v>
      </c>
      <c r="Y71" s="12">
        <v>3.2073999999999998</v>
      </c>
      <c r="Z71" s="46">
        <v>10.3</v>
      </c>
      <c r="AA71" s="31">
        <v>10</v>
      </c>
      <c r="AB71" s="32">
        <v>83</v>
      </c>
      <c r="AC71" s="32">
        <v>81</v>
      </c>
      <c r="AD71" s="11" t="s">
        <v>6</v>
      </c>
      <c r="AE71" s="33" t="s">
        <v>53</v>
      </c>
      <c r="AF71" s="14" t="s">
        <v>508</v>
      </c>
      <c r="AG71" s="60"/>
    </row>
    <row r="72" spans="1:33" ht="31.5" x14ac:dyDescent="0.25">
      <c r="A72" s="1">
        <v>15</v>
      </c>
      <c r="B72" s="2">
        <v>45862</v>
      </c>
      <c r="C72" s="1" t="s">
        <v>18</v>
      </c>
      <c r="D72" s="1" t="s">
        <v>19</v>
      </c>
      <c r="E72" s="1">
        <v>2</v>
      </c>
      <c r="F72" s="16">
        <v>22507029</v>
      </c>
      <c r="G72" s="16">
        <v>1250</v>
      </c>
      <c r="H72" s="16" t="s">
        <v>10</v>
      </c>
      <c r="I72" s="69" t="s">
        <v>98</v>
      </c>
      <c r="J72" s="3" t="s">
        <v>514</v>
      </c>
      <c r="K72" s="3">
        <v>1600</v>
      </c>
      <c r="L72" s="5">
        <v>1578</v>
      </c>
      <c r="M72" s="5">
        <v>1568</v>
      </c>
      <c r="N72" s="5">
        <v>1568</v>
      </c>
      <c r="O72" s="5">
        <v>1566</v>
      </c>
      <c r="P72" s="30">
        <v>1567.3333333333333</v>
      </c>
      <c r="Q72" s="70">
        <v>3.8</v>
      </c>
      <c r="R72" s="71">
        <v>46</v>
      </c>
      <c r="S72" s="72">
        <v>36</v>
      </c>
      <c r="T72" s="11" t="s">
        <v>5</v>
      </c>
      <c r="U72" s="11" t="s">
        <v>5</v>
      </c>
      <c r="V72" s="11" t="s">
        <v>5</v>
      </c>
      <c r="W72" s="11" t="s">
        <v>248</v>
      </c>
      <c r="X72" s="69">
        <v>58</v>
      </c>
      <c r="Y72" s="12">
        <v>2.17645</v>
      </c>
      <c r="Z72" s="31">
        <v>6</v>
      </c>
      <c r="AA72" s="31">
        <v>7</v>
      </c>
      <c r="AB72" s="11">
        <v>60</v>
      </c>
      <c r="AC72" s="11">
        <v>70</v>
      </c>
      <c r="AD72" s="11" t="s">
        <v>6</v>
      </c>
      <c r="AE72" s="33" t="s">
        <v>7</v>
      </c>
      <c r="AF72" s="41" t="s">
        <v>515</v>
      </c>
      <c r="AG72" s="60"/>
    </row>
    <row r="73" spans="1:33" ht="31.5" x14ac:dyDescent="0.25">
      <c r="A73" s="1">
        <v>17</v>
      </c>
      <c r="B73" s="2">
        <v>45862</v>
      </c>
      <c r="C73" s="1" t="s">
        <v>18</v>
      </c>
      <c r="D73" s="1" t="s">
        <v>19</v>
      </c>
      <c r="E73" s="1">
        <v>2</v>
      </c>
      <c r="F73" s="16">
        <v>22507029</v>
      </c>
      <c r="G73" s="16">
        <v>1250</v>
      </c>
      <c r="H73" s="16" t="s">
        <v>244</v>
      </c>
      <c r="I73" s="69" t="s">
        <v>77</v>
      </c>
      <c r="J73" s="16" t="s">
        <v>516</v>
      </c>
      <c r="K73" s="3">
        <v>1565</v>
      </c>
      <c r="L73" s="5">
        <v>1543</v>
      </c>
      <c r="M73" s="5">
        <v>1543</v>
      </c>
      <c r="N73" s="5">
        <v>1544</v>
      </c>
      <c r="O73" s="5">
        <v>1545</v>
      </c>
      <c r="P73" s="30">
        <v>1544</v>
      </c>
      <c r="Q73" s="67">
        <v>5</v>
      </c>
      <c r="R73" s="67">
        <v>37</v>
      </c>
      <c r="S73" s="72">
        <v>14</v>
      </c>
      <c r="T73" s="11" t="s">
        <v>5</v>
      </c>
      <c r="U73" s="11" t="s">
        <v>5</v>
      </c>
      <c r="V73" s="11" t="s">
        <v>5</v>
      </c>
      <c r="W73" s="11">
        <v>22.1</v>
      </c>
      <c r="X73" s="16">
        <v>58</v>
      </c>
      <c r="Y73" s="12">
        <v>2.86375</v>
      </c>
      <c r="Z73" s="31">
        <v>6.4</v>
      </c>
      <c r="AA73" s="31">
        <v>7.5</v>
      </c>
      <c r="AB73" s="11">
        <v>60</v>
      </c>
      <c r="AC73" s="11">
        <v>70</v>
      </c>
      <c r="AD73" s="8" t="s">
        <v>6</v>
      </c>
      <c r="AE73" s="33" t="s">
        <v>7</v>
      </c>
      <c r="AF73" s="14" t="s">
        <v>517</v>
      </c>
      <c r="AG73" s="60"/>
    </row>
    <row r="74" spans="1:33" ht="31.5" x14ac:dyDescent="0.25">
      <c r="A74" s="1">
        <v>25</v>
      </c>
      <c r="B74" s="2">
        <v>45862</v>
      </c>
      <c r="C74" s="1" t="s">
        <v>264</v>
      </c>
      <c r="D74" s="1" t="s">
        <v>9</v>
      </c>
      <c r="E74" s="1">
        <v>1</v>
      </c>
      <c r="F74" s="16">
        <v>12507027</v>
      </c>
      <c r="G74" s="16">
        <v>1250</v>
      </c>
      <c r="H74" s="16" t="s">
        <v>176</v>
      </c>
      <c r="I74" s="16" t="s">
        <v>110</v>
      </c>
      <c r="J74" s="16" t="s">
        <v>518</v>
      </c>
      <c r="K74" s="3">
        <v>1568</v>
      </c>
      <c r="L74" s="5">
        <v>1555</v>
      </c>
      <c r="M74" s="5">
        <v>1554</v>
      </c>
      <c r="N74" s="5">
        <v>1554</v>
      </c>
      <c r="O74" s="5" t="s">
        <v>5</v>
      </c>
      <c r="P74" s="30">
        <v>1554</v>
      </c>
      <c r="Q74" s="67">
        <v>4.5</v>
      </c>
      <c r="R74" s="67">
        <v>40</v>
      </c>
      <c r="S74" s="72" t="s">
        <v>5</v>
      </c>
      <c r="T74" s="11">
        <v>169</v>
      </c>
      <c r="U74" s="11">
        <v>62</v>
      </c>
      <c r="V74" s="10">
        <v>107</v>
      </c>
      <c r="W74" s="11" t="s">
        <v>5</v>
      </c>
      <c r="X74" s="16">
        <v>58</v>
      </c>
      <c r="Y74" s="12">
        <v>2.577375</v>
      </c>
      <c r="Z74" s="31">
        <v>7.9</v>
      </c>
      <c r="AA74" s="31">
        <v>7.3</v>
      </c>
      <c r="AB74" s="11">
        <v>67</v>
      </c>
      <c r="AC74" s="11">
        <v>61</v>
      </c>
      <c r="AD74" s="8" t="s">
        <v>6</v>
      </c>
      <c r="AE74" s="33" t="s">
        <v>7</v>
      </c>
      <c r="AF74" s="14" t="s">
        <v>519</v>
      </c>
      <c r="AG74" s="60"/>
    </row>
    <row r="75" spans="1:33" ht="15.75" x14ac:dyDescent="0.25">
      <c r="A75" s="1">
        <v>46</v>
      </c>
      <c r="B75" s="2">
        <v>45862</v>
      </c>
      <c r="C75" s="1" t="s">
        <v>264</v>
      </c>
      <c r="D75" s="1" t="s">
        <v>9</v>
      </c>
      <c r="E75" s="1">
        <v>2</v>
      </c>
      <c r="F75" s="16">
        <v>22507030</v>
      </c>
      <c r="G75" s="16">
        <v>1250</v>
      </c>
      <c r="H75" s="16" t="s">
        <v>10</v>
      </c>
      <c r="I75" s="16" t="s">
        <v>93</v>
      </c>
      <c r="J75" s="16" t="s">
        <v>520</v>
      </c>
      <c r="K75" s="3">
        <v>1568</v>
      </c>
      <c r="L75" s="5">
        <v>1545</v>
      </c>
      <c r="M75" s="5">
        <v>1548</v>
      </c>
      <c r="N75" s="5">
        <v>1547</v>
      </c>
      <c r="O75" s="5" t="s">
        <v>5</v>
      </c>
      <c r="P75" s="30">
        <v>1547.5</v>
      </c>
      <c r="Q75" s="67">
        <v>5.2</v>
      </c>
      <c r="R75" s="67">
        <v>37</v>
      </c>
      <c r="S75" s="68" t="s">
        <v>5</v>
      </c>
      <c r="T75" s="9" t="s">
        <v>5</v>
      </c>
      <c r="U75" s="9" t="s">
        <v>5</v>
      </c>
      <c r="V75" s="10" t="s">
        <v>5</v>
      </c>
      <c r="W75" s="9" t="s">
        <v>5</v>
      </c>
      <c r="X75" s="11">
        <v>58</v>
      </c>
      <c r="Y75" s="12">
        <v>2.9782999999999999</v>
      </c>
      <c r="Z75" s="31">
        <v>9.1</v>
      </c>
      <c r="AA75" s="31">
        <v>9.4</v>
      </c>
      <c r="AB75" s="32">
        <v>69</v>
      </c>
      <c r="AC75" s="32">
        <v>74</v>
      </c>
      <c r="AD75" s="8" t="s">
        <v>6</v>
      </c>
      <c r="AE75" s="33" t="s">
        <v>53</v>
      </c>
      <c r="AF75" s="14" t="s">
        <v>14</v>
      </c>
      <c r="AG75" s="60"/>
    </row>
    <row r="76" spans="1:33" ht="31.5" x14ac:dyDescent="0.25">
      <c r="A76" s="1">
        <v>69</v>
      </c>
      <c r="B76" s="2">
        <v>45862</v>
      </c>
      <c r="C76" s="1" t="s">
        <v>0</v>
      </c>
      <c r="D76" s="1" t="s">
        <v>265</v>
      </c>
      <c r="E76" s="1">
        <v>2</v>
      </c>
      <c r="F76" s="16">
        <v>22507030</v>
      </c>
      <c r="G76" s="16">
        <v>1260</v>
      </c>
      <c r="H76" s="16" t="s">
        <v>10</v>
      </c>
      <c r="I76" s="16" t="s">
        <v>120</v>
      </c>
      <c r="J76" s="16" t="s">
        <v>521</v>
      </c>
      <c r="K76" s="4">
        <v>1570</v>
      </c>
      <c r="L76" s="5">
        <v>1546</v>
      </c>
      <c r="M76" s="5">
        <v>1551</v>
      </c>
      <c r="N76" s="5">
        <v>1549</v>
      </c>
      <c r="O76" s="5">
        <v>1552</v>
      </c>
      <c r="P76" s="30">
        <v>1550.6666666666667</v>
      </c>
      <c r="Q76" s="16">
        <v>5.2</v>
      </c>
      <c r="R76" s="16">
        <v>32</v>
      </c>
      <c r="S76" s="8">
        <v>36</v>
      </c>
      <c r="T76" s="9" t="s">
        <v>5</v>
      </c>
      <c r="U76" s="9" t="s">
        <v>5</v>
      </c>
      <c r="V76" s="9" t="s">
        <v>5</v>
      </c>
      <c r="W76" s="11">
        <v>14.5</v>
      </c>
      <c r="X76" s="11">
        <v>58</v>
      </c>
      <c r="Y76" s="12">
        <v>3.0021264000000003</v>
      </c>
      <c r="Z76" s="7">
        <v>10</v>
      </c>
      <c r="AA76" s="7">
        <v>10.3</v>
      </c>
      <c r="AB76" s="13">
        <v>87</v>
      </c>
      <c r="AC76" s="13">
        <v>81</v>
      </c>
      <c r="AD76" s="8" t="s">
        <v>6</v>
      </c>
      <c r="AE76" s="33" t="s">
        <v>53</v>
      </c>
      <c r="AF76" s="14" t="s">
        <v>522</v>
      </c>
      <c r="AG76" s="60"/>
    </row>
    <row r="77" spans="1:33" ht="31.5" x14ac:dyDescent="0.25">
      <c r="A77" s="1">
        <v>4</v>
      </c>
      <c r="B77" s="2">
        <v>45863</v>
      </c>
      <c r="C77" s="1" t="s">
        <v>18</v>
      </c>
      <c r="D77" s="1" t="s">
        <v>258</v>
      </c>
      <c r="E77" s="1">
        <v>1</v>
      </c>
      <c r="F77" s="16">
        <v>12507027</v>
      </c>
      <c r="G77" s="16">
        <v>1230</v>
      </c>
      <c r="H77" s="16" t="s">
        <v>10</v>
      </c>
      <c r="I77" s="16" t="s">
        <v>146</v>
      </c>
      <c r="J77" s="16" t="s">
        <v>523</v>
      </c>
      <c r="K77" s="3">
        <v>1570</v>
      </c>
      <c r="L77" s="5">
        <v>1550</v>
      </c>
      <c r="M77" s="5">
        <v>1549</v>
      </c>
      <c r="N77" s="5">
        <v>1547</v>
      </c>
      <c r="O77" s="5">
        <v>1545</v>
      </c>
      <c r="P77" s="30">
        <v>1547</v>
      </c>
      <c r="Q77" s="16">
        <v>4.8</v>
      </c>
      <c r="R77" s="16">
        <v>35</v>
      </c>
      <c r="S77" s="72">
        <v>28</v>
      </c>
      <c r="T77" s="9">
        <v>162.30000000000001</v>
      </c>
      <c r="U77" s="9">
        <v>63</v>
      </c>
      <c r="V77" s="10">
        <v>99.300000000000011</v>
      </c>
      <c r="W77" s="11">
        <v>17</v>
      </c>
      <c r="X77" s="69">
        <v>58</v>
      </c>
      <c r="Y77" s="12">
        <v>2.7052128</v>
      </c>
      <c r="Z77" s="31">
        <v>9.3000000000000007</v>
      </c>
      <c r="AA77" s="31">
        <v>9.6</v>
      </c>
      <c r="AB77" s="32">
        <v>69</v>
      </c>
      <c r="AC77" s="32">
        <v>70</v>
      </c>
      <c r="AD77" s="11" t="s">
        <v>6</v>
      </c>
      <c r="AE77" s="33" t="s">
        <v>7</v>
      </c>
      <c r="AF77" s="41" t="s">
        <v>524</v>
      </c>
      <c r="AG77" s="60"/>
    </row>
    <row r="78" spans="1:33" ht="15.75" x14ac:dyDescent="0.25">
      <c r="A78" s="1">
        <v>15</v>
      </c>
      <c r="B78" s="2">
        <v>45863</v>
      </c>
      <c r="C78" s="1" t="s">
        <v>18</v>
      </c>
      <c r="D78" s="1" t="s">
        <v>258</v>
      </c>
      <c r="E78" s="1">
        <v>2</v>
      </c>
      <c r="F78" s="16">
        <v>22507030</v>
      </c>
      <c r="G78" s="16">
        <v>1260</v>
      </c>
      <c r="H78" s="16" t="s">
        <v>10</v>
      </c>
      <c r="I78" s="16" t="s">
        <v>11</v>
      </c>
      <c r="J78" s="3" t="s">
        <v>525</v>
      </c>
      <c r="K78" s="3">
        <v>1565</v>
      </c>
      <c r="L78" s="5">
        <v>1543</v>
      </c>
      <c r="M78" s="5">
        <v>1545</v>
      </c>
      <c r="N78" s="5">
        <v>1542</v>
      </c>
      <c r="O78" s="5">
        <v>1540</v>
      </c>
      <c r="P78" s="30">
        <v>1542.3333333333333</v>
      </c>
      <c r="Q78" s="70">
        <v>5.2</v>
      </c>
      <c r="R78" s="71">
        <v>33</v>
      </c>
      <c r="S78" s="72" t="s">
        <v>5</v>
      </c>
      <c r="T78" s="11" t="s">
        <v>5</v>
      </c>
      <c r="U78" s="11" t="s">
        <v>5</v>
      </c>
      <c r="V78" s="11" t="s">
        <v>5</v>
      </c>
      <c r="W78" s="11">
        <v>13.6</v>
      </c>
      <c r="X78" s="69">
        <v>58</v>
      </c>
      <c r="Y78" s="12">
        <v>3.0021264000000003</v>
      </c>
      <c r="Z78" s="31">
        <v>9.8000000000000007</v>
      </c>
      <c r="AA78" s="31">
        <v>9</v>
      </c>
      <c r="AB78" s="11">
        <v>67</v>
      </c>
      <c r="AC78" s="11">
        <v>74</v>
      </c>
      <c r="AD78" s="11" t="s">
        <v>6</v>
      </c>
      <c r="AE78" s="33" t="s">
        <v>53</v>
      </c>
      <c r="AF78" s="41" t="s">
        <v>526</v>
      </c>
      <c r="AG78" s="60"/>
    </row>
    <row r="79" spans="1:33" ht="15.75" x14ac:dyDescent="0.25">
      <c r="A79" s="1">
        <v>17</v>
      </c>
      <c r="B79" s="2">
        <v>45863</v>
      </c>
      <c r="C79" s="1" t="s">
        <v>18</v>
      </c>
      <c r="D79" s="1" t="s">
        <v>258</v>
      </c>
      <c r="E79" s="1">
        <v>2</v>
      </c>
      <c r="F79" s="16">
        <v>22507030</v>
      </c>
      <c r="G79" s="16">
        <v>1260</v>
      </c>
      <c r="H79" s="16" t="s">
        <v>10</v>
      </c>
      <c r="I79" s="16" t="s">
        <v>66</v>
      </c>
      <c r="J79" s="16" t="s">
        <v>527</v>
      </c>
      <c r="K79" s="3">
        <v>1565</v>
      </c>
      <c r="L79" s="5">
        <v>1547</v>
      </c>
      <c r="M79" s="5">
        <v>1546</v>
      </c>
      <c r="N79" s="5">
        <v>1546</v>
      </c>
      <c r="O79" s="5" t="s">
        <v>5</v>
      </c>
      <c r="P79" s="30">
        <v>1546</v>
      </c>
      <c r="Q79" s="67">
        <v>5.5</v>
      </c>
      <c r="R79" s="67">
        <v>35</v>
      </c>
      <c r="S79" s="72">
        <v>17</v>
      </c>
      <c r="T79" s="11" t="s">
        <v>5</v>
      </c>
      <c r="U79" s="11" t="s">
        <v>5</v>
      </c>
      <c r="V79" s="11" t="s">
        <v>5</v>
      </c>
      <c r="W79" s="11">
        <v>15.4</v>
      </c>
      <c r="X79" s="16">
        <v>58</v>
      </c>
      <c r="Y79" s="12">
        <v>3.1753260000000005</v>
      </c>
      <c r="Z79" s="31">
        <v>8.5</v>
      </c>
      <c r="AA79" s="31">
        <v>8.4</v>
      </c>
      <c r="AB79" s="11">
        <v>80</v>
      </c>
      <c r="AC79" s="11">
        <v>87</v>
      </c>
      <c r="AD79" s="8" t="s">
        <v>6</v>
      </c>
      <c r="AE79" s="33" t="s">
        <v>53</v>
      </c>
      <c r="AF79" s="14" t="s">
        <v>528</v>
      </c>
      <c r="AG79" s="60"/>
    </row>
    <row r="80" spans="1:33" ht="31.5" x14ac:dyDescent="0.25">
      <c r="A80" s="1">
        <v>50</v>
      </c>
      <c r="B80" s="2">
        <v>45863</v>
      </c>
      <c r="C80" s="1" t="s">
        <v>0</v>
      </c>
      <c r="D80" s="1" t="s">
        <v>19</v>
      </c>
      <c r="E80" s="1">
        <v>1</v>
      </c>
      <c r="F80" s="16">
        <v>12507028</v>
      </c>
      <c r="G80" s="16">
        <v>1230</v>
      </c>
      <c r="H80" s="16" t="s">
        <v>10</v>
      </c>
      <c r="I80" s="16" t="s">
        <v>113</v>
      </c>
      <c r="J80" s="16" t="s">
        <v>529</v>
      </c>
      <c r="K80" s="3">
        <v>1568</v>
      </c>
      <c r="L80" s="5">
        <v>1541</v>
      </c>
      <c r="M80" s="5">
        <v>1539</v>
      </c>
      <c r="N80" s="5">
        <v>1540</v>
      </c>
      <c r="O80" s="5" t="s">
        <v>5</v>
      </c>
      <c r="P80" s="30">
        <v>1539.5</v>
      </c>
      <c r="Q80" s="67">
        <v>5</v>
      </c>
      <c r="R80" s="67">
        <v>34</v>
      </c>
      <c r="S80" s="68">
        <v>24</v>
      </c>
      <c r="T80" s="9">
        <v>173</v>
      </c>
      <c r="U80" s="9">
        <v>63</v>
      </c>
      <c r="V80" s="10">
        <v>110</v>
      </c>
      <c r="W80" s="17" t="s">
        <v>5</v>
      </c>
      <c r="X80" s="11">
        <v>58</v>
      </c>
      <c r="Y80" s="12">
        <v>2.81793</v>
      </c>
      <c r="Z80" s="31">
        <v>9.3000000000000007</v>
      </c>
      <c r="AA80" s="31">
        <v>9.9</v>
      </c>
      <c r="AB80" s="32">
        <v>71</v>
      </c>
      <c r="AC80" s="32">
        <v>76</v>
      </c>
      <c r="AD80" s="11" t="s">
        <v>6</v>
      </c>
      <c r="AE80" s="33" t="s">
        <v>7</v>
      </c>
      <c r="AF80" s="14" t="s">
        <v>530</v>
      </c>
      <c r="AG80" s="60"/>
    </row>
    <row r="81" spans="1:33" ht="47.25" x14ac:dyDescent="0.25">
      <c r="A81" s="1">
        <v>66</v>
      </c>
      <c r="B81" s="2">
        <v>45863</v>
      </c>
      <c r="C81" s="1" t="s">
        <v>0</v>
      </c>
      <c r="D81" s="1" t="s">
        <v>19</v>
      </c>
      <c r="E81" s="1">
        <v>2</v>
      </c>
      <c r="F81" s="16">
        <v>22507032</v>
      </c>
      <c r="G81" s="16">
        <v>1230</v>
      </c>
      <c r="H81" s="16" t="s">
        <v>55</v>
      </c>
      <c r="I81" s="16" t="s">
        <v>93</v>
      </c>
      <c r="J81" s="16" t="s">
        <v>531</v>
      </c>
      <c r="K81" s="4">
        <v>1570</v>
      </c>
      <c r="L81" s="5">
        <v>1548</v>
      </c>
      <c r="M81" s="5">
        <v>1547</v>
      </c>
      <c r="N81" s="5">
        <v>1546</v>
      </c>
      <c r="O81" s="5">
        <v>1544</v>
      </c>
      <c r="P81" s="30">
        <v>1545.6666666666667</v>
      </c>
      <c r="Q81" s="16">
        <v>4.9000000000000004</v>
      </c>
      <c r="R81" s="16">
        <v>33</v>
      </c>
      <c r="S81" s="8">
        <v>36</v>
      </c>
      <c r="T81" s="9" t="s">
        <v>5</v>
      </c>
      <c r="U81" s="9" t="s">
        <v>5</v>
      </c>
      <c r="V81" s="9" t="s">
        <v>5</v>
      </c>
      <c r="W81" s="11">
        <v>12.5</v>
      </c>
      <c r="X81" s="11">
        <v>58</v>
      </c>
      <c r="Y81" s="12">
        <v>2.7615714000000002</v>
      </c>
      <c r="Z81" s="7">
        <v>10.199999999999999</v>
      </c>
      <c r="AA81" s="7">
        <v>10.9</v>
      </c>
      <c r="AB81" s="13">
        <v>85</v>
      </c>
      <c r="AC81" s="13">
        <v>92</v>
      </c>
      <c r="AD81" s="8" t="s">
        <v>6</v>
      </c>
      <c r="AE81" s="33" t="s">
        <v>53</v>
      </c>
      <c r="AF81" s="14" t="s">
        <v>532</v>
      </c>
      <c r="AG81" s="60"/>
    </row>
    <row r="82" spans="1:33" ht="31.5" x14ac:dyDescent="0.25">
      <c r="A82" s="1">
        <v>10</v>
      </c>
      <c r="B82" s="2">
        <v>45864</v>
      </c>
      <c r="C82" s="1" t="s">
        <v>18</v>
      </c>
      <c r="D82" s="1" t="s">
        <v>258</v>
      </c>
      <c r="E82" s="1">
        <v>1</v>
      </c>
      <c r="F82" s="16">
        <v>12507028</v>
      </c>
      <c r="G82" s="16">
        <v>1230</v>
      </c>
      <c r="H82" s="16" t="s">
        <v>10</v>
      </c>
      <c r="I82" s="16" t="s">
        <v>240</v>
      </c>
      <c r="J82" s="16" t="s">
        <v>533</v>
      </c>
      <c r="K82" s="3">
        <v>1566</v>
      </c>
      <c r="L82" s="5">
        <v>1548</v>
      </c>
      <c r="M82" s="5">
        <v>1550</v>
      </c>
      <c r="N82" s="5">
        <v>1548</v>
      </c>
      <c r="O82" s="5">
        <v>1548</v>
      </c>
      <c r="P82" s="30">
        <v>1548.6666666666667</v>
      </c>
      <c r="Q82" s="16">
        <v>5.5</v>
      </c>
      <c r="R82" s="16">
        <v>31</v>
      </c>
      <c r="S82" s="72">
        <v>18</v>
      </c>
      <c r="T82" s="9">
        <v>169</v>
      </c>
      <c r="U82" s="9">
        <v>63.3</v>
      </c>
      <c r="V82" s="10">
        <v>105.7</v>
      </c>
      <c r="W82" s="11" t="s">
        <v>5</v>
      </c>
      <c r="X82" s="69">
        <v>58</v>
      </c>
      <c r="Y82" s="12">
        <v>3.099723</v>
      </c>
      <c r="Z82" s="31">
        <v>10</v>
      </c>
      <c r="AA82" s="31">
        <v>11</v>
      </c>
      <c r="AB82" s="32">
        <v>73</v>
      </c>
      <c r="AC82" s="32">
        <v>80</v>
      </c>
      <c r="AD82" s="11" t="s">
        <v>6</v>
      </c>
      <c r="AE82" s="33" t="s">
        <v>53</v>
      </c>
      <c r="AF82" s="41" t="s">
        <v>534</v>
      </c>
      <c r="AG82" s="60"/>
    </row>
    <row r="83" spans="1:33" ht="31.5" x14ac:dyDescent="0.25">
      <c r="A83" s="1">
        <v>18</v>
      </c>
      <c r="B83" s="2">
        <v>45864</v>
      </c>
      <c r="C83" s="1" t="s">
        <v>18</v>
      </c>
      <c r="D83" s="1" t="s">
        <v>258</v>
      </c>
      <c r="E83" s="1">
        <v>2</v>
      </c>
      <c r="F83" s="16">
        <v>22507032</v>
      </c>
      <c r="G83" s="16">
        <v>1230</v>
      </c>
      <c r="H83" s="16" t="s">
        <v>10</v>
      </c>
      <c r="I83" s="16" t="s">
        <v>113</v>
      </c>
      <c r="J83" s="16" t="s">
        <v>535</v>
      </c>
      <c r="K83" s="3">
        <v>1567</v>
      </c>
      <c r="L83" s="5">
        <v>1550</v>
      </c>
      <c r="M83" s="5">
        <v>1543</v>
      </c>
      <c r="N83" s="5">
        <v>1545</v>
      </c>
      <c r="O83" s="5" t="s">
        <v>5</v>
      </c>
      <c r="P83" s="30">
        <v>1544</v>
      </c>
      <c r="Q83" s="67">
        <v>5.2</v>
      </c>
      <c r="R83" s="67">
        <v>38</v>
      </c>
      <c r="S83" s="72" t="s">
        <v>5</v>
      </c>
      <c r="T83" s="11" t="s">
        <v>5</v>
      </c>
      <c r="U83" s="11" t="s">
        <v>5</v>
      </c>
      <c r="V83" s="11" t="s">
        <v>5</v>
      </c>
      <c r="W83" s="11" t="s">
        <v>5</v>
      </c>
      <c r="X83" s="16">
        <v>58</v>
      </c>
      <c r="Y83" s="12">
        <v>2.9306472000000001</v>
      </c>
      <c r="Z83" s="64">
        <v>8.1</v>
      </c>
      <c r="AA83" s="64">
        <v>9.6999999999999993</v>
      </c>
      <c r="AB83" s="11">
        <v>66</v>
      </c>
      <c r="AC83" s="11">
        <v>78</v>
      </c>
      <c r="AD83" s="8" t="s">
        <v>6</v>
      </c>
      <c r="AE83" s="33" t="s">
        <v>53</v>
      </c>
      <c r="AF83" s="14" t="s">
        <v>536</v>
      </c>
      <c r="AG83" s="60"/>
    </row>
    <row r="84" spans="1:33" ht="15.75" x14ac:dyDescent="0.25">
      <c r="A84" s="1">
        <v>42</v>
      </c>
      <c r="B84" s="2">
        <v>45864</v>
      </c>
      <c r="C84" s="1" t="s">
        <v>264</v>
      </c>
      <c r="D84" s="1" t="s">
        <v>265</v>
      </c>
      <c r="E84" s="1">
        <v>2</v>
      </c>
      <c r="F84" s="16">
        <v>22507032</v>
      </c>
      <c r="G84" s="16">
        <v>1230</v>
      </c>
      <c r="H84" s="16" t="s">
        <v>10</v>
      </c>
      <c r="I84" s="16" t="s">
        <v>129</v>
      </c>
      <c r="J84" s="16" t="s">
        <v>537</v>
      </c>
      <c r="K84" s="3">
        <v>1566</v>
      </c>
      <c r="L84" s="5">
        <v>1546</v>
      </c>
      <c r="M84" s="5">
        <v>1544</v>
      </c>
      <c r="N84" s="5">
        <v>1541</v>
      </c>
      <c r="O84" s="5">
        <v>1541</v>
      </c>
      <c r="P84" s="30">
        <v>1542</v>
      </c>
      <c r="Q84" s="67">
        <v>5.4</v>
      </c>
      <c r="R84" s="67">
        <v>37</v>
      </c>
      <c r="S84" s="68">
        <v>18</v>
      </c>
      <c r="T84" s="9" t="s">
        <v>5</v>
      </c>
      <c r="U84" s="9" t="s">
        <v>5</v>
      </c>
      <c r="V84" s="9" t="s">
        <v>5</v>
      </c>
      <c r="W84" s="9">
        <v>15.9</v>
      </c>
      <c r="X84" s="11">
        <v>58</v>
      </c>
      <c r="Y84" s="12">
        <v>3.0433644000000002</v>
      </c>
      <c r="Z84" s="31">
        <v>10.5</v>
      </c>
      <c r="AA84" s="31">
        <v>11.6</v>
      </c>
      <c r="AB84" s="32">
        <v>88</v>
      </c>
      <c r="AC84" s="32">
        <v>92</v>
      </c>
      <c r="AD84" s="8" t="s">
        <v>6</v>
      </c>
      <c r="AE84" s="33" t="s">
        <v>53</v>
      </c>
      <c r="AF84" s="14" t="s">
        <v>397</v>
      </c>
      <c r="AG84" s="60"/>
    </row>
    <row r="85" spans="1:33" ht="15.75" x14ac:dyDescent="0.25">
      <c r="A85" s="1">
        <v>43</v>
      </c>
      <c r="B85" s="2">
        <v>45864</v>
      </c>
      <c r="C85" s="1" t="s">
        <v>264</v>
      </c>
      <c r="D85" s="1" t="s">
        <v>265</v>
      </c>
      <c r="E85" s="1">
        <v>2</v>
      </c>
      <c r="F85" s="16">
        <v>22507032</v>
      </c>
      <c r="G85" s="16">
        <v>1230</v>
      </c>
      <c r="H85" s="16" t="s">
        <v>10</v>
      </c>
      <c r="I85" s="16" t="s">
        <v>277</v>
      </c>
      <c r="J85" s="16" t="s">
        <v>538</v>
      </c>
      <c r="K85" s="3">
        <v>1570</v>
      </c>
      <c r="L85" s="5">
        <v>1548</v>
      </c>
      <c r="M85" s="5">
        <v>1550</v>
      </c>
      <c r="N85" s="5">
        <v>1550</v>
      </c>
      <c r="O85" s="5">
        <v>1549</v>
      </c>
      <c r="P85" s="30">
        <v>1549.6666666666667</v>
      </c>
      <c r="Q85" s="67">
        <v>5</v>
      </c>
      <c r="R85" s="67">
        <v>30</v>
      </c>
      <c r="S85" s="68">
        <v>37</v>
      </c>
      <c r="T85" s="9">
        <v>165</v>
      </c>
      <c r="U85" s="9">
        <v>68</v>
      </c>
      <c r="V85" s="10">
        <v>97</v>
      </c>
      <c r="W85" s="9">
        <v>15</v>
      </c>
      <c r="X85" s="11">
        <v>58</v>
      </c>
      <c r="Y85" s="12">
        <v>2.81793</v>
      </c>
      <c r="Z85" s="31">
        <v>10.1</v>
      </c>
      <c r="AA85" s="31">
        <v>11</v>
      </c>
      <c r="AB85" s="32">
        <v>83</v>
      </c>
      <c r="AC85" s="32">
        <v>92</v>
      </c>
      <c r="AD85" s="8" t="s">
        <v>6</v>
      </c>
      <c r="AE85" s="33" t="s">
        <v>53</v>
      </c>
      <c r="AF85" s="14" t="s">
        <v>418</v>
      </c>
      <c r="AG85" s="60"/>
    </row>
    <row r="86" spans="1:33" ht="31.5" x14ac:dyDescent="0.25">
      <c r="A86" s="1">
        <v>50</v>
      </c>
      <c r="B86" s="2">
        <v>45864</v>
      </c>
      <c r="C86" s="1" t="s">
        <v>264</v>
      </c>
      <c r="D86" s="1" t="s">
        <v>265</v>
      </c>
      <c r="E86" s="1">
        <v>2</v>
      </c>
      <c r="F86" s="16">
        <v>22507032</v>
      </c>
      <c r="G86" s="16">
        <v>1230</v>
      </c>
      <c r="H86" s="16" t="s">
        <v>244</v>
      </c>
      <c r="I86" s="16" t="s">
        <v>173</v>
      </c>
      <c r="J86" s="16" t="s">
        <v>539</v>
      </c>
      <c r="K86" s="3">
        <v>1568</v>
      </c>
      <c r="L86" s="3">
        <v>1542</v>
      </c>
      <c r="M86" s="5">
        <v>1546</v>
      </c>
      <c r="N86" s="5">
        <v>1545</v>
      </c>
      <c r="O86" s="5">
        <v>1544</v>
      </c>
      <c r="P86" s="30">
        <v>1545</v>
      </c>
      <c r="Q86" s="67">
        <v>5.2</v>
      </c>
      <c r="R86" s="67">
        <v>35</v>
      </c>
      <c r="S86" s="68">
        <v>6</v>
      </c>
      <c r="T86" s="9" t="s">
        <v>5</v>
      </c>
      <c r="U86" s="9" t="s">
        <v>5</v>
      </c>
      <c r="V86" s="9" t="s">
        <v>5</v>
      </c>
      <c r="W86" s="9">
        <v>15.4</v>
      </c>
      <c r="X86" s="11">
        <v>58</v>
      </c>
      <c r="Y86" s="12">
        <v>2.9306472000000001</v>
      </c>
      <c r="Z86" s="31">
        <v>8.1</v>
      </c>
      <c r="AA86" s="31">
        <v>9.5</v>
      </c>
      <c r="AB86" s="32">
        <v>69</v>
      </c>
      <c r="AC86" s="32">
        <v>82</v>
      </c>
      <c r="AD86" s="11" t="s">
        <v>6</v>
      </c>
      <c r="AE86" s="33" t="s">
        <v>7</v>
      </c>
      <c r="AF86" s="14" t="s">
        <v>540</v>
      </c>
      <c r="AG86" s="60"/>
    </row>
    <row r="87" spans="1:33" ht="15.75" x14ac:dyDescent="0.25">
      <c r="A87" s="1">
        <v>57</v>
      </c>
      <c r="B87" s="2">
        <v>45864</v>
      </c>
      <c r="C87" s="1" t="s">
        <v>0</v>
      </c>
      <c r="D87" s="1" t="s">
        <v>19</v>
      </c>
      <c r="E87" s="1">
        <v>1</v>
      </c>
      <c r="F87" s="16">
        <v>12507030</v>
      </c>
      <c r="G87" s="16">
        <v>1250</v>
      </c>
      <c r="H87" s="16" t="s">
        <v>244</v>
      </c>
      <c r="I87" s="16" t="s">
        <v>77</v>
      </c>
      <c r="J87" s="69" t="s">
        <v>541</v>
      </c>
      <c r="K87" s="9">
        <v>1566</v>
      </c>
      <c r="L87" s="5">
        <v>1544</v>
      </c>
      <c r="M87" s="5">
        <v>1544</v>
      </c>
      <c r="N87" s="5">
        <v>1541</v>
      </c>
      <c r="O87" s="5" t="s">
        <v>5</v>
      </c>
      <c r="P87" s="30">
        <v>1542.5</v>
      </c>
      <c r="Q87" s="69">
        <v>5</v>
      </c>
      <c r="R87" s="69">
        <v>38</v>
      </c>
      <c r="S87" s="8">
        <v>12</v>
      </c>
      <c r="T87" s="11">
        <v>163.19999999999999</v>
      </c>
      <c r="U87" s="11">
        <v>61.3</v>
      </c>
      <c r="V87" s="10">
        <v>101.89999999999999</v>
      </c>
      <c r="W87" s="11" t="s">
        <v>5</v>
      </c>
      <c r="X87" s="11">
        <v>58</v>
      </c>
      <c r="Y87" s="12">
        <v>2.81793</v>
      </c>
      <c r="Z87" s="31">
        <v>9.9</v>
      </c>
      <c r="AA87" s="31">
        <v>9.5</v>
      </c>
      <c r="AB87" s="32">
        <v>83</v>
      </c>
      <c r="AC87" s="32">
        <v>80</v>
      </c>
      <c r="AD87" s="8" t="s">
        <v>6</v>
      </c>
      <c r="AE87" s="33" t="s">
        <v>7</v>
      </c>
      <c r="AF87" s="14" t="s">
        <v>542</v>
      </c>
      <c r="AG87" s="60"/>
    </row>
    <row r="88" spans="1:33" ht="15.75" x14ac:dyDescent="0.25">
      <c r="A88" s="1">
        <v>58</v>
      </c>
      <c r="B88" s="2">
        <v>45864</v>
      </c>
      <c r="C88" s="1" t="s">
        <v>0</v>
      </c>
      <c r="D88" s="1" t="s">
        <v>19</v>
      </c>
      <c r="E88" s="1">
        <v>1</v>
      </c>
      <c r="F88" s="16">
        <v>12507030</v>
      </c>
      <c r="G88" s="16">
        <v>1250</v>
      </c>
      <c r="H88" s="16" t="s">
        <v>244</v>
      </c>
      <c r="I88" s="16" t="s">
        <v>194</v>
      </c>
      <c r="J88" s="69" t="s">
        <v>543</v>
      </c>
      <c r="K88" s="9">
        <v>1564</v>
      </c>
      <c r="L88" s="5">
        <v>1535</v>
      </c>
      <c r="M88" s="5">
        <v>1537</v>
      </c>
      <c r="N88" s="5">
        <v>1534</v>
      </c>
      <c r="O88" s="5" t="s">
        <v>5</v>
      </c>
      <c r="P88" s="30">
        <v>1535.5</v>
      </c>
      <c r="Q88" s="69">
        <v>4</v>
      </c>
      <c r="R88" s="69">
        <v>43</v>
      </c>
      <c r="S88" s="8">
        <v>33</v>
      </c>
      <c r="T88" s="11">
        <v>164</v>
      </c>
      <c r="U88" s="11">
        <v>65</v>
      </c>
      <c r="V88" s="10">
        <v>99</v>
      </c>
      <c r="W88" s="11" t="s">
        <v>5</v>
      </c>
      <c r="X88" s="11">
        <v>58</v>
      </c>
      <c r="Y88" s="12">
        <v>2.2543440000000001</v>
      </c>
      <c r="Z88" s="31">
        <v>9</v>
      </c>
      <c r="AA88" s="31">
        <v>8.5</v>
      </c>
      <c r="AB88" s="32">
        <v>87</v>
      </c>
      <c r="AC88" s="32">
        <v>86</v>
      </c>
      <c r="AD88" s="8" t="s">
        <v>6</v>
      </c>
      <c r="AE88" s="33" t="s">
        <v>7</v>
      </c>
      <c r="AF88" s="14" t="s">
        <v>284</v>
      </c>
      <c r="AG88" s="60"/>
    </row>
    <row r="89" spans="1:33" ht="15.75" x14ac:dyDescent="0.25">
      <c r="A89" s="1">
        <v>65</v>
      </c>
      <c r="B89" s="2">
        <v>45864</v>
      </c>
      <c r="C89" s="1" t="s">
        <v>0</v>
      </c>
      <c r="D89" s="1" t="s">
        <v>19</v>
      </c>
      <c r="E89" s="1">
        <v>2</v>
      </c>
      <c r="F89" s="16">
        <v>22507032</v>
      </c>
      <c r="G89" s="16">
        <v>1250</v>
      </c>
      <c r="H89" s="16" t="s">
        <v>244</v>
      </c>
      <c r="I89" s="16" t="s">
        <v>146</v>
      </c>
      <c r="J89" s="69" t="s">
        <v>544</v>
      </c>
      <c r="K89" s="4">
        <v>1566</v>
      </c>
      <c r="L89" s="5">
        <v>1543</v>
      </c>
      <c r="M89" s="5">
        <v>1539</v>
      </c>
      <c r="N89" s="5">
        <v>1537</v>
      </c>
      <c r="O89" s="5">
        <v>1534</v>
      </c>
      <c r="P89" s="30">
        <v>1536.6666666666667</v>
      </c>
      <c r="Q89" s="69">
        <v>5</v>
      </c>
      <c r="R89" s="69">
        <v>34</v>
      </c>
      <c r="S89" s="8" t="s">
        <v>5</v>
      </c>
      <c r="T89" s="9" t="s">
        <v>5</v>
      </c>
      <c r="U89" s="9" t="s">
        <v>5</v>
      </c>
      <c r="V89" s="9" t="s">
        <v>5</v>
      </c>
      <c r="W89" s="11">
        <v>14.5</v>
      </c>
      <c r="X89" s="11">
        <v>58</v>
      </c>
      <c r="Y89" s="12">
        <v>2.86375</v>
      </c>
      <c r="Z89" s="7">
        <v>7.8</v>
      </c>
      <c r="AA89" s="7">
        <v>8.8000000000000007</v>
      </c>
      <c r="AB89" s="13">
        <v>65</v>
      </c>
      <c r="AC89" s="13">
        <v>75</v>
      </c>
      <c r="AD89" s="8" t="s">
        <v>6</v>
      </c>
      <c r="AE89" s="33" t="s">
        <v>7</v>
      </c>
      <c r="AF89" s="14" t="s">
        <v>545</v>
      </c>
      <c r="AG89" s="60"/>
    </row>
    <row r="90" spans="1:33" ht="31.5" x14ac:dyDescent="0.25">
      <c r="A90" s="1">
        <v>4</v>
      </c>
      <c r="B90" s="2">
        <v>45865</v>
      </c>
      <c r="C90" s="1" t="s">
        <v>18</v>
      </c>
      <c r="D90" s="1" t="s">
        <v>258</v>
      </c>
      <c r="E90" s="1">
        <v>1</v>
      </c>
      <c r="F90" s="16">
        <v>12507030</v>
      </c>
      <c r="G90" s="16">
        <v>1250</v>
      </c>
      <c r="H90" s="16" t="s">
        <v>176</v>
      </c>
      <c r="I90" s="16" t="s">
        <v>152</v>
      </c>
      <c r="J90" s="16" t="s">
        <v>546</v>
      </c>
      <c r="K90" s="3">
        <v>1567</v>
      </c>
      <c r="L90" s="5">
        <v>1552</v>
      </c>
      <c r="M90" s="5">
        <v>1552</v>
      </c>
      <c r="N90" s="5">
        <v>1550</v>
      </c>
      <c r="O90" s="5">
        <v>1548</v>
      </c>
      <c r="P90" s="30">
        <v>1550</v>
      </c>
      <c r="Q90" s="16">
        <v>5.0999999999999996</v>
      </c>
      <c r="R90" s="16">
        <v>37</v>
      </c>
      <c r="S90" s="72" t="s">
        <v>5</v>
      </c>
      <c r="T90" s="9">
        <v>163</v>
      </c>
      <c r="U90" s="9">
        <v>64</v>
      </c>
      <c r="V90" s="10">
        <v>99</v>
      </c>
      <c r="W90" s="11" t="s">
        <v>5</v>
      </c>
      <c r="X90" s="69">
        <v>58</v>
      </c>
      <c r="Y90" s="12">
        <v>2.9210249999999998</v>
      </c>
      <c r="Z90" s="31">
        <v>6.6</v>
      </c>
      <c r="AA90" s="31">
        <v>6.1</v>
      </c>
      <c r="AB90" s="32">
        <v>83</v>
      </c>
      <c r="AC90" s="32">
        <v>76</v>
      </c>
      <c r="AD90" s="11" t="s">
        <v>6</v>
      </c>
      <c r="AE90" s="33" t="s">
        <v>7</v>
      </c>
      <c r="AF90" s="41" t="s">
        <v>547</v>
      </c>
      <c r="AG90" s="60"/>
    </row>
    <row r="91" spans="1:33" ht="31.5" x14ac:dyDescent="0.25">
      <c r="A91" s="1">
        <v>28</v>
      </c>
      <c r="B91" s="2">
        <v>45865</v>
      </c>
      <c r="C91" s="1" t="s">
        <v>264</v>
      </c>
      <c r="D91" s="1" t="s">
        <v>265</v>
      </c>
      <c r="E91" s="1">
        <v>1</v>
      </c>
      <c r="F91" s="16">
        <v>12507030</v>
      </c>
      <c r="G91" s="16">
        <v>1250</v>
      </c>
      <c r="H91" s="16" t="s">
        <v>10</v>
      </c>
      <c r="I91" s="16" t="s">
        <v>83</v>
      </c>
      <c r="J91" s="3" t="s">
        <v>548</v>
      </c>
      <c r="K91" s="3">
        <v>1565</v>
      </c>
      <c r="L91" s="5">
        <v>1548</v>
      </c>
      <c r="M91" s="5">
        <v>1548</v>
      </c>
      <c r="N91" s="5">
        <v>1546</v>
      </c>
      <c r="O91" s="5">
        <v>1546</v>
      </c>
      <c r="P91" s="30">
        <v>1546.6666666666667</v>
      </c>
      <c r="Q91" s="70">
        <v>5.2</v>
      </c>
      <c r="R91" s="71">
        <v>32</v>
      </c>
      <c r="S91" s="72" t="s">
        <v>5</v>
      </c>
      <c r="T91" s="11">
        <v>157</v>
      </c>
      <c r="U91" s="11">
        <v>61</v>
      </c>
      <c r="V91" s="10">
        <v>96</v>
      </c>
      <c r="W91" s="11" t="s">
        <v>5</v>
      </c>
      <c r="X91" s="16">
        <v>58</v>
      </c>
      <c r="Y91" s="12">
        <v>2.9782999999999999</v>
      </c>
      <c r="Z91" s="31">
        <v>11.3</v>
      </c>
      <c r="AA91" s="31">
        <v>10.5</v>
      </c>
      <c r="AB91" s="11">
        <v>86</v>
      </c>
      <c r="AC91" s="11">
        <v>83</v>
      </c>
      <c r="AD91" s="8" t="s">
        <v>6</v>
      </c>
      <c r="AE91" s="33" t="s">
        <v>7</v>
      </c>
      <c r="AF91" s="14" t="s">
        <v>549</v>
      </c>
      <c r="AG91" s="60"/>
    </row>
    <row r="92" spans="1:33" ht="31.5" x14ac:dyDescent="0.25">
      <c r="A92" s="1">
        <v>56</v>
      </c>
      <c r="B92" s="2">
        <v>45865</v>
      </c>
      <c r="C92" s="1" t="s">
        <v>264</v>
      </c>
      <c r="D92" s="1" t="s">
        <v>265</v>
      </c>
      <c r="E92" s="1">
        <v>2</v>
      </c>
      <c r="F92" s="16">
        <v>22507034</v>
      </c>
      <c r="G92" s="16">
        <v>1250</v>
      </c>
      <c r="H92" s="16" t="s">
        <v>55</v>
      </c>
      <c r="I92" s="16" t="s">
        <v>126</v>
      </c>
      <c r="J92" s="69" t="s">
        <v>550</v>
      </c>
      <c r="K92" s="9">
        <v>1567</v>
      </c>
      <c r="L92" s="5">
        <v>1542</v>
      </c>
      <c r="M92" s="5">
        <v>1540</v>
      </c>
      <c r="N92" s="5">
        <v>1540</v>
      </c>
      <c r="O92" s="5">
        <v>1541</v>
      </c>
      <c r="P92" s="30">
        <v>1540.3333333333333</v>
      </c>
      <c r="Q92" s="69">
        <v>5.4</v>
      </c>
      <c r="R92" s="69">
        <v>33</v>
      </c>
      <c r="S92" s="8">
        <v>35</v>
      </c>
      <c r="T92" s="11" t="s">
        <v>5</v>
      </c>
      <c r="U92" s="11" t="s">
        <v>5</v>
      </c>
      <c r="V92" s="11" t="s">
        <v>5</v>
      </c>
      <c r="W92" s="11" t="s">
        <v>5</v>
      </c>
      <c r="X92" s="11">
        <v>58</v>
      </c>
      <c r="Y92" s="12">
        <v>3.0928500000000003</v>
      </c>
      <c r="Z92" s="31">
        <v>12.1</v>
      </c>
      <c r="AA92" s="31">
        <v>11.3</v>
      </c>
      <c r="AB92" s="32">
        <v>100</v>
      </c>
      <c r="AC92" s="32">
        <v>95</v>
      </c>
      <c r="AD92" s="8" t="s">
        <v>6</v>
      </c>
      <c r="AE92" s="33" t="s">
        <v>53</v>
      </c>
      <c r="AF92" s="14" t="s">
        <v>551</v>
      </c>
      <c r="AG92" s="60"/>
    </row>
    <row r="93" spans="1:33" ht="15.75" x14ac:dyDescent="0.25">
      <c r="A93" s="1">
        <v>58</v>
      </c>
      <c r="B93" s="2">
        <v>45865</v>
      </c>
      <c r="C93" s="1" t="s">
        <v>0</v>
      </c>
      <c r="D93" s="1" t="s">
        <v>19</v>
      </c>
      <c r="E93" s="1">
        <v>1</v>
      </c>
      <c r="F93" s="16">
        <v>12507030</v>
      </c>
      <c r="G93" s="16">
        <v>1250</v>
      </c>
      <c r="H93" s="16" t="s">
        <v>55</v>
      </c>
      <c r="I93" s="16" t="s">
        <v>416</v>
      </c>
      <c r="J93" s="69" t="s">
        <v>552</v>
      </c>
      <c r="K93" s="9">
        <v>1566</v>
      </c>
      <c r="L93" s="5">
        <v>1545</v>
      </c>
      <c r="M93" s="5">
        <v>1543</v>
      </c>
      <c r="N93" s="5">
        <v>1542</v>
      </c>
      <c r="O93" s="5" t="s">
        <v>5</v>
      </c>
      <c r="P93" s="30">
        <v>1542.5</v>
      </c>
      <c r="Q93" s="69">
        <v>5</v>
      </c>
      <c r="R93" s="69">
        <v>33</v>
      </c>
      <c r="S93" s="8">
        <v>14</v>
      </c>
      <c r="T93" s="11">
        <v>150.5</v>
      </c>
      <c r="U93" s="11">
        <v>59.3</v>
      </c>
      <c r="V93" s="10">
        <v>91.2</v>
      </c>
      <c r="W93" s="11" t="s">
        <v>5</v>
      </c>
      <c r="X93" s="11">
        <v>56</v>
      </c>
      <c r="Y93" s="12">
        <v>2.7650000000000001</v>
      </c>
      <c r="Z93" s="31">
        <v>10.4</v>
      </c>
      <c r="AA93" s="31">
        <v>10</v>
      </c>
      <c r="AB93" s="32">
        <v>86</v>
      </c>
      <c r="AC93" s="32">
        <v>85</v>
      </c>
      <c r="AD93" s="8" t="s">
        <v>6</v>
      </c>
      <c r="AE93" s="33" t="s">
        <v>7</v>
      </c>
      <c r="AF93" s="14" t="s">
        <v>397</v>
      </c>
      <c r="AG93" s="60"/>
    </row>
    <row r="94" spans="1:33" ht="47.25" x14ac:dyDescent="0.25">
      <c r="A94" s="1" t="s">
        <v>5</v>
      </c>
      <c r="B94" s="2">
        <v>45865</v>
      </c>
      <c r="C94" s="1" t="s">
        <v>0</v>
      </c>
      <c r="D94" s="1" t="s">
        <v>19</v>
      </c>
      <c r="E94" s="1">
        <v>1</v>
      </c>
      <c r="F94" s="16">
        <v>12507030</v>
      </c>
      <c r="G94" s="16">
        <v>1250</v>
      </c>
      <c r="H94" s="16" t="s">
        <v>55</v>
      </c>
      <c r="I94" s="16" t="s">
        <v>346</v>
      </c>
      <c r="J94" s="69" t="s">
        <v>553</v>
      </c>
      <c r="K94" s="9">
        <v>1575</v>
      </c>
      <c r="L94" s="5">
        <v>1551</v>
      </c>
      <c r="M94" s="5">
        <v>1552</v>
      </c>
      <c r="N94" s="5">
        <v>1548</v>
      </c>
      <c r="O94" s="5">
        <v>1550</v>
      </c>
      <c r="P94" s="30">
        <v>1550</v>
      </c>
      <c r="Q94" s="69">
        <v>3.4</v>
      </c>
      <c r="R94" s="69">
        <v>35</v>
      </c>
      <c r="S94" s="8">
        <v>6</v>
      </c>
      <c r="T94" s="11" t="s">
        <v>5</v>
      </c>
      <c r="U94" s="11" t="s">
        <v>5</v>
      </c>
      <c r="V94" s="11" t="s">
        <v>5</v>
      </c>
      <c r="W94" s="11" t="s">
        <v>5</v>
      </c>
      <c r="X94" s="11">
        <v>56</v>
      </c>
      <c r="Y94" s="12">
        <v>1.8802000000000001</v>
      </c>
      <c r="Z94" s="31">
        <v>7.8</v>
      </c>
      <c r="AA94" s="31">
        <v>8.1</v>
      </c>
      <c r="AB94" s="32">
        <v>78</v>
      </c>
      <c r="AC94" s="32">
        <v>82</v>
      </c>
      <c r="AD94" s="8" t="s">
        <v>6</v>
      </c>
      <c r="AE94" s="33" t="s">
        <v>7</v>
      </c>
      <c r="AF94" s="14" t="s">
        <v>554</v>
      </c>
      <c r="AG94" s="60"/>
    </row>
    <row r="95" spans="1:33" ht="47.25" x14ac:dyDescent="0.25">
      <c r="A95" s="1">
        <v>5</v>
      </c>
      <c r="B95" s="2">
        <v>45866</v>
      </c>
      <c r="C95" s="1" t="s">
        <v>18</v>
      </c>
      <c r="D95" s="1" t="s">
        <v>9</v>
      </c>
      <c r="E95" s="1">
        <v>1</v>
      </c>
      <c r="F95" s="16">
        <v>12507031</v>
      </c>
      <c r="G95" s="16">
        <v>1250</v>
      </c>
      <c r="H95" s="16" t="s">
        <v>10</v>
      </c>
      <c r="I95" s="16" t="s">
        <v>93</v>
      </c>
      <c r="J95" s="16" t="s">
        <v>555</v>
      </c>
      <c r="K95" s="3">
        <v>1565</v>
      </c>
      <c r="L95" s="5">
        <v>1543</v>
      </c>
      <c r="M95" s="5">
        <v>1541</v>
      </c>
      <c r="N95" s="5">
        <v>1540</v>
      </c>
      <c r="O95" s="5">
        <v>1539</v>
      </c>
      <c r="P95" s="30">
        <v>1540</v>
      </c>
      <c r="Q95" s="16">
        <v>5.3</v>
      </c>
      <c r="R95" s="16">
        <v>34</v>
      </c>
      <c r="S95" s="72" t="s">
        <v>5</v>
      </c>
      <c r="T95" s="9">
        <v>170</v>
      </c>
      <c r="U95" s="9">
        <v>62</v>
      </c>
      <c r="V95" s="10">
        <v>108</v>
      </c>
      <c r="W95" s="11" t="s">
        <v>5</v>
      </c>
      <c r="X95" s="69">
        <v>58</v>
      </c>
      <c r="Y95" s="12">
        <v>3.0355749999999997</v>
      </c>
      <c r="Z95" s="31">
        <v>9.9</v>
      </c>
      <c r="AA95" s="31">
        <v>9.1999999999999993</v>
      </c>
      <c r="AB95" s="32">
        <v>81</v>
      </c>
      <c r="AC95" s="32">
        <v>83</v>
      </c>
      <c r="AD95" s="11" t="s">
        <v>6</v>
      </c>
      <c r="AE95" s="33" t="s">
        <v>455</v>
      </c>
      <c r="AF95" s="41" t="s">
        <v>556</v>
      </c>
      <c r="AG95" s="60"/>
    </row>
    <row r="96" spans="1:33" ht="31.5" x14ac:dyDescent="0.25">
      <c r="A96" s="1">
        <v>55</v>
      </c>
      <c r="B96" s="2">
        <v>45866</v>
      </c>
      <c r="C96" s="1" t="s">
        <v>0</v>
      </c>
      <c r="D96" s="1" t="s">
        <v>19</v>
      </c>
      <c r="E96" s="1">
        <v>1</v>
      </c>
      <c r="F96" s="16">
        <v>12507032</v>
      </c>
      <c r="G96" s="16">
        <v>1250</v>
      </c>
      <c r="H96" s="16" t="s">
        <v>244</v>
      </c>
      <c r="I96" s="16" t="s">
        <v>152</v>
      </c>
      <c r="J96" s="16" t="s">
        <v>557</v>
      </c>
      <c r="K96" s="9">
        <v>1575</v>
      </c>
      <c r="L96" s="5">
        <v>1553</v>
      </c>
      <c r="M96" s="5">
        <v>1549</v>
      </c>
      <c r="N96" s="5">
        <v>1550</v>
      </c>
      <c r="O96" s="5">
        <v>1553</v>
      </c>
      <c r="P96" s="30">
        <v>1550.6666666666667</v>
      </c>
      <c r="Q96" s="16">
        <v>4.5</v>
      </c>
      <c r="R96" s="16">
        <v>41</v>
      </c>
      <c r="S96" s="8">
        <v>8</v>
      </c>
      <c r="T96" s="11">
        <v>159.69999999999999</v>
      </c>
      <c r="U96" s="11">
        <v>65.5</v>
      </c>
      <c r="V96" s="10">
        <v>94.199999999999989</v>
      </c>
      <c r="W96" s="11" t="s">
        <v>5</v>
      </c>
      <c r="X96" s="11">
        <v>56</v>
      </c>
      <c r="Y96" s="12">
        <v>2.4885000000000002</v>
      </c>
      <c r="Z96" s="31">
        <v>7.7</v>
      </c>
      <c r="AA96" s="31">
        <v>7.4</v>
      </c>
      <c r="AB96" s="32">
        <v>82</v>
      </c>
      <c r="AC96" s="32">
        <v>82</v>
      </c>
      <c r="AD96" s="8" t="s">
        <v>6</v>
      </c>
      <c r="AE96" s="33" t="s">
        <v>455</v>
      </c>
      <c r="AF96" s="14" t="s">
        <v>558</v>
      </c>
      <c r="AG96" s="60"/>
    </row>
    <row r="97" spans="1:33" ht="15.75" x14ac:dyDescent="0.25">
      <c r="A97" s="1">
        <v>60</v>
      </c>
      <c r="B97" s="2">
        <v>45866</v>
      </c>
      <c r="C97" s="1" t="s">
        <v>0</v>
      </c>
      <c r="D97" s="1" t="s">
        <v>19</v>
      </c>
      <c r="E97" s="1">
        <v>1</v>
      </c>
      <c r="F97" s="16">
        <v>12507032</v>
      </c>
      <c r="G97" s="16">
        <v>1235</v>
      </c>
      <c r="H97" s="16" t="s">
        <v>10</v>
      </c>
      <c r="I97" s="16" t="s">
        <v>132</v>
      </c>
      <c r="J97" s="16" t="s">
        <v>559</v>
      </c>
      <c r="K97" s="9">
        <v>1567</v>
      </c>
      <c r="L97" s="5">
        <v>1546</v>
      </c>
      <c r="M97" s="5">
        <v>1545</v>
      </c>
      <c r="N97" s="5">
        <v>1544</v>
      </c>
      <c r="O97" s="5">
        <v>1544</v>
      </c>
      <c r="P97" s="30">
        <v>1544.3333333333333</v>
      </c>
      <c r="Q97" s="69">
        <v>5.3</v>
      </c>
      <c r="R97" s="69">
        <v>34</v>
      </c>
      <c r="S97" s="8" t="s">
        <v>5</v>
      </c>
      <c r="T97" s="11">
        <v>161</v>
      </c>
      <c r="U97" s="11">
        <v>62</v>
      </c>
      <c r="V97" s="10">
        <v>99</v>
      </c>
      <c r="W97" s="11" t="s">
        <v>5</v>
      </c>
      <c r="X97" s="11">
        <v>56</v>
      </c>
      <c r="Y97" s="12">
        <v>2.9309000000000003</v>
      </c>
      <c r="Z97" s="31">
        <v>10.6</v>
      </c>
      <c r="AA97" s="31">
        <v>10.8</v>
      </c>
      <c r="AB97" s="32">
        <v>85</v>
      </c>
      <c r="AC97" s="32">
        <v>87</v>
      </c>
      <c r="AD97" s="8" t="s">
        <v>6</v>
      </c>
      <c r="AE97" s="33" t="s">
        <v>455</v>
      </c>
      <c r="AF97" s="14" t="s">
        <v>406</v>
      </c>
      <c r="AG97" s="60"/>
    </row>
    <row r="98" spans="1:33" ht="31.5" x14ac:dyDescent="0.25">
      <c r="A98" s="1">
        <v>4</v>
      </c>
      <c r="B98" s="2">
        <v>45867</v>
      </c>
      <c r="C98" s="1" t="s">
        <v>18</v>
      </c>
      <c r="D98" s="1" t="s">
        <v>9</v>
      </c>
      <c r="E98" s="1">
        <v>1</v>
      </c>
      <c r="F98" s="16">
        <v>12507032</v>
      </c>
      <c r="G98" s="16">
        <v>1235</v>
      </c>
      <c r="H98" s="16" t="s">
        <v>10</v>
      </c>
      <c r="I98" s="16" t="s">
        <v>261</v>
      </c>
      <c r="J98" s="16" t="s">
        <v>560</v>
      </c>
      <c r="K98" s="3">
        <v>1568</v>
      </c>
      <c r="L98" s="5">
        <v>1547</v>
      </c>
      <c r="M98" s="5">
        <v>1544</v>
      </c>
      <c r="N98" s="5">
        <v>1543</v>
      </c>
      <c r="O98" s="5">
        <v>1546</v>
      </c>
      <c r="P98" s="30">
        <v>1544.3333333333333</v>
      </c>
      <c r="Q98" s="16">
        <v>4.5999999999999996</v>
      </c>
      <c r="R98" s="16">
        <v>30</v>
      </c>
      <c r="S98" s="72" t="s">
        <v>5</v>
      </c>
      <c r="T98" s="9">
        <v>159.1</v>
      </c>
      <c r="U98" s="9">
        <v>79</v>
      </c>
      <c r="V98" s="10">
        <v>80.099999999999994</v>
      </c>
      <c r="W98" s="11" t="s">
        <v>5</v>
      </c>
      <c r="X98" s="69">
        <v>56</v>
      </c>
      <c r="Y98" s="12">
        <v>2.5132743999999998</v>
      </c>
      <c r="Z98" s="31">
        <v>8.8000000000000007</v>
      </c>
      <c r="AA98" s="31">
        <v>9.3000000000000007</v>
      </c>
      <c r="AB98" s="32">
        <v>81</v>
      </c>
      <c r="AC98" s="32">
        <v>84</v>
      </c>
      <c r="AD98" s="11" t="s">
        <v>6</v>
      </c>
      <c r="AE98" s="33" t="s">
        <v>455</v>
      </c>
      <c r="AF98" s="41" t="s">
        <v>561</v>
      </c>
      <c r="AG98" s="60"/>
    </row>
    <row r="99" spans="1:33" ht="31.5" x14ac:dyDescent="0.25">
      <c r="A99" s="1">
        <v>61</v>
      </c>
      <c r="B99" s="2">
        <v>45867</v>
      </c>
      <c r="C99" s="1" t="s">
        <v>0</v>
      </c>
      <c r="D99" s="1" t="s">
        <v>19</v>
      </c>
      <c r="E99" s="1">
        <v>1</v>
      </c>
      <c r="F99" s="16">
        <v>12507032</v>
      </c>
      <c r="G99" s="16">
        <v>1250</v>
      </c>
      <c r="H99" s="16" t="s">
        <v>562</v>
      </c>
      <c r="I99" s="16" t="s">
        <v>504</v>
      </c>
      <c r="J99" s="16" t="s">
        <v>563</v>
      </c>
      <c r="K99" s="9">
        <v>1565</v>
      </c>
      <c r="L99" s="5">
        <v>1550</v>
      </c>
      <c r="M99" s="5">
        <v>1548</v>
      </c>
      <c r="N99" s="5">
        <v>1546</v>
      </c>
      <c r="O99" s="5">
        <v>1545</v>
      </c>
      <c r="P99" s="30">
        <v>1546.3333333333333</v>
      </c>
      <c r="Q99" s="69">
        <v>4.8</v>
      </c>
      <c r="R99" s="69">
        <v>35</v>
      </c>
      <c r="S99" s="8">
        <v>12</v>
      </c>
      <c r="T99" s="11">
        <v>157</v>
      </c>
      <c r="U99" s="11">
        <v>60</v>
      </c>
      <c r="V99" s="10">
        <v>97</v>
      </c>
      <c r="W99" s="11" t="s">
        <v>5</v>
      </c>
      <c r="X99" s="11">
        <v>56</v>
      </c>
      <c r="Y99" s="12">
        <v>2.6225471999999996</v>
      </c>
      <c r="Z99" s="31">
        <v>9.3000000000000007</v>
      </c>
      <c r="AA99" s="31">
        <v>9.3000000000000007</v>
      </c>
      <c r="AB99" s="32">
        <v>87</v>
      </c>
      <c r="AC99" s="32">
        <v>89</v>
      </c>
      <c r="AD99" s="8" t="s">
        <v>6</v>
      </c>
      <c r="AE99" s="33" t="s">
        <v>455</v>
      </c>
      <c r="AF99" s="14" t="s">
        <v>564</v>
      </c>
      <c r="AG99" s="60"/>
    </row>
    <row r="100" spans="1:33" ht="31.5" x14ac:dyDescent="0.25">
      <c r="A100" s="1">
        <v>3</v>
      </c>
      <c r="B100" s="2">
        <v>45868</v>
      </c>
      <c r="C100" s="1" t="s">
        <v>18</v>
      </c>
      <c r="D100" s="1" t="s">
        <v>9</v>
      </c>
      <c r="E100" s="1">
        <v>1</v>
      </c>
      <c r="F100" s="16">
        <v>12507033</v>
      </c>
      <c r="G100" s="16">
        <v>1250</v>
      </c>
      <c r="H100" s="16" t="s">
        <v>244</v>
      </c>
      <c r="I100" s="16" t="s">
        <v>70</v>
      </c>
      <c r="J100" s="16" t="s">
        <v>565</v>
      </c>
      <c r="K100" s="3">
        <v>1570</v>
      </c>
      <c r="L100" s="5">
        <v>1548</v>
      </c>
      <c r="M100" s="5">
        <v>1547</v>
      </c>
      <c r="N100" s="5">
        <v>1546</v>
      </c>
      <c r="O100" s="5">
        <v>1545</v>
      </c>
      <c r="P100" s="30">
        <v>1546</v>
      </c>
      <c r="Q100" s="16">
        <v>4.5</v>
      </c>
      <c r="R100" s="16">
        <v>37</v>
      </c>
      <c r="S100" s="72">
        <v>12</v>
      </c>
      <c r="T100" s="8">
        <v>163.5</v>
      </c>
      <c r="U100" s="8">
        <v>59.5</v>
      </c>
      <c r="V100" s="10">
        <v>104</v>
      </c>
      <c r="W100" s="11" t="s">
        <v>5</v>
      </c>
      <c r="X100" s="69">
        <v>58</v>
      </c>
      <c r="Y100" s="12">
        <v>2.577375</v>
      </c>
      <c r="Z100" s="31">
        <v>9.1999999999999993</v>
      </c>
      <c r="AA100" s="31">
        <v>9.1</v>
      </c>
      <c r="AB100" s="32">
        <v>78</v>
      </c>
      <c r="AC100" s="32">
        <v>79</v>
      </c>
      <c r="AD100" s="11" t="s">
        <v>6</v>
      </c>
      <c r="AE100" s="33" t="s">
        <v>7</v>
      </c>
      <c r="AF100" s="41" t="s">
        <v>566</v>
      </c>
      <c r="AG100" s="60"/>
    </row>
    <row r="101" spans="1:33" ht="63" x14ac:dyDescent="0.25">
      <c r="A101" s="1">
        <v>5</v>
      </c>
      <c r="B101" s="2">
        <v>45868</v>
      </c>
      <c r="C101" s="1" t="s">
        <v>18</v>
      </c>
      <c r="D101" s="1" t="s">
        <v>9</v>
      </c>
      <c r="E101" s="1">
        <v>1</v>
      </c>
      <c r="F101" s="16">
        <v>12507033</v>
      </c>
      <c r="G101" s="16">
        <v>1250</v>
      </c>
      <c r="H101" s="16" t="s">
        <v>244</v>
      </c>
      <c r="I101" s="16" t="s">
        <v>74</v>
      </c>
      <c r="J101" s="16" t="s">
        <v>567</v>
      </c>
      <c r="K101" s="3">
        <v>1567</v>
      </c>
      <c r="L101" s="5">
        <v>1549</v>
      </c>
      <c r="M101" s="5">
        <v>1548</v>
      </c>
      <c r="N101" s="5">
        <v>1545</v>
      </c>
      <c r="O101" s="5">
        <v>1545</v>
      </c>
      <c r="P101" s="30">
        <v>1546</v>
      </c>
      <c r="Q101" s="16">
        <v>4.8</v>
      </c>
      <c r="R101" s="16">
        <v>32</v>
      </c>
      <c r="S101" s="72" t="s">
        <v>5</v>
      </c>
      <c r="T101" s="9">
        <v>165.16</v>
      </c>
      <c r="U101" s="9">
        <v>65.2</v>
      </c>
      <c r="V101" s="10">
        <v>99.96</v>
      </c>
      <c r="W101" s="11" t="s">
        <v>5</v>
      </c>
      <c r="X101" s="69">
        <v>58</v>
      </c>
      <c r="Y101" s="12">
        <v>2.7491999999999996</v>
      </c>
      <c r="Z101" s="31">
        <v>9.6</v>
      </c>
      <c r="AA101" s="31">
        <v>9</v>
      </c>
      <c r="AB101" s="32">
        <v>79</v>
      </c>
      <c r="AC101" s="32">
        <v>73</v>
      </c>
      <c r="AD101" s="11" t="s">
        <v>6</v>
      </c>
      <c r="AE101" s="33" t="s">
        <v>455</v>
      </c>
      <c r="AF101" s="41" t="s">
        <v>568</v>
      </c>
      <c r="AG101" s="60"/>
    </row>
    <row r="102" spans="1:33" ht="31.5" x14ac:dyDescent="0.25">
      <c r="A102" s="1">
        <v>6</v>
      </c>
      <c r="B102" s="2">
        <v>45868</v>
      </c>
      <c r="C102" s="1" t="s">
        <v>18</v>
      </c>
      <c r="D102" s="1" t="s">
        <v>9</v>
      </c>
      <c r="E102" s="1">
        <v>1</v>
      </c>
      <c r="F102" s="16">
        <v>12507033</v>
      </c>
      <c r="G102" s="16">
        <v>1250</v>
      </c>
      <c r="H102" s="16" t="s">
        <v>244</v>
      </c>
      <c r="I102" s="16" t="s">
        <v>152</v>
      </c>
      <c r="J102" s="16" t="s">
        <v>569</v>
      </c>
      <c r="K102" s="3">
        <v>1565</v>
      </c>
      <c r="L102" s="5">
        <v>1545</v>
      </c>
      <c r="M102" s="5">
        <v>1546</v>
      </c>
      <c r="N102" s="5">
        <v>1546</v>
      </c>
      <c r="O102" s="5">
        <v>1545</v>
      </c>
      <c r="P102" s="30">
        <v>1545.6666666666667</v>
      </c>
      <c r="Q102" s="16">
        <v>5</v>
      </c>
      <c r="R102" s="16">
        <v>31</v>
      </c>
      <c r="S102" s="72">
        <v>8</v>
      </c>
      <c r="T102" s="9">
        <v>154</v>
      </c>
      <c r="U102" s="9">
        <v>61</v>
      </c>
      <c r="V102" s="10">
        <v>93</v>
      </c>
      <c r="W102" s="11" t="s">
        <v>5</v>
      </c>
      <c r="X102" s="69">
        <v>58</v>
      </c>
      <c r="Y102" s="12">
        <v>2.86375</v>
      </c>
      <c r="Z102" s="64">
        <v>10.8</v>
      </c>
      <c r="AA102" s="64">
        <v>10.199999999999999</v>
      </c>
      <c r="AB102" s="49">
        <v>85</v>
      </c>
      <c r="AC102" s="49">
        <v>81</v>
      </c>
      <c r="AD102" s="11" t="s">
        <v>6</v>
      </c>
      <c r="AE102" s="33" t="s">
        <v>455</v>
      </c>
      <c r="AF102" s="41" t="s">
        <v>570</v>
      </c>
      <c r="AG102" s="60"/>
    </row>
    <row r="103" spans="1:33" ht="31.5" x14ac:dyDescent="0.25">
      <c r="A103" s="1">
        <v>11</v>
      </c>
      <c r="B103" s="2">
        <v>45868</v>
      </c>
      <c r="C103" s="1" t="s">
        <v>18</v>
      </c>
      <c r="D103" s="1" t="s">
        <v>9</v>
      </c>
      <c r="E103" s="1">
        <v>1</v>
      </c>
      <c r="F103" s="16">
        <v>12507033</v>
      </c>
      <c r="G103" s="16">
        <v>1250</v>
      </c>
      <c r="H103" s="16" t="s">
        <v>244</v>
      </c>
      <c r="I103" s="16" t="s">
        <v>132</v>
      </c>
      <c r="J103" s="16" t="s">
        <v>571</v>
      </c>
      <c r="K103" s="3">
        <v>1569</v>
      </c>
      <c r="L103" s="5">
        <v>1538</v>
      </c>
      <c r="M103" s="5">
        <v>1538</v>
      </c>
      <c r="N103" s="5">
        <v>1539</v>
      </c>
      <c r="O103" s="5">
        <v>1540</v>
      </c>
      <c r="P103" s="30">
        <v>1539</v>
      </c>
      <c r="Q103" s="16">
        <v>5</v>
      </c>
      <c r="R103" s="16">
        <v>35</v>
      </c>
      <c r="S103" s="72" t="s">
        <v>5</v>
      </c>
      <c r="T103" s="11">
        <v>167</v>
      </c>
      <c r="U103" s="11">
        <v>64.64</v>
      </c>
      <c r="V103" s="10">
        <v>102.36</v>
      </c>
      <c r="W103" s="11" t="s">
        <v>5</v>
      </c>
      <c r="X103" s="69">
        <v>58</v>
      </c>
      <c r="Y103" s="12">
        <v>2.86375</v>
      </c>
      <c r="Z103" s="31">
        <v>7.3</v>
      </c>
      <c r="AA103" s="31">
        <v>8</v>
      </c>
      <c r="AB103" s="32">
        <v>84</v>
      </c>
      <c r="AC103" s="32">
        <v>83</v>
      </c>
      <c r="AD103" s="11" t="s">
        <v>6</v>
      </c>
      <c r="AE103" s="33" t="s">
        <v>455</v>
      </c>
      <c r="AF103" s="41" t="s">
        <v>572</v>
      </c>
      <c r="AG103" s="60"/>
    </row>
    <row r="104" spans="1:33" ht="15.75" x14ac:dyDescent="0.25">
      <c r="A104" s="1">
        <v>14</v>
      </c>
      <c r="B104" s="2">
        <v>45868</v>
      </c>
      <c r="C104" s="1" t="s">
        <v>18</v>
      </c>
      <c r="D104" s="1" t="s">
        <v>9</v>
      </c>
      <c r="E104" s="1">
        <v>1</v>
      </c>
      <c r="F104" s="16">
        <v>12507033</v>
      </c>
      <c r="G104" s="16">
        <v>1250</v>
      </c>
      <c r="H104" s="16" t="s">
        <v>10</v>
      </c>
      <c r="I104" s="16" t="s">
        <v>103</v>
      </c>
      <c r="J104" s="3" t="s">
        <v>573</v>
      </c>
      <c r="K104" s="3">
        <v>1564</v>
      </c>
      <c r="L104" s="5">
        <v>1549</v>
      </c>
      <c r="M104" s="5">
        <v>1549</v>
      </c>
      <c r="N104" s="5">
        <v>1549</v>
      </c>
      <c r="O104" s="5">
        <v>1549</v>
      </c>
      <c r="P104" s="30">
        <v>1549</v>
      </c>
      <c r="Q104" s="70">
        <v>5.5</v>
      </c>
      <c r="R104" s="71">
        <v>35</v>
      </c>
      <c r="S104" s="72">
        <v>7</v>
      </c>
      <c r="T104" s="11">
        <v>166.72</v>
      </c>
      <c r="U104" s="11">
        <v>61</v>
      </c>
      <c r="V104" s="10">
        <v>105.72</v>
      </c>
      <c r="W104" s="11" t="s">
        <v>5</v>
      </c>
      <c r="X104" s="69">
        <v>58</v>
      </c>
      <c r="Y104" s="12">
        <v>3.1501250000000001</v>
      </c>
      <c r="Z104" s="7">
        <v>11.2</v>
      </c>
      <c r="AA104" s="7">
        <v>10.5</v>
      </c>
      <c r="AB104" s="13">
        <v>93</v>
      </c>
      <c r="AC104" s="13">
        <v>91</v>
      </c>
      <c r="AD104" s="11" t="s">
        <v>6</v>
      </c>
      <c r="AE104" s="33" t="s">
        <v>455</v>
      </c>
      <c r="AF104" s="41" t="s">
        <v>508</v>
      </c>
      <c r="AG104" s="60"/>
    </row>
    <row r="105" spans="1:33" ht="31.5" x14ac:dyDescent="0.25">
      <c r="A105" s="1">
        <v>58</v>
      </c>
      <c r="B105" s="2">
        <v>45868</v>
      </c>
      <c r="C105" s="1" t="s">
        <v>0</v>
      </c>
      <c r="D105" s="1" t="s">
        <v>19</v>
      </c>
      <c r="E105" s="1">
        <v>1</v>
      </c>
      <c r="F105" s="16">
        <v>12507033</v>
      </c>
      <c r="G105" s="16">
        <v>1250</v>
      </c>
      <c r="H105" s="16" t="s">
        <v>10</v>
      </c>
      <c r="I105" s="16" t="s">
        <v>277</v>
      </c>
      <c r="J105" s="16" t="s">
        <v>574</v>
      </c>
      <c r="K105" s="9">
        <v>1568</v>
      </c>
      <c r="L105" s="5">
        <v>1542</v>
      </c>
      <c r="M105" s="5">
        <v>1544</v>
      </c>
      <c r="N105" s="5">
        <v>1543</v>
      </c>
      <c r="O105" s="5" t="s">
        <v>5</v>
      </c>
      <c r="P105" s="30">
        <v>1543.5</v>
      </c>
      <c r="Q105" s="69">
        <v>4.8</v>
      </c>
      <c r="R105" s="69">
        <v>39</v>
      </c>
      <c r="S105" s="8">
        <v>36</v>
      </c>
      <c r="T105" s="11">
        <v>171</v>
      </c>
      <c r="U105" s="11">
        <v>60</v>
      </c>
      <c r="V105" s="10">
        <v>111</v>
      </c>
      <c r="W105" s="11" t="s">
        <v>5</v>
      </c>
      <c r="X105" s="11">
        <v>58</v>
      </c>
      <c r="Y105" s="12">
        <v>2.7491999999999996</v>
      </c>
      <c r="Z105" s="31">
        <v>12.9</v>
      </c>
      <c r="AA105" s="31">
        <v>12</v>
      </c>
      <c r="AB105" s="32">
        <v>93</v>
      </c>
      <c r="AC105" s="32">
        <v>90</v>
      </c>
      <c r="AD105" s="8" t="s">
        <v>6</v>
      </c>
      <c r="AE105" s="33" t="s">
        <v>53</v>
      </c>
      <c r="AF105" s="14" t="s">
        <v>575</v>
      </c>
      <c r="AG105" s="60"/>
    </row>
  </sheetData>
  <mergeCells count="26">
    <mergeCell ref="AE1:AE2"/>
    <mergeCell ref="AF1:AF2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5">
    <cfRule type="cellIs" dxfId="625" priority="55" stopIfTrue="1" operator="greaterThanOrEqual">
      <formula>1565</formula>
    </cfRule>
    <cfRule type="cellIs" dxfId="624" priority="56" stopIfTrue="1" operator="lessThanOrEqual">
      <formula>1545</formula>
    </cfRule>
  </conditionalFormatting>
  <conditionalFormatting sqref="L6:P9">
    <cfRule type="cellIs" dxfId="622" priority="53" stopIfTrue="1" operator="greaterThanOrEqual">
      <formula>1565</formula>
    </cfRule>
    <cfRule type="cellIs" dxfId="623" priority="54" stopIfTrue="1" operator="lessThanOrEqual">
      <formula>1545</formula>
    </cfRule>
  </conditionalFormatting>
  <conditionalFormatting sqref="L10:P10">
    <cfRule type="cellIs" dxfId="621" priority="51" stopIfTrue="1" operator="greaterThanOrEqual">
      <formula>1565</formula>
    </cfRule>
    <cfRule type="cellIs" dxfId="620" priority="52" stopIfTrue="1" operator="lessThanOrEqual">
      <formula>1545</formula>
    </cfRule>
  </conditionalFormatting>
  <conditionalFormatting sqref="L11:P11">
    <cfRule type="cellIs" dxfId="618" priority="49" stopIfTrue="1" operator="greaterThanOrEqual">
      <formula>1565</formula>
    </cfRule>
    <cfRule type="cellIs" dxfId="619" priority="50" stopIfTrue="1" operator="lessThanOrEqual">
      <formula>1545</formula>
    </cfRule>
  </conditionalFormatting>
  <conditionalFormatting sqref="L12:P13">
    <cfRule type="cellIs" dxfId="616" priority="47" stopIfTrue="1" operator="greaterThanOrEqual">
      <formula>1565</formula>
    </cfRule>
    <cfRule type="cellIs" dxfId="617" priority="48" stopIfTrue="1" operator="lessThanOrEqual">
      <formula>1545</formula>
    </cfRule>
  </conditionalFormatting>
  <conditionalFormatting sqref="L14:P14">
    <cfRule type="cellIs" dxfId="614" priority="45" stopIfTrue="1" operator="greaterThanOrEqual">
      <formula>1565</formula>
    </cfRule>
    <cfRule type="cellIs" dxfId="615" priority="46" stopIfTrue="1" operator="lessThanOrEqual">
      <formula>1545</formula>
    </cfRule>
  </conditionalFormatting>
  <conditionalFormatting sqref="L15:P16">
    <cfRule type="cellIs" dxfId="612" priority="43" stopIfTrue="1" operator="greaterThanOrEqual">
      <formula>1565</formula>
    </cfRule>
    <cfRule type="cellIs" dxfId="613" priority="44" stopIfTrue="1" operator="lessThanOrEqual">
      <formula>1545</formula>
    </cfRule>
  </conditionalFormatting>
  <conditionalFormatting sqref="L17:P17">
    <cfRule type="cellIs" dxfId="610" priority="41" stopIfTrue="1" operator="greaterThanOrEqual">
      <formula>1565</formula>
    </cfRule>
    <cfRule type="cellIs" dxfId="611" priority="42" stopIfTrue="1" operator="lessThanOrEqual">
      <formula>1545</formula>
    </cfRule>
  </conditionalFormatting>
  <conditionalFormatting sqref="L18:P18">
    <cfRule type="cellIs" dxfId="608" priority="39" stopIfTrue="1" operator="greaterThanOrEqual">
      <formula>1565</formula>
    </cfRule>
    <cfRule type="cellIs" dxfId="609" priority="40" stopIfTrue="1" operator="lessThanOrEqual">
      <formula>1545</formula>
    </cfRule>
  </conditionalFormatting>
  <conditionalFormatting sqref="L19:P21">
    <cfRule type="cellIs" dxfId="607" priority="37" stopIfTrue="1" operator="greaterThanOrEqual">
      <formula>1565</formula>
    </cfRule>
    <cfRule type="cellIs" dxfId="606" priority="38" stopIfTrue="1" operator="lessThanOrEqual">
      <formula>1545</formula>
    </cfRule>
  </conditionalFormatting>
  <conditionalFormatting sqref="L22:P24">
    <cfRule type="cellIs" dxfId="604" priority="35" stopIfTrue="1" operator="greaterThanOrEqual">
      <formula>1565</formula>
    </cfRule>
    <cfRule type="cellIs" dxfId="605" priority="36" stopIfTrue="1" operator="lessThanOrEqual">
      <formula>1545</formula>
    </cfRule>
  </conditionalFormatting>
  <conditionalFormatting sqref="L31:P31 L30:Q30 L25:P29">
    <cfRule type="cellIs" dxfId="602" priority="33" stopIfTrue="1" operator="greaterThanOrEqual">
      <formula>1565</formula>
    </cfRule>
    <cfRule type="cellIs" dxfId="603" priority="34" stopIfTrue="1" operator="lessThanOrEqual">
      <formula>1545</formula>
    </cfRule>
  </conditionalFormatting>
  <conditionalFormatting sqref="L32:P33">
    <cfRule type="cellIs" dxfId="601" priority="31" stopIfTrue="1" operator="greaterThanOrEqual">
      <formula>1565</formula>
    </cfRule>
    <cfRule type="cellIs" dxfId="600" priority="32" stopIfTrue="1" operator="lessThanOrEqual">
      <formula>1545</formula>
    </cfRule>
  </conditionalFormatting>
  <conditionalFormatting sqref="L34:P35">
    <cfRule type="cellIs" dxfId="598" priority="29" stopIfTrue="1" operator="greaterThanOrEqual">
      <formula>1565</formula>
    </cfRule>
    <cfRule type="cellIs" dxfId="599" priority="30" stopIfTrue="1" operator="lessThanOrEqual">
      <formula>1545</formula>
    </cfRule>
  </conditionalFormatting>
  <conditionalFormatting sqref="L36:P40">
    <cfRule type="cellIs" dxfId="596" priority="27" stopIfTrue="1" operator="greaterThanOrEqual">
      <formula>1565</formula>
    </cfRule>
    <cfRule type="cellIs" dxfId="597" priority="28" stopIfTrue="1" operator="lessThanOrEqual">
      <formula>1545</formula>
    </cfRule>
  </conditionalFormatting>
  <conditionalFormatting sqref="L41:P41">
    <cfRule type="cellIs" dxfId="594" priority="25" stopIfTrue="1" operator="greaterThanOrEqual">
      <formula>1565</formula>
    </cfRule>
    <cfRule type="cellIs" dxfId="595" priority="26" stopIfTrue="1" operator="lessThanOrEqual">
      <formula>1545</formula>
    </cfRule>
  </conditionalFormatting>
  <conditionalFormatting sqref="L43:P45 L42:Q42">
    <cfRule type="cellIs" dxfId="592" priority="23" stopIfTrue="1" operator="greaterThanOrEqual">
      <formula>1565</formula>
    </cfRule>
    <cfRule type="cellIs" dxfId="593" priority="24" stopIfTrue="1" operator="lessThanOrEqual">
      <formula>1545</formula>
    </cfRule>
  </conditionalFormatting>
  <conditionalFormatting sqref="L46:P56">
    <cfRule type="cellIs" dxfId="591" priority="21" stopIfTrue="1" operator="greaterThanOrEqual">
      <formula>1565</formula>
    </cfRule>
    <cfRule type="cellIs" dxfId="590" priority="22" stopIfTrue="1" operator="lessThanOrEqual">
      <formula>1545</formula>
    </cfRule>
  </conditionalFormatting>
  <conditionalFormatting sqref="L57:P66">
    <cfRule type="cellIs" dxfId="588" priority="19" stopIfTrue="1" operator="greaterThanOrEqual">
      <formula>1565</formula>
    </cfRule>
    <cfRule type="cellIs" dxfId="589" priority="20" stopIfTrue="1" operator="lessThanOrEqual">
      <formula>1545</formula>
    </cfRule>
  </conditionalFormatting>
  <conditionalFormatting sqref="L67:P70">
    <cfRule type="cellIs" dxfId="586" priority="17" stopIfTrue="1" operator="greaterThanOrEqual">
      <formula>1565</formula>
    </cfRule>
    <cfRule type="cellIs" dxfId="587" priority="18" stopIfTrue="1" operator="lessThanOrEqual">
      <formula>1545</formula>
    </cfRule>
  </conditionalFormatting>
  <conditionalFormatting sqref="L71:P71">
    <cfRule type="cellIs" dxfId="585" priority="15" stopIfTrue="1" operator="greaterThanOrEqual">
      <formula>1565</formula>
    </cfRule>
    <cfRule type="cellIs" dxfId="584" priority="16" stopIfTrue="1" operator="lessThanOrEqual">
      <formula>1545</formula>
    </cfRule>
  </conditionalFormatting>
  <conditionalFormatting sqref="L72:P76">
    <cfRule type="cellIs" dxfId="582" priority="13" stopIfTrue="1" operator="greaterThanOrEqual">
      <formula>1565</formula>
    </cfRule>
    <cfRule type="cellIs" dxfId="583" priority="14" stopIfTrue="1" operator="lessThanOrEqual">
      <formula>1545</formula>
    </cfRule>
  </conditionalFormatting>
  <conditionalFormatting sqref="L77:P81">
    <cfRule type="cellIs" dxfId="580" priority="11" stopIfTrue="1" operator="greaterThanOrEqual">
      <formula>1565</formula>
    </cfRule>
    <cfRule type="cellIs" dxfId="581" priority="12" stopIfTrue="1" operator="lessThanOrEqual">
      <formula>1545</formula>
    </cfRule>
  </conditionalFormatting>
  <conditionalFormatting sqref="L82:P89">
    <cfRule type="cellIs" dxfId="578" priority="9" stopIfTrue="1" operator="greaterThanOrEqual">
      <formula>1565</formula>
    </cfRule>
    <cfRule type="cellIs" dxfId="579" priority="10" stopIfTrue="1" operator="lessThanOrEqual">
      <formula>1545</formula>
    </cfRule>
  </conditionalFormatting>
  <conditionalFormatting sqref="L90:P94">
    <cfRule type="cellIs" dxfId="576" priority="7" stopIfTrue="1" operator="greaterThanOrEqual">
      <formula>1565</formula>
    </cfRule>
    <cfRule type="cellIs" dxfId="577" priority="8" stopIfTrue="1" operator="lessThanOrEqual">
      <formula>1545</formula>
    </cfRule>
  </conditionalFormatting>
  <conditionalFormatting sqref="L95:P97">
    <cfRule type="cellIs" dxfId="575" priority="5" stopIfTrue="1" operator="greaterThanOrEqual">
      <formula>1565</formula>
    </cfRule>
    <cfRule type="cellIs" dxfId="574" priority="6" stopIfTrue="1" operator="lessThanOrEqual">
      <formula>1545</formula>
    </cfRule>
  </conditionalFormatting>
  <conditionalFormatting sqref="L98:P99">
    <cfRule type="cellIs" dxfId="572" priority="3" stopIfTrue="1" operator="greaterThanOrEqual">
      <formula>1565</formula>
    </cfRule>
    <cfRule type="cellIs" dxfId="573" priority="4" stopIfTrue="1" operator="lessThanOrEqual">
      <formula>1545</formula>
    </cfRule>
  </conditionalFormatting>
  <conditionalFormatting sqref="L100:P105">
    <cfRule type="cellIs" dxfId="570" priority="1" stopIfTrue="1" operator="greaterThanOrEqual">
      <formula>1565</formula>
    </cfRule>
    <cfRule type="cellIs" dxfId="571" priority="2" stopIfTrue="1" operator="lessThanOrEqual">
      <formula>1545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FE09-31E6-4C2D-9594-D5537F6054EF}">
  <dimension ref="A1:AF120"/>
  <sheetViews>
    <sheetView workbookViewId="0">
      <selection activeCell="H13" sqref="H13"/>
    </sheetView>
  </sheetViews>
  <sheetFormatPr defaultColWidth="9.140625" defaultRowHeight="15" x14ac:dyDescent="0.25"/>
  <cols>
    <col min="1" max="1" width="11.5703125" customWidth="1"/>
    <col min="2" max="2" width="22.5703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5.2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5.2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ht="31.5" x14ac:dyDescent="0.25">
      <c r="A3" s="1">
        <v>9</v>
      </c>
      <c r="B3" s="2">
        <v>45870</v>
      </c>
      <c r="C3" s="1" t="s">
        <v>18</v>
      </c>
      <c r="D3" s="1" t="s">
        <v>9</v>
      </c>
      <c r="E3" s="1">
        <v>1</v>
      </c>
      <c r="F3" s="16">
        <v>12507034</v>
      </c>
      <c r="G3" s="16">
        <v>1260</v>
      </c>
      <c r="H3" s="16" t="s">
        <v>10</v>
      </c>
      <c r="I3" s="16" t="s">
        <v>346</v>
      </c>
      <c r="J3" s="16" t="s">
        <v>576</v>
      </c>
      <c r="K3" s="3">
        <v>1565</v>
      </c>
      <c r="L3" s="5">
        <v>1535</v>
      </c>
      <c r="M3" s="5">
        <v>1533</v>
      </c>
      <c r="N3" s="5">
        <v>1533</v>
      </c>
      <c r="O3" s="5">
        <v>1533</v>
      </c>
      <c r="P3" s="30">
        <f>AVERAGE(M3:N3:O3)</f>
        <v>1533</v>
      </c>
      <c r="Q3" s="16">
        <v>4.8</v>
      </c>
      <c r="R3" s="16">
        <v>27</v>
      </c>
      <c r="S3" s="72" t="s">
        <v>5</v>
      </c>
      <c r="T3" s="9">
        <v>162.30000000000001</v>
      </c>
      <c r="U3" s="9">
        <v>80</v>
      </c>
      <c r="V3" s="10">
        <f t="shared" ref="V3" si="0">T3-U3</f>
        <v>82.300000000000011</v>
      </c>
      <c r="W3" s="11" t="s">
        <v>5</v>
      </c>
      <c r="X3" s="69">
        <v>58</v>
      </c>
      <c r="Y3" s="12">
        <f t="shared" ref="Y3" si="1">((G3*X3*0.79/100000)*Q3)</f>
        <v>2.7711936000000001</v>
      </c>
      <c r="Z3" s="31">
        <v>11.3</v>
      </c>
      <c r="AA3" s="31">
        <v>10.3</v>
      </c>
      <c r="AB3" s="32">
        <v>95</v>
      </c>
      <c r="AC3" s="8">
        <v>86</v>
      </c>
      <c r="AD3" s="11" t="s">
        <v>6</v>
      </c>
      <c r="AE3" s="33" t="s">
        <v>7</v>
      </c>
      <c r="AF3" s="41" t="s">
        <v>577</v>
      </c>
    </row>
    <row r="4" spans="1:32" ht="31.5" x14ac:dyDescent="0.25">
      <c r="A4" s="1">
        <v>68</v>
      </c>
      <c r="B4" s="2">
        <v>45870</v>
      </c>
      <c r="C4" s="1" t="s">
        <v>0</v>
      </c>
      <c r="D4" s="1" t="s">
        <v>377</v>
      </c>
      <c r="E4" s="1">
        <v>2</v>
      </c>
      <c r="F4" s="16">
        <v>22508001</v>
      </c>
      <c r="G4" s="16">
        <v>1250</v>
      </c>
      <c r="H4" s="16" t="s">
        <v>55</v>
      </c>
      <c r="I4" s="16" t="s">
        <v>120</v>
      </c>
      <c r="J4" s="16" t="s">
        <v>578</v>
      </c>
      <c r="K4" s="9">
        <v>1570</v>
      </c>
      <c r="L4" s="5">
        <v>1549</v>
      </c>
      <c r="M4" s="5">
        <v>1546</v>
      </c>
      <c r="N4" s="5">
        <v>1545</v>
      </c>
      <c r="O4" s="5" t="s">
        <v>5</v>
      </c>
      <c r="P4" s="30">
        <f>AVERAGE(M4:N4:O4)</f>
        <v>1545.5</v>
      </c>
      <c r="Q4" s="69">
        <v>4.5</v>
      </c>
      <c r="R4" s="69">
        <v>40</v>
      </c>
      <c r="S4" s="8">
        <v>32</v>
      </c>
      <c r="T4" s="11" t="s">
        <v>5</v>
      </c>
      <c r="U4" s="11" t="s">
        <v>5</v>
      </c>
      <c r="V4" s="11" t="s">
        <v>5</v>
      </c>
      <c r="W4" s="11">
        <v>28.7</v>
      </c>
      <c r="X4" s="11">
        <v>57</v>
      </c>
      <c r="Y4" s="12" t="e">
        <f>((#REF!*X4*0.79/100000)*Q4)</f>
        <v>#REF!</v>
      </c>
      <c r="Z4" s="31">
        <v>6.7</v>
      </c>
      <c r="AA4" s="31">
        <v>8.5</v>
      </c>
      <c r="AB4" s="32">
        <v>95</v>
      </c>
      <c r="AC4" s="32">
        <v>85</v>
      </c>
      <c r="AD4" s="8" t="s">
        <v>6</v>
      </c>
      <c r="AE4" s="33" t="s">
        <v>53</v>
      </c>
      <c r="AF4" s="14" t="s">
        <v>579</v>
      </c>
    </row>
    <row r="5" spans="1:32" ht="15.75" x14ac:dyDescent="0.25">
      <c r="A5" s="1">
        <v>88</v>
      </c>
      <c r="B5" s="2">
        <v>45871</v>
      </c>
      <c r="C5" s="1" t="s">
        <v>18</v>
      </c>
      <c r="D5" s="1" t="s">
        <v>9</v>
      </c>
      <c r="E5" s="1">
        <v>1</v>
      </c>
      <c r="F5" s="16">
        <v>12508001</v>
      </c>
      <c r="G5" s="16">
        <v>1250</v>
      </c>
      <c r="H5" s="16" t="s">
        <v>244</v>
      </c>
      <c r="I5" s="16" t="s">
        <v>11</v>
      </c>
      <c r="J5" s="16" t="s">
        <v>580</v>
      </c>
      <c r="K5" s="3">
        <v>1572</v>
      </c>
      <c r="L5" s="5">
        <v>1543</v>
      </c>
      <c r="M5" s="5">
        <v>1544</v>
      </c>
      <c r="N5" s="5">
        <v>1542</v>
      </c>
      <c r="O5" s="5">
        <v>1542</v>
      </c>
      <c r="P5" s="30">
        <f>AVERAGE(M5:N5:O5)</f>
        <v>1542.6666666666667</v>
      </c>
      <c r="Q5" s="16">
        <v>5.4</v>
      </c>
      <c r="R5" s="16">
        <v>31</v>
      </c>
      <c r="S5" s="72" t="s">
        <v>5</v>
      </c>
      <c r="T5" s="8">
        <v>163</v>
      </c>
      <c r="U5" s="8">
        <v>61.1</v>
      </c>
      <c r="V5" s="10">
        <f t="shared" ref="V5:V6" si="2">T5-U5</f>
        <v>101.9</v>
      </c>
      <c r="W5" s="11" t="s">
        <v>5</v>
      </c>
      <c r="X5" s="69">
        <v>58</v>
      </c>
      <c r="Y5" s="12">
        <f t="shared" ref="Y5:Y8" si="3">((G5*X5*0.79/100000)*Q5)</f>
        <v>3.0928500000000003</v>
      </c>
      <c r="Z5" s="64">
        <v>9.1</v>
      </c>
      <c r="AA5" s="64">
        <v>10</v>
      </c>
      <c r="AB5" s="49">
        <v>79</v>
      </c>
      <c r="AC5" s="49">
        <v>83</v>
      </c>
      <c r="AD5" s="11" t="s">
        <v>6</v>
      </c>
      <c r="AE5" s="33" t="s">
        <v>455</v>
      </c>
      <c r="AF5" s="41" t="s">
        <v>14</v>
      </c>
    </row>
    <row r="6" spans="1:32" ht="15.75" x14ac:dyDescent="0.25">
      <c r="A6" s="1">
        <v>89</v>
      </c>
      <c r="B6" s="2">
        <v>45871</v>
      </c>
      <c r="C6" s="1" t="s">
        <v>18</v>
      </c>
      <c r="D6" s="1" t="s">
        <v>9</v>
      </c>
      <c r="E6" s="1">
        <v>1</v>
      </c>
      <c r="F6" s="16">
        <v>12508001</v>
      </c>
      <c r="G6" s="16">
        <v>1250</v>
      </c>
      <c r="H6" s="16" t="s">
        <v>244</v>
      </c>
      <c r="I6" s="16" t="s">
        <v>164</v>
      </c>
      <c r="J6" s="16" t="s">
        <v>581</v>
      </c>
      <c r="K6" s="3">
        <v>1568</v>
      </c>
      <c r="L6" s="5">
        <v>1541</v>
      </c>
      <c r="M6" s="5">
        <v>1541</v>
      </c>
      <c r="N6" s="5">
        <v>1541</v>
      </c>
      <c r="O6" s="5" t="s">
        <v>5</v>
      </c>
      <c r="P6" s="30">
        <f>AVERAGE(M6:N6:O6)</f>
        <v>1541</v>
      </c>
      <c r="Q6" s="16">
        <v>4.8</v>
      </c>
      <c r="R6" s="71">
        <v>32</v>
      </c>
      <c r="S6" s="72" t="s">
        <v>5</v>
      </c>
      <c r="T6" s="9" t="s">
        <v>5</v>
      </c>
      <c r="U6" s="9" t="s">
        <v>5</v>
      </c>
      <c r="V6" s="9" t="s">
        <v>5</v>
      </c>
      <c r="W6" s="11" t="s">
        <v>5</v>
      </c>
      <c r="X6" s="69">
        <v>58</v>
      </c>
      <c r="Y6" s="12">
        <f t="shared" si="3"/>
        <v>2.7491999999999996</v>
      </c>
      <c r="Z6" s="7">
        <v>9.6999999999999993</v>
      </c>
      <c r="AA6" s="7">
        <v>10.9</v>
      </c>
      <c r="AB6" s="13">
        <v>80</v>
      </c>
      <c r="AC6" s="13">
        <v>89</v>
      </c>
      <c r="AD6" s="11" t="s">
        <v>6</v>
      </c>
      <c r="AE6" s="33" t="s">
        <v>455</v>
      </c>
      <c r="AF6" s="41" t="s">
        <v>14</v>
      </c>
    </row>
    <row r="7" spans="1:32" ht="15.75" x14ac:dyDescent="0.25">
      <c r="A7" s="1">
        <v>114</v>
      </c>
      <c r="B7" s="2">
        <v>45871</v>
      </c>
      <c r="C7" s="1" t="s">
        <v>264</v>
      </c>
      <c r="D7" s="1" t="s">
        <v>19</v>
      </c>
      <c r="E7" s="1">
        <v>1</v>
      </c>
      <c r="F7" s="16">
        <v>12508001</v>
      </c>
      <c r="G7" s="16">
        <v>1255</v>
      </c>
      <c r="H7" s="16" t="s">
        <v>582</v>
      </c>
      <c r="I7" s="16" t="s">
        <v>173</v>
      </c>
      <c r="J7" s="16" t="s">
        <v>583</v>
      </c>
      <c r="K7" s="5">
        <v>1563</v>
      </c>
      <c r="L7" s="5">
        <v>1543</v>
      </c>
      <c r="M7" s="5">
        <v>1542</v>
      </c>
      <c r="N7" s="5">
        <v>1543</v>
      </c>
      <c r="O7" s="5">
        <v>1539</v>
      </c>
      <c r="P7" s="30">
        <f>AVERAGE(M7:N7:O7)</f>
        <v>1541.3333333333333</v>
      </c>
      <c r="Q7" s="67">
        <v>5.2</v>
      </c>
      <c r="R7" s="67">
        <v>35</v>
      </c>
      <c r="S7" s="68" t="s">
        <v>5</v>
      </c>
      <c r="T7" s="9">
        <v>167</v>
      </c>
      <c r="U7" s="9">
        <v>66</v>
      </c>
      <c r="V7" s="10">
        <f t="shared" ref="V7" si="4">T7-U7</f>
        <v>101</v>
      </c>
      <c r="W7" s="11" t="s">
        <v>5</v>
      </c>
      <c r="X7" s="69">
        <v>58</v>
      </c>
      <c r="Y7" s="12">
        <f t="shared" si="3"/>
        <v>2.9902132000000003</v>
      </c>
      <c r="Z7" s="31">
        <v>9.5</v>
      </c>
      <c r="AA7" s="31">
        <v>9.1999999999999993</v>
      </c>
      <c r="AB7" s="32">
        <v>86</v>
      </c>
      <c r="AC7" s="32">
        <v>92</v>
      </c>
      <c r="AD7" s="11" t="s">
        <v>6</v>
      </c>
      <c r="AE7" s="33" t="s">
        <v>7</v>
      </c>
      <c r="AF7" s="14" t="s">
        <v>480</v>
      </c>
    </row>
    <row r="8" spans="1:32" ht="47.25" x14ac:dyDescent="0.25">
      <c r="A8" s="1">
        <v>125</v>
      </c>
      <c r="B8" s="2">
        <v>45871</v>
      </c>
      <c r="C8" s="1" t="s">
        <v>264</v>
      </c>
      <c r="D8" s="1" t="s">
        <v>19</v>
      </c>
      <c r="E8" s="1">
        <v>2</v>
      </c>
      <c r="F8" s="16">
        <v>22508001</v>
      </c>
      <c r="G8" s="16">
        <v>1250</v>
      </c>
      <c r="H8" s="16" t="s">
        <v>266</v>
      </c>
      <c r="I8" s="16" t="s">
        <v>56</v>
      </c>
      <c r="J8" s="16" t="s">
        <v>584</v>
      </c>
      <c r="K8" s="3">
        <v>1565</v>
      </c>
      <c r="L8" s="3">
        <v>1540</v>
      </c>
      <c r="M8" s="5">
        <v>1538</v>
      </c>
      <c r="N8" s="5">
        <v>1538</v>
      </c>
      <c r="O8" s="5">
        <v>1536</v>
      </c>
      <c r="P8" s="30">
        <f>AVERAGE(M8:N8:O8)</f>
        <v>1537.3333333333333</v>
      </c>
      <c r="Q8" s="67">
        <v>4.5</v>
      </c>
      <c r="R8" s="67">
        <v>33</v>
      </c>
      <c r="S8" s="68">
        <v>36</v>
      </c>
      <c r="T8" s="11" t="s">
        <v>5</v>
      </c>
      <c r="U8" s="11" t="s">
        <v>5</v>
      </c>
      <c r="V8" s="11" t="s">
        <v>5</v>
      </c>
      <c r="W8" s="11">
        <v>18.7</v>
      </c>
      <c r="X8" s="11">
        <v>57</v>
      </c>
      <c r="Y8" s="12">
        <f t="shared" si="3"/>
        <v>2.5329375000000001</v>
      </c>
      <c r="Z8" s="31">
        <v>8.3000000000000007</v>
      </c>
      <c r="AA8" s="31">
        <v>8.4</v>
      </c>
      <c r="AB8" s="32">
        <v>81</v>
      </c>
      <c r="AC8" s="32">
        <v>84</v>
      </c>
      <c r="AD8" s="8" t="s">
        <v>6</v>
      </c>
      <c r="AE8" s="33" t="s">
        <v>455</v>
      </c>
      <c r="AF8" s="14" t="s">
        <v>585</v>
      </c>
    </row>
    <row r="9" spans="1:32" ht="15.75" x14ac:dyDescent="0.25">
      <c r="A9" s="1">
        <v>128</v>
      </c>
      <c r="B9" s="2">
        <v>45871</v>
      </c>
      <c r="C9" s="1" t="s">
        <v>264</v>
      </c>
      <c r="D9" s="1" t="s">
        <v>19</v>
      </c>
      <c r="E9" s="1">
        <v>2</v>
      </c>
      <c r="F9" s="16">
        <v>22508001</v>
      </c>
      <c r="G9" s="16">
        <v>1250</v>
      </c>
      <c r="H9" s="16" t="s">
        <v>266</v>
      </c>
      <c r="I9" s="16" t="s">
        <v>146</v>
      </c>
      <c r="J9" s="16" t="s">
        <v>586</v>
      </c>
      <c r="K9" s="9">
        <v>1568</v>
      </c>
      <c r="L9" s="5">
        <v>1546</v>
      </c>
      <c r="M9" s="5">
        <v>1546</v>
      </c>
      <c r="N9" s="5">
        <v>1545</v>
      </c>
      <c r="O9" s="5">
        <v>1545</v>
      </c>
      <c r="P9" s="30">
        <f>AVERAGE(M9:N9:O9)</f>
        <v>1545.3333333333333</v>
      </c>
      <c r="Q9" s="16">
        <v>5.2</v>
      </c>
      <c r="R9" s="16">
        <v>33</v>
      </c>
      <c r="S9" s="8">
        <v>33</v>
      </c>
      <c r="T9" s="9">
        <v>178.39</v>
      </c>
      <c r="U9" s="9">
        <v>72.69</v>
      </c>
      <c r="V9" s="10">
        <f t="shared" ref="V9:V12" si="5">T9-U9</f>
        <v>105.69999999999999</v>
      </c>
      <c r="W9" s="11">
        <v>22.4</v>
      </c>
      <c r="X9" s="69">
        <v>57</v>
      </c>
      <c r="Y9" s="12" t="e">
        <f>((#REF!*X9*0.79/100000)*Q9)</f>
        <v>#REF!</v>
      </c>
      <c r="Z9" s="31">
        <v>9.4</v>
      </c>
      <c r="AA9" s="31">
        <v>9.3000000000000007</v>
      </c>
      <c r="AB9" s="32">
        <v>90</v>
      </c>
      <c r="AC9" s="32">
        <v>84</v>
      </c>
      <c r="AD9" s="11" t="s">
        <v>6</v>
      </c>
      <c r="AE9" s="33" t="s">
        <v>455</v>
      </c>
      <c r="AF9" s="14" t="s">
        <v>545</v>
      </c>
    </row>
    <row r="10" spans="1:32" ht="31.5" x14ac:dyDescent="0.25">
      <c r="A10" s="1">
        <v>130</v>
      </c>
      <c r="B10" s="2">
        <v>45871</v>
      </c>
      <c r="C10" s="1" t="s">
        <v>264</v>
      </c>
      <c r="D10" s="1" t="s">
        <v>19</v>
      </c>
      <c r="E10" s="1">
        <v>2</v>
      </c>
      <c r="F10" s="16">
        <v>22508001</v>
      </c>
      <c r="G10" s="16">
        <v>1250</v>
      </c>
      <c r="H10" s="16" t="s">
        <v>266</v>
      </c>
      <c r="I10" s="16" t="s">
        <v>296</v>
      </c>
      <c r="J10" s="16" t="s">
        <v>587</v>
      </c>
      <c r="K10" s="9">
        <v>1568</v>
      </c>
      <c r="L10" s="5">
        <v>1547</v>
      </c>
      <c r="M10" s="5">
        <v>1547</v>
      </c>
      <c r="N10" s="5">
        <v>1545</v>
      </c>
      <c r="O10" s="5" t="s">
        <v>5</v>
      </c>
      <c r="P10" s="30">
        <f>AVERAGE(M10:N10:O10)</f>
        <v>1546</v>
      </c>
      <c r="Q10" s="69">
        <v>4.8</v>
      </c>
      <c r="R10" s="69">
        <v>38</v>
      </c>
      <c r="S10" s="8">
        <v>2</v>
      </c>
      <c r="T10" s="11">
        <v>167.38</v>
      </c>
      <c r="U10" s="11">
        <v>59.95</v>
      </c>
      <c r="V10" s="10">
        <f t="shared" si="5"/>
        <v>107.42999999999999</v>
      </c>
      <c r="W10" s="11">
        <v>21.2</v>
      </c>
      <c r="X10" s="69">
        <v>57</v>
      </c>
      <c r="Y10" s="12" t="e">
        <f>((#REF!*X10*0.79/100000)*Q10)</f>
        <v>#REF!</v>
      </c>
      <c r="Z10" s="31">
        <v>10.5</v>
      </c>
      <c r="AA10" s="31">
        <v>10.1</v>
      </c>
      <c r="AB10" s="32">
        <v>89</v>
      </c>
      <c r="AC10" s="32">
        <v>87</v>
      </c>
      <c r="AD10" s="11" t="s">
        <v>6</v>
      </c>
      <c r="AE10" s="33" t="s">
        <v>455</v>
      </c>
      <c r="AF10" s="14" t="s">
        <v>588</v>
      </c>
    </row>
    <row r="11" spans="1:32" ht="47.25" x14ac:dyDescent="0.25">
      <c r="A11" s="1">
        <v>154</v>
      </c>
      <c r="B11" s="2">
        <v>45872</v>
      </c>
      <c r="C11" s="1" t="s">
        <v>18</v>
      </c>
      <c r="D11" s="1" t="s">
        <v>265</v>
      </c>
      <c r="E11" s="1">
        <v>1</v>
      </c>
      <c r="F11" s="16">
        <v>12508002</v>
      </c>
      <c r="G11" s="16">
        <v>1250</v>
      </c>
      <c r="H11" s="16" t="s">
        <v>244</v>
      </c>
      <c r="I11" s="16" t="s">
        <v>90</v>
      </c>
      <c r="J11" s="16" t="s">
        <v>589</v>
      </c>
      <c r="K11" s="3">
        <v>1570</v>
      </c>
      <c r="L11" s="5">
        <v>1532</v>
      </c>
      <c r="M11" s="73">
        <v>1531</v>
      </c>
      <c r="N11" s="73">
        <v>1529</v>
      </c>
      <c r="O11" s="73">
        <v>1528</v>
      </c>
      <c r="P11" s="30">
        <f>AVERAGE(M11:N11:O11)</f>
        <v>1529.3333333333333</v>
      </c>
      <c r="Q11" s="16">
        <v>4.5999999999999996</v>
      </c>
      <c r="R11" s="16">
        <v>22</v>
      </c>
      <c r="S11" s="72">
        <v>20</v>
      </c>
      <c r="T11" s="9">
        <v>168</v>
      </c>
      <c r="U11" s="9">
        <v>107</v>
      </c>
      <c r="V11" s="10">
        <f t="shared" si="5"/>
        <v>61</v>
      </c>
      <c r="W11" s="11" t="s">
        <v>5</v>
      </c>
      <c r="X11" s="69">
        <v>58</v>
      </c>
      <c r="Y11" s="12">
        <f>((G11*X11*0.79/100000)*Q11)</f>
        <v>2.6346499999999997</v>
      </c>
      <c r="Z11" s="31">
        <v>10</v>
      </c>
      <c r="AA11" s="32">
        <v>10.4</v>
      </c>
      <c r="AB11" s="32">
        <v>74</v>
      </c>
      <c r="AC11" s="32">
        <v>76</v>
      </c>
      <c r="AD11" s="11" t="s">
        <v>6</v>
      </c>
      <c r="AE11" s="33" t="s">
        <v>7</v>
      </c>
      <c r="AF11" s="41" t="s">
        <v>590</v>
      </c>
    </row>
    <row r="12" spans="1:32" ht="31.5" x14ac:dyDescent="0.25">
      <c r="A12" s="1">
        <v>168</v>
      </c>
      <c r="B12" s="2">
        <v>45872</v>
      </c>
      <c r="C12" s="1" t="s">
        <v>18</v>
      </c>
      <c r="D12" s="1" t="s">
        <v>265</v>
      </c>
      <c r="E12" s="1">
        <v>2</v>
      </c>
      <c r="F12" s="16">
        <v>22508002</v>
      </c>
      <c r="G12" s="16">
        <v>1250</v>
      </c>
      <c r="H12" s="16" t="s">
        <v>368</v>
      </c>
      <c r="I12" s="16" t="s">
        <v>315</v>
      </c>
      <c r="J12" s="16" t="s">
        <v>591</v>
      </c>
      <c r="K12" s="3">
        <v>1570</v>
      </c>
      <c r="L12" s="5">
        <v>1546</v>
      </c>
      <c r="M12" s="5">
        <v>1551</v>
      </c>
      <c r="N12" s="5">
        <v>1551</v>
      </c>
      <c r="O12" s="5">
        <v>1552</v>
      </c>
      <c r="P12" s="30">
        <f>AVERAGE(M12:N12:O12)</f>
        <v>1551.3333333333333</v>
      </c>
      <c r="Q12" s="67">
        <v>5</v>
      </c>
      <c r="R12" s="67">
        <v>38</v>
      </c>
      <c r="S12" s="72">
        <v>7</v>
      </c>
      <c r="T12" s="11">
        <v>171.2</v>
      </c>
      <c r="U12" s="11">
        <v>60</v>
      </c>
      <c r="V12" s="10">
        <f t="shared" si="5"/>
        <v>111.19999999999999</v>
      </c>
      <c r="W12" s="11">
        <v>13.5</v>
      </c>
      <c r="X12" s="69">
        <v>58</v>
      </c>
      <c r="Y12" s="12">
        <f t="shared" ref="Y12:Y13" si="6">((G12*X12*0.79/100000)*Q12)</f>
        <v>2.86375</v>
      </c>
      <c r="Z12" s="46">
        <v>8.6</v>
      </c>
      <c r="AA12" s="31">
        <v>7.5</v>
      </c>
      <c r="AB12" s="11">
        <v>79</v>
      </c>
      <c r="AC12" s="11">
        <v>84</v>
      </c>
      <c r="AD12" s="11" t="s">
        <v>6</v>
      </c>
      <c r="AE12" s="33" t="s">
        <v>7</v>
      </c>
      <c r="AF12" s="41" t="s">
        <v>592</v>
      </c>
    </row>
    <row r="13" spans="1:32" ht="31.5" x14ac:dyDescent="0.25">
      <c r="A13" s="1">
        <v>199</v>
      </c>
      <c r="B13" s="2">
        <v>45872</v>
      </c>
      <c r="C13" s="1" t="s">
        <v>264</v>
      </c>
      <c r="D13" s="1" t="s">
        <v>19</v>
      </c>
      <c r="E13" s="1">
        <v>2</v>
      </c>
      <c r="F13" s="16">
        <v>22508002</v>
      </c>
      <c r="G13" s="16">
        <v>1250</v>
      </c>
      <c r="H13" s="16" t="s">
        <v>176</v>
      </c>
      <c r="I13" s="16" t="s">
        <v>129</v>
      </c>
      <c r="J13" s="16" t="s">
        <v>593</v>
      </c>
      <c r="K13" s="3">
        <v>1570</v>
      </c>
      <c r="L13" s="3">
        <v>1548</v>
      </c>
      <c r="M13" s="5">
        <v>1550</v>
      </c>
      <c r="N13" s="5">
        <v>1550</v>
      </c>
      <c r="O13" s="5">
        <v>1551</v>
      </c>
      <c r="P13" s="30">
        <f>AVERAGE(M13:N13:O13)</f>
        <v>1550.3333333333333</v>
      </c>
      <c r="Q13" s="67">
        <v>3.7</v>
      </c>
      <c r="R13" s="67">
        <v>43</v>
      </c>
      <c r="S13" s="68">
        <v>7</v>
      </c>
      <c r="T13" s="11" t="s">
        <v>5</v>
      </c>
      <c r="U13" s="11" t="s">
        <v>5</v>
      </c>
      <c r="V13" s="11" t="s">
        <v>5</v>
      </c>
      <c r="W13" s="11">
        <v>14.2</v>
      </c>
      <c r="X13" s="11">
        <v>58</v>
      </c>
      <c r="Y13" s="12">
        <f t="shared" si="6"/>
        <v>2.1191750000000003</v>
      </c>
      <c r="Z13" s="31">
        <v>5.6</v>
      </c>
      <c r="AA13" s="31">
        <v>6.3</v>
      </c>
      <c r="AB13" s="32">
        <v>86</v>
      </c>
      <c r="AC13" s="32">
        <v>68</v>
      </c>
      <c r="AD13" s="8" t="s">
        <v>6</v>
      </c>
      <c r="AE13" s="33" t="s">
        <v>455</v>
      </c>
      <c r="AF13" s="14" t="s">
        <v>594</v>
      </c>
    </row>
    <row r="14" spans="1:32" ht="47.25" x14ac:dyDescent="0.25">
      <c r="A14" s="1">
        <v>203</v>
      </c>
      <c r="B14" s="2">
        <v>45872</v>
      </c>
      <c r="C14" s="1" t="s">
        <v>0</v>
      </c>
      <c r="D14" s="1" t="s">
        <v>9</v>
      </c>
      <c r="E14" s="1">
        <v>1</v>
      </c>
      <c r="F14" s="16">
        <v>12508003</v>
      </c>
      <c r="G14" s="16">
        <v>1250</v>
      </c>
      <c r="H14" s="16" t="s">
        <v>562</v>
      </c>
      <c r="I14" s="16" t="s">
        <v>80</v>
      </c>
      <c r="J14" s="16" t="s">
        <v>595</v>
      </c>
      <c r="K14" s="3">
        <v>1565</v>
      </c>
      <c r="L14" s="5">
        <v>1549</v>
      </c>
      <c r="M14" s="5">
        <v>1548</v>
      </c>
      <c r="N14" s="5">
        <v>1547</v>
      </c>
      <c r="O14" s="5">
        <v>1548</v>
      </c>
      <c r="P14" s="30">
        <f>AVERAGE(M14:N14:O14)</f>
        <v>1547.6666666666667</v>
      </c>
      <c r="Q14" s="67">
        <v>4.2</v>
      </c>
      <c r="R14" s="67">
        <v>41</v>
      </c>
      <c r="S14" s="68">
        <v>33</v>
      </c>
      <c r="T14" s="9">
        <v>165.8</v>
      </c>
      <c r="U14" s="9">
        <v>61.4</v>
      </c>
      <c r="V14" s="10">
        <f t="shared" ref="V14:V17" si="7">T14-U14</f>
        <v>104.4</v>
      </c>
      <c r="W14" s="11" t="s">
        <v>5</v>
      </c>
      <c r="X14" s="69">
        <v>58</v>
      </c>
      <c r="Y14" s="12">
        <f>((G14*X14*0.79/100000)*Q14)</f>
        <v>2.4055499999999999</v>
      </c>
      <c r="Z14" s="31">
        <v>7.8</v>
      </c>
      <c r="AA14" s="31">
        <v>8.8000000000000007</v>
      </c>
      <c r="AB14" s="32">
        <v>75</v>
      </c>
      <c r="AC14" s="32">
        <v>85</v>
      </c>
      <c r="AD14" s="11" t="s">
        <v>6</v>
      </c>
      <c r="AE14" s="33" t="s">
        <v>7</v>
      </c>
      <c r="AF14" s="14" t="s">
        <v>596</v>
      </c>
    </row>
    <row r="15" spans="1:32" ht="47.25" x14ac:dyDescent="0.25">
      <c r="A15" s="1">
        <v>233</v>
      </c>
      <c r="B15" s="2">
        <v>45873</v>
      </c>
      <c r="C15" s="1" t="s">
        <v>18</v>
      </c>
      <c r="D15" s="1" t="s">
        <v>265</v>
      </c>
      <c r="E15" s="1">
        <v>1</v>
      </c>
      <c r="F15" s="16">
        <v>12508004</v>
      </c>
      <c r="G15" s="16">
        <v>1250</v>
      </c>
      <c r="H15" s="16" t="s">
        <v>10</v>
      </c>
      <c r="I15" s="16" t="s">
        <v>86</v>
      </c>
      <c r="J15" s="16" t="s">
        <v>597</v>
      </c>
      <c r="K15" s="5">
        <v>1570</v>
      </c>
      <c r="L15" s="5">
        <v>1548</v>
      </c>
      <c r="M15" s="5">
        <v>1544</v>
      </c>
      <c r="N15" s="5">
        <v>1542</v>
      </c>
      <c r="O15" s="5">
        <v>1542</v>
      </c>
      <c r="P15" s="30">
        <f>AVERAGE(M15:N15:O15)</f>
        <v>1542.6666666666667</v>
      </c>
      <c r="Q15" s="16">
        <v>4</v>
      </c>
      <c r="R15" s="16">
        <v>42</v>
      </c>
      <c r="S15" s="72" t="s">
        <v>5</v>
      </c>
      <c r="T15" s="9">
        <v>164</v>
      </c>
      <c r="U15" s="9">
        <v>68</v>
      </c>
      <c r="V15" s="10">
        <f t="shared" si="7"/>
        <v>96</v>
      </c>
      <c r="W15" s="11" t="s">
        <v>5</v>
      </c>
      <c r="X15" s="69">
        <v>58</v>
      </c>
      <c r="Y15" s="12">
        <f t="shared" ref="Y15:Y20" si="8">((G15*X15*0.79/100000)*Q15)</f>
        <v>2.2909999999999999</v>
      </c>
      <c r="Z15" s="18">
        <v>11.2</v>
      </c>
      <c r="AA15" s="18">
        <v>10.4</v>
      </c>
      <c r="AB15" s="19">
        <v>92</v>
      </c>
      <c r="AC15" s="19">
        <v>84</v>
      </c>
      <c r="AD15" s="11" t="s">
        <v>6</v>
      </c>
      <c r="AE15" s="33" t="s">
        <v>7</v>
      </c>
      <c r="AF15" s="41" t="s">
        <v>598</v>
      </c>
    </row>
    <row r="16" spans="1:32" ht="31.5" x14ac:dyDescent="0.25">
      <c r="A16" s="1">
        <v>235</v>
      </c>
      <c r="B16" s="2">
        <v>45873</v>
      </c>
      <c r="C16" s="1" t="s">
        <v>18</v>
      </c>
      <c r="D16" s="1" t="s">
        <v>265</v>
      </c>
      <c r="E16" s="1">
        <v>1</v>
      </c>
      <c r="F16" s="16">
        <v>12508004</v>
      </c>
      <c r="G16" s="16">
        <v>1250</v>
      </c>
      <c r="H16" s="16" t="s">
        <v>10</v>
      </c>
      <c r="I16" s="16" t="s">
        <v>194</v>
      </c>
      <c r="J16" s="16" t="s">
        <v>599</v>
      </c>
      <c r="K16" s="3">
        <v>1572</v>
      </c>
      <c r="L16" s="5">
        <v>1550</v>
      </c>
      <c r="M16" s="5">
        <v>1553</v>
      </c>
      <c r="N16" s="5">
        <v>1553</v>
      </c>
      <c r="O16" s="5" t="s">
        <v>5</v>
      </c>
      <c r="P16" s="30">
        <f>AVERAGE(M16:N16:O16)</f>
        <v>1553</v>
      </c>
      <c r="Q16" s="16">
        <v>4</v>
      </c>
      <c r="R16" s="16">
        <v>30</v>
      </c>
      <c r="S16" s="72" t="s">
        <v>5</v>
      </c>
      <c r="T16" s="9">
        <v>147</v>
      </c>
      <c r="U16" s="9">
        <v>58</v>
      </c>
      <c r="V16" s="10">
        <f t="shared" si="7"/>
        <v>89</v>
      </c>
      <c r="W16" s="11" t="s">
        <v>5</v>
      </c>
      <c r="X16" s="69">
        <v>58</v>
      </c>
      <c r="Y16" s="12">
        <f t="shared" si="8"/>
        <v>2.2909999999999999</v>
      </c>
      <c r="Z16" s="31">
        <v>11.5</v>
      </c>
      <c r="AA16" s="31">
        <v>10.4</v>
      </c>
      <c r="AB16" s="32">
        <v>90</v>
      </c>
      <c r="AC16" s="32">
        <v>85</v>
      </c>
      <c r="AD16" s="11" t="s">
        <v>6</v>
      </c>
      <c r="AE16" s="33" t="s">
        <v>455</v>
      </c>
      <c r="AF16" s="41" t="s">
        <v>600</v>
      </c>
    </row>
    <row r="17" spans="1:32" ht="47.25" x14ac:dyDescent="0.25">
      <c r="A17" s="1">
        <v>236</v>
      </c>
      <c r="B17" s="2">
        <v>45873</v>
      </c>
      <c r="C17" s="1" t="s">
        <v>18</v>
      </c>
      <c r="D17" s="1" t="s">
        <v>265</v>
      </c>
      <c r="E17" s="1">
        <v>1</v>
      </c>
      <c r="F17" s="16">
        <v>12508004</v>
      </c>
      <c r="G17" s="16">
        <v>1250</v>
      </c>
      <c r="H17" s="16" t="s">
        <v>10</v>
      </c>
      <c r="I17" s="16" t="s">
        <v>189</v>
      </c>
      <c r="J17" s="16" t="s">
        <v>601</v>
      </c>
      <c r="K17" s="3">
        <v>1569</v>
      </c>
      <c r="L17" s="5">
        <v>1547</v>
      </c>
      <c r="M17" s="5">
        <v>1545</v>
      </c>
      <c r="N17" s="5">
        <v>1543</v>
      </c>
      <c r="O17" s="5" t="s">
        <v>5</v>
      </c>
      <c r="P17" s="30">
        <f>AVERAGE(M17:N17:O17)</f>
        <v>1544</v>
      </c>
      <c r="Q17" s="16">
        <v>4</v>
      </c>
      <c r="R17" s="16">
        <v>41</v>
      </c>
      <c r="S17" s="72" t="s">
        <v>5</v>
      </c>
      <c r="T17" s="11">
        <v>164.8</v>
      </c>
      <c r="U17" s="11">
        <v>64.599999999999994</v>
      </c>
      <c r="V17" s="10">
        <f t="shared" si="7"/>
        <v>100.20000000000002</v>
      </c>
      <c r="W17" s="11" t="s">
        <v>5</v>
      </c>
      <c r="X17" s="69">
        <v>58</v>
      </c>
      <c r="Y17" s="12">
        <f t="shared" si="8"/>
        <v>2.2909999999999999</v>
      </c>
      <c r="Z17" s="31">
        <v>9.5</v>
      </c>
      <c r="AA17" s="31">
        <v>9.5</v>
      </c>
      <c r="AB17" s="32">
        <v>94</v>
      </c>
      <c r="AC17" s="32">
        <v>91</v>
      </c>
      <c r="AD17" s="11" t="s">
        <v>6</v>
      </c>
      <c r="AE17" s="33" t="s">
        <v>455</v>
      </c>
      <c r="AF17" s="41" t="s">
        <v>602</v>
      </c>
    </row>
    <row r="18" spans="1:32" ht="31.5" x14ac:dyDescent="0.25">
      <c r="A18" s="1">
        <v>240</v>
      </c>
      <c r="B18" s="2">
        <v>45873</v>
      </c>
      <c r="C18" s="1" t="s">
        <v>18</v>
      </c>
      <c r="D18" s="1" t="s">
        <v>265</v>
      </c>
      <c r="E18" s="1">
        <v>2</v>
      </c>
      <c r="F18" s="16">
        <v>22508003</v>
      </c>
      <c r="G18" s="16">
        <v>1250</v>
      </c>
      <c r="H18" s="16" t="s">
        <v>603</v>
      </c>
      <c r="I18" s="16" t="s">
        <v>120</v>
      </c>
      <c r="J18" s="3" t="s">
        <v>604</v>
      </c>
      <c r="K18" s="3">
        <v>1568</v>
      </c>
      <c r="L18" s="5">
        <v>1542</v>
      </c>
      <c r="M18" s="5">
        <v>1546</v>
      </c>
      <c r="N18" s="5">
        <v>1545</v>
      </c>
      <c r="O18" s="5">
        <v>1542</v>
      </c>
      <c r="P18" s="30">
        <f>AVERAGE(M18:N18:O18)</f>
        <v>1544.3333333333333</v>
      </c>
      <c r="Q18" s="70">
        <v>4.5</v>
      </c>
      <c r="R18" s="71">
        <v>38</v>
      </c>
      <c r="S18" s="72">
        <v>35</v>
      </c>
      <c r="T18" s="11" t="s">
        <v>5</v>
      </c>
      <c r="U18" s="11" t="s">
        <v>5</v>
      </c>
      <c r="V18" s="11" t="s">
        <v>5</v>
      </c>
      <c r="W18" s="11">
        <v>13.5</v>
      </c>
      <c r="X18" s="69">
        <v>58</v>
      </c>
      <c r="Y18" s="12">
        <f t="shared" si="8"/>
        <v>2.577375</v>
      </c>
      <c r="Z18" s="31">
        <v>8.8000000000000007</v>
      </c>
      <c r="AA18" s="31">
        <v>7.4</v>
      </c>
      <c r="AB18" s="11">
        <v>74</v>
      </c>
      <c r="AC18" s="11">
        <v>61</v>
      </c>
      <c r="AD18" s="11" t="s">
        <v>6</v>
      </c>
      <c r="AE18" s="33" t="s">
        <v>7</v>
      </c>
      <c r="AF18" s="41" t="s">
        <v>605</v>
      </c>
    </row>
    <row r="19" spans="1:32" ht="15.75" x14ac:dyDescent="0.25">
      <c r="A19" s="1">
        <v>244</v>
      </c>
      <c r="B19" s="2">
        <v>45873</v>
      </c>
      <c r="C19" s="1" t="s">
        <v>18</v>
      </c>
      <c r="D19" s="1" t="s">
        <v>265</v>
      </c>
      <c r="E19" s="1">
        <v>2</v>
      </c>
      <c r="F19" s="16">
        <v>22508003</v>
      </c>
      <c r="G19" s="16">
        <v>1250</v>
      </c>
      <c r="H19" s="16" t="s">
        <v>10</v>
      </c>
      <c r="I19" s="16" t="s">
        <v>83</v>
      </c>
      <c r="J19" s="16" t="s">
        <v>606</v>
      </c>
      <c r="K19" s="3">
        <v>1568</v>
      </c>
      <c r="L19" s="5">
        <v>1555</v>
      </c>
      <c r="M19" s="5">
        <v>1550</v>
      </c>
      <c r="N19" s="5">
        <v>1550</v>
      </c>
      <c r="O19" s="5">
        <v>1548</v>
      </c>
      <c r="P19" s="30">
        <f>AVERAGE(M19:N19:O19)</f>
        <v>1549.3333333333333</v>
      </c>
      <c r="Q19" s="67">
        <v>5</v>
      </c>
      <c r="R19" s="67">
        <v>35</v>
      </c>
      <c r="S19" s="72">
        <v>25</v>
      </c>
      <c r="T19" s="11" t="s">
        <v>5</v>
      </c>
      <c r="U19" s="11" t="s">
        <v>5</v>
      </c>
      <c r="V19" s="11" t="s">
        <v>5</v>
      </c>
      <c r="W19" s="11">
        <v>18.399999999999999</v>
      </c>
      <c r="X19" s="69">
        <v>58</v>
      </c>
      <c r="Y19" s="12">
        <f t="shared" si="8"/>
        <v>2.86375</v>
      </c>
      <c r="Z19" s="64">
        <v>9.1</v>
      </c>
      <c r="AA19" s="64">
        <v>9.6999999999999993</v>
      </c>
      <c r="AB19" s="11">
        <v>82</v>
      </c>
      <c r="AC19" s="11">
        <v>86</v>
      </c>
      <c r="AD19" s="11" t="s">
        <v>6</v>
      </c>
      <c r="AE19" s="33" t="s">
        <v>53</v>
      </c>
      <c r="AF19" s="41" t="s">
        <v>418</v>
      </c>
    </row>
    <row r="20" spans="1:32" ht="15.75" x14ac:dyDescent="0.25">
      <c r="A20" s="1">
        <v>248</v>
      </c>
      <c r="B20" s="2">
        <v>45873</v>
      </c>
      <c r="C20" s="1" t="s">
        <v>18</v>
      </c>
      <c r="D20" s="1" t="s">
        <v>265</v>
      </c>
      <c r="E20" s="1">
        <v>2</v>
      </c>
      <c r="F20" s="16">
        <v>22508003</v>
      </c>
      <c r="G20" s="16">
        <v>1250</v>
      </c>
      <c r="H20" s="16" t="s">
        <v>10</v>
      </c>
      <c r="I20" s="16" t="s">
        <v>80</v>
      </c>
      <c r="J20" s="16" t="s">
        <v>607</v>
      </c>
      <c r="K20" s="3">
        <v>1572</v>
      </c>
      <c r="L20" s="5">
        <v>1550</v>
      </c>
      <c r="M20" s="5">
        <v>1552</v>
      </c>
      <c r="N20" s="5">
        <v>1553</v>
      </c>
      <c r="O20" s="5">
        <v>1555</v>
      </c>
      <c r="P20" s="30">
        <f>AVERAGE(M20:N20:O20)</f>
        <v>1553.3333333333333</v>
      </c>
      <c r="Q20" s="67">
        <v>5.2</v>
      </c>
      <c r="R20" s="67">
        <v>36</v>
      </c>
      <c r="S20" s="72">
        <v>26</v>
      </c>
      <c r="T20" s="11" t="s">
        <v>5</v>
      </c>
      <c r="U20" s="11" t="s">
        <v>5</v>
      </c>
      <c r="V20" s="11" t="s">
        <v>5</v>
      </c>
      <c r="W20" s="11" t="s">
        <v>5</v>
      </c>
      <c r="X20" s="69">
        <v>58</v>
      </c>
      <c r="Y20" s="12">
        <f t="shared" si="8"/>
        <v>2.9782999999999999</v>
      </c>
      <c r="Z20" s="31">
        <v>9.6</v>
      </c>
      <c r="AA20" s="31">
        <v>8.6</v>
      </c>
      <c r="AB20" s="11">
        <v>80</v>
      </c>
      <c r="AC20" s="11">
        <v>87</v>
      </c>
      <c r="AD20" s="11" t="s">
        <v>6</v>
      </c>
      <c r="AE20" s="33" t="s">
        <v>53</v>
      </c>
      <c r="AF20" s="14" t="s">
        <v>397</v>
      </c>
    </row>
    <row r="21" spans="1:32" ht="15.75" x14ac:dyDescent="0.25">
      <c r="A21" s="1">
        <v>252</v>
      </c>
      <c r="B21" s="2">
        <v>45874</v>
      </c>
      <c r="C21" s="1" t="s">
        <v>18</v>
      </c>
      <c r="D21" s="1" t="s">
        <v>265</v>
      </c>
      <c r="E21" s="1">
        <v>1</v>
      </c>
      <c r="F21" s="16">
        <v>12508006</v>
      </c>
      <c r="G21" s="16">
        <v>1270</v>
      </c>
      <c r="H21" s="16" t="s">
        <v>10</v>
      </c>
      <c r="I21" s="16" t="s">
        <v>98</v>
      </c>
      <c r="J21" s="74" t="s">
        <v>608</v>
      </c>
      <c r="K21" s="3">
        <v>1605</v>
      </c>
      <c r="L21" s="5">
        <v>1559</v>
      </c>
      <c r="M21" s="5">
        <v>1576</v>
      </c>
      <c r="N21" s="5">
        <v>1574</v>
      </c>
      <c r="O21" s="5">
        <v>1574</v>
      </c>
      <c r="P21" s="30">
        <f>AVERAGE(M21:N21:O21)</f>
        <v>1574.6666666666667</v>
      </c>
      <c r="Q21" s="16">
        <v>3.4</v>
      </c>
      <c r="R21" s="16">
        <v>42</v>
      </c>
      <c r="S21" s="72" t="s">
        <v>5</v>
      </c>
      <c r="T21" s="11">
        <v>165</v>
      </c>
      <c r="U21" s="11">
        <v>62</v>
      </c>
      <c r="V21" s="10">
        <f>T21-U21</f>
        <v>103</v>
      </c>
      <c r="W21" s="11" t="s">
        <v>248</v>
      </c>
      <c r="X21" s="69">
        <v>58</v>
      </c>
      <c r="Y21" s="12">
        <f>((G21*X21*0.79/100000)*Q21)</f>
        <v>1.9785076000000001</v>
      </c>
      <c r="Z21" s="11">
        <v>7</v>
      </c>
      <c r="AA21" s="11">
        <v>5.4</v>
      </c>
      <c r="AB21" s="11">
        <v>77</v>
      </c>
      <c r="AC21" s="11">
        <v>67</v>
      </c>
      <c r="AD21" s="11" t="s">
        <v>6</v>
      </c>
      <c r="AE21" s="33" t="s">
        <v>7</v>
      </c>
      <c r="AF21" s="41" t="s">
        <v>14</v>
      </c>
    </row>
    <row r="22" spans="1:32" ht="15.75" x14ac:dyDescent="0.25">
      <c r="A22" s="1">
        <v>254</v>
      </c>
      <c r="B22" s="2">
        <v>45874</v>
      </c>
      <c r="C22" s="1" t="s">
        <v>18</v>
      </c>
      <c r="D22" s="1" t="s">
        <v>265</v>
      </c>
      <c r="E22" s="1">
        <v>1</v>
      </c>
      <c r="F22" s="16">
        <v>12508006</v>
      </c>
      <c r="G22" s="16">
        <v>1270</v>
      </c>
      <c r="H22" s="16" t="s">
        <v>10</v>
      </c>
      <c r="I22" s="16" t="s">
        <v>77</v>
      </c>
      <c r="J22" s="16" t="s">
        <v>609</v>
      </c>
      <c r="K22" s="3">
        <v>1569</v>
      </c>
      <c r="L22" s="5">
        <v>1550</v>
      </c>
      <c r="M22" s="5">
        <v>1550</v>
      </c>
      <c r="N22" s="5">
        <v>1549</v>
      </c>
      <c r="O22" s="5">
        <v>1544</v>
      </c>
      <c r="P22" s="30">
        <f>AVERAGE(M22:N22:O22)</f>
        <v>1547.6666666666667</v>
      </c>
      <c r="Q22" s="16">
        <v>5.5</v>
      </c>
      <c r="R22" s="16">
        <v>36</v>
      </c>
      <c r="S22" s="72" t="s">
        <v>5</v>
      </c>
      <c r="T22" s="8">
        <v>169</v>
      </c>
      <c r="U22" s="8">
        <v>59</v>
      </c>
      <c r="V22" s="10">
        <f t="shared" ref="V22:V23" si="9">T22-U22</f>
        <v>110</v>
      </c>
      <c r="W22" s="11" t="s">
        <v>5</v>
      </c>
      <c r="X22" s="69">
        <v>58</v>
      </c>
      <c r="Y22" s="12">
        <f t="shared" ref="Y22:Y28" si="10">((G22*X22*0.79/100000)*Q22)</f>
        <v>3.2005270000000001</v>
      </c>
      <c r="Z22" s="46">
        <v>7.5</v>
      </c>
      <c r="AA22" s="31">
        <v>8.8000000000000007</v>
      </c>
      <c r="AB22" s="32">
        <v>72</v>
      </c>
      <c r="AC22" s="32">
        <v>60</v>
      </c>
      <c r="AD22" s="11" t="s">
        <v>6</v>
      </c>
      <c r="AE22" s="33" t="s">
        <v>53</v>
      </c>
      <c r="AF22" s="41" t="s">
        <v>406</v>
      </c>
    </row>
    <row r="23" spans="1:32" ht="15.75" x14ac:dyDescent="0.25">
      <c r="A23" s="1">
        <v>260</v>
      </c>
      <c r="B23" s="2">
        <v>45874</v>
      </c>
      <c r="C23" s="1" t="s">
        <v>18</v>
      </c>
      <c r="D23" s="1" t="s">
        <v>265</v>
      </c>
      <c r="E23" s="1">
        <v>2</v>
      </c>
      <c r="F23" s="16">
        <v>22508005</v>
      </c>
      <c r="G23" s="16">
        <v>1270</v>
      </c>
      <c r="H23" s="16" t="s">
        <v>10</v>
      </c>
      <c r="I23" s="16" t="s">
        <v>194</v>
      </c>
      <c r="J23" s="16" t="s">
        <v>610</v>
      </c>
      <c r="K23" s="3">
        <v>1568</v>
      </c>
      <c r="L23" s="5">
        <v>1553</v>
      </c>
      <c r="M23" s="5">
        <v>1551</v>
      </c>
      <c r="N23" s="5">
        <v>1550</v>
      </c>
      <c r="O23" s="5" t="s">
        <v>5</v>
      </c>
      <c r="P23" s="30">
        <f>AVERAGE(M23:N23:O23)</f>
        <v>1550.5</v>
      </c>
      <c r="Q23" s="16">
        <v>5</v>
      </c>
      <c r="R23" s="16">
        <v>27</v>
      </c>
      <c r="S23" s="72">
        <v>4</v>
      </c>
      <c r="T23" s="9">
        <v>147</v>
      </c>
      <c r="U23" s="9">
        <v>69</v>
      </c>
      <c r="V23" s="10">
        <f t="shared" si="9"/>
        <v>78</v>
      </c>
      <c r="W23" s="11">
        <v>16.5</v>
      </c>
      <c r="X23" s="69">
        <v>58</v>
      </c>
      <c r="Y23" s="12">
        <f t="shared" si="10"/>
        <v>2.9095700000000004</v>
      </c>
      <c r="Z23" s="31">
        <v>8.9</v>
      </c>
      <c r="AA23" s="31">
        <v>9.6999999999999993</v>
      </c>
      <c r="AB23" s="32">
        <v>84</v>
      </c>
      <c r="AC23" s="8">
        <v>91</v>
      </c>
      <c r="AD23" s="11" t="s">
        <v>6</v>
      </c>
      <c r="AE23" s="33" t="s">
        <v>7</v>
      </c>
      <c r="AF23" s="41" t="s">
        <v>406</v>
      </c>
    </row>
    <row r="24" spans="1:32" ht="31.5" x14ac:dyDescent="0.25">
      <c r="A24" s="1">
        <v>261</v>
      </c>
      <c r="B24" s="2">
        <v>45874</v>
      </c>
      <c r="C24" s="1" t="s">
        <v>18</v>
      </c>
      <c r="D24" s="1" t="s">
        <v>265</v>
      </c>
      <c r="E24" s="1">
        <v>2</v>
      </c>
      <c r="F24" s="16">
        <v>22508005</v>
      </c>
      <c r="G24" s="16">
        <v>1270</v>
      </c>
      <c r="H24" s="16" t="s">
        <v>10</v>
      </c>
      <c r="I24" s="16" t="s">
        <v>189</v>
      </c>
      <c r="J24" s="16" t="s">
        <v>611</v>
      </c>
      <c r="K24" s="3">
        <v>1580</v>
      </c>
      <c r="L24" s="5">
        <v>1548</v>
      </c>
      <c r="M24" s="5">
        <v>1549</v>
      </c>
      <c r="N24" s="5">
        <v>1550</v>
      </c>
      <c r="O24" s="5">
        <v>1548</v>
      </c>
      <c r="P24" s="30">
        <f>AVERAGE(M24:N24:O24)</f>
        <v>1549</v>
      </c>
      <c r="Q24" s="16">
        <v>5</v>
      </c>
      <c r="R24" s="16">
        <v>36</v>
      </c>
      <c r="S24" s="72">
        <v>26</v>
      </c>
      <c r="T24" s="9" t="s">
        <v>5</v>
      </c>
      <c r="U24" s="9" t="s">
        <v>5</v>
      </c>
      <c r="V24" s="9" t="s">
        <v>5</v>
      </c>
      <c r="W24" s="11">
        <v>18</v>
      </c>
      <c r="X24" s="69">
        <v>58</v>
      </c>
      <c r="Y24" s="12">
        <f t="shared" si="10"/>
        <v>2.9095700000000004</v>
      </c>
      <c r="Z24" s="31">
        <v>9.4</v>
      </c>
      <c r="AA24" s="31">
        <v>10.4</v>
      </c>
      <c r="AB24" s="32">
        <v>82</v>
      </c>
      <c r="AC24" s="32">
        <v>88</v>
      </c>
      <c r="AD24" s="11" t="s">
        <v>6</v>
      </c>
      <c r="AE24" s="33" t="s">
        <v>7</v>
      </c>
      <c r="AF24" s="41" t="s">
        <v>612</v>
      </c>
    </row>
    <row r="25" spans="1:32" ht="31.5" x14ac:dyDescent="0.25">
      <c r="A25" s="1">
        <v>267</v>
      </c>
      <c r="B25" s="2">
        <v>45874</v>
      </c>
      <c r="C25" s="1" t="s">
        <v>18</v>
      </c>
      <c r="D25" s="1" t="s">
        <v>265</v>
      </c>
      <c r="E25" s="1">
        <v>1</v>
      </c>
      <c r="F25" s="16">
        <v>12508006</v>
      </c>
      <c r="G25" s="16">
        <v>1270</v>
      </c>
      <c r="H25" s="16" t="s">
        <v>10</v>
      </c>
      <c r="I25" s="16" t="s">
        <v>189</v>
      </c>
      <c r="J25" s="16" t="s">
        <v>613</v>
      </c>
      <c r="K25" s="3">
        <v>1579</v>
      </c>
      <c r="L25" s="5">
        <v>1545</v>
      </c>
      <c r="M25" s="5">
        <v>1546</v>
      </c>
      <c r="N25" s="5">
        <v>1544</v>
      </c>
      <c r="O25" s="5" t="s">
        <v>5</v>
      </c>
      <c r="P25" s="30">
        <f>AVERAGE(M25:N25:O25)</f>
        <v>1545</v>
      </c>
      <c r="Q25" s="67">
        <v>5.2</v>
      </c>
      <c r="R25" s="67">
        <v>34</v>
      </c>
      <c r="S25" s="72">
        <v>7</v>
      </c>
      <c r="T25" s="11">
        <v>167</v>
      </c>
      <c r="U25" s="11">
        <v>60</v>
      </c>
      <c r="V25" s="10">
        <f t="shared" ref="V25:V28" si="11">T25-U25</f>
        <v>107</v>
      </c>
      <c r="W25" s="11" t="s">
        <v>5</v>
      </c>
      <c r="X25" s="69">
        <v>58</v>
      </c>
      <c r="Y25" s="12">
        <f t="shared" si="10"/>
        <v>3.0259528000000002</v>
      </c>
      <c r="Z25" s="46">
        <v>9.1</v>
      </c>
      <c r="AA25" s="31">
        <v>8</v>
      </c>
      <c r="AB25" s="11">
        <v>82</v>
      </c>
      <c r="AC25" s="11">
        <v>72</v>
      </c>
      <c r="AD25" s="11" t="s">
        <v>6</v>
      </c>
      <c r="AE25" s="33" t="s">
        <v>7</v>
      </c>
      <c r="AF25" s="41" t="s">
        <v>614</v>
      </c>
    </row>
    <row r="26" spans="1:32" ht="15.75" x14ac:dyDescent="0.25">
      <c r="A26" s="1">
        <v>269</v>
      </c>
      <c r="B26" s="2">
        <v>45874</v>
      </c>
      <c r="C26" s="1" t="s">
        <v>18</v>
      </c>
      <c r="D26" s="1" t="s">
        <v>265</v>
      </c>
      <c r="E26" s="1">
        <v>1</v>
      </c>
      <c r="F26" s="16">
        <v>12508006</v>
      </c>
      <c r="G26" s="16">
        <v>1270</v>
      </c>
      <c r="H26" s="16" t="s">
        <v>10</v>
      </c>
      <c r="I26" s="16" t="s">
        <v>70</v>
      </c>
      <c r="J26" s="16" t="s">
        <v>615</v>
      </c>
      <c r="K26" s="3">
        <v>1565</v>
      </c>
      <c r="L26" s="5">
        <v>1549</v>
      </c>
      <c r="M26" s="5">
        <v>1550</v>
      </c>
      <c r="N26" s="5">
        <v>1550</v>
      </c>
      <c r="O26" s="5" t="s">
        <v>5</v>
      </c>
      <c r="P26" s="30">
        <f>AVERAGE(M26:N26:O26)</f>
        <v>1550</v>
      </c>
      <c r="Q26" s="67">
        <v>5.5</v>
      </c>
      <c r="R26" s="67">
        <v>32</v>
      </c>
      <c r="S26" s="72">
        <v>22</v>
      </c>
      <c r="T26" s="11">
        <v>170</v>
      </c>
      <c r="U26" s="11">
        <v>62</v>
      </c>
      <c r="V26" s="10">
        <f t="shared" si="11"/>
        <v>108</v>
      </c>
      <c r="W26" s="11" t="s">
        <v>5</v>
      </c>
      <c r="X26" s="69">
        <v>58</v>
      </c>
      <c r="Y26" s="12">
        <f t="shared" si="10"/>
        <v>3.2005270000000001</v>
      </c>
      <c r="Z26" s="64">
        <v>7.4</v>
      </c>
      <c r="AA26" s="64">
        <v>8.9</v>
      </c>
      <c r="AB26" s="11">
        <v>60</v>
      </c>
      <c r="AC26" s="11">
        <v>73</v>
      </c>
      <c r="AD26" s="11" t="s">
        <v>6</v>
      </c>
      <c r="AE26" s="33" t="s">
        <v>53</v>
      </c>
      <c r="AF26" s="41" t="s">
        <v>503</v>
      </c>
    </row>
    <row r="27" spans="1:32" ht="15.75" x14ac:dyDescent="0.25">
      <c r="A27" s="1">
        <v>274</v>
      </c>
      <c r="B27" s="2">
        <v>45874</v>
      </c>
      <c r="C27" s="1" t="s">
        <v>18</v>
      </c>
      <c r="D27" s="1" t="s">
        <v>265</v>
      </c>
      <c r="E27" s="1">
        <v>1</v>
      </c>
      <c r="F27" s="16">
        <v>12508006</v>
      </c>
      <c r="G27" s="16">
        <v>1270</v>
      </c>
      <c r="H27" s="16" t="s">
        <v>10</v>
      </c>
      <c r="I27" s="16" t="s">
        <v>182</v>
      </c>
      <c r="J27" s="16" t="s">
        <v>616</v>
      </c>
      <c r="K27" s="3">
        <v>1570</v>
      </c>
      <c r="L27" s="5">
        <v>1547</v>
      </c>
      <c r="M27" s="5">
        <v>1547</v>
      </c>
      <c r="N27" s="5">
        <v>1547</v>
      </c>
      <c r="O27" s="5" t="s">
        <v>5</v>
      </c>
      <c r="P27" s="30">
        <f>AVERAGE(M27:N27:O27)</f>
        <v>1547</v>
      </c>
      <c r="Q27" s="67">
        <v>5.5</v>
      </c>
      <c r="R27" s="67">
        <v>35</v>
      </c>
      <c r="S27" s="72">
        <v>7</v>
      </c>
      <c r="T27" s="11">
        <v>164.3</v>
      </c>
      <c r="U27" s="11">
        <v>60</v>
      </c>
      <c r="V27" s="10">
        <f t="shared" si="11"/>
        <v>104.30000000000001</v>
      </c>
      <c r="W27" s="11" t="s">
        <v>5</v>
      </c>
      <c r="X27" s="69">
        <v>58</v>
      </c>
      <c r="Y27" s="12">
        <f t="shared" si="10"/>
        <v>3.2005270000000001</v>
      </c>
      <c r="Z27" s="31">
        <v>10.5</v>
      </c>
      <c r="AA27" s="31">
        <v>10</v>
      </c>
      <c r="AB27" s="11">
        <v>86</v>
      </c>
      <c r="AC27" s="11">
        <v>81</v>
      </c>
      <c r="AD27" s="11" t="s">
        <v>6</v>
      </c>
      <c r="AE27" s="33" t="s">
        <v>455</v>
      </c>
      <c r="AF27" s="14" t="s">
        <v>617</v>
      </c>
    </row>
    <row r="28" spans="1:32" ht="15.75" x14ac:dyDescent="0.25">
      <c r="A28" s="1">
        <v>276</v>
      </c>
      <c r="B28" s="2">
        <v>45874</v>
      </c>
      <c r="C28" s="1" t="s">
        <v>18</v>
      </c>
      <c r="D28" s="1" t="s">
        <v>265</v>
      </c>
      <c r="E28" s="1">
        <v>1</v>
      </c>
      <c r="F28" s="16">
        <v>12508006</v>
      </c>
      <c r="G28" s="16">
        <v>1270</v>
      </c>
      <c r="H28" s="16" t="s">
        <v>10</v>
      </c>
      <c r="I28" s="16" t="s">
        <v>20</v>
      </c>
      <c r="J28" s="16" t="s">
        <v>618</v>
      </c>
      <c r="K28" s="3">
        <v>1565</v>
      </c>
      <c r="L28" s="5">
        <v>1543</v>
      </c>
      <c r="M28" s="5">
        <v>1542</v>
      </c>
      <c r="N28" s="5">
        <v>1542</v>
      </c>
      <c r="O28" s="5">
        <v>1541</v>
      </c>
      <c r="P28" s="30">
        <f>AVERAGE(M28:N28:O28)</f>
        <v>1541.6666666666667</v>
      </c>
      <c r="Q28" s="67">
        <v>4</v>
      </c>
      <c r="R28" s="67">
        <v>37</v>
      </c>
      <c r="S28" s="72">
        <v>31</v>
      </c>
      <c r="T28" s="11">
        <v>156.19999999999999</v>
      </c>
      <c r="U28" s="11">
        <v>63.2</v>
      </c>
      <c r="V28" s="10">
        <f t="shared" si="11"/>
        <v>92.999999999999986</v>
      </c>
      <c r="W28" s="11" t="s">
        <v>5</v>
      </c>
      <c r="X28" s="69">
        <v>58</v>
      </c>
      <c r="Y28" s="12">
        <f t="shared" si="10"/>
        <v>2.3276560000000002</v>
      </c>
      <c r="Z28" s="31">
        <v>6.5</v>
      </c>
      <c r="AA28" s="31">
        <v>7.8</v>
      </c>
      <c r="AB28" s="11">
        <v>67</v>
      </c>
      <c r="AC28" s="11">
        <v>64</v>
      </c>
      <c r="AD28" s="11" t="s">
        <v>6</v>
      </c>
      <c r="AE28" s="33" t="s">
        <v>53</v>
      </c>
      <c r="AF28" s="14" t="s">
        <v>418</v>
      </c>
    </row>
    <row r="29" spans="1:32" ht="15.75" x14ac:dyDescent="0.25">
      <c r="A29" s="1">
        <v>307</v>
      </c>
      <c r="B29" s="2">
        <v>45874</v>
      </c>
      <c r="C29" s="1" t="s">
        <v>0</v>
      </c>
      <c r="D29" s="1" t="s">
        <v>9</v>
      </c>
      <c r="E29" s="1">
        <v>2</v>
      </c>
      <c r="F29" s="16">
        <v>22508006</v>
      </c>
      <c r="G29" s="16">
        <v>1230</v>
      </c>
      <c r="H29" s="16" t="s">
        <v>10</v>
      </c>
      <c r="I29" s="16" t="s">
        <v>98</v>
      </c>
      <c r="J29" s="16" t="s">
        <v>619</v>
      </c>
      <c r="K29" s="9">
        <v>1598</v>
      </c>
      <c r="L29" s="5">
        <v>1565</v>
      </c>
      <c r="M29" s="5">
        <v>1564</v>
      </c>
      <c r="N29" s="5">
        <v>1556</v>
      </c>
      <c r="O29" s="5">
        <v>1550</v>
      </c>
      <c r="P29" s="30">
        <f>AVERAGE(M29:N29:O29)</f>
        <v>1556.6666666666667</v>
      </c>
      <c r="Q29" s="69">
        <v>3.7</v>
      </c>
      <c r="R29" s="69">
        <v>40</v>
      </c>
      <c r="S29" s="8" t="s">
        <v>5</v>
      </c>
      <c r="T29" s="9" t="s">
        <v>5</v>
      </c>
      <c r="U29" s="9" t="s">
        <v>5</v>
      </c>
      <c r="V29" s="9" t="s">
        <v>5</v>
      </c>
      <c r="W29" s="11" t="s">
        <v>248</v>
      </c>
      <c r="X29" s="69">
        <v>58</v>
      </c>
      <c r="Y29" s="12" t="e">
        <f>((#REF!*X29*0.79/100000)*Q29)</f>
        <v>#REF!</v>
      </c>
      <c r="Z29" s="31">
        <v>8.3000000000000007</v>
      </c>
      <c r="AA29" s="31">
        <v>6.7</v>
      </c>
      <c r="AB29" s="32">
        <v>83</v>
      </c>
      <c r="AC29" s="32">
        <v>63</v>
      </c>
      <c r="AD29" s="11" t="s">
        <v>6</v>
      </c>
      <c r="AE29" s="33" t="s">
        <v>7</v>
      </c>
      <c r="AF29" s="14" t="s">
        <v>545</v>
      </c>
    </row>
    <row r="30" spans="1:32" ht="47.25" x14ac:dyDescent="0.25">
      <c r="A30" s="1">
        <v>308</v>
      </c>
      <c r="B30" s="2">
        <v>45874</v>
      </c>
      <c r="C30" s="1" t="s">
        <v>0</v>
      </c>
      <c r="D30" s="1" t="s">
        <v>9</v>
      </c>
      <c r="E30" s="1">
        <v>2</v>
      </c>
      <c r="F30" s="16">
        <v>22508006</v>
      </c>
      <c r="G30" s="16">
        <v>1230</v>
      </c>
      <c r="H30" s="16" t="s">
        <v>10</v>
      </c>
      <c r="I30" s="16" t="s">
        <v>86</v>
      </c>
      <c r="J30" s="16" t="s">
        <v>620</v>
      </c>
      <c r="K30" s="9">
        <v>1570</v>
      </c>
      <c r="L30" s="5">
        <v>1545</v>
      </c>
      <c r="M30" s="5">
        <v>1544</v>
      </c>
      <c r="N30" s="5">
        <v>1541</v>
      </c>
      <c r="O30" s="5">
        <v>1541</v>
      </c>
      <c r="P30" s="30">
        <f>AVERAGE(M30:N30:O30)</f>
        <v>1542</v>
      </c>
      <c r="Q30" s="69">
        <v>4</v>
      </c>
      <c r="R30" s="69">
        <v>45</v>
      </c>
      <c r="S30" s="75" t="s">
        <v>5</v>
      </c>
      <c r="T30" s="76" t="s">
        <v>5</v>
      </c>
      <c r="U30" s="76" t="s">
        <v>5</v>
      </c>
      <c r="V30" s="76" t="s">
        <v>5</v>
      </c>
      <c r="W30" s="77" t="s">
        <v>5</v>
      </c>
      <c r="X30" s="69">
        <v>58</v>
      </c>
      <c r="Y30" s="12" t="e">
        <f>((#REF!*X30*0.79/100000)*Q30)</f>
        <v>#REF!</v>
      </c>
      <c r="Z30" s="31">
        <v>8.1999999999999993</v>
      </c>
      <c r="AA30" s="31">
        <v>6.2</v>
      </c>
      <c r="AB30" s="32">
        <v>82</v>
      </c>
      <c r="AC30" s="32">
        <v>65</v>
      </c>
      <c r="AD30" s="11" t="s">
        <v>6</v>
      </c>
      <c r="AE30" s="33" t="s">
        <v>7</v>
      </c>
      <c r="AF30" s="14" t="s">
        <v>621</v>
      </c>
    </row>
    <row r="31" spans="1:32" ht="15.75" x14ac:dyDescent="0.25">
      <c r="A31" s="1">
        <v>329</v>
      </c>
      <c r="B31" s="2">
        <v>45875</v>
      </c>
      <c r="C31" s="1" t="s">
        <v>18</v>
      </c>
      <c r="D31" s="1" t="s">
        <v>265</v>
      </c>
      <c r="E31" s="1">
        <v>2</v>
      </c>
      <c r="F31" s="16">
        <v>22508006</v>
      </c>
      <c r="G31" s="16">
        <v>1230</v>
      </c>
      <c r="H31" s="16" t="s">
        <v>10</v>
      </c>
      <c r="I31" s="16" t="s">
        <v>74</v>
      </c>
      <c r="J31" s="16" t="s">
        <v>622</v>
      </c>
      <c r="K31" s="3">
        <v>1570</v>
      </c>
      <c r="L31" s="5">
        <v>1544</v>
      </c>
      <c r="M31" s="5">
        <v>1543</v>
      </c>
      <c r="N31" s="5">
        <v>1542</v>
      </c>
      <c r="O31" s="5" t="s">
        <v>5</v>
      </c>
      <c r="P31" s="30">
        <f>AVERAGE(M31:N31:O31)</f>
        <v>1542.5</v>
      </c>
      <c r="Q31" s="67">
        <v>4</v>
      </c>
      <c r="R31" s="67">
        <v>34</v>
      </c>
      <c r="S31" s="72">
        <v>33</v>
      </c>
      <c r="T31" s="11">
        <v>173.3</v>
      </c>
      <c r="U31" s="11">
        <v>67</v>
      </c>
      <c r="V31" s="10">
        <f t="shared" ref="V31" si="12">T31-U31</f>
        <v>106.30000000000001</v>
      </c>
      <c r="W31" s="11" t="s">
        <v>5</v>
      </c>
      <c r="X31" s="69">
        <v>58</v>
      </c>
      <c r="Y31" s="12">
        <f>((G31*X31*0.79/100000)*Q31)</f>
        <v>2.2543440000000001</v>
      </c>
      <c r="Z31" s="31">
        <v>7.6</v>
      </c>
      <c r="AA31" s="31">
        <v>7.1</v>
      </c>
      <c r="AB31" s="11">
        <v>73</v>
      </c>
      <c r="AC31" s="11">
        <v>60</v>
      </c>
      <c r="AD31" s="11" t="s">
        <v>6</v>
      </c>
      <c r="AE31" s="33" t="s">
        <v>7</v>
      </c>
      <c r="AF31" s="41" t="s">
        <v>418</v>
      </c>
    </row>
    <row r="32" spans="1:32" ht="15.75" x14ac:dyDescent="0.25">
      <c r="A32" s="1">
        <v>406</v>
      </c>
      <c r="B32" s="2">
        <v>45876</v>
      </c>
      <c r="C32" s="1" t="s">
        <v>18</v>
      </c>
      <c r="D32" s="1" t="s">
        <v>265</v>
      </c>
      <c r="E32" s="1">
        <v>2</v>
      </c>
      <c r="F32" s="16">
        <v>22508007</v>
      </c>
      <c r="G32" s="16">
        <v>1230</v>
      </c>
      <c r="H32" s="16" t="s">
        <v>10</v>
      </c>
      <c r="I32" s="16" t="s">
        <v>419</v>
      </c>
      <c r="J32" s="3" t="s">
        <v>623</v>
      </c>
      <c r="K32" s="3">
        <v>1567</v>
      </c>
      <c r="L32" s="5">
        <v>1549</v>
      </c>
      <c r="M32" s="5">
        <v>1548</v>
      </c>
      <c r="N32" s="5">
        <v>1548</v>
      </c>
      <c r="O32" s="5">
        <v>1547</v>
      </c>
      <c r="P32" s="30">
        <f>AVERAGE(M32:N32:O32)</f>
        <v>1547.6666666666667</v>
      </c>
      <c r="Q32" s="70">
        <v>5.3</v>
      </c>
      <c r="R32" s="71">
        <v>35</v>
      </c>
      <c r="S32" s="72">
        <v>14</v>
      </c>
      <c r="T32" s="11" t="s">
        <v>5</v>
      </c>
      <c r="U32" s="11" t="s">
        <v>5</v>
      </c>
      <c r="V32" s="11" t="s">
        <v>5</v>
      </c>
      <c r="W32" s="11">
        <v>24.8</v>
      </c>
      <c r="X32" s="69">
        <v>58</v>
      </c>
      <c r="Y32" s="12">
        <f t="shared" ref="Y32" si="13">((G32*X32*0.79/100000)*Q32)</f>
        <v>2.9870057999999999</v>
      </c>
      <c r="Z32" s="7">
        <v>11.1</v>
      </c>
      <c r="AA32" s="7">
        <v>10.5</v>
      </c>
      <c r="AB32" s="13">
        <v>89</v>
      </c>
      <c r="AC32" s="13">
        <v>84</v>
      </c>
      <c r="AD32" s="11" t="s">
        <v>6</v>
      </c>
      <c r="AE32" s="33" t="s">
        <v>7</v>
      </c>
      <c r="AF32" s="41" t="s">
        <v>397</v>
      </c>
    </row>
    <row r="33" spans="1:32" ht="31.5" x14ac:dyDescent="0.25">
      <c r="A33" s="1">
        <v>443</v>
      </c>
      <c r="B33" s="2">
        <v>45876</v>
      </c>
      <c r="C33" s="1" t="s">
        <v>264</v>
      </c>
      <c r="D33" s="1" t="s">
        <v>9</v>
      </c>
      <c r="E33" s="1">
        <v>1</v>
      </c>
      <c r="F33" s="16">
        <v>12508008</v>
      </c>
      <c r="G33" s="16">
        <v>1270</v>
      </c>
      <c r="H33" s="16" t="s">
        <v>624</v>
      </c>
      <c r="I33" s="16" t="s">
        <v>155</v>
      </c>
      <c r="J33" s="16" t="s">
        <v>625</v>
      </c>
      <c r="K33" s="9">
        <v>1570</v>
      </c>
      <c r="L33" s="5">
        <v>1550</v>
      </c>
      <c r="M33" s="5">
        <v>1549</v>
      </c>
      <c r="N33" s="5">
        <v>1549</v>
      </c>
      <c r="O33" s="5">
        <v>1549</v>
      </c>
      <c r="P33" s="30">
        <f>AVERAGE(M33:N33:O33)</f>
        <v>1549</v>
      </c>
      <c r="Q33" s="69">
        <v>4.5</v>
      </c>
      <c r="R33" s="69">
        <v>41</v>
      </c>
      <c r="S33" s="8">
        <v>7</v>
      </c>
      <c r="T33" s="11">
        <v>166</v>
      </c>
      <c r="U33" s="11">
        <v>60</v>
      </c>
      <c r="V33" s="10">
        <f t="shared" ref="V33:V34" si="14">T33-U33</f>
        <v>106</v>
      </c>
      <c r="W33" s="11" t="s">
        <v>5</v>
      </c>
      <c r="X33" s="69">
        <v>58</v>
      </c>
      <c r="Y33" s="12">
        <f>((G3*X33*0.79/100000)*Q33)</f>
        <v>2.5979940000000004</v>
      </c>
      <c r="Z33" s="31">
        <v>9.5</v>
      </c>
      <c r="AA33" s="31">
        <v>9.3000000000000007</v>
      </c>
      <c r="AB33" s="32">
        <v>87</v>
      </c>
      <c r="AC33" s="32">
        <v>90</v>
      </c>
      <c r="AD33" s="11" t="s">
        <v>6</v>
      </c>
      <c r="AE33" s="33" t="s">
        <v>7</v>
      </c>
      <c r="AF33" s="14" t="s">
        <v>626</v>
      </c>
    </row>
    <row r="34" spans="1:32" ht="15.75" x14ac:dyDescent="0.25">
      <c r="A34" s="1">
        <v>473</v>
      </c>
      <c r="B34" s="2">
        <v>45877</v>
      </c>
      <c r="C34" s="1" t="s">
        <v>18</v>
      </c>
      <c r="D34" s="1" t="s">
        <v>265</v>
      </c>
      <c r="E34" s="1">
        <v>1</v>
      </c>
      <c r="F34" s="16">
        <v>12508008</v>
      </c>
      <c r="G34" s="16">
        <v>1250</v>
      </c>
      <c r="H34" s="16" t="s">
        <v>176</v>
      </c>
      <c r="I34" s="16" t="s">
        <v>59</v>
      </c>
      <c r="J34" s="16" t="s">
        <v>627</v>
      </c>
      <c r="K34" s="5">
        <v>1568</v>
      </c>
      <c r="L34" s="5">
        <v>1546</v>
      </c>
      <c r="M34" s="5">
        <v>1547</v>
      </c>
      <c r="N34" s="5">
        <v>1548</v>
      </c>
      <c r="O34" s="5">
        <v>1548</v>
      </c>
      <c r="P34" s="30">
        <f>AVERAGE(M34:N34:O34)</f>
        <v>1547.6666666666667</v>
      </c>
      <c r="Q34" s="16">
        <v>5</v>
      </c>
      <c r="R34" s="16">
        <v>33</v>
      </c>
      <c r="S34" s="72">
        <v>34</v>
      </c>
      <c r="T34" s="9">
        <v>162</v>
      </c>
      <c r="U34" s="9">
        <v>64</v>
      </c>
      <c r="V34" s="10">
        <f t="shared" si="14"/>
        <v>98</v>
      </c>
      <c r="W34" s="11">
        <v>18.3</v>
      </c>
      <c r="X34" s="69">
        <v>58</v>
      </c>
      <c r="Y34" s="12">
        <f t="shared" ref="Y34:Y68" si="15">((G34*X34*0.78/100000)*Q34)</f>
        <v>2.8275000000000001</v>
      </c>
      <c r="Z34" s="18">
        <v>9.6999999999999993</v>
      </c>
      <c r="AA34" s="18">
        <v>8.8000000000000007</v>
      </c>
      <c r="AB34" s="19">
        <v>74</v>
      </c>
      <c r="AC34" s="19">
        <v>60</v>
      </c>
      <c r="AD34" s="11" t="s">
        <v>6</v>
      </c>
      <c r="AE34" s="33" t="s">
        <v>7</v>
      </c>
      <c r="AF34" s="41" t="s">
        <v>628</v>
      </c>
    </row>
    <row r="35" spans="1:32" ht="47.25" x14ac:dyDescent="0.25">
      <c r="A35" s="1">
        <v>484</v>
      </c>
      <c r="B35" s="2">
        <v>45877</v>
      </c>
      <c r="C35" s="1" t="s">
        <v>18</v>
      </c>
      <c r="D35" s="1" t="s">
        <v>265</v>
      </c>
      <c r="E35" s="1">
        <v>2</v>
      </c>
      <c r="F35" s="16">
        <v>22508008</v>
      </c>
      <c r="G35" s="16">
        <v>1250</v>
      </c>
      <c r="H35" s="16" t="s">
        <v>176</v>
      </c>
      <c r="I35" s="16" t="s">
        <v>113</v>
      </c>
      <c r="J35" s="16" t="s">
        <v>629</v>
      </c>
      <c r="K35" s="3">
        <v>1570</v>
      </c>
      <c r="L35" s="5">
        <v>1544</v>
      </c>
      <c r="M35" s="5">
        <v>1550</v>
      </c>
      <c r="N35" s="5">
        <v>1551</v>
      </c>
      <c r="O35" s="5">
        <v>1548</v>
      </c>
      <c r="P35" s="30">
        <f>AVERAGE(M35:N35:O35)</f>
        <v>1549.6666666666667</v>
      </c>
      <c r="Q35" s="67">
        <v>5</v>
      </c>
      <c r="R35" s="67">
        <v>33</v>
      </c>
      <c r="S35" s="72">
        <v>30</v>
      </c>
      <c r="T35" s="11" t="s">
        <v>5</v>
      </c>
      <c r="U35" s="11" t="s">
        <v>5</v>
      </c>
      <c r="V35" s="11" t="s">
        <v>5</v>
      </c>
      <c r="W35" s="11" t="s">
        <v>5</v>
      </c>
      <c r="X35" s="69">
        <v>57</v>
      </c>
      <c r="Y35" s="12">
        <f t="shared" si="15"/>
        <v>2.7787499999999996</v>
      </c>
      <c r="Z35" s="64">
        <v>9.6999999999999993</v>
      </c>
      <c r="AA35" s="64">
        <v>10.9</v>
      </c>
      <c r="AB35" s="11">
        <v>85</v>
      </c>
      <c r="AC35" s="11">
        <v>97</v>
      </c>
      <c r="AD35" s="11" t="s">
        <v>6</v>
      </c>
      <c r="AE35" s="33" t="s">
        <v>7</v>
      </c>
      <c r="AF35" s="41" t="s">
        <v>630</v>
      </c>
    </row>
    <row r="36" spans="1:32" ht="47.25" x14ac:dyDescent="0.25">
      <c r="A36" s="1">
        <v>628</v>
      </c>
      <c r="B36" s="2">
        <v>45879</v>
      </c>
      <c r="C36" s="1" t="s">
        <v>18</v>
      </c>
      <c r="D36" s="1" t="s">
        <v>19</v>
      </c>
      <c r="E36" s="1">
        <v>1</v>
      </c>
      <c r="F36" s="16">
        <v>12508010</v>
      </c>
      <c r="G36" s="16">
        <v>1250</v>
      </c>
      <c r="H36" s="16" t="s">
        <v>55</v>
      </c>
      <c r="I36" s="16" t="s">
        <v>152</v>
      </c>
      <c r="J36" s="16" t="s">
        <v>631</v>
      </c>
      <c r="K36" s="3">
        <v>1571</v>
      </c>
      <c r="L36" s="5">
        <v>1542</v>
      </c>
      <c r="M36" s="73">
        <v>1545</v>
      </c>
      <c r="N36" s="73">
        <v>1546</v>
      </c>
      <c r="O36" s="73">
        <v>1547</v>
      </c>
      <c r="P36" s="30">
        <f>AVERAGE(M36:N36:O36)</f>
        <v>1546</v>
      </c>
      <c r="Q36" s="16">
        <v>4.9000000000000004</v>
      </c>
      <c r="R36" s="16">
        <v>35</v>
      </c>
      <c r="S36" s="72">
        <v>34</v>
      </c>
      <c r="T36" s="9">
        <v>159</v>
      </c>
      <c r="U36" s="9">
        <v>64</v>
      </c>
      <c r="V36" s="10">
        <f t="shared" ref="V36" si="16">T36-U36</f>
        <v>95</v>
      </c>
      <c r="W36" s="11" t="s">
        <v>5</v>
      </c>
      <c r="X36" s="69">
        <v>58</v>
      </c>
      <c r="Y36" s="12">
        <f t="shared" si="15"/>
        <v>2.77095</v>
      </c>
      <c r="Z36" s="31">
        <v>10.7</v>
      </c>
      <c r="AA36" s="31">
        <v>10.3</v>
      </c>
      <c r="AB36" s="32">
        <v>79</v>
      </c>
      <c r="AC36" s="32">
        <v>81</v>
      </c>
      <c r="AD36" s="11" t="s">
        <v>6</v>
      </c>
      <c r="AE36" s="33" t="s">
        <v>7</v>
      </c>
      <c r="AF36" s="41" t="s">
        <v>632</v>
      </c>
    </row>
    <row r="37" spans="1:32" ht="15.75" x14ac:dyDescent="0.25">
      <c r="A37" s="1">
        <v>647</v>
      </c>
      <c r="B37" s="2">
        <v>45879</v>
      </c>
      <c r="C37" s="1" t="s">
        <v>18</v>
      </c>
      <c r="D37" s="1" t="s">
        <v>19</v>
      </c>
      <c r="E37" s="1">
        <v>2</v>
      </c>
      <c r="F37" s="16">
        <v>22508010</v>
      </c>
      <c r="G37" s="16">
        <v>1250</v>
      </c>
      <c r="H37" s="16" t="s">
        <v>55</v>
      </c>
      <c r="I37" s="16" t="s">
        <v>80</v>
      </c>
      <c r="J37" s="16" t="s">
        <v>633</v>
      </c>
      <c r="K37" s="3">
        <v>1570</v>
      </c>
      <c r="L37" s="5">
        <v>1549</v>
      </c>
      <c r="M37" s="5">
        <v>1549</v>
      </c>
      <c r="N37" s="5">
        <v>1547</v>
      </c>
      <c r="O37" s="5" t="s">
        <v>5</v>
      </c>
      <c r="P37" s="30">
        <f>AVERAGE(M37:N37:O37)</f>
        <v>1548</v>
      </c>
      <c r="Q37" s="70">
        <v>5.2</v>
      </c>
      <c r="R37" s="67">
        <v>35</v>
      </c>
      <c r="S37" s="72">
        <v>25</v>
      </c>
      <c r="T37" s="11" t="s">
        <v>5</v>
      </c>
      <c r="U37" s="11" t="s">
        <v>5</v>
      </c>
      <c r="V37" s="11" t="s">
        <v>5</v>
      </c>
      <c r="W37" s="11">
        <v>14.67</v>
      </c>
      <c r="X37" s="69">
        <v>58</v>
      </c>
      <c r="Y37" s="12">
        <f t="shared" si="15"/>
        <v>2.9406000000000003</v>
      </c>
      <c r="Z37" s="31">
        <v>9.1999999999999993</v>
      </c>
      <c r="AA37" s="31">
        <v>9.8000000000000007</v>
      </c>
      <c r="AB37" s="32">
        <v>87</v>
      </c>
      <c r="AC37" s="32">
        <v>93</v>
      </c>
      <c r="AD37" s="11" t="s">
        <v>6</v>
      </c>
      <c r="AE37" s="33" t="s">
        <v>455</v>
      </c>
      <c r="AF37" s="41" t="s">
        <v>545</v>
      </c>
    </row>
    <row r="38" spans="1:32" ht="31.5" x14ac:dyDescent="0.25">
      <c r="A38" s="1">
        <v>661</v>
      </c>
      <c r="B38" s="2">
        <v>45879</v>
      </c>
      <c r="C38" s="1" t="s">
        <v>264</v>
      </c>
      <c r="D38" s="1" t="s">
        <v>9</v>
      </c>
      <c r="E38" s="1">
        <v>1</v>
      </c>
      <c r="F38" s="16">
        <v>12508010</v>
      </c>
      <c r="G38" s="16">
        <v>1250</v>
      </c>
      <c r="H38" s="16" t="s">
        <v>10</v>
      </c>
      <c r="I38" s="16" t="s">
        <v>11</v>
      </c>
      <c r="J38" s="16" t="s">
        <v>634</v>
      </c>
      <c r="K38" s="3">
        <v>1569</v>
      </c>
      <c r="L38" s="5">
        <v>1548</v>
      </c>
      <c r="M38" s="5">
        <v>1549</v>
      </c>
      <c r="N38" s="5">
        <v>1542</v>
      </c>
      <c r="O38" s="5" t="s">
        <v>5</v>
      </c>
      <c r="P38" s="30">
        <f>AVERAGE(M38:N38:O38)</f>
        <v>1545.5</v>
      </c>
      <c r="Q38" s="67">
        <v>4</v>
      </c>
      <c r="R38" s="67">
        <v>29</v>
      </c>
      <c r="S38" s="68">
        <v>32</v>
      </c>
      <c r="T38" s="9">
        <v>155</v>
      </c>
      <c r="U38" s="9">
        <v>75</v>
      </c>
      <c r="V38" s="10">
        <f t="shared" ref="V38:V42" si="17">T38-U38</f>
        <v>80</v>
      </c>
      <c r="W38" s="11" t="s">
        <v>5</v>
      </c>
      <c r="X38" s="69">
        <v>58</v>
      </c>
      <c r="Y38" s="12">
        <f t="shared" si="15"/>
        <v>2.262</v>
      </c>
      <c r="Z38" s="31">
        <v>10</v>
      </c>
      <c r="AA38" s="31">
        <v>9.6</v>
      </c>
      <c r="AB38" s="32">
        <v>81</v>
      </c>
      <c r="AC38" s="32">
        <v>73</v>
      </c>
      <c r="AD38" s="11" t="s">
        <v>6</v>
      </c>
      <c r="AE38" s="33" t="s">
        <v>53</v>
      </c>
      <c r="AF38" s="14" t="s">
        <v>635</v>
      </c>
    </row>
    <row r="39" spans="1:32" ht="15.75" x14ac:dyDescent="0.25">
      <c r="A39" s="1">
        <v>688</v>
      </c>
      <c r="B39" s="2">
        <v>45879</v>
      </c>
      <c r="C39" s="1" t="s">
        <v>0</v>
      </c>
      <c r="D39" s="1" t="s">
        <v>265</v>
      </c>
      <c r="E39" s="1">
        <v>1</v>
      </c>
      <c r="F39" s="16">
        <v>12508010</v>
      </c>
      <c r="G39" s="16">
        <v>1240</v>
      </c>
      <c r="H39" s="16" t="s">
        <v>10</v>
      </c>
      <c r="I39" s="16" t="s">
        <v>240</v>
      </c>
      <c r="J39" s="16" t="s">
        <v>636</v>
      </c>
      <c r="K39" s="4">
        <v>1567</v>
      </c>
      <c r="L39" s="5">
        <v>1549</v>
      </c>
      <c r="M39" s="5">
        <v>1549</v>
      </c>
      <c r="N39" s="5">
        <v>1549</v>
      </c>
      <c r="O39" s="5">
        <v>1549</v>
      </c>
      <c r="P39" s="30">
        <f>AVERAGE(M39:N39:O39)</f>
        <v>1549</v>
      </c>
      <c r="Q39" s="16">
        <v>5.3</v>
      </c>
      <c r="R39" s="16">
        <v>34</v>
      </c>
      <c r="S39" s="8" t="s">
        <v>5</v>
      </c>
      <c r="T39" s="11">
        <v>162</v>
      </c>
      <c r="U39" s="11">
        <v>61</v>
      </c>
      <c r="V39" s="10">
        <f t="shared" si="17"/>
        <v>101</v>
      </c>
      <c r="W39" s="78" t="s">
        <v>5</v>
      </c>
      <c r="X39" s="69">
        <v>58</v>
      </c>
      <c r="Y39" s="12">
        <f t="shared" si="15"/>
        <v>2.9731727999999999</v>
      </c>
      <c r="Z39" s="7">
        <v>11.8</v>
      </c>
      <c r="AA39" s="7">
        <v>11.7</v>
      </c>
      <c r="AB39" s="13">
        <v>86</v>
      </c>
      <c r="AC39" s="13">
        <v>89</v>
      </c>
      <c r="AD39" s="11" t="s">
        <v>6</v>
      </c>
      <c r="AE39" s="33" t="s">
        <v>53</v>
      </c>
      <c r="AF39" s="79" t="s">
        <v>406</v>
      </c>
    </row>
    <row r="40" spans="1:32" ht="15.75" x14ac:dyDescent="0.25">
      <c r="A40" s="1">
        <v>697</v>
      </c>
      <c r="B40" s="2">
        <v>45879</v>
      </c>
      <c r="C40" s="1" t="s">
        <v>0</v>
      </c>
      <c r="D40" s="1" t="s">
        <v>265</v>
      </c>
      <c r="E40" s="1">
        <v>2</v>
      </c>
      <c r="F40" s="16">
        <v>22508011</v>
      </c>
      <c r="G40" s="16">
        <v>1350</v>
      </c>
      <c r="H40" s="16" t="s">
        <v>10</v>
      </c>
      <c r="I40" s="16" t="s">
        <v>77</v>
      </c>
      <c r="J40" s="16" t="s">
        <v>637</v>
      </c>
      <c r="K40" s="4">
        <v>1570</v>
      </c>
      <c r="L40" s="5">
        <v>1545</v>
      </c>
      <c r="M40" s="5">
        <v>1546</v>
      </c>
      <c r="N40" s="5">
        <v>1542</v>
      </c>
      <c r="O40" s="5" t="s">
        <v>5</v>
      </c>
      <c r="P40" s="30">
        <f>AVERAGE(M40:N40:O40)</f>
        <v>1544</v>
      </c>
      <c r="Q40" s="7">
        <v>5.4</v>
      </c>
      <c r="R40" s="4">
        <v>30</v>
      </c>
      <c r="S40" s="8">
        <v>27</v>
      </c>
      <c r="T40" s="11">
        <v>175.3</v>
      </c>
      <c r="U40" s="11">
        <v>64.3</v>
      </c>
      <c r="V40" s="10">
        <f t="shared" si="17"/>
        <v>111.00000000000001</v>
      </c>
      <c r="W40" s="11">
        <v>18.399999999999999</v>
      </c>
      <c r="X40" s="8">
        <v>58</v>
      </c>
      <c r="Y40" s="12">
        <f t="shared" si="15"/>
        <v>3.2979959999999999</v>
      </c>
      <c r="Z40" s="14">
        <v>11.4</v>
      </c>
      <c r="AA40" s="7">
        <v>11.7</v>
      </c>
      <c r="AB40" s="13">
        <v>87</v>
      </c>
      <c r="AC40" s="13">
        <v>84</v>
      </c>
      <c r="AD40" s="11" t="s">
        <v>6</v>
      </c>
      <c r="AE40" s="33" t="s">
        <v>53</v>
      </c>
      <c r="AF40" s="14" t="s">
        <v>508</v>
      </c>
    </row>
    <row r="41" spans="1:32" ht="15.75" x14ac:dyDescent="0.25">
      <c r="A41" s="1">
        <v>707</v>
      </c>
      <c r="B41" s="2">
        <v>45880</v>
      </c>
      <c r="C41" s="1" t="s">
        <v>18</v>
      </c>
      <c r="D41" s="1" t="s">
        <v>19</v>
      </c>
      <c r="E41" s="1">
        <v>1</v>
      </c>
      <c r="F41" s="16">
        <v>12508011</v>
      </c>
      <c r="G41" s="16">
        <v>1350</v>
      </c>
      <c r="H41" s="16" t="s">
        <v>10</v>
      </c>
      <c r="I41" s="16" t="s">
        <v>77</v>
      </c>
      <c r="J41" s="16" t="s">
        <v>638</v>
      </c>
      <c r="K41" s="3">
        <v>1566</v>
      </c>
      <c r="L41" s="5">
        <v>1546</v>
      </c>
      <c r="M41" s="5">
        <v>1543</v>
      </c>
      <c r="N41" s="5">
        <v>1544</v>
      </c>
      <c r="O41" s="5">
        <v>1538</v>
      </c>
      <c r="P41" s="30">
        <f>AVERAGE(M41:N41:O41)</f>
        <v>1541.6666666666667</v>
      </c>
      <c r="Q41" s="16">
        <v>5.2</v>
      </c>
      <c r="R41" s="16">
        <v>31</v>
      </c>
      <c r="S41" s="72" t="s">
        <v>5</v>
      </c>
      <c r="T41" s="9">
        <v>159.38</v>
      </c>
      <c r="U41" s="9">
        <v>60</v>
      </c>
      <c r="V41" s="10">
        <f t="shared" si="17"/>
        <v>99.38</v>
      </c>
      <c r="W41" s="11" t="s">
        <v>5</v>
      </c>
      <c r="X41" s="69">
        <v>57</v>
      </c>
      <c r="Y41" s="12">
        <f t="shared" si="15"/>
        <v>3.1210920000000004</v>
      </c>
      <c r="Z41" s="31">
        <v>11.6</v>
      </c>
      <c r="AA41" s="31">
        <v>11.1</v>
      </c>
      <c r="AB41" s="32">
        <v>71</v>
      </c>
      <c r="AC41" s="32">
        <v>67</v>
      </c>
      <c r="AD41" s="11" t="s">
        <v>6</v>
      </c>
      <c r="AE41" s="33" t="s">
        <v>639</v>
      </c>
      <c r="AF41" s="41" t="s">
        <v>480</v>
      </c>
    </row>
    <row r="42" spans="1:32" ht="31.5" x14ac:dyDescent="0.25">
      <c r="A42" s="1">
        <v>740</v>
      </c>
      <c r="B42" s="2">
        <v>45880</v>
      </c>
      <c r="C42" s="1" t="s">
        <v>264</v>
      </c>
      <c r="D42" s="1" t="s">
        <v>9</v>
      </c>
      <c r="E42" s="1">
        <v>1</v>
      </c>
      <c r="F42" s="16">
        <v>12508011</v>
      </c>
      <c r="G42" s="16">
        <v>1350</v>
      </c>
      <c r="H42" s="16" t="s">
        <v>10</v>
      </c>
      <c r="I42" s="16" t="s">
        <v>83</v>
      </c>
      <c r="J42" s="16" t="s">
        <v>640</v>
      </c>
      <c r="K42" s="3">
        <v>1565</v>
      </c>
      <c r="L42" s="5">
        <v>1538</v>
      </c>
      <c r="M42" s="5">
        <v>1538</v>
      </c>
      <c r="N42" s="5">
        <v>1536</v>
      </c>
      <c r="O42" s="5">
        <v>1536</v>
      </c>
      <c r="P42" s="30">
        <f>AVERAGE(M42:N42:O42)</f>
        <v>1536.6666666666667</v>
      </c>
      <c r="Q42" s="67">
        <v>5</v>
      </c>
      <c r="R42" s="67">
        <v>24</v>
      </c>
      <c r="S42" s="72"/>
      <c r="T42" s="72">
        <v>162.04</v>
      </c>
      <c r="U42" s="72">
        <v>78</v>
      </c>
      <c r="V42" s="10">
        <f t="shared" si="17"/>
        <v>84.039999999999992</v>
      </c>
      <c r="W42" s="11" t="s">
        <v>5</v>
      </c>
      <c r="X42" s="16">
        <v>57</v>
      </c>
      <c r="Y42" s="12">
        <f t="shared" si="15"/>
        <v>3.0010500000000002</v>
      </c>
      <c r="Z42" s="64">
        <v>9.1999999999999993</v>
      </c>
      <c r="AA42" s="64">
        <v>8.6999999999999993</v>
      </c>
      <c r="AB42" s="11">
        <v>75</v>
      </c>
      <c r="AC42" s="11">
        <v>71</v>
      </c>
      <c r="AD42" s="11" t="s">
        <v>6</v>
      </c>
      <c r="AE42" s="33" t="s">
        <v>641</v>
      </c>
      <c r="AF42" s="14" t="s">
        <v>642</v>
      </c>
    </row>
    <row r="43" spans="1:32" ht="31.5" x14ac:dyDescent="0.25">
      <c r="A43" s="1">
        <v>747</v>
      </c>
      <c r="B43" s="2">
        <v>45880</v>
      </c>
      <c r="C43" s="1" t="s">
        <v>264</v>
      </c>
      <c r="D43" s="1" t="s">
        <v>9</v>
      </c>
      <c r="E43" s="1">
        <v>2</v>
      </c>
      <c r="F43" s="16">
        <v>22508011</v>
      </c>
      <c r="G43" s="16">
        <v>1350</v>
      </c>
      <c r="H43" s="16" t="s">
        <v>10</v>
      </c>
      <c r="I43" s="16" t="s">
        <v>80</v>
      </c>
      <c r="J43" s="16" t="s">
        <v>643</v>
      </c>
      <c r="K43" s="9">
        <v>1568</v>
      </c>
      <c r="L43" s="5">
        <v>1541</v>
      </c>
      <c r="M43" s="5">
        <v>1540</v>
      </c>
      <c r="N43" s="5">
        <v>1544</v>
      </c>
      <c r="O43" s="5" t="s">
        <v>5</v>
      </c>
      <c r="P43" s="30">
        <f>AVERAGE(M43:N43:O43)</f>
        <v>1542</v>
      </c>
      <c r="Q43" s="69">
        <v>5.4</v>
      </c>
      <c r="R43" s="69">
        <v>33</v>
      </c>
      <c r="S43" s="8">
        <v>25</v>
      </c>
      <c r="T43" s="11" t="s">
        <v>5</v>
      </c>
      <c r="U43" s="11" t="s">
        <v>5</v>
      </c>
      <c r="V43" s="11" t="s">
        <v>5</v>
      </c>
      <c r="W43" s="11" t="s">
        <v>5</v>
      </c>
      <c r="X43" s="69">
        <v>57</v>
      </c>
      <c r="Y43" s="12">
        <f t="shared" si="15"/>
        <v>3.2411340000000002</v>
      </c>
      <c r="Z43" s="31">
        <v>13.1</v>
      </c>
      <c r="AA43" s="31">
        <v>12.8</v>
      </c>
      <c r="AB43" s="32">
        <v>92</v>
      </c>
      <c r="AC43" s="32">
        <v>91</v>
      </c>
      <c r="AD43" s="11" t="s">
        <v>6</v>
      </c>
      <c r="AE43" s="33" t="s">
        <v>639</v>
      </c>
      <c r="AF43" s="14" t="s">
        <v>282</v>
      </c>
    </row>
    <row r="44" spans="1:32" ht="31.5" x14ac:dyDescent="0.25">
      <c r="A44" s="1">
        <v>787</v>
      </c>
      <c r="B44" s="2">
        <v>45880</v>
      </c>
      <c r="C44" s="1" t="s">
        <v>0</v>
      </c>
      <c r="D44" s="1" t="s">
        <v>265</v>
      </c>
      <c r="E44" s="1">
        <v>2</v>
      </c>
      <c r="F44" s="16">
        <v>22508011</v>
      </c>
      <c r="G44" s="16">
        <v>1350</v>
      </c>
      <c r="H44" s="16" t="s">
        <v>10</v>
      </c>
      <c r="I44" s="16" t="s">
        <v>373</v>
      </c>
      <c r="J44" s="16" t="s">
        <v>644</v>
      </c>
      <c r="K44" s="4">
        <v>1570</v>
      </c>
      <c r="L44" s="5">
        <v>1542</v>
      </c>
      <c r="M44" s="5">
        <v>1542</v>
      </c>
      <c r="N44" s="5">
        <v>1542</v>
      </c>
      <c r="O44" s="5">
        <v>1541</v>
      </c>
      <c r="P44" s="30">
        <f>AVERAGE(M44:N44:O44)</f>
        <v>1541.6666666666667</v>
      </c>
      <c r="Q44" s="16">
        <v>4.9000000000000004</v>
      </c>
      <c r="R44" s="16">
        <v>34</v>
      </c>
      <c r="S44" s="8">
        <v>24</v>
      </c>
      <c r="T44" s="11" t="s">
        <v>5</v>
      </c>
      <c r="U44" s="11" t="s">
        <v>5</v>
      </c>
      <c r="V44" s="11" t="s">
        <v>5</v>
      </c>
      <c r="W44" s="37">
        <v>19.399999999999999</v>
      </c>
      <c r="X44" s="8">
        <v>57</v>
      </c>
      <c r="Y44" s="12">
        <f t="shared" si="15"/>
        <v>2.9410290000000003</v>
      </c>
      <c r="Z44" s="7">
        <v>13.1</v>
      </c>
      <c r="AA44" s="7">
        <v>13.7</v>
      </c>
      <c r="AB44" s="13">
        <v>90</v>
      </c>
      <c r="AC44" s="13">
        <v>94</v>
      </c>
      <c r="AD44" s="11" t="s">
        <v>6</v>
      </c>
      <c r="AE44" s="33" t="s">
        <v>639</v>
      </c>
      <c r="AF44" s="14" t="s">
        <v>645</v>
      </c>
    </row>
    <row r="45" spans="1:32" ht="31.5" x14ac:dyDescent="0.25">
      <c r="A45" s="1">
        <v>906</v>
      </c>
      <c r="B45" s="2">
        <v>45882</v>
      </c>
      <c r="C45" s="1" t="s">
        <v>264</v>
      </c>
      <c r="D45" s="1" t="s">
        <v>9</v>
      </c>
      <c r="E45" s="1">
        <v>1</v>
      </c>
      <c r="F45" s="16">
        <v>12508013</v>
      </c>
      <c r="G45" s="16">
        <v>1240</v>
      </c>
      <c r="H45" s="16" t="s">
        <v>10</v>
      </c>
      <c r="I45" s="16" t="s">
        <v>98</v>
      </c>
      <c r="J45" s="16" t="s">
        <v>646</v>
      </c>
      <c r="K45" s="5">
        <v>1600</v>
      </c>
      <c r="L45" s="5">
        <v>1566</v>
      </c>
      <c r="M45" s="5">
        <v>1565</v>
      </c>
      <c r="N45" s="5">
        <v>1565</v>
      </c>
      <c r="O45" s="5">
        <v>1560</v>
      </c>
      <c r="P45" s="30">
        <f>AVERAGE(M45:N45:O45)</f>
        <v>1563.3333333333333</v>
      </c>
      <c r="Q45" s="67">
        <v>3.9</v>
      </c>
      <c r="R45" s="67">
        <v>41</v>
      </c>
      <c r="S45" s="72">
        <v>34</v>
      </c>
      <c r="T45" s="9">
        <v>165.5</v>
      </c>
      <c r="U45" s="9">
        <v>61.4</v>
      </c>
      <c r="V45" s="10">
        <f t="shared" ref="V45:V56" si="18">T45-U45</f>
        <v>104.1</v>
      </c>
      <c r="W45" s="11" t="s">
        <v>5</v>
      </c>
      <c r="X45" s="69">
        <v>58</v>
      </c>
      <c r="Y45" s="12">
        <f t="shared" si="15"/>
        <v>2.1878063999999999</v>
      </c>
      <c r="Z45" s="18">
        <v>9.5</v>
      </c>
      <c r="AA45" s="18">
        <v>9.1999999999999993</v>
      </c>
      <c r="AB45" s="19">
        <v>88</v>
      </c>
      <c r="AC45" s="19">
        <v>80</v>
      </c>
      <c r="AD45" s="11" t="s">
        <v>6</v>
      </c>
      <c r="AE45" s="33" t="s">
        <v>641</v>
      </c>
      <c r="AF45" s="41" t="s">
        <v>647</v>
      </c>
    </row>
    <row r="46" spans="1:32" ht="31.5" x14ac:dyDescent="0.25">
      <c r="A46" s="1">
        <v>920</v>
      </c>
      <c r="B46" s="2">
        <v>45882</v>
      </c>
      <c r="C46" s="1" t="s">
        <v>264</v>
      </c>
      <c r="D46" s="1" t="s">
        <v>9</v>
      </c>
      <c r="E46" s="1">
        <v>2</v>
      </c>
      <c r="F46" s="36">
        <v>22508013</v>
      </c>
      <c r="G46" s="16">
        <v>1240</v>
      </c>
      <c r="H46" s="16" t="s">
        <v>10</v>
      </c>
      <c r="I46" s="16" t="s">
        <v>152</v>
      </c>
      <c r="J46" s="16" t="s">
        <v>648</v>
      </c>
      <c r="K46" s="9">
        <v>1567</v>
      </c>
      <c r="L46" s="5">
        <v>1545</v>
      </c>
      <c r="M46" s="5">
        <v>1545</v>
      </c>
      <c r="N46" s="5">
        <v>1543</v>
      </c>
      <c r="O46" s="5"/>
      <c r="P46" s="30">
        <f>AVERAGE(M46:N46:O46)</f>
        <v>1544</v>
      </c>
      <c r="Q46" s="16">
        <v>5.0999999999999996</v>
      </c>
      <c r="R46" s="69">
        <v>34</v>
      </c>
      <c r="S46" s="8">
        <v>36</v>
      </c>
      <c r="T46" s="8">
        <v>165.74</v>
      </c>
      <c r="U46" s="8">
        <v>67.8</v>
      </c>
      <c r="V46" s="10">
        <f t="shared" si="18"/>
        <v>97.940000000000012</v>
      </c>
      <c r="W46" s="72">
        <v>15.6</v>
      </c>
      <c r="X46" s="16">
        <v>57</v>
      </c>
      <c r="Y46" s="12">
        <f t="shared" si="15"/>
        <v>2.8116504</v>
      </c>
      <c r="Z46" s="31">
        <v>10.7</v>
      </c>
      <c r="AA46" s="31">
        <v>10.4</v>
      </c>
      <c r="AB46" s="32">
        <v>90</v>
      </c>
      <c r="AC46" s="32">
        <v>86</v>
      </c>
      <c r="AD46" s="11" t="s">
        <v>6</v>
      </c>
      <c r="AE46" s="33" t="s">
        <v>649</v>
      </c>
      <c r="AF46" s="14" t="s">
        <v>650</v>
      </c>
    </row>
    <row r="47" spans="1:32" ht="15.75" x14ac:dyDescent="0.25">
      <c r="A47" s="1">
        <v>963</v>
      </c>
      <c r="B47" s="2">
        <v>45883</v>
      </c>
      <c r="C47" s="1" t="s">
        <v>18</v>
      </c>
      <c r="D47" s="1" t="s">
        <v>19</v>
      </c>
      <c r="E47" s="1">
        <v>1</v>
      </c>
      <c r="F47" s="16">
        <v>12508013</v>
      </c>
      <c r="G47" s="16">
        <v>1230</v>
      </c>
      <c r="H47" s="16" t="s">
        <v>2</v>
      </c>
      <c r="I47" s="16" t="s">
        <v>269</v>
      </c>
      <c r="J47" s="16" t="s">
        <v>651</v>
      </c>
      <c r="K47" s="3">
        <v>1565</v>
      </c>
      <c r="L47" s="5">
        <v>1545</v>
      </c>
      <c r="M47" s="5">
        <v>1546</v>
      </c>
      <c r="N47" s="5">
        <v>1544</v>
      </c>
      <c r="O47" s="5" t="s">
        <v>5</v>
      </c>
      <c r="P47" s="30">
        <f>AVERAGE(M47:N47:O47)</f>
        <v>1545</v>
      </c>
      <c r="Q47" s="16">
        <v>5.5</v>
      </c>
      <c r="R47" s="16">
        <v>33</v>
      </c>
      <c r="S47" s="72">
        <v>14</v>
      </c>
      <c r="T47" s="8">
        <v>158.38999999999999</v>
      </c>
      <c r="U47" s="8">
        <v>58.32</v>
      </c>
      <c r="V47" s="10">
        <f t="shared" si="18"/>
        <v>100.07</v>
      </c>
      <c r="W47" s="11" t="s">
        <v>5</v>
      </c>
      <c r="X47" s="69">
        <v>57</v>
      </c>
      <c r="Y47" s="12">
        <f t="shared" si="15"/>
        <v>3.0077190000000003</v>
      </c>
      <c r="Z47" s="7">
        <v>10.4</v>
      </c>
      <c r="AA47" s="7">
        <v>9.6999999999999993</v>
      </c>
      <c r="AB47" s="13">
        <v>89</v>
      </c>
      <c r="AC47" s="13">
        <v>87</v>
      </c>
      <c r="AD47" s="11" t="s">
        <v>6</v>
      </c>
      <c r="AE47" s="33" t="s">
        <v>53</v>
      </c>
      <c r="AF47" s="41" t="s">
        <v>652</v>
      </c>
    </row>
    <row r="48" spans="1:32" ht="31.5" x14ac:dyDescent="0.25">
      <c r="A48" s="1">
        <v>1016</v>
      </c>
      <c r="B48" s="2">
        <v>45883</v>
      </c>
      <c r="C48" s="1" t="s">
        <v>0</v>
      </c>
      <c r="D48" s="1" t="s">
        <v>265</v>
      </c>
      <c r="E48" s="1">
        <v>1</v>
      </c>
      <c r="F48" s="16">
        <v>12508014</v>
      </c>
      <c r="G48" s="16">
        <v>1252</v>
      </c>
      <c r="H48" s="16" t="s">
        <v>10</v>
      </c>
      <c r="I48" s="16" t="s">
        <v>20</v>
      </c>
      <c r="J48" s="16" t="s">
        <v>653</v>
      </c>
      <c r="K48" s="9">
        <v>1568</v>
      </c>
      <c r="L48" s="5">
        <v>1554</v>
      </c>
      <c r="M48" s="5">
        <v>1554</v>
      </c>
      <c r="N48" s="5">
        <v>1554</v>
      </c>
      <c r="O48" s="5" t="s">
        <v>5</v>
      </c>
      <c r="P48" s="30">
        <f>AVERAGE(M48:N48:O48)</f>
        <v>1554</v>
      </c>
      <c r="Q48" s="16">
        <v>5</v>
      </c>
      <c r="R48" s="16">
        <v>3</v>
      </c>
      <c r="S48" s="8" t="s">
        <v>5</v>
      </c>
      <c r="T48" s="11">
        <v>160</v>
      </c>
      <c r="U48" s="11">
        <v>58</v>
      </c>
      <c r="V48" s="10">
        <f t="shared" si="18"/>
        <v>102</v>
      </c>
      <c r="W48" s="11" t="s">
        <v>5</v>
      </c>
      <c r="X48" s="8">
        <v>58</v>
      </c>
      <c r="Y48" s="12">
        <f t="shared" si="15"/>
        <v>2.8320240000000001</v>
      </c>
      <c r="Z48" s="31">
        <v>7.8</v>
      </c>
      <c r="AA48" s="31">
        <v>7</v>
      </c>
      <c r="AB48" s="32">
        <v>85</v>
      </c>
      <c r="AC48" s="32">
        <v>83</v>
      </c>
      <c r="AD48" s="11" t="s">
        <v>6</v>
      </c>
      <c r="AE48" s="33" t="s">
        <v>53</v>
      </c>
      <c r="AF48" s="14" t="s">
        <v>449</v>
      </c>
    </row>
    <row r="49" spans="1:32" ht="15.75" x14ac:dyDescent="0.25">
      <c r="A49" s="1">
        <v>1017</v>
      </c>
      <c r="B49" s="2">
        <v>45883</v>
      </c>
      <c r="C49" s="1" t="s">
        <v>0</v>
      </c>
      <c r="D49" s="1" t="s">
        <v>265</v>
      </c>
      <c r="E49" s="1">
        <v>1</v>
      </c>
      <c r="F49" s="16">
        <v>12508014</v>
      </c>
      <c r="G49" s="16">
        <v>1252</v>
      </c>
      <c r="H49" s="16" t="s">
        <v>10</v>
      </c>
      <c r="I49" s="16" t="s">
        <v>132</v>
      </c>
      <c r="J49" s="16" t="s">
        <v>654</v>
      </c>
      <c r="K49" s="4">
        <v>1564</v>
      </c>
      <c r="L49" s="5">
        <v>1547</v>
      </c>
      <c r="M49" s="5">
        <v>1545</v>
      </c>
      <c r="N49" s="5">
        <v>1545</v>
      </c>
      <c r="O49" s="5" t="s">
        <v>5</v>
      </c>
      <c r="P49" s="30">
        <f>AVERAGE(M49:N49:O49)</f>
        <v>1545</v>
      </c>
      <c r="Q49" s="7">
        <v>5</v>
      </c>
      <c r="R49" s="4">
        <v>38</v>
      </c>
      <c r="S49" s="8" t="s">
        <v>5</v>
      </c>
      <c r="T49" s="11">
        <v>165</v>
      </c>
      <c r="U49" s="11">
        <v>62</v>
      </c>
      <c r="V49" s="10">
        <f t="shared" si="18"/>
        <v>103</v>
      </c>
      <c r="W49" s="11" t="s">
        <v>5</v>
      </c>
      <c r="X49" s="8">
        <v>58</v>
      </c>
      <c r="Y49" s="12">
        <f t="shared" si="15"/>
        <v>2.8320240000000001</v>
      </c>
      <c r="Z49" s="7">
        <v>9.6999999999999993</v>
      </c>
      <c r="AA49" s="7">
        <v>9.5</v>
      </c>
      <c r="AB49" s="13">
        <v>80</v>
      </c>
      <c r="AC49" s="13">
        <v>78</v>
      </c>
      <c r="AD49" s="11" t="s">
        <v>6</v>
      </c>
      <c r="AE49" s="33" t="s">
        <v>53</v>
      </c>
      <c r="AF49" s="14" t="s">
        <v>655</v>
      </c>
    </row>
    <row r="50" spans="1:32" ht="15.75" x14ac:dyDescent="0.25">
      <c r="A50" s="1">
        <v>1031</v>
      </c>
      <c r="B50" s="2">
        <v>45884</v>
      </c>
      <c r="C50" s="1" t="s">
        <v>18</v>
      </c>
      <c r="D50" s="1" t="s">
        <v>258</v>
      </c>
      <c r="E50" s="1">
        <v>1</v>
      </c>
      <c r="F50" s="16">
        <v>12508014</v>
      </c>
      <c r="G50" s="16">
        <v>1250</v>
      </c>
      <c r="H50" s="16" t="s">
        <v>10</v>
      </c>
      <c r="I50" s="16" t="s">
        <v>110</v>
      </c>
      <c r="J50" s="16" t="s">
        <v>656</v>
      </c>
      <c r="K50" s="3">
        <v>1568</v>
      </c>
      <c r="L50" s="5">
        <v>1549</v>
      </c>
      <c r="M50" s="5">
        <v>1549</v>
      </c>
      <c r="N50" s="5">
        <v>1549</v>
      </c>
      <c r="O50" s="5">
        <v>1546</v>
      </c>
      <c r="P50" s="30">
        <f>AVERAGE(M50:N50:O50)</f>
        <v>1548</v>
      </c>
      <c r="Q50" s="16">
        <v>4.5999999999999996</v>
      </c>
      <c r="R50" s="16">
        <v>39</v>
      </c>
      <c r="S50" s="72" t="s">
        <v>5</v>
      </c>
      <c r="T50" s="9">
        <v>166.5</v>
      </c>
      <c r="U50" s="9">
        <v>60</v>
      </c>
      <c r="V50" s="10">
        <f t="shared" si="18"/>
        <v>106.5</v>
      </c>
      <c r="W50" s="11" t="s">
        <v>5</v>
      </c>
      <c r="X50" s="69">
        <v>58</v>
      </c>
      <c r="Y50" s="12">
        <f t="shared" si="15"/>
        <v>2.6012999999999997</v>
      </c>
      <c r="Z50" s="31">
        <v>10</v>
      </c>
      <c r="AA50" s="31">
        <v>9</v>
      </c>
      <c r="AB50" s="32">
        <v>85</v>
      </c>
      <c r="AC50" s="32">
        <v>78</v>
      </c>
      <c r="AD50" s="11" t="s">
        <v>6</v>
      </c>
      <c r="AE50" s="33" t="s">
        <v>53</v>
      </c>
      <c r="AF50" s="41" t="s">
        <v>657</v>
      </c>
    </row>
    <row r="51" spans="1:32" ht="47.25" x14ac:dyDescent="0.25">
      <c r="A51" s="1">
        <v>1033</v>
      </c>
      <c r="B51" s="2">
        <v>45884</v>
      </c>
      <c r="C51" s="1" t="s">
        <v>18</v>
      </c>
      <c r="D51" s="1" t="s">
        <v>258</v>
      </c>
      <c r="E51" s="1">
        <v>1</v>
      </c>
      <c r="F51" s="16">
        <v>12508014</v>
      </c>
      <c r="G51" s="16">
        <v>1250</v>
      </c>
      <c r="H51" s="16" t="s">
        <v>10</v>
      </c>
      <c r="I51" s="16" t="s">
        <v>83</v>
      </c>
      <c r="J51" s="16" t="s">
        <v>658</v>
      </c>
      <c r="K51" s="3">
        <v>1568</v>
      </c>
      <c r="L51" s="5">
        <v>1552</v>
      </c>
      <c r="M51" s="5">
        <v>1554</v>
      </c>
      <c r="N51" s="5">
        <v>1551</v>
      </c>
      <c r="O51" s="5">
        <v>1551</v>
      </c>
      <c r="P51" s="30">
        <f>AVERAGE(M51:N51:O51)</f>
        <v>1552</v>
      </c>
      <c r="Q51" s="16">
        <v>5.7</v>
      </c>
      <c r="R51" s="16">
        <v>39</v>
      </c>
      <c r="S51" s="72">
        <v>36</v>
      </c>
      <c r="T51" s="9">
        <v>167.8</v>
      </c>
      <c r="U51" s="9">
        <v>60</v>
      </c>
      <c r="V51" s="10">
        <f t="shared" si="18"/>
        <v>107.80000000000001</v>
      </c>
      <c r="W51" s="11">
        <v>11</v>
      </c>
      <c r="X51" s="69">
        <v>57</v>
      </c>
      <c r="Y51" s="12">
        <f t="shared" si="15"/>
        <v>3.1677749999999998</v>
      </c>
      <c r="Z51" s="64">
        <v>10.4</v>
      </c>
      <c r="AA51" s="64">
        <v>10</v>
      </c>
      <c r="AB51" s="49">
        <v>84</v>
      </c>
      <c r="AC51" s="49">
        <v>81</v>
      </c>
      <c r="AD51" s="11" t="s">
        <v>6</v>
      </c>
      <c r="AE51" s="33" t="s">
        <v>53</v>
      </c>
      <c r="AF51" s="41" t="s">
        <v>659</v>
      </c>
    </row>
    <row r="52" spans="1:32" ht="15.75" x14ac:dyDescent="0.25">
      <c r="A52" s="1">
        <v>1036</v>
      </c>
      <c r="B52" s="2">
        <v>45884</v>
      </c>
      <c r="C52" s="1" t="s">
        <v>18</v>
      </c>
      <c r="D52" s="1" t="s">
        <v>258</v>
      </c>
      <c r="E52" s="1">
        <v>1</v>
      </c>
      <c r="F52" s="16">
        <v>12508014</v>
      </c>
      <c r="G52" s="16">
        <v>1250</v>
      </c>
      <c r="H52" s="16" t="s">
        <v>10</v>
      </c>
      <c r="I52" s="16" t="s">
        <v>155</v>
      </c>
      <c r="J52" s="16" t="s">
        <v>660</v>
      </c>
      <c r="K52" s="5">
        <v>1585</v>
      </c>
      <c r="L52" s="5">
        <v>1551</v>
      </c>
      <c r="M52" s="5">
        <v>1546</v>
      </c>
      <c r="N52" s="5">
        <v>1545</v>
      </c>
      <c r="O52" s="5">
        <v>1546</v>
      </c>
      <c r="P52" s="30">
        <f>AVERAGE(M52:N52:O52)</f>
        <v>1545.6666666666667</v>
      </c>
      <c r="Q52" s="16">
        <v>5.4</v>
      </c>
      <c r="R52" s="16">
        <v>38</v>
      </c>
      <c r="S52" s="72">
        <v>2</v>
      </c>
      <c r="T52" s="72">
        <v>160.5</v>
      </c>
      <c r="U52" s="9">
        <v>62</v>
      </c>
      <c r="V52" s="10">
        <f t="shared" si="18"/>
        <v>98.5</v>
      </c>
      <c r="W52" s="11">
        <v>15.4</v>
      </c>
      <c r="X52" s="69">
        <v>57</v>
      </c>
      <c r="Y52" s="12">
        <f t="shared" si="15"/>
        <v>3.0010500000000002</v>
      </c>
      <c r="Z52" s="31">
        <v>8.8000000000000007</v>
      </c>
      <c r="AA52" s="31">
        <v>8.4</v>
      </c>
      <c r="AB52" s="32">
        <v>85</v>
      </c>
      <c r="AC52" s="8">
        <v>82</v>
      </c>
      <c r="AD52" s="11" t="s">
        <v>6</v>
      </c>
      <c r="AE52" s="33" t="s">
        <v>53</v>
      </c>
      <c r="AF52" s="41" t="s">
        <v>661</v>
      </c>
    </row>
    <row r="53" spans="1:32" ht="15.75" x14ac:dyDescent="0.25">
      <c r="A53" s="1">
        <v>1061</v>
      </c>
      <c r="B53" s="2">
        <v>45884</v>
      </c>
      <c r="C53" s="1" t="s">
        <v>264</v>
      </c>
      <c r="D53" s="1" t="s">
        <v>9</v>
      </c>
      <c r="E53" s="1">
        <v>2</v>
      </c>
      <c r="F53" s="36">
        <v>22508015</v>
      </c>
      <c r="G53" s="16">
        <v>1250</v>
      </c>
      <c r="H53" s="16" t="s">
        <v>244</v>
      </c>
      <c r="I53" s="16" t="s">
        <v>315</v>
      </c>
      <c r="J53" s="16" t="s">
        <v>662</v>
      </c>
      <c r="K53" s="5">
        <v>1568</v>
      </c>
      <c r="L53" s="5">
        <v>1545</v>
      </c>
      <c r="M53" s="5">
        <v>1543</v>
      </c>
      <c r="N53" s="5">
        <v>1543</v>
      </c>
      <c r="O53" s="5">
        <v>1544</v>
      </c>
      <c r="P53" s="30">
        <f>AVERAGE(M53:N53:O53)</f>
        <v>1543.3333333333333</v>
      </c>
      <c r="Q53" s="67">
        <v>5.5</v>
      </c>
      <c r="R53" s="67">
        <v>36</v>
      </c>
      <c r="S53" s="68">
        <v>28</v>
      </c>
      <c r="T53" s="9">
        <v>162.30000000000001</v>
      </c>
      <c r="U53" s="9">
        <v>61.2</v>
      </c>
      <c r="V53" s="10">
        <f t="shared" si="18"/>
        <v>101.10000000000001</v>
      </c>
      <c r="W53" s="11">
        <v>18.2</v>
      </c>
      <c r="X53" s="69">
        <v>56</v>
      </c>
      <c r="Y53" s="12">
        <f t="shared" si="15"/>
        <v>3.0030000000000001</v>
      </c>
      <c r="Z53" s="46">
        <v>10.199999999999999</v>
      </c>
      <c r="AA53" s="31">
        <v>10.3</v>
      </c>
      <c r="AB53" s="32">
        <v>95</v>
      </c>
      <c r="AC53" s="32">
        <v>96</v>
      </c>
      <c r="AD53" s="11" t="s">
        <v>6</v>
      </c>
      <c r="AE53" s="33" t="s">
        <v>455</v>
      </c>
      <c r="AF53" s="41" t="s">
        <v>545</v>
      </c>
    </row>
    <row r="54" spans="1:32" ht="15.75" x14ac:dyDescent="0.25">
      <c r="A54" s="1">
        <v>1067</v>
      </c>
      <c r="B54" s="2">
        <v>45884</v>
      </c>
      <c r="C54" s="1" t="s">
        <v>0</v>
      </c>
      <c r="D54" s="1" t="s">
        <v>19</v>
      </c>
      <c r="E54" s="1">
        <v>1</v>
      </c>
      <c r="F54" s="16">
        <v>12508018</v>
      </c>
      <c r="G54" s="16">
        <v>1230</v>
      </c>
      <c r="H54" s="16" t="s">
        <v>10</v>
      </c>
      <c r="I54" s="16" t="s">
        <v>86</v>
      </c>
      <c r="J54" s="16" t="s">
        <v>663</v>
      </c>
      <c r="K54" s="9">
        <v>1570</v>
      </c>
      <c r="L54" s="5">
        <v>1547</v>
      </c>
      <c r="M54" s="5">
        <v>1550</v>
      </c>
      <c r="N54" s="5">
        <v>1550</v>
      </c>
      <c r="O54" s="5" t="s">
        <v>5</v>
      </c>
      <c r="P54" s="30">
        <f>AVERAGE(M54:N54:O54)</f>
        <v>1550</v>
      </c>
      <c r="Q54" s="16">
        <v>5.2</v>
      </c>
      <c r="R54" s="69">
        <v>38</v>
      </c>
      <c r="S54" s="8" t="s">
        <v>5</v>
      </c>
      <c r="T54" s="11">
        <v>168.2</v>
      </c>
      <c r="U54" s="11">
        <v>66.5</v>
      </c>
      <c r="V54" s="10">
        <f t="shared" si="18"/>
        <v>101.69999999999999</v>
      </c>
      <c r="W54" s="11" t="s">
        <v>5</v>
      </c>
      <c r="X54" s="16">
        <v>58</v>
      </c>
      <c r="Y54" s="12">
        <f t="shared" si="15"/>
        <v>2.8935504000000005</v>
      </c>
      <c r="Z54" s="31">
        <v>9.6</v>
      </c>
      <c r="AA54" s="31">
        <v>9.9</v>
      </c>
      <c r="AB54" s="32">
        <v>89</v>
      </c>
      <c r="AC54" s="32">
        <v>92</v>
      </c>
      <c r="AD54" s="11" t="s">
        <v>6</v>
      </c>
      <c r="AE54" s="33" t="s">
        <v>7</v>
      </c>
      <c r="AF54" s="14" t="s">
        <v>397</v>
      </c>
    </row>
    <row r="55" spans="1:32" ht="15.75" x14ac:dyDescent="0.25">
      <c r="A55" s="1">
        <v>1068</v>
      </c>
      <c r="B55" s="2">
        <v>45884</v>
      </c>
      <c r="C55" s="1" t="s">
        <v>0</v>
      </c>
      <c r="D55" s="1" t="s">
        <v>19</v>
      </c>
      <c r="E55" s="1">
        <v>1</v>
      </c>
      <c r="F55" s="16">
        <v>12508018</v>
      </c>
      <c r="G55" s="16">
        <v>1230</v>
      </c>
      <c r="H55" s="16" t="s">
        <v>10</v>
      </c>
      <c r="I55" s="16" t="s">
        <v>77</v>
      </c>
      <c r="J55" s="16" t="s">
        <v>664</v>
      </c>
      <c r="K55" s="9">
        <v>1568</v>
      </c>
      <c r="L55" s="5">
        <v>1556</v>
      </c>
      <c r="M55" s="5">
        <v>1554</v>
      </c>
      <c r="N55" s="5">
        <v>1553</v>
      </c>
      <c r="O55" s="5" t="s">
        <v>5</v>
      </c>
      <c r="P55" s="30">
        <f>AVERAGE(M55:N55:O55)</f>
        <v>1553.5</v>
      </c>
      <c r="Q55" s="16">
        <v>5</v>
      </c>
      <c r="R55" s="69">
        <v>39</v>
      </c>
      <c r="S55" s="8" t="s">
        <v>5</v>
      </c>
      <c r="T55" s="8">
        <v>172.1</v>
      </c>
      <c r="U55" s="8">
        <v>62.2</v>
      </c>
      <c r="V55" s="10">
        <f t="shared" si="18"/>
        <v>109.89999999999999</v>
      </c>
      <c r="W55" s="11" t="s">
        <v>5</v>
      </c>
      <c r="X55" s="16">
        <v>58</v>
      </c>
      <c r="Y55" s="12">
        <f t="shared" si="15"/>
        <v>2.7822600000000004</v>
      </c>
      <c r="Z55" s="31">
        <v>11.4</v>
      </c>
      <c r="AA55" s="31">
        <v>12.1</v>
      </c>
      <c r="AB55" s="32">
        <v>91</v>
      </c>
      <c r="AC55" s="32">
        <v>96</v>
      </c>
      <c r="AD55" s="11" t="s">
        <v>6</v>
      </c>
      <c r="AE55" s="33" t="s">
        <v>7</v>
      </c>
      <c r="AF55" s="14" t="s">
        <v>418</v>
      </c>
    </row>
    <row r="56" spans="1:32" ht="15.75" x14ac:dyDescent="0.25">
      <c r="A56" s="1">
        <v>1070</v>
      </c>
      <c r="B56" s="2">
        <v>45884</v>
      </c>
      <c r="C56" s="1" t="s">
        <v>0</v>
      </c>
      <c r="D56" s="1" t="s">
        <v>19</v>
      </c>
      <c r="E56" s="1">
        <v>1</v>
      </c>
      <c r="F56" s="16">
        <v>12508018</v>
      </c>
      <c r="G56" s="16">
        <v>1230</v>
      </c>
      <c r="H56" s="16" t="s">
        <v>10</v>
      </c>
      <c r="I56" s="16" t="s">
        <v>189</v>
      </c>
      <c r="J56" s="16" t="s">
        <v>665</v>
      </c>
      <c r="K56" s="9">
        <v>1565</v>
      </c>
      <c r="L56" s="5">
        <v>1543</v>
      </c>
      <c r="M56" s="5">
        <v>1541</v>
      </c>
      <c r="N56" s="5">
        <v>1539</v>
      </c>
      <c r="O56" s="5" t="s">
        <v>5</v>
      </c>
      <c r="P56" s="30">
        <f>AVERAGE(M56:N56:O56)</f>
        <v>1540</v>
      </c>
      <c r="Q56" s="16">
        <v>5.3</v>
      </c>
      <c r="R56" s="69">
        <v>35</v>
      </c>
      <c r="S56" s="75" t="s">
        <v>5</v>
      </c>
      <c r="T56" s="80">
        <v>170.5</v>
      </c>
      <c r="U56" s="81">
        <v>62.6</v>
      </c>
      <c r="V56" s="10">
        <f t="shared" si="18"/>
        <v>107.9</v>
      </c>
      <c r="W56" s="11" t="s">
        <v>5</v>
      </c>
      <c r="X56" s="16">
        <v>58</v>
      </c>
      <c r="Y56" s="12">
        <f t="shared" si="15"/>
        <v>2.9491956000000004</v>
      </c>
      <c r="Z56" s="31">
        <v>12.7</v>
      </c>
      <c r="AA56" s="31">
        <v>13</v>
      </c>
      <c r="AB56" s="32">
        <v>97</v>
      </c>
      <c r="AC56" s="32">
        <v>97</v>
      </c>
      <c r="AD56" s="11" t="s">
        <v>6</v>
      </c>
      <c r="AE56" s="33" t="s">
        <v>7</v>
      </c>
      <c r="AF56" s="14" t="s">
        <v>397</v>
      </c>
    </row>
    <row r="57" spans="1:32" ht="15.75" x14ac:dyDescent="0.25">
      <c r="A57" s="1">
        <v>1072</v>
      </c>
      <c r="B57" s="2">
        <v>45884</v>
      </c>
      <c r="C57" s="1" t="s">
        <v>0</v>
      </c>
      <c r="D57" s="1" t="s">
        <v>19</v>
      </c>
      <c r="E57" s="1">
        <v>2</v>
      </c>
      <c r="F57" s="36">
        <v>22508016</v>
      </c>
      <c r="G57" s="16">
        <v>1250</v>
      </c>
      <c r="H57" s="16" t="s">
        <v>10</v>
      </c>
      <c r="I57" s="16" t="s">
        <v>86</v>
      </c>
      <c r="J57" s="16" t="s">
        <v>666</v>
      </c>
      <c r="K57" s="9">
        <v>1570</v>
      </c>
      <c r="L57" s="5">
        <v>1545</v>
      </c>
      <c r="M57" s="5">
        <v>1545</v>
      </c>
      <c r="N57" s="5">
        <v>1546</v>
      </c>
      <c r="O57" s="5">
        <v>1545</v>
      </c>
      <c r="P57" s="30">
        <f>AVERAGE(M57:N57:O57)</f>
        <v>1545.3333333333333</v>
      </c>
      <c r="Q57" s="82">
        <v>4.5999999999999996</v>
      </c>
      <c r="R57" s="82">
        <v>44</v>
      </c>
      <c r="S57" s="11" t="s">
        <v>5</v>
      </c>
      <c r="T57" s="10" t="s">
        <v>5</v>
      </c>
      <c r="U57" s="10" t="s">
        <v>5</v>
      </c>
      <c r="V57" s="10" t="s">
        <v>5</v>
      </c>
      <c r="W57" s="11">
        <v>17.600000000000001</v>
      </c>
      <c r="X57" s="16">
        <v>58</v>
      </c>
      <c r="Y57" s="12">
        <f t="shared" si="15"/>
        <v>2.6012999999999997</v>
      </c>
      <c r="Z57" s="31">
        <v>9.5</v>
      </c>
      <c r="AA57" s="31">
        <v>9.9</v>
      </c>
      <c r="AB57" s="32">
        <v>84</v>
      </c>
      <c r="AC57" s="32">
        <v>88</v>
      </c>
      <c r="AD57" s="11" t="s">
        <v>6</v>
      </c>
      <c r="AE57" s="33" t="s">
        <v>7</v>
      </c>
      <c r="AF57" s="14" t="s">
        <v>667</v>
      </c>
    </row>
    <row r="58" spans="1:32" ht="31.5" x14ac:dyDescent="0.25">
      <c r="A58" s="1">
        <v>1074</v>
      </c>
      <c r="B58" s="2">
        <v>45884</v>
      </c>
      <c r="C58" s="1" t="s">
        <v>0</v>
      </c>
      <c r="D58" s="1" t="s">
        <v>19</v>
      </c>
      <c r="E58" s="1">
        <v>2</v>
      </c>
      <c r="F58" s="36">
        <v>22508016</v>
      </c>
      <c r="G58" s="16">
        <v>1250</v>
      </c>
      <c r="H58" s="16" t="s">
        <v>10</v>
      </c>
      <c r="I58" s="16" t="s">
        <v>194</v>
      </c>
      <c r="J58" s="16" t="s">
        <v>668</v>
      </c>
      <c r="K58" s="4">
        <v>1568</v>
      </c>
      <c r="L58" s="5">
        <v>1549</v>
      </c>
      <c r="M58" s="5">
        <v>1549</v>
      </c>
      <c r="N58" s="5">
        <v>1548</v>
      </c>
      <c r="O58" s="5">
        <v>1546</v>
      </c>
      <c r="P58" s="30">
        <f>AVERAGE(M58:N58:O58)</f>
        <v>1547.6666666666667</v>
      </c>
      <c r="Q58" s="69">
        <v>4.4000000000000004</v>
      </c>
      <c r="R58" s="69">
        <v>45</v>
      </c>
      <c r="S58" s="8">
        <v>4</v>
      </c>
      <c r="T58" s="10" t="s">
        <v>5</v>
      </c>
      <c r="U58" s="10" t="s">
        <v>5</v>
      </c>
      <c r="V58" s="10" t="s">
        <v>5</v>
      </c>
      <c r="W58" s="11">
        <v>15.8</v>
      </c>
      <c r="X58" s="16">
        <v>58</v>
      </c>
      <c r="Y58" s="12">
        <f t="shared" si="15"/>
        <v>2.4882000000000004</v>
      </c>
      <c r="Z58" s="7">
        <v>8.3000000000000007</v>
      </c>
      <c r="AA58" s="7">
        <v>9</v>
      </c>
      <c r="AB58" s="13">
        <v>78</v>
      </c>
      <c r="AC58" s="13">
        <v>82</v>
      </c>
      <c r="AD58" s="11" t="s">
        <v>6</v>
      </c>
      <c r="AE58" s="33" t="s">
        <v>7</v>
      </c>
      <c r="AF58" s="14" t="s">
        <v>669</v>
      </c>
    </row>
    <row r="59" spans="1:32" ht="31.5" x14ac:dyDescent="0.25">
      <c r="A59" s="1">
        <v>1075</v>
      </c>
      <c r="B59" s="2">
        <v>45884</v>
      </c>
      <c r="C59" s="1" t="s">
        <v>0</v>
      </c>
      <c r="D59" s="1" t="s">
        <v>19</v>
      </c>
      <c r="E59" s="1">
        <v>2</v>
      </c>
      <c r="F59" s="36">
        <v>22508016</v>
      </c>
      <c r="G59" s="16">
        <v>1250</v>
      </c>
      <c r="H59" s="16" t="s">
        <v>10</v>
      </c>
      <c r="I59" s="16" t="s">
        <v>189</v>
      </c>
      <c r="J59" s="16" t="s">
        <v>670</v>
      </c>
      <c r="K59" s="9">
        <v>1570</v>
      </c>
      <c r="L59" s="5">
        <v>1548</v>
      </c>
      <c r="M59" s="5">
        <v>1552</v>
      </c>
      <c r="N59" s="5">
        <v>1550</v>
      </c>
      <c r="O59" s="5">
        <v>1549</v>
      </c>
      <c r="P59" s="30">
        <f>AVERAGE(M59:N59:O59)</f>
        <v>1550.3333333333333</v>
      </c>
      <c r="Q59" s="69">
        <v>4.2</v>
      </c>
      <c r="R59" s="69">
        <v>44</v>
      </c>
      <c r="S59" s="8">
        <v>2</v>
      </c>
      <c r="T59" s="10" t="s">
        <v>5</v>
      </c>
      <c r="U59" s="10" t="s">
        <v>5</v>
      </c>
      <c r="V59" s="10" t="s">
        <v>5</v>
      </c>
      <c r="W59" s="11">
        <v>14.8</v>
      </c>
      <c r="X59" s="16">
        <v>58</v>
      </c>
      <c r="Y59" s="12">
        <f t="shared" si="15"/>
        <v>2.3751000000000002</v>
      </c>
      <c r="Z59" s="31">
        <v>9.1999999999999993</v>
      </c>
      <c r="AA59" s="31">
        <v>9.1</v>
      </c>
      <c r="AB59" s="32">
        <v>83</v>
      </c>
      <c r="AC59" s="32">
        <v>91</v>
      </c>
      <c r="AD59" s="11" t="s">
        <v>6</v>
      </c>
      <c r="AE59" s="33" t="s">
        <v>7</v>
      </c>
      <c r="AF59" s="14" t="s">
        <v>671</v>
      </c>
    </row>
    <row r="60" spans="1:32" ht="15.75" x14ac:dyDescent="0.25">
      <c r="A60" s="1">
        <v>1076</v>
      </c>
      <c r="B60" s="2">
        <v>45884</v>
      </c>
      <c r="C60" s="1" t="s">
        <v>0</v>
      </c>
      <c r="D60" s="1" t="s">
        <v>19</v>
      </c>
      <c r="E60" s="1">
        <v>2</v>
      </c>
      <c r="F60" s="36">
        <v>22508016</v>
      </c>
      <c r="G60" s="16">
        <v>1250</v>
      </c>
      <c r="H60" s="16" t="s">
        <v>10</v>
      </c>
      <c r="I60" s="16" t="s">
        <v>90</v>
      </c>
      <c r="J60" s="16" t="s">
        <v>672</v>
      </c>
      <c r="K60" s="9">
        <v>1569</v>
      </c>
      <c r="L60" s="5">
        <v>1550</v>
      </c>
      <c r="M60" s="5">
        <v>1553</v>
      </c>
      <c r="N60" s="5">
        <v>1553</v>
      </c>
      <c r="O60" s="5">
        <v>1548</v>
      </c>
      <c r="P60" s="30">
        <f>AVERAGE(M60:N60:O60)</f>
        <v>1551.3333333333333</v>
      </c>
      <c r="Q60" s="69">
        <v>4</v>
      </c>
      <c r="R60" s="69">
        <v>51</v>
      </c>
      <c r="S60" s="75" t="s">
        <v>5</v>
      </c>
      <c r="T60" s="10" t="s">
        <v>5</v>
      </c>
      <c r="U60" s="10" t="s">
        <v>5</v>
      </c>
      <c r="V60" s="10" t="s">
        <v>5</v>
      </c>
      <c r="W60" s="11">
        <v>15.8</v>
      </c>
      <c r="X60" s="16">
        <v>58</v>
      </c>
      <c r="Y60" s="12">
        <f t="shared" si="15"/>
        <v>2.262</v>
      </c>
      <c r="Z60" s="31">
        <v>7.5</v>
      </c>
      <c r="AA60" s="31">
        <v>8.1999999999999993</v>
      </c>
      <c r="AB60" s="32">
        <v>77</v>
      </c>
      <c r="AC60" s="32">
        <v>85</v>
      </c>
      <c r="AD60" s="11" t="s">
        <v>6</v>
      </c>
      <c r="AE60" s="33" t="s">
        <v>7</v>
      </c>
      <c r="AF60" s="14" t="s">
        <v>673</v>
      </c>
    </row>
    <row r="61" spans="1:32" ht="15.75" x14ac:dyDescent="0.25">
      <c r="A61" s="1">
        <v>1087</v>
      </c>
      <c r="B61" s="2">
        <v>45885</v>
      </c>
      <c r="C61" s="1" t="s">
        <v>18</v>
      </c>
      <c r="D61" s="1" t="s">
        <v>258</v>
      </c>
      <c r="E61" s="1">
        <v>1</v>
      </c>
      <c r="F61" s="16">
        <v>12508018</v>
      </c>
      <c r="G61" s="16">
        <v>1230</v>
      </c>
      <c r="H61" s="16" t="s">
        <v>10</v>
      </c>
      <c r="I61" s="16" t="s">
        <v>152</v>
      </c>
      <c r="J61" s="16" t="s">
        <v>674</v>
      </c>
      <c r="K61" s="3">
        <v>1565</v>
      </c>
      <c r="L61" s="5">
        <v>1553</v>
      </c>
      <c r="M61" s="5">
        <v>1554</v>
      </c>
      <c r="N61" s="5">
        <v>1556</v>
      </c>
      <c r="O61" s="5">
        <v>1556</v>
      </c>
      <c r="P61" s="30">
        <f>AVERAGE(M61:N61:O61)</f>
        <v>1555.3333333333333</v>
      </c>
      <c r="Q61" s="16">
        <v>5.4</v>
      </c>
      <c r="R61" s="16">
        <v>33</v>
      </c>
      <c r="S61" s="72">
        <v>8</v>
      </c>
      <c r="T61" s="9">
        <v>172</v>
      </c>
      <c r="U61" s="9">
        <v>62</v>
      </c>
      <c r="V61" s="10">
        <f t="shared" ref="V61:V68" si="19">T61-U61</f>
        <v>110</v>
      </c>
      <c r="W61" s="11" t="s">
        <v>5</v>
      </c>
      <c r="X61" s="69">
        <v>58</v>
      </c>
      <c r="Y61" s="12">
        <f t="shared" si="15"/>
        <v>3.0048408000000006</v>
      </c>
      <c r="Z61" s="31">
        <v>11.3</v>
      </c>
      <c r="AA61" s="31">
        <v>11.5</v>
      </c>
      <c r="AB61" s="32">
        <v>92</v>
      </c>
      <c r="AC61" s="32">
        <v>91</v>
      </c>
      <c r="AD61" s="11" t="s">
        <v>6</v>
      </c>
      <c r="AE61" s="33" t="s">
        <v>53</v>
      </c>
      <c r="AF61" s="41" t="s">
        <v>675</v>
      </c>
    </row>
    <row r="62" spans="1:32" ht="15.75" x14ac:dyDescent="0.25">
      <c r="A62" s="1">
        <v>1192</v>
      </c>
      <c r="B62" s="2">
        <v>45886</v>
      </c>
      <c r="C62" s="1" t="s">
        <v>18</v>
      </c>
      <c r="D62" s="1" t="s">
        <v>258</v>
      </c>
      <c r="E62" s="1">
        <v>2</v>
      </c>
      <c r="F62" s="36">
        <v>22508017</v>
      </c>
      <c r="G62" s="16">
        <v>1250</v>
      </c>
      <c r="H62" s="16" t="s">
        <v>244</v>
      </c>
      <c r="I62" s="16" t="s">
        <v>20</v>
      </c>
      <c r="J62" s="16" t="s">
        <v>676</v>
      </c>
      <c r="K62" s="3">
        <v>1568</v>
      </c>
      <c r="L62" s="5">
        <v>1549</v>
      </c>
      <c r="M62" s="5">
        <v>1547</v>
      </c>
      <c r="N62" s="5">
        <v>1546</v>
      </c>
      <c r="O62" s="5">
        <v>1545</v>
      </c>
      <c r="P62" s="30">
        <f>AVERAGE(M62:N62:O62)</f>
        <v>1546</v>
      </c>
      <c r="Q62" s="16">
        <v>4</v>
      </c>
      <c r="R62" s="16">
        <v>32</v>
      </c>
      <c r="S62" s="72">
        <v>4</v>
      </c>
      <c r="T62" s="11">
        <v>158.51</v>
      </c>
      <c r="U62" s="11">
        <v>61.46</v>
      </c>
      <c r="V62" s="10">
        <f t="shared" si="19"/>
        <v>97.049999999999983</v>
      </c>
      <c r="W62" s="11" t="s">
        <v>5</v>
      </c>
      <c r="X62" s="69">
        <v>57</v>
      </c>
      <c r="Y62" s="12">
        <f t="shared" si="15"/>
        <v>2.2229999999999999</v>
      </c>
      <c r="Z62" s="18">
        <v>9.5</v>
      </c>
      <c r="AA62" s="18">
        <v>10.9</v>
      </c>
      <c r="AB62" s="11">
        <v>90</v>
      </c>
      <c r="AC62" s="11">
        <v>92</v>
      </c>
      <c r="AD62" s="11" t="s">
        <v>6</v>
      </c>
      <c r="AE62" s="33" t="s">
        <v>455</v>
      </c>
      <c r="AF62" s="41" t="s">
        <v>406</v>
      </c>
    </row>
    <row r="63" spans="1:32" ht="15.75" x14ac:dyDescent="0.25">
      <c r="A63" s="1">
        <v>1249</v>
      </c>
      <c r="B63" s="2">
        <v>45886</v>
      </c>
      <c r="C63" s="1" t="s">
        <v>0</v>
      </c>
      <c r="D63" s="1" t="s">
        <v>19</v>
      </c>
      <c r="E63" s="1">
        <v>2</v>
      </c>
      <c r="F63" s="36">
        <v>22508017</v>
      </c>
      <c r="G63" s="16">
        <v>1260</v>
      </c>
      <c r="H63" s="16" t="s">
        <v>10</v>
      </c>
      <c r="I63" s="16" t="s">
        <v>173</v>
      </c>
      <c r="J63" s="16" t="s">
        <v>677</v>
      </c>
      <c r="K63" s="4">
        <v>1569</v>
      </c>
      <c r="L63" s="5">
        <v>1547</v>
      </c>
      <c r="M63" s="5">
        <v>1546</v>
      </c>
      <c r="N63" s="5">
        <v>1546</v>
      </c>
      <c r="O63" s="5">
        <v>1544</v>
      </c>
      <c r="P63" s="30">
        <f>AVERAGE(M63:N63:O63)</f>
        <v>1545.3333333333333</v>
      </c>
      <c r="Q63" s="16">
        <v>5</v>
      </c>
      <c r="R63" s="16">
        <v>36</v>
      </c>
      <c r="S63" s="8"/>
      <c r="T63" s="11"/>
      <c r="U63" s="11"/>
      <c r="V63" s="10">
        <f t="shared" si="19"/>
        <v>0</v>
      </c>
      <c r="W63" s="37"/>
      <c r="X63" s="69">
        <v>58</v>
      </c>
      <c r="Y63" s="12">
        <f t="shared" si="15"/>
        <v>2.85012</v>
      </c>
      <c r="Z63" s="7">
        <v>9.9</v>
      </c>
      <c r="AA63" s="7">
        <v>10.9</v>
      </c>
      <c r="AB63" s="13">
        <v>87</v>
      </c>
      <c r="AC63" s="13">
        <v>92</v>
      </c>
      <c r="AD63" s="11" t="s">
        <v>6</v>
      </c>
      <c r="AE63" s="33" t="s">
        <v>649</v>
      </c>
      <c r="AF63" s="14" t="s">
        <v>406</v>
      </c>
    </row>
    <row r="64" spans="1:32" ht="15.75" x14ac:dyDescent="0.25">
      <c r="A64" s="1">
        <v>1254</v>
      </c>
      <c r="B64" s="2">
        <v>45887</v>
      </c>
      <c r="C64" s="1" t="s">
        <v>18</v>
      </c>
      <c r="D64" s="1" t="s">
        <v>9</v>
      </c>
      <c r="E64" s="1">
        <v>1</v>
      </c>
      <c r="F64" s="16">
        <v>12508019</v>
      </c>
      <c r="G64" s="16">
        <v>1260</v>
      </c>
      <c r="H64" s="16" t="s">
        <v>10</v>
      </c>
      <c r="I64" s="16" t="s">
        <v>3</v>
      </c>
      <c r="J64" s="16" t="s">
        <v>678</v>
      </c>
      <c r="K64" s="3">
        <v>1568</v>
      </c>
      <c r="L64" s="5">
        <v>1545</v>
      </c>
      <c r="M64" s="5">
        <v>1546</v>
      </c>
      <c r="N64" s="5">
        <v>1547</v>
      </c>
      <c r="O64" s="5" t="s">
        <v>5</v>
      </c>
      <c r="P64" s="30">
        <f>AVERAGE(M64:N64:O64)</f>
        <v>1546.5</v>
      </c>
      <c r="Q64" s="16">
        <v>4.8</v>
      </c>
      <c r="R64" s="16">
        <v>33</v>
      </c>
      <c r="S64" s="72" t="s">
        <v>5</v>
      </c>
      <c r="T64" s="8">
        <v>160.4</v>
      </c>
      <c r="U64" s="8">
        <v>60.2</v>
      </c>
      <c r="V64" s="10">
        <f t="shared" si="19"/>
        <v>100.2</v>
      </c>
      <c r="W64" s="11" t="s">
        <v>5</v>
      </c>
      <c r="X64" s="69">
        <v>58</v>
      </c>
      <c r="Y64" s="12">
        <f t="shared" si="15"/>
        <v>2.7361152</v>
      </c>
      <c r="Z64" s="46">
        <v>9.9</v>
      </c>
      <c r="AA64" s="31">
        <v>9.9</v>
      </c>
      <c r="AB64" s="32">
        <v>95</v>
      </c>
      <c r="AC64" s="32">
        <v>96</v>
      </c>
      <c r="AD64" s="11" t="s">
        <v>679</v>
      </c>
      <c r="AE64" s="33" t="s">
        <v>649</v>
      </c>
      <c r="AF64" s="41" t="s">
        <v>680</v>
      </c>
    </row>
    <row r="65" spans="1:32" ht="31.5" x14ac:dyDescent="0.25">
      <c r="A65" s="1">
        <v>1300</v>
      </c>
      <c r="B65" s="2">
        <v>45887</v>
      </c>
      <c r="C65" s="1" t="s">
        <v>264</v>
      </c>
      <c r="D65" s="1" t="s">
        <v>265</v>
      </c>
      <c r="E65" s="1">
        <v>2</v>
      </c>
      <c r="F65" s="36">
        <v>22508017</v>
      </c>
      <c r="G65" s="16">
        <v>1230</v>
      </c>
      <c r="H65" s="16" t="s">
        <v>10</v>
      </c>
      <c r="I65" s="16" t="s">
        <v>20</v>
      </c>
      <c r="J65" s="16" t="s">
        <v>681</v>
      </c>
      <c r="K65" s="9">
        <v>1570</v>
      </c>
      <c r="L65" s="5">
        <v>1544</v>
      </c>
      <c r="M65" s="5">
        <v>154</v>
      </c>
      <c r="N65" s="5">
        <v>1543</v>
      </c>
      <c r="O65" s="5" t="s">
        <v>5</v>
      </c>
      <c r="P65" s="30">
        <f>AVERAGE(M65:N65:O65)</f>
        <v>848.5</v>
      </c>
      <c r="Q65" s="16">
        <v>5</v>
      </c>
      <c r="R65" s="16">
        <v>35</v>
      </c>
      <c r="S65" s="8">
        <v>37</v>
      </c>
      <c r="T65" s="10">
        <v>163</v>
      </c>
      <c r="U65" s="10">
        <v>62</v>
      </c>
      <c r="V65" s="10">
        <f t="shared" si="19"/>
        <v>101</v>
      </c>
      <c r="W65" s="11">
        <v>14.9</v>
      </c>
      <c r="X65" s="69">
        <v>58</v>
      </c>
      <c r="Y65" s="12">
        <f t="shared" si="15"/>
        <v>2.7822600000000004</v>
      </c>
      <c r="Z65" s="31">
        <v>8.6</v>
      </c>
      <c r="AA65" s="31">
        <v>9.1</v>
      </c>
      <c r="AB65" s="32">
        <v>88</v>
      </c>
      <c r="AC65" s="32">
        <v>87</v>
      </c>
      <c r="AD65" s="11" t="s">
        <v>6</v>
      </c>
      <c r="AE65" s="33" t="s">
        <v>649</v>
      </c>
      <c r="AF65" s="41" t="s">
        <v>682</v>
      </c>
    </row>
    <row r="66" spans="1:32" ht="31.5" x14ac:dyDescent="0.25">
      <c r="A66" s="1">
        <v>1375</v>
      </c>
      <c r="B66" s="2">
        <v>45888</v>
      </c>
      <c r="C66" s="1" t="s">
        <v>264</v>
      </c>
      <c r="D66" s="1" t="s">
        <v>265</v>
      </c>
      <c r="E66" s="1">
        <v>2</v>
      </c>
      <c r="F66" s="36">
        <v>22508018</v>
      </c>
      <c r="G66" s="16">
        <v>1250</v>
      </c>
      <c r="H66" s="16" t="s">
        <v>176</v>
      </c>
      <c r="I66" s="16" t="s">
        <v>146</v>
      </c>
      <c r="J66" s="16" t="s">
        <v>683</v>
      </c>
      <c r="K66" s="9">
        <v>1568</v>
      </c>
      <c r="L66" s="5">
        <v>1540</v>
      </c>
      <c r="M66" s="5">
        <v>1539</v>
      </c>
      <c r="N66" s="5">
        <v>1541</v>
      </c>
      <c r="O66" s="5" t="s">
        <v>5</v>
      </c>
      <c r="P66" s="30">
        <f>AVERAGE(M66:N66:O66)</f>
        <v>1540</v>
      </c>
      <c r="Q66" s="16">
        <v>4.5</v>
      </c>
      <c r="R66" s="16">
        <v>38</v>
      </c>
      <c r="S66" s="8">
        <v>33</v>
      </c>
      <c r="T66" s="8">
        <v>159.19999999999999</v>
      </c>
      <c r="U66" s="8">
        <v>59</v>
      </c>
      <c r="V66" s="10">
        <f t="shared" si="19"/>
        <v>100.19999999999999</v>
      </c>
      <c r="W66" s="78" t="s">
        <v>5</v>
      </c>
      <c r="X66" s="69">
        <v>58</v>
      </c>
      <c r="Y66" s="12">
        <f t="shared" si="15"/>
        <v>2.5447500000000001</v>
      </c>
      <c r="Z66" s="31">
        <v>8.1</v>
      </c>
      <c r="AA66" s="31">
        <v>8.8000000000000007</v>
      </c>
      <c r="AB66" s="32">
        <v>74</v>
      </c>
      <c r="AC66" s="32">
        <v>82</v>
      </c>
      <c r="AD66" s="11" t="s">
        <v>6</v>
      </c>
      <c r="AE66" s="33" t="s">
        <v>7</v>
      </c>
      <c r="AF66" s="41" t="s">
        <v>684</v>
      </c>
    </row>
    <row r="67" spans="1:32" ht="15.75" x14ac:dyDescent="0.25">
      <c r="A67" s="1">
        <v>1382</v>
      </c>
      <c r="B67" s="2">
        <v>45888</v>
      </c>
      <c r="C67" s="1" t="s">
        <v>0</v>
      </c>
      <c r="D67" s="1" t="s">
        <v>19</v>
      </c>
      <c r="E67" s="1">
        <v>1</v>
      </c>
      <c r="F67" s="36">
        <v>12508021</v>
      </c>
      <c r="G67" s="16">
        <v>1240</v>
      </c>
      <c r="H67" s="16" t="s">
        <v>10</v>
      </c>
      <c r="I67" s="16" t="s">
        <v>70</v>
      </c>
      <c r="J67" s="16" t="s">
        <v>685</v>
      </c>
      <c r="K67" s="9">
        <v>1565</v>
      </c>
      <c r="L67" s="5">
        <v>1550</v>
      </c>
      <c r="M67" s="5">
        <v>1551</v>
      </c>
      <c r="N67" s="5">
        <v>1552</v>
      </c>
      <c r="O67" s="5"/>
      <c r="P67" s="30">
        <f>AVERAGE(M67:N67:O67)</f>
        <v>1551.5</v>
      </c>
      <c r="Q67" s="16">
        <v>5.2</v>
      </c>
      <c r="R67" s="16">
        <v>34</v>
      </c>
      <c r="S67" s="75"/>
      <c r="T67" s="10">
        <v>165.8</v>
      </c>
      <c r="U67" s="10">
        <v>61</v>
      </c>
      <c r="V67" s="10">
        <f t="shared" si="19"/>
        <v>104.80000000000001</v>
      </c>
      <c r="W67" s="11"/>
      <c r="X67" s="69">
        <v>58</v>
      </c>
      <c r="Y67" s="12">
        <f t="shared" si="15"/>
        <v>2.9170752000000002</v>
      </c>
      <c r="Z67" s="31">
        <v>11.8</v>
      </c>
      <c r="AA67" s="31">
        <v>11.8</v>
      </c>
      <c r="AB67" s="32">
        <v>92</v>
      </c>
      <c r="AC67" s="32">
        <v>90</v>
      </c>
      <c r="AD67" s="11" t="s">
        <v>6</v>
      </c>
      <c r="AE67" s="33" t="s">
        <v>53</v>
      </c>
      <c r="AF67" s="14" t="s">
        <v>526</v>
      </c>
    </row>
    <row r="68" spans="1:32" ht="15.75" x14ac:dyDescent="0.25">
      <c r="A68" s="1">
        <v>1386</v>
      </c>
      <c r="B68" s="2">
        <v>45888</v>
      </c>
      <c r="C68" s="1" t="s">
        <v>0</v>
      </c>
      <c r="D68" s="1" t="s">
        <v>19</v>
      </c>
      <c r="E68" s="1">
        <v>1</v>
      </c>
      <c r="F68" s="36">
        <v>12508021</v>
      </c>
      <c r="G68" s="16">
        <v>1240</v>
      </c>
      <c r="H68" s="16" t="s">
        <v>10</v>
      </c>
      <c r="I68" s="16" t="s">
        <v>122</v>
      </c>
      <c r="J68" s="16" t="s">
        <v>686</v>
      </c>
      <c r="K68" s="9">
        <v>1565</v>
      </c>
      <c r="L68" s="5">
        <v>1546</v>
      </c>
      <c r="M68" s="5">
        <v>1545</v>
      </c>
      <c r="N68" s="5">
        <v>1545</v>
      </c>
      <c r="O68" s="5"/>
      <c r="P68" s="30">
        <f>AVERAGE(M68:N68:O68)</f>
        <v>1545</v>
      </c>
      <c r="Q68" s="16">
        <v>5.2</v>
      </c>
      <c r="R68" s="83">
        <v>33</v>
      </c>
      <c r="S68" s="4"/>
      <c r="T68" s="84">
        <v>161.4</v>
      </c>
      <c r="U68" s="10">
        <v>60.5</v>
      </c>
      <c r="V68" s="10">
        <f t="shared" si="19"/>
        <v>100.9</v>
      </c>
      <c r="W68" s="11"/>
      <c r="X68" s="69">
        <v>58</v>
      </c>
      <c r="Y68" s="12">
        <f t="shared" si="15"/>
        <v>2.9170752000000002</v>
      </c>
      <c r="Z68" s="31">
        <v>10.6</v>
      </c>
      <c r="AA68" s="31">
        <v>10.3</v>
      </c>
      <c r="AB68" s="32">
        <v>92</v>
      </c>
      <c r="AC68" s="32">
        <v>90</v>
      </c>
      <c r="AD68" s="11" t="s">
        <v>6</v>
      </c>
      <c r="AE68" s="33" t="s">
        <v>53</v>
      </c>
      <c r="AF68" s="14" t="s">
        <v>480</v>
      </c>
    </row>
    <row r="69" spans="1:32" ht="15.75" x14ac:dyDescent="0.25">
      <c r="A69" s="1">
        <v>1410</v>
      </c>
      <c r="B69" s="2">
        <v>45889</v>
      </c>
      <c r="C69" s="1" t="s">
        <v>18</v>
      </c>
      <c r="D69" s="1" t="s">
        <v>9</v>
      </c>
      <c r="E69" s="1">
        <v>1</v>
      </c>
      <c r="F69" s="16">
        <v>12508022</v>
      </c>
      <c r="G69" s="16">
        <v>1230</v>
      </c>
      <c r="H69" s="16" t="s">
        <v>10</v>
      </c>
      <c r="I69" s="16" t="s">
        <v>98</v>
      </c>
      <c r="J69" s="16" t="s">
        <v>687</v>
      </c>
      <c r="K69" s="5">
        <v>1605</v>
      </c>
      <c r="L69" s="5">
        <v>1570</v>
      </c>
      <c r="M69" s="5">
        <v>1570</v>
      </c>
      <c r="N69" s="5">
        <v>1571</v>
      </c>
      <c r="O69" s="5">
        <v>1571</v>
      </c>
      <c r="P69" s="30">
        <v>1570.6666666666667</v>
      </c>
      <c r="Q69" s="67">
        <v>3.4</v>
      </c>
      <c r="R69" s="67">
        <v>53</v>
      </c>
      <c r="S69" s="68" t="s">
        <v>5</v>
      </c>
      <c r="T69" s="9">
        <v>176.04</v>
      </c>
      <c r="U69" s="9">
        <v>62.8</v>
      </c>
      <c r="V69" s="10">
        <v>113.24</v>
      </c>
      <c r="W69" s="11"/>
      <c r="X69" s="11">
        <v>58</v>
      </c>
      <c r="Y69" s="12">
        <v>1.8919368000000001</v>
      </c>
      <c r="Z69" s="18">
        <v>9.9</v>
      </c>
      <c r="AA69" s="18">
        <v>10</v>
      </c>
      <c r="AB69" s="19">
        <v>93</v>
      </c>
      <c r="AC69" s="19">
        <v>91</v>
      </c>
      <c r="AD69" s="8" t="s">
        <v>6</v>
      </c>
      <c r="AE69" s="33" t="s">
        <v>53</v>
      </c>
      <c r="AF69" s="14" t="s">
        <v>480</v>
      </c>
    </row>
    <row r="70" spans="1:32" ht="31.5" x14ac:dyDescent="0.25">
      <c r="A70" s="1">
        <v>1413</v>
      </c>
      <c r="B70" s="2">
        <v>45889</v>
      </c>
      <c r="C70" s="1" t="s">
        <v>18</v>
      </c>
      <c r="D70" s="1" t="s">
        <v>9</v>
      </c>
      <c r="E70" s="1">
        <v>1</v>
      </c>
      <c r="F70" s="16">
        <v>12508022</v>
      </c>
      <c r="G70" s="16">
        <v>1230</v>
      </c>
      <c r="H70" s="16" t="s">
        <v>10</v>
      </c>
      <c r="I70" s="16" t="s">
        <v>194</v>
      </c>
      <c r="J70" s="16" t="s">
        <v>688</v>
      </c>
      <c r="K70" s="3">
        <v>1570</v>
      </c>
      <c r="L70" s="5">
        <v>1548</v>
      </c>
      <c r="M70" s="5">
        <v>1545</v>
      </c>
      <c r="N70" s="5">
        <v>1543</v>
      </c>
      <c r="O70" s="5">
        <v>1544</v>
      </c>
      <c r="P70" s="30">
        <v>1544</v>
      </c>
      <c r="Q70" s="67">
        <v>5.2</v>
      </c>
      <c r="R70" s="67">
        <v>32</v>
      </c>
      <c r="S70" s="68" t="s">
        <v>5</v>
      </c>
      <c r="T70" s="9">
        <v>155</v>
      </c>
      <c r="U70" s="9">
        <v>60.1</v>
      </c>
      <c r="V70" s="10">
        <v>94.9</v>
      </c>
      <c r="W70" s="9"/>
      <c r="X70" s="11">
        <v>58</v>
      </c>
      <c r="Y70" s="12">
        <v>2.8935504000000005</v>
      </c>
      <c r="Z70" s="18">
        <v>10.1</v>
      </c>
      <c r="AA70" s="18">
        <v>10.4</v>
      </c>
      <c r="AB70" s="19">
        <v>78</v>
      </c>
      <c r="AC70" s="19">
        <v>74</v>
      </c>
      <c r="AD70" s="8" t="s">
        <v>6</v>
      </c>
      <c r="AE70" s="33" t="s">
        <v>53</v>
      </c>
      <c r="AF70" s="14" t="s">
        <v>689</v>
      </c>
    </row>
    <row r="71" spans="1:32" ht="15.75" x14ac:dyDescent="0.25">
      <c r="A71" s="1">
        <v>1498</v>
      </c>
      <c r="B71" s="2">
        <v>45890</v>
      </c>
      <c r="C71" s="1" t="s">
        <v>18</v>
      </c>
      <c r="D71" s="1" t="s">
        <v>9</v>
      </c>
      <c r="E71" s="1">
        <v>2</v>
      </c>
      <c r="F71" s="16">
        <v>22508021</v>
      </c>
      <c r="G71" s="16">
        <v>1250</v>
      </c>
      <c r="H71" s="16" t="s">
        <v>10</v>
      </c>
      <c r="I71" s="16" t="s">
        <v>98</v>
      </c>
      <c r="J71" s="16" t="s">
        <v>690</v>
      </c>
      <c r="K71" s="3">
        <v>1604</v>
      </c>
      <c r="L71" s="5">
        <v>1579</v>
      </c>
      <c r="M71" s="5">
        <v>1571</v>
      </c>
      <c r="N71" s="5">
        <v>1570</v>
      </c>
      <c r="O71" s="5">
        <v>1567</v>
      </c>
      <c r="P71" s="30">
        <f>AVERAGE(M71:N71:O71)</f>
        <v>1569.3333333333333</v>
      </c>
      <c r="Q71" s="16">
        <v>3.4</v>
      </c>
      <c r="R71" s="16">
        <v>47</v>
      </c>
      <c r="S71" s="72" t="s">
        <v>5</v>
      </c>
      <c r="T71" s="8"/>
      <c r="U71" s="8"/>
      <c r="V71" s="8" t="s">
        <v>5</v>
      </c>
      <c r="W71" s="11" t="s">
        <v>100</v>
      </c>
      <c r="X71" s="69">
        <v>58</v>
      </c>
      <c r="Y71" s="12">
        <f t="shared" ref="Y71:Y81" si="20">((G71*X71*0.78/100000)*Q71)</f>
        <v>1.9226999999999999</v>
      </c>
      <c r="Z71" s="7">
        <v>7.2</v>
      </c>
      <c r="AA71" s="7">
        <v>7.7</v>
      </c>
      <c r="AB71" s="13">
        <v>73</v>
      </c>
      <c r="AC71" s="13">
        <v>78</v>
      </c>
      <c r="AD71" s="11" t="s">
        <v>6</v>
      </c>
      <c r="AE71" s="33" t="s">
        <v>72</v>
      </c>
      <c r="AF71" s="41" t="s">
        <v>406</v>
      </c>
    </row>
    <row r="72" spans="1:32" ht="31.5" x14ac:dyDescent="0.25">
      <c r="A72" s="1">
        <v>1520</v>
      </c>
      <c r="B72" s="2">
        <v>45890</v>
      </c>
      <c r="C72" s="1" t="s">
        <v>264</v>
      </c>
      <c r="D72" s="1" t="s">
        <v>691</v>
      </c>
      <c r="E72" s="1">
        <v>1</v>
      </c>
      <c r="F72" s="16">
        <v>12508023</v>
      </c>
      <c r="G72" s="16">
        <v>1320</v>
      </c>
      <c r="H72" s="16" t="s">
        <v>55</v>
      </c>
      <c r="I72" s="16" t="s">
        <v>90</v>
      </c>
      <c r="J72" s="16" t="s">
        <v>692</v>
      </c>
      <c r="K72" s="3">
        <v>1567</v>
      </c>
      <c r="L72" s="5">
        <v>1547</v>
      </c>
      <c r="M72" s="5">
        <v>1546</v>
      </c>
      <c r="N72" s="5">
        <v>1547</v>
      </c>
      <c r="O72" s="5">
        <v>1547</v>
      </c>
      <c r="P72" s="30">
        <f>AVERAGE(M72:N72:O72)</f>
        <v>1546.6666666666667</v>
      </c>
      <c r="Q72" s="16">
        <v>3.8</v>
      </c>
      <c r="R72" s="16">
        <v>38</v>
      </c>
      <c r="S72" s="72" t="s">
        <v>5</v>
      </c>
      <c r="T72" s="8">
        <v>163</v>
      </c>
      <c r="U72" s="8">
        <v>61</v>
      </c>
      <c r="V72" s="10">
        <f t="shared" ref="V72:V75" si="21">T72-U72</f>
        <v>102</v>
      </c>
      <c r="W72" s="11" t="s">
        <v>5</v>
      </c>
      <c r="X72" s="69">
        <v>57</v>
      </c>
      <c r="Y72" s="12">
        <f t="shared" si="20"/>
        <v>2.2301136000000001</v>
      </c>
      <c r="Z72" s="64">
        <v>10.1</v>
      </c>
      <c r="AA72" s="64">
        <v>10.3</v>
      </c>
      <c r="AB72" s="11">
        <v>90</v>
      </c>
      <c r="AC72" s="11">
        <v>92</v>
      </c>
      <c r="AD72" s="11" t="s">
        <v>6</v>
      </c>
      <c r="AE72" s="33" t="s">
        <v>53</v>
      </c>
      <c r="AF72" s="41" t="s">
        <v>693</v>
      </c>
    </row>
    <row r="73" spans="1:32" ht="15.75" x14ac:dyDescent="0.25">
      <c r="A73" s="1">
        <v>1553</v>
      </c>
      <c r="B73" s="2">
        <v>45890</v>
      </c>
      <c r="C73" s="1" t="s">
        <v>0</v>
      </c>
      <c r="D73" s="1" t="s">
        <v>258</v>
      </c>
      <c r="E73" s="1">
        <v>1</v>
      </c>
      <c r="F73" s="36">
        <v>12508023</v>
      </c>
      <c r="G73" s="16">
        <v>1320</v>
      </c>
      <c r="H73" s="16" t="s">
        <v>55</v>
      </c>
      <c r="I73" s="16" t="s">
        <v>126</v>
      </c>
      <c r="J73" s="16" t="s">
        <v>694</v>
      </c>
      <c r="K73" s="4">
        <v>1570</v>
      </c>
      <c r="L73" s="5">
        <v>1545</v>
      </c>
      <c r="M73" s="5">
        <v>1548</v>
      </c>
      <c r="N73" s="5">
        <v>1548</v>
      </c>
      <c r="O73" s="5">
        <v>1548</v>
      </c>
      <c r="P73" s="30">
        <f>AVERAGE(M73:N73:O73)</f>
        <v>1548</v>
      </c>
      <c r="Q73" s="16">
        <v>5.6</v>
      </c>
      <c r="R73" s="16">
        <v>34</v>
      </c>
      <c r="S73" s="72" t="s">
        <v>5</v>
      </c>
      <c r="T73" s="8">
        <v>166</v>
      </c>
      <c r="U73" s="8">
        <v>60</v>
      </c>
      <c r="V73" s="10">
        <f t="shared" si="21"/>
        <v>106</v>
      </c>
      <c r="W73" s="11" t="s">
        <v>5</v>
      </c>
      <c r="X73" s="69">
        <v>57</v>
      </c>
      <c r="Y73" s="12">
        <f t="shared" si="20"/>
        <v>3.2864832000000002</v>
      </c>
      <c r="Z73" s="7">
        <v>12.1</v>
      </c>
      <c r="AA73" s="7">
        <v>11.9</v>
      </c>
      <c r="AB73" s="13">
        <v>87</v>
      </c>
      <c r="AC73" s="13">
        <v>87</v>
      </c>
      <c r="AD73" s="11" t="s">
        <v>6</v>
      </c>
      <c r="AE73" s="33" t="s">
        <v>53</v>
      </c>
      <c r="AF73" s="14" t="s">
        <v>397</v>
      </c>
    </row>
    <row r="74" spans="1:32" ht="31.5" x14ac:dyDescent="0.25">
      <c r="A74" s="1">
        <v>1569</v>
      </c>
      <c r="B74" s="2">
        <v>45890</v>
      </c>
      <c r="C74" s="1" t="s">
        <v>0</v>
      </c>
      <c r="D74" s="1" t="s">
        <v>258</v>
      </c>
      <c r="E74" s="1">
        <v>2</v>
      </c>
      <c r="F74" s="36">
        <v>22508021</v>
      </c>
      <c r="G74" s="16">
        <v>1300</v>
      </c>
      <c r="H74" s="16" t="s">
        <v>55</v>
      </c>
      <c r="I74" s="16" t="s">
        <v>346</v>
      </c>
      <c r="J74" s="16" t="s">
        <v>695</v>
      </c>
      <c r="K74" s="4">
        <v>1567</v>
      </c>
      <c r="L74" s="5">
        <v>1551</v>
      </c>
      <c r="M74" s="5">
        <v>1543</v>
      </c>
      <c r="N74" s="5">
        <v>1542</v>
      </c>
      <c r="O74" s="5" t="s">
        <v>5</v>
      </c>
      <c r="P74" s="30">
        <f>AVERAGE(M74:N74:O74)</f>
        <v>1542.5</v>
      </c>
      <c r="Q74" s="16">
        <v>4.5</v>
      </c>
      <c r="R74" s="16">
        <v>32</v>
      </c>
      <c r="S74" s="8" t="s">
        <v>5</v>
      </c>
      <c r="T74" s="11">
        <v>152.78</v>
      </c>
      <c r="U74" s="11">
        <v>63.3</v>
      </c>
      <c r="V74" s="10">
        <f t="shared" si="21"/>
        <v>89.48</v>
      </c>
      <c r="W74" s="11" t="s">
        <v>5</v>
      </c>
      <c r="X74" s="69">
        <v>58</v>
      </c>
      <c r="Y74" s="12">
        <f t="shared" si="20"/>
        <v>2.6465399999999999</v>
      </c>
      <c r="Z74" s="7">
        <v>8.9</v>
      </c>
      <c r="AA74" s="7">
        <v>9.6999999999999993</v>
      </c>
      <c r="AB74" s="13">
        <v>86</v>
      </c>
      <c r="AC74" s="13">
        <v>95</v>
      </c>
      <c r="AD74" s="11" t="s">
        <v>6</v>
      </c>
      <c r="AE74" s="33" t="s">
        <v>53</v>
      </c>
      <c r="AF74" s="14" t="s">
        <v>696</v>
      </c>
    </row>
    <row r="75" spans="1:32" ht="15.75" x14ac:dyDescent="0.25">
      <c r="A75" s="1">
        <v>1575</v>
      </c>
      <c r="B75" s="2">
        <v>45891</v>
      </c>
      <c r="C75" s="1" t="s">
        <v>18</v>
      </c>
      <c r="D75" s="1" t="s">
        <v>9</v>
      </c>
      <c r="E75" s="1">
        <v>1</v>
      </c>
      <c r="F75" s="36">
        <v>12508023</v>
      </c>
      <c r="G75" s="16">
        <v>1320</v>
      </c>
      <c r="H75" s="16" t="s">
        <v>55</v>
      </c>
      <c r="I75" s="16" t="s">
        <v>269</v>
      </c>
      <c r="J75" s="16" t="s">
        <v>697</v>
      </c>
      <c r="K75" s="3">
        <v>1569</v>
      </c>
      <c r="L75" s="5">
        <v>1550</v>
      </c>
      <c r="M75" s="5">
        <v>1549</v>
      </c>
      <c r="N75" s="5">
        <v>1548</v>
      </c>
      <c r="O75" s="5">
        <v>1548</v>
      </c>
      <c r="P75" s="30">
        <f>AVERAGE(M75:N75:O75)</f>
        <v>1548.3333333333333</v>
      </c>
      <c r="Q75" s="16">
        <v>5.5</v>
      </c>
      <c r="R75" s="16">
        <v>32</v>
      </c>
      <c r="S75" s="72" t="s">
        <v>5</v>
      </c>
      <c r="T75" s="9">
        <v>160</v>
      </c>
      <c r="U75" s="9">
        <v>60</v>
      </c>
      <c r="V75" s="10">
        <f t="shared" si="21"/>
        <v>100</v>
      </c>
      <c r="W75" s="11" t="s">
        <v>5</v>
      </c>
      <c r="X75" s="69">
        <v>57</v>
      </c>
      <c r="Y75" s="12">
        <f t="shared" si="20"/>
        <v>3.2277960000000006</v>
      </c>
      <c r="Z75" s="64">
        <v>11.9</v>
      </c>
      <c r="AA75" s="64">
        <v>11.3</v>
      </c>
      <c r="AB75" s="49">
        <v>87</v>
      </c>
      <c r="AC75" s="49">
        <v>84</v>
      </c>
      <c r="AD75" s="11" t="s">
        <v>6</v>
      </c>
      <c r="AE75" s="33" t="s">
        <v>53</v>
      </c>
      <c r="AF75" s="41" t="s">
        <v>14</v>
      </c>
    </row>
    <row r="76" spans="1:32" ht="63" x14ac:dyDescent="0.25">
      <c r="A76" s="1">
        <v>1591</v>
      </c>
      <c r="B76" s="2">
        <v>45891</v>
      </c>
      <c r="C76" s="1" t="s">
        <v>18</v>
      </c>
      <c r="D76" s="1" t="s">
        <v>9</v>
      </c>
      <c r="E76" s="1">
        <v>2</v>
      </c>
      <c r="F76" s="16">
        <v>22508021</v>
      </c>
      <c r="G76" s="16">
        <v>1300</v>
      </c>
      <c r="H76" s="16" t="s">
        <v>10</v>
      </c>
      <c r="I76" s="16" t="s">
        <v>146</v>
      </c>
      <c r="J76" s="16" t="s">
        <v>698</v>
      </c>
      <c r="K76" s="3">
        <v>1574</v>
      </c>
      <c r="L76" s="5">
        <v>1540</v>
      </c>
      <c r="M76" s="5">
        <v>1539</v>
      </c>
      <c r="N76" s="5">
        <v>1539</v>
      </c>
      <c r="O76" s="5" t="s">
        <v>5</v>
      </c>
      <c r="P76" s="30">
        <f>AVERAGE(M76:N76:O76)</f>
        <v>1539</v>
      </c>
      <c r="Q76" s="16">
        <v>4.0999999999999996</v>
      </c>
      <c r="R76" s="16">
        <v>34</v>
      </c>
      <c r="S76" s="72" t="s">
        <v>5</v>
      </c>
      <c r="T76" s="8" t="s">
        <v>5</v>
      </c>
      <c r="U76" s="8" t="s">
        <v>5</v>
      </c>
      <c r="V76" s="8" t="s">
        <v>5</v>
      </c>
      <c r="W76" s="11" t="s">
        <v>5</v>
      </c>
      <c r="X76" s="69">
        <v>58</v>
      </c>
      <c r="Y76" s="12">
        <f t="shared" si="20"/>
        <v>2.4112919999999995</v>
      </c>
      <c r="Z76" s="64">
        <v>7.9</v>
      </c>
      <c r="AA76" s="64">
        <v>8.4</v>
      </c>
      <c r="AB76" s="11">
        <v>72</v>
      </c>
      <c r="AC76" s="11">
        <v>76</v>
      </c>
      <c r="AD76" s="11" t="s">
        <v>6</v>
      </c>
      <c r="AE76" s="33" t="s">
        <v>72</v>
      </c>
      <c r="AF76" s="41" t="s">
        <v>699</v>
      </c>
    </row>
    <row r="77" spans="1:32" ht="31.5" x14ac:dyDescent="0.25">
      <c r="A77" s="1">
        <v>1598</v>
      </c>
      <c r="B77" s="2">
        <v>45891</v>
      </c>
      <c r="C77" s="1" t="s">
        <v>264</v>
      </c>
      <c r="D77" s="1" t="s">
        <v>19</v>
      </c>
      <c r="E77" s="1">
        <v>1</v>
      </c>
      <c r="F77" s="16">
        <v>12508023</v>
      </c>
      <c r="G77" s="16">
        <v>1320</v>
      </c>
      <c r="H77" s="16" t="s">
        <v>55</v>
      </c>
      <c r="I77" s="16" t="s">
        <v>346</v>
      </c>
      <c r="J77" s="16" t="s">
        <v>700</v>
      </c>
      <c r="K77" s="3">
        <v>1571</v>
      </c>
      <c r="L77" s="5">
        <v>1540</v>
      </c>
      <c r="M77" s="5">
        <v>1541</v>
      </c>
      <c r="N77" s="5">
        <v>1540</v>
      </c>
      <c r="O77" s="5">
        <v>1539</v>
      </c>
      <c r="P77" s="30">
        <f>AVERAGE(M77:N77:O77)</f>
        <v>1540</v>
      </c>
      <c r="Q77" s="16">
        <v>5.2</v>
      </c>
      <c r="R77" s="16">
        <v>36</v>
      </c>
      <c r="S77" s="72">
        <v>4</v>
      </c>
      <c r="T77" s="72">
        <v>167.6</v>
      </c>
      <c r="U77" s="72">
        <v>59.8</v>
      </c>
      <c r="V77" s="72" t="s">
        <v>5</v>
      </c>
      <c r="W77" s="11" t="s">
        <v>5</v>
      </c>
      <c r="X77" s="69">
        <v>57</v>
      </c>
      <c r="Y77" s="12">
        <f t="shared" si="20"/>
        <v>3.0517344000000004</v>
      </c>
      <c r="Z77" s="31">
        <v>11.6</v>
      </c>
      <c r="AA77" s="31">
        <v>11.3</v>
      </c>
      <c r="AB77" s="11">
        <v>86</v>
      </c>
      <c r="AC77" s="11">
        <v>84</v>
      </c>
      <c r="AD77" s="11" t="s">
        <v>6</v>
      </c>
      <c r="AE77" s="33" t="s">
        <v>53</v>
      </c>
      <c r="AF77" s="41" t="s">
        <v>701</v>
      </c>
    </row>
    <row r="78" spans="1:32" ht="31.5" x14ac:dyDescent="0.25">
      <c r="A78" s="1">
        <v>1611</v>
      </c>
      <c r="B78" s="2">
        <v>45891</v>
      </c>
      <c r="C78" s="1" t="s">
        <v>264</v>
      </c>
      <c r="D78" s="1" t="s">
        <v>19</v>
      </c>
      <c r="E78" s="1">
        <v>1</v>
      </c>
      <c r="F78" s="16">
        <v>12508023</v>
      </c>
      <c r="G78" s="16">
        <v>1320</v>
      </c>
      <c r="H78" s="16" t="s">
        <v>55</v>
      </c>
      <c r="I78" s="16" t="s">
        <v>702</v>
      </c>
      <c r="J78" s="16" t="s">
        <v>703</v>
      </c>
      <c r="K78" s="9">
        <v>1570</v>
      </c>
      <c r="L78" s="5">
        <v>1550</v>
      </c>
      <c r="M78" s="5">
        <v>1552</v>
      </c>
      <c r="N78" s="5">
        <v>1551</v>
      </c>
      <c r="O78" s="5">
        <v>1552</v>
      </c>
      <c r="P78" s="30">
        <f>AVERAGE(M78:N78:O78)</f>
        <v>1551.6666666666667</v>
      </c>
      <c r="Q78" s="16">
        <v>4</v>
      </c>
      <c r="R78" s="16">
        <v>34</v>
      </c>
      <c r="S78" s="72" t="s">
        <v>5</v>
      </c>
      <c r="T78" s="8">
        <v>163.5</v>
      </c>
      <c r="U78" s="8">
        <v>66.3</v>
      </c>
      <c r="V78" s="10">
        <f t="shared" ref="V78:V79" si="22">T78-U78</f>
        <v>97.2</v>
      </c>
      <c r="W78" s="11" t="s">
        <v>5</v>
      </c>
      <c r="X78" s="69">
        <v>57</v>
      </c>
      <c r="Y78" s="12">
        <f t="shared" si="20"/>
        <v>2.3474880000000002</v>
      </c>
      <c r="Z78" s="31">
        <v>9.8000000000000007</v>
      </c>
      <c r="AA78" s="31">
        <v>10.3</v>
      </c>
      <c r="AB78" s="32">
        <v>87</v>
      </c>
      <c r="AC78" s="32">
        <v>91</v>
      </c>
      <c r="AD78" s="11" t="s">
        <v>6</v>
      </c>
      <c r="AE78" s="33" t="s">
        <v>53</v>
      </c>
      <c r="AF78" s="41" t="s">
        <v>704</v>
      </c>
    </row>
    <row r="79" spans="1:32" ht="30" x14ac:dyDescent="0.25">
      <c r="A79" s="1">
        <v>1704</v>
      </c>
      <c r="B79" s="2">
        <v>45892</v>
      </c>
      <c r="C79" s="1" t="s">
        <v>0</v>
      </c>
      <c r="D79" s="1" t="s">
        <v>258</v>
      </c>
      <c r="E79" s="1">
        <v>2</v>
      </c>
      <c r="F79" s="16">
        <v>22508023</v>
      </c>
      <c r="G79" s="16">
        <v>1250</v>
      </c>
      <c r="H79" s="16" t="s">
        <v>176</v>
      </c>
      <c r="I79" s="16" t="s">
        <v>416</v>
      </c>
      <c r="J79" s="16" t="s">
        <v>705</v>
      </c>
      <c r="K79" s="9">
        <v>1567</v>
      </c>
      <c r="L79" s="5">
        <v>1548</v>
      </c>
      <c r="M79" s="5">
        <v>1549</v>
      </c>
      <c r="N79" s="5">
        <v>1547</v>
      </c>
      <c r="O79" s="5" t="s">
        <v>5</v>
      </c>
      <c r="P79" s="30">
        <f>AVERAGE(M79:N79:O79)</f>
        <v>1548</v>
      </c>
      <c r="Q79" s="16">
        <v>5.2</v>
      </c>
      <c r="R79" s="16">
        <v>36</v>
      </c>
      <c r="S79" s="75">
        <v>7</v>
      </c>
      <c r="T79" s="10">
        <v>170.43</v>
      </c>
      <c r="U79" s="10">
        <v>62.79</v>
      </c>
      <c r="V79" s="10">
        <f t="shared" si="22"/>
        <v>107.64000000000001</v>
      </c>
      <c r="W79" s="11"/>
      <c r="X79" s="69">
        <v>58</v>
      </c>
      <c r="Y79" s="12">
        <f t="shared" si="20"/>
        <v>2.9406000000000003</v>
      </c>
      <c r="Z79" s="31">
        <v>4.5</v>
      </c>
      <c r="AA79" s="31">
        <v>6.4</v>
      </c>
      <c r="AB79" s="32">
        <v>61</v>
      </c>
      <c r="AC79" s="32">
        <v>77</v>
      </c>
      <c r="AD79" s="11" t="s">
        <v>6</v>
      </c>
      <c r="AE79" s="33" t="s">
        <v>88</v>
      </c>
      <c r="AF79" s="14" t="s">
        <v>706</v>
      </c>
    </row>
    <row r="80" spans="1:32" ht="15.75" x14ac:dyDescent="0.25">
      <c r="A80" s="1">
        <v>1730</v>
      </c>
      <c r="B80" s="2">
        <v>45893</v>
      </c>
      <c r="C80" s="1" t="s">
        <v>18</v>
      </c>
      <c r="D80" s="1" t="s">
        <v>265</v>
      </c>
      <c r="E80" s="1">
        <v>2</v>
      </c>
      <c r="F80" s="36">
        <v>22508023</v>
      </c>
      <c r="G80" s="16">
        <v>1160</v>
      </c>
      <c r="H80" s="16" t="s">
        <v>707</v>
      </c>
      <c r="I80" s="16" t="s">
        <v>373</v>
      </c>
      <c r="J80" s="16" t="s">
        <v>708</v>
      </c>
      <c r="K80" s="3">
        <v>1568</v>
      </c>
      <c r="L80" s="5">
        <v>1548</v>
      </c>
      <c r="M80" s="5">
        <v>1544</v>
      </c>
      <c r="N80" s="5">
        <v>1544</v>
      </c>
      <c r="O80" s="5" t="s">
        <v>5</v>
      </c>
      <c r="P80" s="30">
        <f>AVERAGE(M80:N80:O80)</f>
        <v>1544</v>
      </c>
      <c r="Q80" s="16">
        <v>5.4</v>
      </c>
      <c r="R80" s="16">
        <v>35</v>
      </c>
      <c r="S80" s="72" t="s">
        <v>5</v>
      </c>
      <c r="T80" s="11" t="s">
        <v>5</v>
      </c>
      <c r="U80" s="11" t="s">
        <v>5</v>
      </c>
      <c r="V80" s="11" t="s">
        <v>5</v>
      </c>
      <c r="W80" s="11" t="s">
        <v>5</v>
      </c>
      <c r="X80" s="69">
        <v>58</v>
      </c>
      <c r="Y80" s="12">
        <f t="shared" si="20"/>
        <v>2.8338336000000002</v>
      </c>
      <c r="Z80" s="7">
        <v>8</v>
      </c>
      <c r="AA80" s="7">
        <v>9</v>
      </c>
      <c r="AB80" s="13">
        <v>78</v>
      </c>
      <c r="AC80" s="13">
        <v>89</v>
      </c>
      <c r="AD80" s="11" t="s">
        <v>6</v>
      </c>
      <c r="AE80" s="33" t="s">
        <v>53</v>
      </c>
      <c r="AF80" s="41" t="s">
        <v>480</v>
      </c>
    </row>
    <row r="81" spans="1:32" ht="31.5" x14ac:dyDescent="0.25">
      <c r="A81" s="1">
        <v>1743</v>
      </c>
      <c r="B81" s="2">
        <v>45893</v>
      </c>
      <c r="C81" s="1" t="s">
        <v>264</v>
      </c>
      <c r="D81" s="1" t="s">
        <v>19</v>
      </c>
      <c r="E81" s="1">
        <v>1</v>
      </c>
      <c r="F81" s="36">
        <v>12508029</v>
      </c>
      <c r="G81" s="16">
        <v>1240</v>
      </c>
      <c r="H81" s="16" t="s">
        <v>2</v>
      </c>
      <c r="I81" s="16" t="s">
        <v>86</v>
      </c>
      <c r="J81" s="16" t="s">
        <v>709</v>
      </c>
      <c r="K81" s="3">
        <v>1569</v>
      </c>
      <c r="L81" s="5">
        <v>1553</v>
      </c>
      <c r="M81" s="5">
        <v>1552</v>
      </c>
      <c r="N81" s="5">
        <v>1551</v>
      </c>
      <c r="O81" s="5" t="s">
        <v>5</v>
      </c>
      <c r="P81" s="30">
        <f>AVERAGE(M81:N81:O81)</f>
        <v>1551.5</v>
      </c>
      <c r="Q81" s="16">
        <v>4.5</v>
      </c>
      <c r="R81" s="16">
        <v>40</v>
      </c>
      <c r="S81" s="72" t="s">
        <v>5</v>
      </c>
      <c r="T81" s="11">
        <v>168</v>
      </c>
      <c r="U81" s="11">
        <v>65</v>
      </c>
      <c r="V81" s="10">
        <f t="shared" ref="V81" si="23">T81-U81</f>
        <v>103</v>
      </c>
      <c r="W81" s="11" t="s">
        <v>5</v>
      </c>
      <c r="X81" s="69">
        <v>58</v>
      </c>
      <c r="Y81" s="12">
        <f t="shared" si="20"/>
        <v>2.5243920000000002</v>
      </c>
      <c r="Z81" s="31">
        <v>9.1999999999999993</v>
      </c>
      <c r="AA81" s="31">
        <v>9.5</v>
      </c>
      <c r="AB81" s="11">
        <v>71</v>
      </c>
      <c r="AC81" s="11">
        <v>74</v>
      </c>
      <c r="AD81" s="11" t="s">
        <v>6</v>
      </c>
      <c r="AE81" s="33" t="s">
        <v>53</v>
      </c>
      <c r="AF81" s="41" t="s">
        <v>696</v>
      </c>
    </row>
    <row r="82" spans="1:32" ht="15.75" x14ac:dyDescent="0.25">
      <c r="A82" s="1">
        <v>1767</v>
      </c>
      <c r="B82" s="2">
        <v>45893</v>
      </c>
      <c r="C82" s="1" t="s">
        <v>264</v>
      </c>
      <c r="D82" s="1" t="s">
        <v>19</v>
      </c>
      <c r="E82" s="1">
        <v>2</v>
      </c>
      <c r="F82" s="16">
        <v>22508024</v>
      </c>
      <c r="G82" s="16">
        <v>1250</v>
      </c>
      <c r="H82" s="16" t="s">
        <v>2</v>
      </c>
      <c r="I82" s="16" t="s">
        <v>110</v>
      </c>
      <c r="J82" s="16" t="s">
        <v>710</v>
      </c>
      <c r="K82" s="3">
        <v>1565</v>
      </c>
      <c r="L82" s="5">
        <v>1543</v>
      </c>
      <c r="M82" s="5">
        <v>1544</v>
      </c>
      <c r="N82" s="5">
        <v>1542</v>
      </c>
      <c r="O82" s="5">
        <v>1542</v>
      </c>
      <c r="P82" s="30">
        <v>1542.6666666666667</v>
      </c>
      <c r="Q82" s="16">
        <v>5.3</v>
      </c>
      <c r="R82" s="16">
        <v>37</v>
      </c>
      <c r="S82" s="8" t="s">
        <v>5</v>
      </c>
      <c r="T82" s="8" t="s">
        <v>5</v>
      </c>
      <c r="U82" s="8" t="s">
        <v>5</v>
      </c>
      <c r="V82" s="8" t="s">
        <v>5</v>
      </c>
      <c r="W82" s="11"/>
      <c r="X82" s="69">
        <v>58</v>
      </c>
      <c r="Y82" s="12">
        <v>3.0211271999999996</v>
      </c>
      <c r="Z82" s="31">
        <v>8.1999999999999993</v>
      </c>
      <c r="AA82" s="31">
        <v>9.5</v>
      </c>
      <c r="AB82" s="11">
        <v>78</v>
      </c>
      <c r="AC82" s="11">
        <v>83</v>
      </c>
      <c r="AD82" s="11" t="s">
        <v>6</v>
      </c>
      <c r="AE82" s="33" t="s">
        <v>53</v>
      </c>
      <c r="AF82" s="41" t="s">
        <v>711</v>
      </c>
    </row>
    <row r="83" spans="1:32" ht="31.5" x14ac:dyDescent="0.25">
      <c r="A83" s="1">
        <v>1768</v>
      </c>
      <c r="B83" s="2">
        <v>45893</v>
      </c>
      <c r="C83" s="1" t="s">
        <v>264</v>
      </c>
      <c r="D83" s="1" t="s">
        <v>19</v>
      </c>
      <c r="E83" s="1">
        <v>2</v>
      </c>
      <c r="F83" s="16">
        <v>22508024</v>
      </c>
      <c r="G83" s="16">
        <v>1250</v>
      </c>
      <c r="H83" s="16" t="s">
        <v>10</v>
      </c>
      <c r="I83" s="16" t="s">
        <v>261</v>
      </c>
      <c r="J83" s="16" t="s">
        <v>712</v>
      </c>
      <c r="K83" s="9">
        <v>1565</v>
      </c>
      <c r="L83" s="5">
        <v>1541</v>
      </c>
      <c r="M83" s="5">
        <v>1541</v>
      </c>
      <c r="N83" s="5">
        <v>1541</v>
      </c>
      <c r="O83" s="5">
        <v>1540</v>
      </c>
      <c r="P83" s="30">
        <v>1540.6666666666667</v>
      </c>
      <c r="Q83" s="16">
        <v>4.8</v>
      </c>
      <c r="R83" s="16">
        <v>38</v>
      </c>
      <c r="S83" s="8" t="s">
        <v>5</v>
      </c>
      <c r="T83" s="8" t="s">
        <v>5</v>
      </c>
      <c r="U83" s="8" t="s">
        <v>5</v>
      </c>
      <c r="V83" s="8" t="s">
        <v>5</v>
      </c>
      <c r="W83" s="11"/>
      <c r="X83" s="69">
        <v>58</v>
      </c>
      <c r="Y83" s="12">
        <v>2.7361152</v>
      </c>
      <c r="Z83" s="31">
        <v>7</v>
      </c>
      <c r="AA83" s="31">
        <v>7.2</v>
      </c>
      <c r="AB83" s="32">
        <v>72</v>
      </c>
      <c r="AC83" s="32">
        <v>80</v>
      </c>
      <c r="AD83" s="11" t="s">
        <v>6</v>
      </c>
      <c r="AE83" s="33" t="s">
        <v>88</v>
      </c>
      <c r="AF83" s="41" t="s">
        <v>713</v>
      </c>
    </row>
    <row r="84" spans="1:32" ht="31.5" x14ac:dyDescent="0.25">
      <c r="A84" s="1">
        <v>1777</v>
      </c>
      <c r="B84" s="2">
        <v>45893</v>
      </c>
      <c r="C84" s="1" t="s">
        <v>0</v>
      </c>
      <c r="D84" s="1" t="s">
        <v>9</v>
      </c>
      <c r="E84" s="1">
        <v>1</v>
      </c>
      <c r="F84" s="16">
        <v>12508029</v>
      </c>
      <c r="G84" s="16">
        <v>1250</v>
      </c>
      <c r="H84" s="16" t="s">
        <v>55</v>
      </c>
      <c r="I84" s="16" t="s">
        <v>148</v>
      </c>
      <c r="J84" s="16" t="s">
        <v>714</v>
      </c>
      <c r="K84" s="9">
        <v>1568</v>
      </c>
      <c r="L84" s="5">
        <v>1548</v>
      </c>
      <c r="M84" s="5">
        <v>1547</v>
      </c>
      <c r="N84" s="5">
        <v>1543</v>
      </c>
      <c r="O84" s="5">
        <v>1543</v>
      </c>
      <c r="P84" s="30">
        <f>AVERAGE(M84:N84:O84)</f>
        <v>1544.3333333333333</v>
      </c>
      <c r="Q84" s="16">
        <v>4.5</v>
      </c>
      <c r="R84" s="16">
        <v>40</v>
      </c>
      <c r="S84" s="8">
        <v>21</v>
      </c>
      <c r="T84" s="10">
        <v>162.1</v>
      </c>
      <c r="U84" s="10">
        <v>60.1</v>
      </c>
      <c r="V84" s="10">
        <f t="shared" ref="V84" si="24">T84-U84</f>
        <v>102</v>
      </c>
      <c r="W84" s="11" t="s">
        <v>5</v>
      </c>
      <c r="X84" s="69">
        <v>58</v>
      </c>
      <c r="Y84" s="12">
        <f t="shared" ref="Y84" si="25">((G84*X84*0.78/100000)*Q84)</f>
        <v>2.5447500000000001</v>
      </c>
      <c r="Z84" s="31">
        <v>8.5</v>
      </c>
      <c r="AA84" s="31">
        <v>8.9</v>
      </c>
      <c r="AB84" s="32">
        <v>81</v>
      </c>
      <c r="AC84" s="32">
        <v>80</v>
      </c>
      <c r="AD84" s="11" t="s">
        <v>6</v>
      </c>
      <c r="AE84" s="33" t="s">
        <v>455</v>
      </c>
      <c r="AF84" s="14" t="s">
        <v>715</v>
      </c>
    </row>
    <row r="85" spans="1:32" ht="31.5" x14ac:dyDescent="0.25">
      <c r="A85" s="1">
        <v>1781</v>
      </c>
      <c r="B85" s="2">
        <v>45893</v>
      </c>
      <c r="C85" s="1" t="s">
        <v>0</v>
      </c>
      <c r="D85" s="1" t="s">
        <v>9</v>
      </c>
      <c r="E85" s="1">
        <v>2</v>
      </c>
      <c r="F85" s="16">
        <v>22508024</v>
      </c>
      <c r="G85" s="16">
        <v>1250</v>
      </c>
      <c r="H85" s="16" t="s">
        <v>10</v>
      </c>
      <c r="I85" s="16" t="s">
        <v>148</v>
      </c>
      <c r="J85" s="16" t="s">
        <v>716</v>
      </c>
      <c r="K85" s="4">
        <v>1565</v>
      </c>
      <c r="L85" s="5">
        <v>1549</v>
      </c>
      <c r="M85" s="5">
        <v>1545</v>
      </c>
      <c r="N85" s="5">
        <v>1542</v>
      </c>
      <c r="O85" s="5">
        <v>1542</v>
      </c>
      <c r="P85" s="30">
        <v>1543</v>
      </c>
      <c r="Q85" s="16">
        <v>5.0999999999999996</v>
      </c>
      <c r="R85" s="83">
        <v>36</v>
      </c>
      <c r="S85" s="4">
        <v>38</v>
      </c>
      <c r="T85" s="8" t="s">
        <v>5</v>
      </c>
      <c r="U85" s="8" t="s">
        <v>5</v>
      </c>
      <c r="V85" s="8" t="s">
        <v>5</v>
      </c>
      <c r="W85" s="11"/>
      <c r="X85" s="69">
        <v>58</v>
      </c>
      <c r="Y85" s="12">
        <v>2.8840499999999998</v>
      </c>
      <c r="Z85" s="7">
        <v>8.9</v>
      </c>
      <c r="AA85" s="7">
        <v>7.9</v>
      </c>
      <c r="AB85" s="13">
        <v>86</v>
      </c>
      <c r="AC85" s="13">
        <v>78</v>
      </c>
      <c r="AD85" s="11" t="s">
        <v>6</v>
      </c>
      <c r="AE85" s="33" t="s">
        <v>53</v>
      </c>
      <c r="AF85" s="14" t="s">
        <v>717</v>
      </c>
    </row>
    <row r="86" spans="1:32" ht="31.5" x14ac:dyDescent="0.25">
      <c r="A86" s="1">
        <v>1785</v>
      </c>
      <c r="B86" s="2">
        <v>45893</v>
      </c>
      <c r="C86" s="1" t="s">
        <v>0</v>
      </c>
      <c r="D86" s="1" t="s">
        <v>9</v>
      </c>
      <c r="E86" s="1">
        <v>2</v>
      </c>
      <c r="F86" s="16">
        <v>22508024</v>
      </c>
      <c r="G86" s="16">
        <v>1250</v>
      </c>
      <c r="H86" s="16" t="s">
        <v>55</v>
      </c>
      <c r="I86" s="16" t="s">
        <v>331</v>
      </c>
      <c r="J86" s="16" t="s">
        <v>718</v>
      </c>
      <c r="K86" s="4">
        <v>1567</v>
      </c>
      <c r="L86" s="5">
        <v>1542</v>
      </c>
      <c r="M86" s="5">
        <v>1544</v>
      </c>
      <c r="N86" s="5">
        <v>1544</v>
      </c>
      <c r="O86" s="5">
        <v>1544</v>
      </c>
      <c r="P86" s="30">
        <v>1544</v>
      </c>
      <c r="Q86" s="16">
        <v>5.2</v>
      </c>
      <c r="R86" s="83">
        <v>41</v>
      </c>
      <c r="S86" s="72">
        <v>2</v>
      </c>
      <c r="T86" s="84"/>
      <c r="U86" s="10"/>
      <c r="V86" s="10">
        <v>0</v>
      </c>
      <c r="W86" s="11"/>
      <c r="X86" s="69">
        <v>56</v>
      </c>
      <c r="Y86" s="12">
        <v>2.9406000000000003</v>
      </c>
      <c r="Z86" s="7">
        <v>9.4</v>
      </c>
      <c r="AA86" s="7">
        <v>8.6</v>
      </c>
      <c r="AB86" s="13">
        <v>86</v>
      </c>
      <c r="AC86" s="13">
        <v>80</v>
      </c>
      <c r="AD86" s="11" t="s">
        <v>6</v>
      </c>
      <c r="AE86" s="33" t="s">
        <v>53</v>
      </c>
      <c r="AF86" s="14" t="s">
        <v>719</v>
      </c>
    </row>
    <row r="87" spans="1:32" ht="15.75" x14ac:dyDescent="0.25">
      <c r="A87" s="1">
        <v>1794</v>
      </c>
      <c r="B87" s="2">
        <v>45894</v>
      </c>
      <c r="C87" s="1" t="s">
        <v>18</v>
      </c>
      <c r="D87" s="1" t="s">
        <v>265</v>
      </c>
      <c r="E87" s="1">
        <v>1</v>
      </c>
      <c r="F87" s="36">
        <v>12508030</v>
      </c>
      <c r="G87" s="16">
        <v>1250</v>
      </c>
      <c r="H87" s="16" t="s">
        <v>10</v>
      </c>
      <c r="I87" s="16" t="s">
        <v>70</v>
      </c>
      <c r="J87" s="16" t="s">
        <v>720</v>
      </c>
      <c r="K87" s="3">
        <v>1568</v>
      </c>
      <c r="L87" s="5">
        <v>1549</v>
      </c>
      <c r="M87" s="5">
        <v>1549</v>
      </c>
      <c r="N87" s="5">
        <v>1549</v>
      </c>
      <c r="O87" s="5">
        <v>1548</v>
      </c>
      <c r="P87" s="30">
        <f>AVERAGE(M87:N87:O87)</f>
        <v>1548.6666666666667</v>
      </c>
      <c r="Q87" s="16">
        <v>5</v>
      </c>
      <c r="R87" s="16">
        <v>35</v>
      </c>
      <c r="S87" s="72" t="s">
        <v>5</v>
      </c>
      <c r="T87" s="9">
        <v>169</v>
      </c>
      <c r="U87" s="9">
        <v>63</v>
      </c>
      <c r="V87" s="10">
        <f t="shared" ref="V87:V94" si="26">T87-U87</f>
        <v>106</v>
      </c>
      <c r="W87" s="11" t="s">
        <v>5</v>
      </c>
      <c r="X87" s="69">
        <v>58</v>
      </c>
      <c r="Y87" s="12">
        <f t="shared" ref="Y87:Y91" si="27">((G87*X87*0.78/100000)*Q87)</f>
        <v>2.8275000000000001</v>
      </c>
      <c r="Z87" s="31">
        <v>7.8</v>
      </c>
      <c r="AA87" s="31">
        <v>9.1999999999999993</v>
      </c>
      <c r="AB87" s="32">
        <v>79</v>
      </c>
      <c r="AC87" s="32">
        <v>80</v>
      </c>
      <c r="AD87" s="11" t="s">
        <v>6</v>
      </c>
      <c r="AE87" s="33" t="s">
        <v>53</v>
      </c>
      <c r="AF87" s="41" t="s">
        <v>721</v>
      </c>
    </row>
    <row r="88" spans="1:32" ht="47.25" x14ac:dyDescent="0.25">
      <c r="A88" s="1">
        <v>1859</v>
      </c>
      <c r="B88" s="2">
        <v>45895</v>
      </c>
      <c r="C88" s="1" t="s">
        <v>18</v>
      </c>
      <c r="D88" s="1" t="s">
        <v>265</v>
      </c>
      <c r="E88" s="1">
        <v>1</v>
      </c>
      <c r="F88" s="36">
        <v>12508031</v>
      </c>
      <c r="G88" s="16">
        <v>1250</v>
      </c>
      <c r="H88" s="16" t="s">
        <v>55</v>
      </c>
      <c r="I88" s="16" t="s">
        <v>70</v>
      </c>
      <c r="J88" s="16" t="s">
        <v>722</v>
      </c>
      <c r="K88" s="3">
        <v>1567</v>
      </c>
      <c r="L88" s="5">
        <v>1553</v>
      </c>
      <c r="M88" s="5">
        <v>1553</v>
      </c>
      <c r="N88" s="5">
        <v>1553</v>
      </c>
      <c r="O88" s="5">
        <v>1553</v>
      </c>
      <c r="P88" s="30">
        <f>AVERAGE(M88:N88:O88)</f>
        <v>1553</v>
      </c>
      <c r="Q88" s="16">
        <v>5.2</v>
      </c>
      <c r="R88" s="16">
        <v>33</v>
      </c>
      <c r="S88" s="72">
        <v>38</v>
      </c>
      <c r="T88" s="9">
        <v>161</v>
      </c>
      <c r="U88" s="16">
        <v>62</v>
      </c>
      <c r="V88" s="10">
        <f t="shared" si="26"/>
        <v>99</v>
      </c>
      <c r="W88" s="11">
        <v>10</v>
      </c>
      <c r="X88" s="69">
        <v>56</v>
      </c>
      <c r="Y88" s="12">
        <f t="shared" si="27"/>
        <v>2.8392000000000004</v>
      </c>
      <c r="Z88" s="16">
        <v>9.6999999999999993</v>
      </c>
      <c r="AA88" s="16">
        <v>10.9</v>
      </c>
      <c r="AB88" s="16">
        <v>79</v>
      </c>
      <c r="AC88" s="16">
        <v>87</v>
      </c>
      <c r="AD88" s="11" t="s">
        <v>6</v>
      </c>
      <c r="AE88" s="33" t="s">
        <v>53</v>
      </c>
      <c r="AF88" s="41" t="s">
        <v>723</v>
      </c>
    </row>
    <row r="89" spans="1:32" ht="15.75" x14ac:dyDescent="0.25">
      <c r="A89" s="1">
        <v>1860</v>
      </c>
      <c r="B89" s="2">
        <v>45895</v>
      </c>
      <c r="C89" s="1" t="s">
        <v>18</v>
      </c>
      <c r="D89" s="1" t="s">
        <v>265</v>
      </c>
      <c r="E89" s="1">
        <v>1</v>
      </c>
      <c r="F89" s="36">
        <v>12508031</v>
      </c>
      <c r="G89" s="16">
        <v>1250</v>
      </c>
      <c r="H89" s="16" t="s">
        <v>55</v>
      </c>
      <c r="I89" s="16" t="s">
        <v>93</v>
      </c>
      <c r="J89" s="16" t="s">
        <v>724</v>
      </c>
      <c r="K89" s="3">
        <v>1572</v>
      </c>
      <c r="L89" s="5">
        <v>1551</v>
      </c>
      <c r="M89" s="5">
        <v>1547</v>
      </c>
      <c r="N89" s="5">
        <v>1548</v>
      </c>
      <c r="O89" s="5">
        <v>1546</v>
      </c>
      <c r="P89" s="30">
        <f>AVERAGE(M89:N89:O89)</f>
        <v>1547</v>
      </c>
      <c r="Q89" s="16">
        <v>5.5</v>
      </c>
      <c r="R89" s="16">
        <v>34</v>
      </c>
      <c r="S89" s="72">
        <v>32</v>
      </c>
      <c r="T89" s="9">
        <v>165</v>
      </c>
      <c r="U89" s="9">
        <v>65</v>
      </c>
      <c r="V89" s="10">
        <f t="shared" si="26"/>
        <v>100</v>
      </c>
      <c r="W89" s="11">
        <v>11.6</v>
      </c>
      <c r="X89" s="69">
        <v>58</v>
      </c>
      <c r="Y89" s="12">
        <f t="shared" si="27"/>
        <v>3.1102500000000002</v>
      </c>
      <c r="Z89" s="64">
        <v>9</v>
      </c>
      <c r="AA89" s="64">
        <v>10.199999999999999</v>
      </c>
      <c r="AB89" s="49">
        <v>71</v>
      </c>
      <c r="AC89" s="49">
        <v>82</v>
      </c>
      <c r="AD89" s="11" t="s">
        <v>6</v>
      </c>
      <c r="AE89" s="33" t="s">
        <v>53</v>
      </c>
      <c r="AF89" s="41" t="s">
        <v>508</v>
      </c>
    </row>
    <row r="90" spans="1:32" ht="31.5" x14ac:dyDescent="0.25">
      <c r="A90" s="1">
        <v>1865</v>
      </c>
      <c r="B90" s="2">
        <v>45895</v>
      </c>
      <c r="C90" s="1" t="s">
        <v>18</v>
      </c>
      <c r="D90" s="1" t="s">
        <v>265</v>
      </c>
      <c r="E90" s="1">
        <v>1</v>
      </c>
      <c r="F90" s="36">
        <v>12508031</v>
      </c>
      <c r="G90" s="16">
        <v>1250</v>
      </c>
      <c r="H90" s="16" t="s">
        <v>55</v>
      </c>
      <c r="I90" s="16" t="s">
        <v>229</v>
      </c>
      <c r="J90" s="16" t="s">
        <v>725</v>
      </c>
      <c r="K90" s="3">
        <v>1568</v>
      </c>
      <c r="L90" s="5">
        <v>1551</v>
      </c>
      <c r="M90" s="5">
        <v>1554</v>
      </c>
      <c r="N90" s="5">
        <v>1554</v>
      </c>
      <c r="O90" s="5">
        <v>1554</v>
      </c>
      <c r="P90" s="30">
        <f>AVERAGE(M90:N90:O90)</f>
        <v>1554</v>
      </c>
      <c r="Q90" s="16">
        <v>5.2</v>
      </c>
      <c r="R90" s="16">
        <v>36</v>
      </c>
      <c r="S90" s="72" t="s">
        <v>5</v>
      </c>
      <c r="T90" s="11">
        <v>166</v>
      </c>
      <c r="U90" s="11">
        <v>60</v>
      </c>
      <c r="V90" s="10">
        <f t="shared" si="26"/>
        <v>106</v>
      </c>
      <c r="W90" s="11" t="s">
        <v>5</v>
      </c>
      <c r="X90" s="69">
        <v>58</v>
      </c>
      <c r="Y90" s="12">
        <f t="shared" si="27"/>
        <v>2.9406000000000003</v>
      </c>
      <c r="Z90" s="64">
        <v>9.6999999999999993</v>
      </c>
      <c r="AA90" s="64">
        <v>10.8</v>
      </c>
      <c r="AB90" s="49">
        <v>77</v>
      </c>
      <c r="AC90" s="49">
        <v>85</v>
      </c>
      <c r="AD90" s="11" t="s">
        <v>6</v>
      </c>
      <c r="AE90" s="33" t="s">
        <v>53</v>
      </c>
      <c r="AF90" s="41" t="s">
        <v>726</v>
      </c>
    </row>
    <row r="91" spans="1:32" ht="31.5" x14ac:dyDescent="0.25">
      <c r="A91" s="1">
        <v>1912</v>
      </c>
      <c r="B91" s="2">
        <v>45895</v>
      </c>
      <c r="C91" s="1" t="s">
        <v>0</v>
      </c>
      <c r="D91" s="1" t="s">
        <v>9</v>
      </c>
      <c r="E91" s="1">
        <v>1</v>
      </c>
      <c r="F91" s="36">
        <v>12508031</v>
      </c>
      <c r="G91" s="16">
        <v>1250</v>
      </c>
      <c r="H91" s="16" t="s">
        <v>225</v>
      </c>
      <c r="I91" s="16" t="s">
        <v>129</v>
      </c>
      <c r="J91" s="16" t="s">
        <v>727</v>
      </c>
      <c r="K91" s="9">
        <v>1563</v>
      </c>
      <c r="L91" s="5">
        <v>1548</v>
      </c>
      <c r="M91" s="5">
        <v>1547</v>
      </c>
      <c r="N91" s="5">
        <v>1547</v>
      </c>
      <c r="O91" s="5">
        <v>1547</v>
      </c>
      <c r="P91" s="30">
        <f>AVERAGE(M91:N91:O91)</f>
        <v>1547</v>
      </c>
      <c r="Q91" s="16">
        <v>5</v>
      </c>
      <c r="R91" s="16">
        <v>32</v>
      </c>
      <c r="S91" s="75" t="s">
        <v>5</v>
      </c>
      <c r="T91" s="8">
        <v>155</v>
      </c>
      <c r="U91" s="8">
        <v>60</v>
      </c>
      <c r="V91" s="10">
        <f t="shared" si="26"/>
        <v>95</v>
      </c>
      <c r="W91" s="11" t="s">
        <v>5</v>
      </c>
      <c r="X91" s="69">
        <v>56</v>
      </c>
      <c r="Y91" s="12">
        <f t="shared" si="27"/>
        <v>2.7300000000000004</v>
      </c>
      <c r="Z91" s="31">
        <v>8.4</v>
      </c>
      <c r="AA91" s="31">
        <v>6.7</v>
      </c>
      <c r="AB91" s="32">
        <v>76</v>
      </c>
      <c r="AC91" s="32">
        <v>72</v>
      </c>
      <c r="AD91" s="11" t="s">
        <v>6</v>
      </c>
      <c r="AE91" s="33" t="s">
        <v>455</v>
      </c>
      <c r="AF91" s="41" t="s">
        <v>728</v>
      </c>
    </row>
    <row r="92" spans="1:32" ht="31.5" x14ac:dyDescent="0.25">
      <c r="A92" s="1">
        <v>1920</v>
      </c>
      <c r="B92" s="2">
        <v>45895</v>
      </c>
      <c r="C92" s="1" t="s">
        <v>0</v>
      </c>
      <c r="D92" s="1" t="s">
        <v>9</v>
      </c>
      <c r="E92" s="1">
        <v>1</v>
      </c>
      <c r="F92" s="36">
        <v>12508031</v>
      </c>
      <c r="G92" s="16">
        <v>1250</v>
      </c>
      <c r="H92" s="16" t="s">
        <v>368</v>
      </c>
      <c r="I92" s="16" t="s">
        <v>173</v>
      </c>
      <c r="J92" s="16" t="s">
        <v>729</v>
      </c>
      <c r="K92" s="9">
        <v>1562</v>
      </c>
      <c r="L92" s="5">
        <v>1544</v>
      </c>
      <c r="M92" s="5">
        <v>1544</v>
      </c>
      <c r="N92" s="5">
        <v>1544</v>
      </c>
      <c r="O92" s="5">
        <v>1544</v>
      </c>
      <c r="P92" s="30">
        <f>AVERAGE(M92:N92:O92)</f>
        <v>1544</v>
      </c>
      <c r="Q92" s="16">
        <v>4.8</v>
      </c>
      <c r="R92" s="83">
        <v>33</v>
      </c>
      <c r="S92" s="75" t="s">
        <v>5</v>
      </c>
      <c r="T92" s="8">
        <v>162.4</v>
      </c>
      <c r="U92" s="8">
        <v>63.95</v>
      </c>
      <c r="V92" s="10">
        <f t="shared" si="26"/>
        <v>98.45</v>
      </c>
      <c r="W92" s="11" t="s">
        <v>5</v>
      </c>
      <c r="X92" s="69">
        <v>58</v>
      </c>
      <c r="Y92" s="12">
        <v>2.9406000000000003</v>
      </c>
      <c r="Z92" s="31">
        <v>7.9</v>
      </c>
      <c r="AA92" s="31">
        <v>9.6</v>
      </c>
      <c r="AB92" s="32">
        <v>69</v>
      </c>
      <c r="AC92" s="32">
        <v>86</v>
      </c>
      <c r="AD92" s="11" t="s">
        <v>6</v>
      </c>
      <c r="AE92" s="33" t="s">
        <v>72</v>
      </c>
      <c r="AF92" s="41" t="s">
        <v>730</v>
      </c>
    </row>
    <row r="93" spans="1:32" ht="31.5" x14ac:dyDescent="0.25">
      <c r="A93" s="1">
        <v>1952</v>
      </c>
      <c r="B93" s="2">
        <v>45896</v>
      </c>
      <c r="C93" s="1" t="s">
        <v>18</v>
      </c>
      <c r="D93" s="1" t="s">
        <v>265</v>
      </c>
      <c r="E93" s="1">
        <v>2</v>
      </c>
      <c r="F93" s="85">
        <v>22508026</v>
      </c>
      <c r="G93" s="69">
        <v>1250</v>
      </c>
      <c r="H93" s="69" t="s">
        <v>10</v>
      </c>
      <c r="I93" s="69" t="s">
        <v>11</v>
      </c>
      <c r="J93" s="16" t="s">
        <v>731</v>
      </c>
      <c r="K93" s="3">
        <v>1566</v>
      </c>
      <c r="L93" s="5">
        <v>1553</v>
      </c>
      <c r="M93" s="5">
        <v>1552</v>
      </c>
      <c r="N93" s="5">
        <v>1553</v>
      </c>
      <c r="O93" s="5"/>
      <c r="P93" s="30">
        <f>AVERAGE(M93:N93:O93)</f>
        <v>1552.5</v>
      </c>
      <c r="Q93" s="16">
        <v>5</v>
      </c>
      <c r="R93" s="16">
        <v>34</v>
      </c>
      <c r="S93" s="72"/>
      <c r="T93" s="11"/>
      <c r="U93" s="11"/>
      <c r="V93" s="10">
        <f t="shared" si="26"/>
        <v>0</v>
      </c>
      <c r="W93" s="11">
        <v>15</v>
      </c>
      <c r="X93" s="69">
        <v>58</v>
      </c>
      <c r="Y93" s="12">
        <f t="shared" ref="Y93:Y94" si="28">((G93*X93*0.78/100000)*Q93)</f>
        <v>2.8275000000000001</v>
      </c>
      <c r="Z93" s="46">
        <v>9.1999999999999993</v>
      </c>
      <c r="AA93" s="31">
        <v>10.1</v>
      </c>
      <c r="AB93" s="11">
        <v>85</v>
      </c>
      <c r="AC93" s="11">
        <v>98</v>
      </c>
      <c r="AD93" s="11" t="s">
        <v>6</v>
      </c>
      <c r="AE93" s="33" t="s">
        <v>53</v>
      </c>
      <c r="AF93" s="41" t="s">
        <v>732</v>
      </c>
    </row>
    <row r="94" spans="1:32" ht="15.75" x14ac:dyDescent="0.25">
      <c r="A94" s="1">
        <v>1966</v>
      </c>
      <c r="B94" s="2">
        <v>45896</v>
      </c>
      <c r="C94" s="1" t="s">
        <v>264</v>
      </c>
      <c r="D94" s="1" t="s">
        <v>276</v>
      </c>
      <c r="E94" s="1">
        <v>1</v>
      </c>
      <c r="F94" s="36">
        <v>12508032</v>
      </c>
      <c r="G94" s="69">
        <v>1250</v>
      </c>
      <c r="H94" s="69" t="s">
        <v>10</v>
      </c>
      <c r="I94" s="16" t="s">
        <v>152</v>
      </c>
      <c r="J94" s="16" t="s">
        <v>733</v>
      </c>
      <c r="K94" s="3">
        <v>1566</v>
      </c>
      <c r="L94" s="5">
        <v>1546</v>
      </c>
      <c r="M94" s="5">
        <v>1545</v>
      </c>
      <c r="N94" s="5">
        <v>1544</v>
      </c>
      <c r="O94" s="5">
        <v>1543</v>
      </c>
      <c r="P94" s="30">
        <f>AVERAGE(M94:N94:O94)</f>
        <v>1544</v>
      </c>
      <c r="Q94" s="16">
        <v>5.5</v>
      </c>
      <c r="R94" s="16">
        <v>33</v>
      </c>
      <c r="S94" s="72"/>
      <c r="T94" s="8">
        <v>158.30000000000001</v>
      </c>
      <c r="U94" s="72">
        <v>60.5</v>
      </c>
      <c r="V94" s="10">
        <f t="shared" si="26"/>
        <v>97.800000000000011</v>
      </c>
      <c r="W94" s="11" t="s">
        <v>5</v>
      </c>
      <c r="X94" s="69">
        <v>58</v>
      </c>
      <c r="Y94" s="12">
        <f t="shared" si="28"/>
        <v>3.1102500000000002</v>
      </c>
      <c r="Z94" s="31">
        <v>8.1</v>
      </c>
      <c r="AA94" s="31">
        <v>7.8</v>
      </c>
      <c r="AB94" s="11">
        <v>94</v>
      </c>
      <c r="AC94" s="11">
        <v>85</v>
      </c>
      <c r="AD94" s="11" t="s">
        <v>6</v>
      </c>
      <c r="AE94" s="33" t="s">
        <v>455</v>
      </c>
      <c r="AF94" s="41" t="s">
        <v>721</v>
      </c>
    </row>
    <row r="95" spans="1:32" ht="15.75" x14ac:dyDescent="0.25">
      <c r="A95" s="1">
        <v>1982</v>
      </c>
      <c r="B95" s="2">
        <v>45896</v>
      </c>
      <c r="C95" s="1" t="s">
        <v>264</v>
      </c>
      <c r="D95" s="1" t="s">
        <v>276</v>
      </c>
      <c r="E95" s="1">
        <v>2</v>
      </c>
      <c r="F95" s="85">
        <v>22508026</v>
      </c>
      <c r="G95" s="69">
        <v>1250</v>
      </c>
      <c r="H95" s="69" t="s">
        <v>10</v>
      </c>
      <c r="I95" s="16" t="s">
        <v>240</v>
      </c>
      <c r="J95" s="16" t="s">
        <v>734</v>
      </c>
      <c r="K95" s="5">
        <v>1565</v>
      </c>
      <c r="L95" s="5">
        <v>1544</v>
      </c>
      <c r="M95" s="5">
        <v>1545</v>
      </c>
      <c r="N95" s="5">
        <v>1547</v>
      </c>
      <c r="O95" s="5" t="s">
        <v>5</v>
      </c>
      <c r="P95" s="30">
        <f>AVERAGE(M95:N95:O95)</f>
        <v>1546</v>
      </c>
      <c r="Q95" s="67">
        <v>5</v>
      </c>
      <c r="R95" s="86">
        <v>34</v>
      </c>
      <c r="S95" s="72"/>
      <c r="T95" s="8" t="s">
        <v>5</v>
      </c>
      <c r="U95" s="72" t="s">
        <v>5</v>
      </c>
      <c r="V95" s="72" t="s">
        <v>5</v>
      </c>
      <c r="W95" s="11">
        <v>16.8</v>
      </c>
      <c r="X95" s="69">
        <v>58</v>
      </c>
      <c r="Y95" s="12">
        <v>3.0211271999999996</v>
      </c>
      <c r="Z95" s="46">
        <v>9.9</v>
      </c>
      <c r="AA95" s="31">
        <v>10.4</v>
      </c>
      <c r="AB95" s="32">
        <v>80</v>
      </c>
      <c r="AC95" s="32">
        <v>92</v>
      </c>
      <c r="AD95" s="11" t="s">
        <v>6</v>
      </c>
      <c r="AE95" s="33" t="s">
        <v>53</v>
      </c>
      <c r="AF95" s="41" t="s">
        <v>418</v>
      </c>
    </row>
    <row r="96" spans="1:32" ht="31.5" x14ac:dyDescent="0.25">
      <c r="A96" s="1">
        <v>1989</v>
      </c>
      <c r="B96" s="2">
        <v>45896</v>
      </c>
      <c r="C96" s="1" t="s">
        <v>264</v>
      </c>
      <c r="D96" s="1" t="s">
        <v>276</v>
      </c>
      <c r="E96" s="1">
        <v>2</v>
      </c>
      <c r="F96" s="85">
        <v>22508026</v>
      </c>
      <c r="G96" s="69">
        <v>1250</v>
      </c>
      <c r="H96" s="16" t="s">
        <v>244</v>
      </c>
      <c r="I96" s="16" t="s">
        <v>504</v>
      </c>
      <c r="J96" s="16" t="s">
        <v>735</v>
      </c>
      <c r="K96" s="9">
        <v>1567</v>
      </c>
      <c r="L96" s="5">
        <v>1545</v>
      </c>
      <c r="M96" s="5">
        <v>1545</v>
      </c>
      <c r="N96" s="5">
        <v>1544</v>
      </c>
      <c r="O96" s="5" t="s">
        <v>5</v>
      </c>
      <c r="P96" s="30">
        <f>AVERAGE(M96:N96:O96)</f>
        <v>1544.5</v>
      </c>
      <c r="Q96" s="16">
        <v>5.4</v>
      </c>
      <c r="R96" s="16">
        <v>33</v>
      </c>
      <c r="S96" s="72"/>
      <c r="T96" s="8" t="s">
        <v>5</v>
      </c>
      <c r="U96" s="72" t="s">
        <v>5</v>
      </c>
      <c r="V96" s="72" t="s">
        <v>5</v>
      </c>
      <c r="W96" s="11">
        <v>16.8</v>
      </c>
      <c r="X96" s="69">
        <v>56</v>
      </c>
      <c r="Y96" s="12">
        <f t="shared" ref="Y96" si="29">((G96*X96*0.78/100000)*Q96)</f>
        <v>2.9484000000000004</v>
      </c>
      <c r="Z96" s="31">
        <v>8.4</v>
      </c>
      <c r="AA96" s="31">
        <v>8.1999999999999993</v>
      </c>
      <c r="AB96" s="32">
        <v>74</v>
      </c>
      <c r="AC96" s="32">
        <v>72</v>
      </c>
      <c r="AD96" s="11" t="s">
        <v>6</v>
      </c>
      <c r="AE96" s="33" t="s">
        <v>72</v>
      </c>
      <c r="AF96" s="41" t="s">
        <v>736</v>
      </c>
    </row>
    <row r="97" spans="1:32" ht="63" x14ac:dyDescent="0.25">
      <c r="A97" s="1">
        <v>2002</v>
      </c>
      <c r="B97" s="2">
        <v>45897</v>
      </c>
      <c r="C97" s="1" t="s">
        <v>18</v>
      </c>
      <c r="D97" s="1" t="s">
        <v>265</v>
      </c>
      <c r="E97" s="1">
        <v>1</v>
      </c>
      <c r="F97" s="36">
        <v>12508033</v>
      </c>
      <c r="G97" s="16">
        <v>1230</v>
      </c>
      <c r="H97" s="16" t="s">
        <v>10</v>
      </c>
      <c r="I97" s="16" t="s">
        <v>86</v>
      </c>
      <c r="J97" s="16" t="s">
        <v>737</v>
      </c>
      <c r="K97" s="3">
        <v>1567</v>
      </c>
      <c r="L97" s="5">
        <v>1560</v>
      </c>
      <c r="M97" s="5">
        <v>1555</v>
      </c>
      <c r="N97" s="5">
        <v>1546</v>
      </c>
      <c r="O97" s="5">
        <v>1544</v>
      </c>
      <c r="P97" s="30">
        <f>AVERAGE(M97:N97:O97)</f>
        <v>1548.3333333333333</v>
      </c>
      <c r="Q97" s="16">
        <v>4.8</v>
      </c>
      <c r="R97" s="16">
        <v>42</v>
      </c>
      <c r="S97" s="72">
        <v>28</v>
      </c>
      <c r="T97" s="11">
        <v>159</v>
      </c>
      <c r="U97" s="11">
        <v>58</v>
      </c>
      <c r="V97" s="10">
        <f t="shared" ref="V97:V104" si="30">T97-U97</f>
        <v>101</v>
      </c>
      <c r="W97" s="11">
        <v>20.6</v>
      </c>
      <c r="X97" s="69">
        <v>58</v>
      </c>
      <c r="Y97" s="12">
        <f>((G97*X97*0.78/100000)*Q97)</f>
        <v>2.6709696000000003</v>
      </c>
      <c r="Z97" s="11">
        <v>6.9</v>
      </c>
      <c r="AA97" s="11">
        <v>7.5</v>
      </c>
      <c r="AB97" s="11">
        <v>56</v>
      </c>
      <c r="AC97" s="11">
        <v>57</v>
      </c>
      <c r="AD97" s="11" t="s">
        <v>6</v>
      </c>
      <c r="AE97" s="33" t="s">
        <v>72</v>
      </c>
      <c r="AF97" s="41" t="s">
        <v>738</v>
      </c>
    </row>
    <row r="98" spans="1:32" ht="47.25" x14ac:dyDescent="0.25">
      <c r="A98" s="1">
        <v>2093</v>
      </c>
      <c r="B98" s="2">
        <v>45898</v>
      </c>
      <c r="C98" s="1" t="s">
        <v>18</v>
      </c>
      <c r="D98" s="1" t="s">
        <v>265</v>
      </c>
      <c r="E98" s="1">
        <v>1</v>
      </c>
      <c r="F98" s="36">
        <v>12508033</v>
      </c>
      <c r="G98" s="16">
        <v>1240</v>
      </c>
      <c r="H98" s="16" t="s">
        <v>10</v>
      </c>
      <c r="I98" s="16" t="s">
        <v>373</v>
      </c>
      <c r="J98" s="16" t="s">
        <v>739</v>
      </c>
      <c r="K98" s="3">
        <v>1568</v>
      </c>
      <c r="L98" s="5">
        <v>1556</v>
      </c>
      <c r="M98" s="5">
        <v>1555</v>
      </c>
      <c r="N98" s="5">
        <v>1553</v>
      </c>
      <c r="O98" s="5">
        <v>1552</v>
      </c>
      <c r="P98" s="30">
        <f>AVERAGE(M98:N98:O98)</f>
        <v>1553.3333333333333</v>
      </c>
      <c r="Q98" s="16">
        <v>4.5</v>
      </c>
      <c r="R98" s="16">
        <v>38</v>
      </c>
      <c r="S98" s="72" t="s">
        <v>5</v>
      </c>
      <c r="T98" s="9">
        <v>167</v>
      </c>
      <c r="U98" s="16">
        <v>62</v>
      </c>
      <c r="V98" s="10">
        <f t="shared" si="30"/>
        <v>105</v>
      </c>
      <c r="W98" s="11">
        <v>21.3</v>
      </c>
      <c r="X98" s="69">
        <v>58</v>
      </c>
      <c r="Y98" s="12">
        <f t="shared" ref="Y98" si="31">((G98*X98*0.78/100000)*Q98)</f>
        <v>2.5243920000000002</v>
      </c>
      <c r="Z98" s="16">
        <v>9.6999999999999993</v>
      </c>
      <c r="AA98" s="16">
        <v>10.1</v>
      </c>
      <c r="AB98" s="16">
        <v>75</v>
      </c>
      <c r="AC98" s="16">
        <v>79</v>
      </c>
      <c r="AD98" s="11" t="s">
        <v>6</v>
      </c>
      <c r="AE98" s="33" t="s">
        <v>7</v>
      </c>
      <c r="AF98" s="41" t="s">
        <v>740</v>
      </c>
    </row>
    <row r="99" spans="1:32" ht="15.75" x14ac:dyDescent="0.25">
      <c r="A99" s="1">
        <v>2095</v>
      </c>
      <c r="B99" s="2">
        <v>45898</v>
      </c>
      <c r="C99" s="1" t="s">
        <v>18</v>
      </c>
      <c r="D99" s="1" t="s">
        <v>265</v>
      </c>
      <c r="E99" s="1">
        <v>1</v>
      </c>
      <c r="F99" s="36">
        <v>12508033</v>
      </c>
      <c r="G99" s="16">
        <v>1240</v>
      </c>
      <c r="H99" s="16" t="s">
        <v>10</v>
      </c>
      <c r="I99" s="16" t="s">
        <v>504</v>
      </c>
      <c r="J99" s="16" t="s">
        <v>741</v>
      </c>
      <c r="K99" s="3">
        <v>1566</v>
      </c>
      <c r="L99" s="5">
        <v>1557</v>
      </c>
      <c r="M99" s="5">
        <v>1548</v>
      </c>
      <c r="N99" s="5">
        <v>1547</v>
      </c>
      <c r="O99" s="5">
        <v>1547</v>
      </c>
      <c r="P99" s="30">
        <f>AVERAGE(M99:N99:O99)</f>
        <v>1547.3333333333333</v>
      </c>
      <c r="Q99" s="16">
        <v>5.5</v>
      </c>
      <c r="R99" s="16">
        <v>31</v>
      </c>
      <c r="S99" s="72">
        <v>14</v>
      </c>
      <c r="T99" s="9">
        <v>160</v>
      </c>
      <c r="U99" s="9">
        <v>60</v>
      </c>
      <c r="V99" s="10">
        <f t="shared" si="30"/>
        <v>100</v>
      </c>
      <c r="W99" s="11" t="s">
        <v>5</v>
      </c>
      <c r="X99" s="69">
        <v>58</v>
      </c>
      <c r="Y99" s="12">
        <f>((G96*X99*0.78/100000)*Q99)</f>
        <v>3.1102500000000002</v>
      </c>
      <c r="Z99" s="31">
        <v>9</v>
      </c>
      <c r="AA99" s="31">
        <v>10.4</v>
      </c>
      <c r="AB99" s="32">
        <v>80</v>
      </c>
      <c r="AC99" s="32">
        <v>85</v>
      </c>
      <c r="AD99" s="11" t="s">
        <v>6</v>
      </c>
      <c r="AE99" s="33" t="s">
        <v>455</v>
      </c>
      <c r="AF99" s="41" t="s">
        <v>508</v>
      </c>
    </row>
    <row r="100" spans="1:32" ht="31.5" x14ac:dyDescent="0.25">
      <c r="A100" s="1">
        <v>2096</v>
      </c>
      <c r="B100" s="2">
        <v>45898</v>
      </c>
      <c r="C100" s="1" t="s">
        <v>18</v>
      </c>
      <c r="D100" s="1" t="s">
        <v>265</v>
      </c>
      <c r="E100" s="1">
        <v>1</v>
      </c>
      <c r="F100" s="36">
        <v>12508033</v>
      </c>
      <c r="G100" s="16">
        <v>1240</v>
      </c>
      <c r="H100" s="16" t="s">
        <v>10</v>
      </c>
      <c r="I100" s="16" t="s">
        <v>296</v>
      </c>
      <c r="J100" s="16" t="s">
        <v>742</v>
      </c>
      <c r="K100" s="3">
        <v>1572</v>
      </c>
      <c r="L100" s="5">
        <v>1546</v>
      </c>
      <c r="M100" s="5" t="s">
        <v>5</v>
      </c>
      <c r="N100" s="5" t="s">
        <v>5</v>
      </c>
      <c r="O100" s="5" t="s">
        <v>5</v>
      </c>
      <c r="P100" s="5" t="s">
        <v>5</v>
      </c>
      <c r="Q100" s="16" t="s">
        <v>5</v>
      </c>
      <c r="R100" s="16">
        <v>1</v>
      </c>
      <c r="S100" s="72" t="s">
        <v>5</v>
      </c>
      <c r="T100" s="11">
        <v>158</v>
      </c>
      <c r="U100" s="11">
        <v>152</v>
      </c>
      <c r="V100" s="10">
        <f t="shared" si="30"/>
        <v>6</v>
      </c>
      <c r="W100" s="11" t="s">
        <v>5</v>
      </c>
      <c r="X100" s="69">
        <v>58</v>
      </c>
      <c r="Y100" s="12" t="s">
        <v>5</v>
      </c>
      <c r="Z100" s="31" t="s">
        <v>5</v>
      </c>
      <c r="AA100" s="31" t="s">
        <v>5</v>
      </c>
      <c r="AB100" s="31" t="s">
        <v>5</v>
      </c>
      <c r="AC100" s="31" t="s">
        <v>5</v>
      </c>
      <c r="AD100" s="11" t="s">
        <v>6</v>
      </c>
      <c r="AE100" s="33" t="s">
        <v>455</v>
      </c>
      <c r="AF100" s="41" t="s">
        <v>743</v>
      </c>
    </row>
    <row r="101" spans="1:32" ht="31.5" x14ac:dyDescent="0.25">
      <c r="A101" s="1">
        <v>2106</v>
      </c>
      <c r="B101" s="2">
        <v>45898</v>
      </c>
      <c r="C101" s="1" t="s">
        <v>264</v>
      </c>
      <c r="D101" s="1" t="s">
        <v>258</v>
      </c>
      <c r="E101" s="87">
        <v>1</v>
      </c>
      <c r="F101" s="36">
        <v>12508034</v>
      </c>
      <c r="G101" s="16">
        <v>1240</v>
      </c>
      <c r="H101" s="16" t="s">
        <v>10</v>
      </c>
      <c r="I101" s="16" t="s">
        <v>86</v>
      </c>
      <c r="J101" s="16" t="s">
        <v>744</v>
      </c>
      <c r="K101" s="3">
        <v>1565</v>
      </c>
      <c r="L101" s="5">
        <v>1556</v>
      </c>
      <c r="M101" s="5">
        <v>1552</v>
      </c>
      <c r="N101" s="5">
        <v>1549</v>
      </c>
      <c r="O101" s="5">
        <v>1550</v>
      </c>
      <c r="P101" s="30">
        <f>AVERAGE(M101:N101:O101)</f>
        <v>1550.3333333333333</v>
      </c>
      <c r="Q101" s="16">
        <v>3.7</v>
      </c>
      <c r="R101" s="16">
        <v>44</v>
      </c>
      <c r="S101" s="72">
        <v>18</v>
      </c>
      <c r="T101" s="11">
        <v>161</v>
      </c>
      <c r="U101" s="11">
        <v>61</v>
      </c>
      <c r="V101" s="10">
        <f t="shared" si="30"/>
        <v>100</v>
      </c>
      <c r="W101" s="11" t="s">
        <v>5</v>
      </c>
      <c r="X101" s="69">
        <v>58</v>
      </c>
      <c r="Y101" s="12">
        <f t="shared" ref="Y101:Y107" si="32">((G101*X101*0.78/100000)*Q101)</f>
        <v>2.0756112</v>
      </c>
      <c r="Z101" s="31">
        <v>8.5</v>
      </c>
      <c r="AA101" s="31">
        <v>8.6</v>
      </c>
      <c r="AB101" s="11">
        <v>72</v>
      </c>
      <c r="AC101" s="11">
        <v>71</v>
      </c>
      <c r="AD101" s="11" t="s">
        <v>6</v>
      </c>
      <c r="AE101" s="33" t="s">
        <v>13</v>
      </c>
      <c r="AF101" s="41" t="s">
        <v>745</v>
      </c>
    </row>
    <row r="102" spans="1:32" ht="15.75" x14ac:dyDescent="0.25">
      <c r="A102" s="1">
        <v>2107</v>
      </c>
      <c r="B102" s="2">
        <v>45898</v>
      </c>
      <c r="C102" s="1" t="s">
        <v>264</v>
      </c>
      <c r="D102" s="1" t="s">
        <v>258</v>
      </c>
      <c r="E102" s="87">
        <v>1</v>
      </c>
      <c r="F102" s="36">
        <v>12508034</v>
      </c>
      <c r="G102" s="16">
        <v>1240</v>
      </c>
      <c r="H102" s="16" t="s">
        <v>10</v>
      </c>
      <c r="I102" s="16" t="s">
        <v>77</v>
      </c>
      <c r="J102" s="16" t="s">
        <v>746</v>
      </c>
      <c r="K102" s="3">
        <v>1562</v>
      </c>
      <c r="L102" s="5">
        <v>1548</v>
      </c>
      <c r="M102" s="5">
        <v>1550</v>
      </c>
      <c r="N102" s="5">
        <v>1550</v>
      </c>
      <c r="O102" s="5">
        <v>1552</v>
      </c>
      <c r="P102" s="30">
        <f>AVERAGE(M102:N102:O102)</f>
        <v>1550.6666666666667</v>
      </c>
      <c r="Q102" s="16">
        <v>4.5999999999999996</v>
      </c>
      <c r="R102" s="16">
        <v>36</v>
      </c>
      <c r="S102" s="72">
        <v>32</v>
      </c>
      <c r="T102" s="11">
        <v>157.1</v>
      </c>
      <c r="U102" s="11">
        <v>62.1</v>
      </c>
      <c r="V102" s="10">
        <f t="shared" si="30"/>
        <v>95</v>
      </c>
      <c r="W102" s="11">
        <v>5.3</v>
      </c>
      <c r="X102" s="69">
        <v>58</v>
      </c>
      <c r="Y102" s="12">
        <f t="shared" si="32"/>
        <v>2.5804895999999999</v>
      </c>
      <c r="Z102" s="46">
        <v>9.9</v>
      </c>
      <c r="AA102" s="31">
        <v>10.1</v>
      </c>
      <c r="AB102" s="11">
        <v>75</v>
      </c>
      <c r="AC102" s="11">
        <v>70</v>
      </c>
      <c r="AD102" s="11" t="s">
        <v>747</v>
      </c>
      <c r="AE102" s="33" t="s">
        <v>72</v>
      </c>
      <c r="AF102" s="41" t="s">
        <v>397</v>
      </c>
    </row>
    <row r="103" spans="1:32" ht="15.75" x14ac:dyDescent="0.25">
      <c r="A103" s="1">
        <v>2108</v>
      </c>
      <c r="B103" s="2">
        <v>45898</v>
      </c>
      <c r="C103" s="1" t="s">
        <v>264</v>
      </c>
      <c r="D103" s="1" t="s">
        <v>258</v>
      </c>
      <c r="E103" s="87">
        <v>1</v>
      </c>
      <c r="F103" s="36">
        <v>12508034</v>
      </c>
      <c r="G103" s="16">
        <v>1240</v>
      </c>
      <c r="H103" s="16" t="s">
        <v>10</v>
      </c>
      <c r="I103" s="16" t="s">
        <v>194</v>
      </c>
      <c r="J103" s="16" t="s">
        <v>748</v>
      </c>
      <c r="K103" s="3">
        <v>1568</v>
      </c>
      <c r="L103" s="5">
        <v>1553</v>
      </c>
      <c r="M103" s="5">
        <v>1556</v>
      </c>
      <c r="N103" s="5">
        <v>1555</v>
      </c>
      <c r="O103" s="5">
        <v>1552</v>
      </c>
      <c r="P103" s="30">
        <f>AVERAGE(M103:N103:O103)</f>
        <v>1554.3333333333333</v>
      </c>
      <c r="Q103" s="16">
        <v>3.7</v>
      </c>
      <c r="R103" s="16">
        <v>39</v>
      </c>
      <c r="S103" s="72">
        <v>23</v>
      </c>
      <c r="T103" s="11">
        <v>157.69999999999999</v>
      </c>
      <c r="U103" s="11">
        <v>58</v>
      </c>
      <c r="V103" s="10">
        <f t="shared" si="30"/>
        <v>99.699999999999989</v>
      </c>
      <c r="W103" s="11">
        <v>5</v>
      </c>
      <c r="X103" s="69">
        <v>58</v>
      </c>
      <c r="Y103" s="12">
        <f t="shared" si="32"/>
        <v>2.0756112</v>
      </c>
      <c r="Z103" s="31">
        <v>9.5</v>
      </c>
      <c r="AA103" s="31">
        <v>10.3</v>
      </c>
      <c r="AB103" s="11">
        <v>73</v>
      </c>
      <c r="AC103" s="11">
        <v>77</v>
      </c>
      <c r="AD103" s="11" t="s">
        <v>6</v>
      </c>
      <c r="AE103" s="33" t="s">
        <v>72</v>
      </c>
      <c r="AF103" s="41" t="s">
        <v>749</v>
      </c>
    </row>
    <row r="104" spans="1:32" ht="31.5" x14ac:dyDescent="0.25">
      <c r="A104" s="1">
        <v>2109</v>
      </c>
      <c r="B104" s="2">
        <v>45898</v>
      </c>
      <c r="C104" s="1" t="s">
        <v>264</v>
      </c>
      <c r="D104" s="1" t="s">
        <v>258</v>
      </c>
      <c r="E104" s="87">
        <v>1</v>
      </c>
      <c r="F104" s="36">
        <v>12508034</v>
      </c>
      <c r="G104" s="16">
        <v>1240</v>
      </c>
      <c r="H104" s="16" t="s">
        <v>10</v>
      </c>
      <c r="I104" s="16" t="s">
        <v>189</v>
      </c>
      <c r="J104" s="16" t="s">
        <v>742</v>
      </c>
      <c r="K104" s="3">
        <v>1562</v>
      </c>
      <c r="L104" s="5">
        <v>1547</v>
      </c>
      <c r="M104" s="5">
        <v>1547</v>
      </c>
      <c r="N104" s="5">
        <v>1549</v>
      </c>
      <c r="O104" s="5">
        <v>1549</v>
      </c>
      <c r="P104" s="30">
        <f>AVERAGE(M104:N104:O104)</f>
        <v>1548.3333333333333</v>
      </c>
      <c r="Q104" s="16">
        <v>4.5999999999999996</v>
      </c>
      <c r="R104" s="16">
        <v>37</v>
      </c>
      <c r="S104" s="72" t="s">
        <v>5</v>
      </c>
      <c r="T104" s="11">
        <v>150</v>
      </c>
      <c r="U104" s="11">
        <v>59</v>
      </c>
      <c r="V104" s="10">
        <f t="shared" si="30"/>
        <v>91</v>
      </c>
      <c r="W104" s="11" t="s">
        <v>5</v>
      </c>
      <c r="X104" s="69">
        <v>58</v>
      </c>
      <c r="Y104" s="12">
        <f t="shared" si="32"/>
        <v>2.5804895999999999</v>
      </c>
      <c r="Z104" s="64">
        <v>9.4</v>
      </c>
      <c r="AA104" s="64">
        <v>9.3000000000000007</v>
      </c>
      <c r="AB104" s="11">
        <v>75</v>
      </c>
      <c r="AC104" s="11">
        <v>82</v>
      </c>
      <c r="AD104" s="11" t="s">
        <v>6</v>
      </c>
      <c r="AE104" s="33" t="s">
        <v>750</v>
      </c>
      <c r="AF104" s="41" t="s">
        <v>751</v>
      </c>
    </row>
    <row r="105" spans="1:32" ht="63" x14ac:dyDescent="0.25">
      <c r="A105" s="1">
        <v>2120</v>
      </c>
      <c r="B105" s="2">
        <v>45898</v>
      </c>
      <c r="C105" s="1" t="s">
        <v>264</v>
      </c>
      <c r="D105" s="1" t="s">
        <v>258</v>
      </c>
      <c r="E105" s="87">
        <v>2</v>
      </c>
      <c r="F105" s="85">
        <v>22508029</v>
      </c>
      <c r="G105" s="16">
        <v>1240</v>
      </c>
      <c r="H105" s="16" t="s">
        <v>10</v>
      </c>
      <c r="I105" s="16" t="s">
        <v>194</v>
      </c>
      <c r="J105" s="16" t="s">
        <v>752</v>
      </c>
      <c r="K105" s="3">
        <v>1567</v>
      </c>
      <c r="L105" s="5">
        <v>1555</v>
      </c>
      <c r="M105" s="5">
        <v>1551</v>
      </c>
      <c r="N105" s="5">
        <v>1552</v>
      </c>
      <c r="O105" s="5" t="s">
        <v>5</v>
      </c>
      <c r="P105" s="30">
        <f>AVERAGE(M105:N105:O105)</f>
        <v>1551.5</v>
      </c>
      <c r="Q105" s="16">
        <v>5</v>
      </c>
      <c r="R105" s="16">
        <v>35</v>
      </c>
      <c r="S105" s="72">
        <v>26</v>
      </c>
      <c r="T105" s="8" t="s">
        <v>5</v>
      </c>
      <c r="U105" s="8" t="s">
        <v>5</v>
      </c>
      <c r="V105" s="8" t="s">
        <v>5</v>
      </c>
      <c r="W105" s="11">
        <v>15.8</v>
      </c>
      <c r="X105" s="69">
        <v>58</v>
      </c>
      <c r="Y105" s="12">
        <f t="shared" si="32"/>
        <v>2.8048800000000003</v>
      </c>
      <c r="Z105" s="18">
        <v>9.4</v>
      </c>
      <c r="AA105" s="18">
        <v>9.6999999999999993</v>
      </c>
      <c r="AB105" s="11">
        <v>81</v>
      </c>
      <c r="AC105" s="11">
        <v>82</v>
      </c>
      <c r="AD105" s="11" t="s">
        <v>6</v>
      </c>
      <c r="AE105" s="33" t="s">
        <v>88</v>
      </c>
      <c r="AF105" s="41" t="s">
        <v>753</v>
      </c>
    </row>
    <row r="106" spans="1:32" ht="31.5" x14ac:dyDescent="0.25">
      <c r="A106" s="1">
        <v>2138</v>
      </c>
      <c r="B106" s="2">
        <v>45898</v>
      </c>
      <c r="C106" s="1" t="s">
        <v>0</v>
      </c>
      <c r="D106" s="1" t="s">
        <v>9</v>
      </c>
      <c r="E106" s="1">
        <v>1</v>
      </c>
      <c r="F106" s="36">
        <v>12508034</v>
      </c>
      <c r="G106" s="69">
        <v>1240</v>
      </c>
      <c r="H106" s="69" t="s">
        <v>10</v>
      </c>
      <c r="I106" s="16" t="s">
        <v>113</v>
      </c>
      <c r="J106" s="16" t="s">
        <v>754</v>
      </c>
      <c r="K106" s="3">
        <v>1566</v>
      </c>
      <c r="L106" s="5">
        <v>1550</v>
      </c>
      <c r="M106" s="5">
        <v>1549</v>
      </c>
      <c r="N106" s="5">
        <v>1550</v>
      </c>
      <c r="O106" s="5">
        <v>1549</v>
      </c>
      <c r="P106" s="30">
        <f>AVERAGE(M106:N106:O106)</f>
        <v>1549.3333333333333</v>
      </c>
      <c r="Q106" s="16">
        <v>5.5</v>
      </c>
      <c r="R106" s="86">
        <v>32</v>
      </c>
      <c r="S106" s="72">
        <v>32</v>
      </c>
      <c r="T106" s="8">
        <v>158.5</v>
      </c>
      <c r="U106" s="72">
        <v>60.3</v>
      </c>
      <c r="V106" s="10">
        <f t="shared" ref="V106:V120" si="33">T106-U106</f>
        <v>98.2</v>
      </c>
      <c r="W106" s="11" t="s">
        <v>5</v>
      </c>
      <c r="X106" s="69">
        <v>58</v>
      </c>
      <c r="Y106" s="12">
        <f t="shared" si="32"/>
        <v>3.0853680000000003</v>
      </c>
      <c r="Z106" s="64">
        <v>10.5</v>
      </c>
      <c r="AA106" s="64">
        <v>9.9</v>
      </c>
      <c r="AB106" s="11">
        <v>91</v>
      </c>
      <c r="AC106" s="11">
        <v>85</v>
      </c>
      <c r="AD106" s="11" t="s">
        <v>6</v>
      </c>
      <c r="AE106" s="33" t="s">
        <v>13</v>
      </c>
      <c r="AF106" s="41" t="s">
        <v>755</v>
      </c>
    </row>
    <row r="107" spans="1:32" ht="31.5" x14ac:dyDescent="0.25">
      <c r="A107" s="1">
        <v>2140</v>
      </c>
      <c r="B107" s="2">
        <v>45898</v>
      </c>
      <c r="C107" s="1" t="s">
        <v>0</v>
      </c>
      <c r="D107" s="1" t="s">
        <v>9</v>
      </c>
      <c r="E107" s="1">
        <v>1</v>
      </c>
      <c r="F107" s="36">
        <v>12508034</v>
      </c>
      <c r="G107" s="69">
        <v>1240</v>
      </c>
      <c r="H107" s="69" t="s">
        <v>10</v>
      </c>
      <c r="I107" s="16" t="s">
        <v>155</v>
      </c>
      <c r="J107" s="16" t="s">
        <v>756</v>
      </c>
      <c r="K107" s="3">
        <v>1575</v>
      </c>
      <c r="L107" s="5">
        <v>1545</v>
      </c>
      <c r="M107" s="5">
        <v>1544</v>
      </c>
      <c r="N107" s="5">
        <v>1544</v>
      </c>
      <c r="O107" s="5">
        <v>1545</v>
      </c>
      <c r="P107" s="30">
        <f>AVERAGE(M107:N107:O107)</f>
        <v>1544.3333333333333</v>
      </c>
      <c r="Q107" s="16">
        <v>4.0999999999999996</v>
      </c>
      <c r="R107" s="86">
        <v>37</v>
      </c>
      <c r="S107" s="72">
        <v>36</v>
      </c>
      <c r="T107" s="8">
        <v>160.6</v>
      </c>
      <c r="U107" s="72">
        <v>60.3</v>
      </c>
      <c r="V107" s="10">
        <f t="shared" si="33"/>
        <v>100.3</v>
      </c>
      <c r="W107" s="11" t="s">
        <v>5</v>
      </c>
      <c r="X107" s="69">
        <v>58</v>
      </c>
      <c r="Y107" s="12">
        <f t="shared" si="32"/>
        <v>2.3000015999999999</v>
      </c>
      <c r="Z107" s="31">
        <v>9.6</v>
      </c>
      <c r="AA107" s="31">
        <v>9.1999999999999993</v>
      </c>
      <c r="AB107" s="11">
        <v>87</v>
      </c>
      <c r="AC107" s="11">
        <v>84</v>
      </c>
      <c r="AD107" s="11" t="s">
        <v>6</v>
      </c>
      <c r="AE107" s="33" t="s">
        <v>13</v>
      </c>
      <c r="AF107" s="41" t="s">
        <v>757</v>
      </c>
    </row>
    <row r="108" spans="1:32" ht="15.75" x14ac:dyDescent="0.25">
      <c r="A108" s="1">
        <v>2160</v>
      </c>
      <c r="B108" s="2">
        <v>45899</v>
      </c>
      <c r="C108" s="1" t="s">
        <v>18</v>
      </c>
      <c r="D108" s="1" t="s">
        <v>276</v>
      </c>
      <c r="E108" s="1">
        <v>1</v>
      </c>
      <c r="F108" s="36">
        <v>12508034</v>
      </c>
      <c r="G108" s="16">
        <v>1252</v>
      </c>
      <c r="H108" s="16" t="s">
        <v>55</v>
      </c>
      <c r="I108" s="16" t="s">
        <v>164</v>
      </c>
      <c r="J108" s="16" t="s">
        <v>758</v>
      </c>
      <c r="K108" s="3">
        <v>1567</v>
      </c>
      <c r="L108" s="5">
        <v>1545</v>
      </c>
      <c r="M108" s="5">
        <v>1546</v>
      </c>
      <c r="N108" s="5">
        <v>1545</v>
      </c>
      <c r="O108" s="5" t="s">
        <v>5</v>
      </c>
      <c r="P108" s="30">
        <f>AVERAGE(M108:N108:O108)</f>
        <v>1545.5</v>
      </c>
      <c r="Q108" s="16">
        <v>5</v>
      </c>
      <c r="R108" s="16">
        <v>30</v>
      </c>
      <c r="S108" s="72">
        <v>35</v>
      </c>
      <c r="T108" s="9">
        <v>155.4</v>
      </c>
      <c r="U108" s="9">
        <v>63.3</v>
      </c>
      <c r="V108" s="10">
        <f t="shared" si="33"/>
        <v>92.100000000000009</v>
      </c>
      <c r="W108" s="11" t="s">
        <v>5</v>
      </c>
      <c r="X108" s="69">
        <v>58</v>
      </c>
      <c r="Y108" s="12">
        <f>((G108*X108*0.78/100000)*Q108)</f>
        <v>2.8320240000000001</v>
      </c>
      <c r="Z108" s="31">
        <v>9.8000000000000007</v>
      </c>
      <c r="AA108" s="31">
        <v>10</v>
      </c>
      <c r="AB108" s="32">
        <v>87</v>
      </c>
      <c r="AC108" s="32">
        <v>88</v>
      </c>
      <c r="AD108" s="11" t="s">
        <v>6</v>
      </c>
      <c r="AE108" s="33" t="s">
        <v>455</v>
      </c>
      <c r="AF108" s="41" t="s">
        <v>721</v>
      </c>
    </row>
    <row r="109" spans="1:32" ht="31.5" x14ac:dyDescent="0.25">
      <c r="A109" s="1">
        <v>2166</v>
      </c>
      <c r="B109" s="2">
        <v>45899</v>
      </c>
      <c r="C109" s="1" t="s">
        <v>18</v>
      </c>
      <c r="D109" s="1" t="s">
        <v>276</v>
      </c>
      <c r="E109" s="1">
        <v>1</v>
      </c>
      <c r="F109" s="36">
        <v>12508034</v>
      </c>
      <c r="G109" s="16">
        <v>1252</v>
      </c>
      <c r="H109" s="16" t="s">
        <v>55</v>
      </c>
      <c r="I109" s="16" t="s">
        <v>416</v>
      </c>
      <c r="J109" s="16" t="s">
        <v>759</v>
      </c>
      <c r="K109" s="3">
        <v>1563</v>
      </c>
      <c r="L109" s="5">
        <v>1544</v>
      </c>
      <c r="M109" s="5">
        <v>1543</v>
      </c>
      <c r="N109" s="5">
        <v>1542</v>
      </c>
      <c r="O109" s="5" t="s">
        <v>5</v>
      </c>
      <c r="P109" s="30">
        <f>AVERAGE(M109:N109:O109)</f>
        <v>1542.5</v>
      </c>
      <c r="Q109" s="16">
        <v>5.2</v>
      </c>
      <c r="R109" s="16">
        <v>23</v>
      </c>
      <c r="S109" s="72">
        <v>4</v>
      </c>
      <c r="T109" s="11">
        <v>161.19999999999999</v>
      </c>
      <c r="U109" s="11">
        <v>86.5</v>
      </c>
      <c r="V109" s="10">
        <f t="shared" si="33"/>
        <v>74.699999999999989</v>
      </c>
      <c r="W109" s="11" t="s">
        <v>5</v>
      </c>
      <c r="X109" s="69">
        <v>58</v>
      </c>
      <c r="Y109" s="12">
        <f t="shared" ref="Y109:Y110" si="34">((G106*X109*0.78/100000)*Q109)</f>
        <v>2.9170752000000002</v>
      </c>
      <c r="Z109" s="64">
        <v>10.9</v>
      </c>
      <c r="AA109" s="64">
        <v>11</v>
      </c>
      <c r="AB109" s="49">
        <v>90</v>
      </c>
      <c r="AC109" s="49">
        <v>87</v>
      </c>
      <c r="AD109" s="11" t="s">
        <v>6</v>
      </c>
      <c r="AE109" s="33" t="s">
        <v>455</v>
      </c>
      <c r="AF109" s="41" t="s">
        <v>760</v>
      </c>
    </row>
    <row r="110" spans="1:32" ht="15.75" x14ac:dyDescent="0.25">
      <c r="A110" s="1">
        <v>2167</v>
      </c>
      <c r="B110" s="2">
        <v>45899</v>
      </c>
      <c r="C110" s="1" t="s">
        <v>18</v>
      </c>
      <c r="D110" s="1" t="s">
        <v>276</v>
      </c>
      <c r="E110" s="1">
        <v>1</v>
      </c>
      <c r="F110" s="36">
        <v>12508034</v>
      </c>
      <c r="G110" s="16">
        <v>1252</v>
      </c>
      <c r="H110" s="16" t="s">
        <v>55</v>
      </c>
      <c r="I110" s="16" t="s">
        <v>303</v>
      </c>
      <c r="J110" s="16" t="s">
        <v>761</v>
      </c>
      <c r="K110" s="3">
        <v>1565</v>
      </c>
      <c r="L110" s="5">
        <v>1544</v>
      </c>
      <c r="M110" s="5">
        <v>1546</v>
      </c>
      <c r="N110" s="5">
        <v>1546</v>
      </c>
      <c r="O110" s="5">
        <v>1547</v>
      </c>
      <c r="P110" s="30">
        <f>AVERAGE(M110:N110:O110)</f>
        <v>1546.3333333333333</v>
      </c>
      <c r="Q110" s="16">
        <v>5.2</v>
      </c>
      <c r="R110" s="16">
        <v>34</v>
      </c>
      <c r="S110" s="72" t="s">
        <v>5</v>
      </c>
      <c r="T110" s="11">
        <v>160.5</v>
      </c>
      <c r="U110" s="11">
        <v>64.8</v>
      </c>
      <c r="V110" s="10">
        <f t="shared" si="33"/>
        <v>95.7</v>
      </c>
      <c r="W110" s="11" t="s">
        <v>5</v>
      </c>
      <c r="X110" s="69">
        <v>58</v>
      </c>
      <c r="Y110" s="12">
        <f t="shared" si="34"/>
        <v>2.9170752000000002</v>
      </c>
      <c r="Z110" s="64">
        <v>9.6999999999999993</v>
      </c>
      <c r="AA110" s="64">
        <v>10.6</v>
      </c>
      <c r="AB110" s="49">
        <v>81</v>
      </c>
      <c r="AC110" s="49">
        <v>88</v>
      </c>
      <c r="AD110" s="11" t="s">
        <v>6</v>
      </c>
      <c r="AE110" s="33" t="s">
        <v>455</v>
      </c>
      <c r="AF110" s="41" t="s">
        <v>397</v>
      </c>
    </row>
    <row r="111" spans="1:32" ht="31.5" x14ac:dyDescent="0.25">
      <c r="A111" s="1">
        <v>2213</v>
      </c>
      <c r="B111" s="2">
        <v>45899</v>
      </c>
      <c r="C111" s="1" t="s">
        <v>0</v>
      </c>
      <c r="D111" s="1" t="s">
        <v>265</v>
      </c>
      <c r="E111" s="1">
        <v>1</v>
      </c>
      <c r="F111" s="85">
        <v>12508036</v>
      </c>
      <c r="G111" s="16">
        <v>1260</v>
      </c>
      <c r="H111" s="69" t="s">
        <v>10</v>
      </c>
      <c r="I111" s="16" t="s">
        <v>86</v>
      </c>
      <c r="J111" s="16" t="s">
        <v>762</v>
      </c>
      <c r="K111" s="9">
        <v>1565</v>
      </c>
      <c r="L111" s="5">
        <v>1544</v>
      </c>
      <c r="M111" s="5">
        <v>1543</v>
      </c>
      <c r="N111" s="5">
        <v>1540</v>
      </c>
      <c r="O111" s="5">
        <v>1540</v>
      </c>
      <c r="P111" s="30">
        <f>AVERAGE(M111:N111:O111)</f>
        <v>1541</v>
      </c>
      <c r="Q111" s="16">
        <v>5.3</v>
      </c>
      <c r="R111" s="16">
        <v>39</v>
      </c>
      <c r="S111" s="72">
        <v>35</v>
      </c>
      <c r="T111" s="8">
        <v>169</v>
      </c>
      <c r="U111" s="8">
        <v>66</v>
      </c>
      <c r="V111" s="10">
        <f t="shared" si="33"/>
        <v>103</v>
      </c>
      <c r="W111" s="11" t="s">
        <v>5</v>
      </c>
      <c r="X111" s="69">
        <v>58</v>
      </c>
      <c r="Y111" s="12">
        <f t="shared" ref="Y111:Y120" si="35">((G111*X111*0.78/100000)*Q111)</f>
        <v>3.0211271999999996</v>
      </c>
      <c r="Z111" s="31">
        <v>10.3</v>
      </c>
      <c r="AA111" s="31">
        <v>9.6999999999999993</v>
      </c>
      <c r="AB111" s="32">
        <v>81</v>
      </c>
      <c r="AC111" s="32">
        <v>76</v>
      </c>
      <c r="AD111" s="11" t="s">
        <v>6</v>
      </c>
      <c r="AE111" s="33" t="s">
        <v>7</v>
      </c>
      <c r="AF111" s="41" t="s">
        <v>763</v>
      </c>
    </row>
    <row r="112" spans="1:32" ht="31.5" x14ac:dyDescent="0.25">
      <c r="A112" s="1">
        <v>2214</v>
      </c>
      <c r="B112" s="2">
        <v>45899</v>
      </c>
      <c r="C112" s="1" t="s">
        <v>0</v>
      </c>
      <c r="D112" s="1" t="s">
        <v>265</v>
      </c>
      <c r="E112" s="1">
        <v>1</v>
      </c>
      <c r="F112" s="85">
        <v>12508036</v>
      </c>
      <c r="G112" s="16">
        <v>1260</v>
      </c>
      <c r="H112" s="69" t="s">
        <v>10</v>
      </c>
      <c r="I112" s="16" t="s">
        <v>77</v>
      </c>
      <c r="J112" s="16" t="s">
        <v>764</v>
      </c>
      <c r="K112" s="9">
        <v>1570</v>
      </c>
      <c r="L112" s="5">
        <v>1549</v>
      </c>
      <c r="M112" s="5">
        <v>1554</v>
      </c>
      <c r="N112" s="5">
        <v>1555</v>
      </c>
      <c r="O112" s="5">
        <v>1556</v>
      </c>
      <c r="P112" s="30">
        <f>AVERAGE(M112:N112:O112)</f>
        <v>1555</v>
      </c>
      <c r="Q112" s="16">
        <v>5</v>
      </c>
      <c r="R112" s="16">
        <v>32</v>
      </c>
      <c r="S112" s="75" t="s">
        <v>5</v>
      </c>
      <c r="T112" s="8">
        <v>151</v>
      </c>
      <c r="U112" s="8">
        <v>64</v>
      </c>
      <c r="V112" s="10">
        <f t="shared" si="33"/>
        <v>87</v>
      </c>
      <c r="W112" s="11" t="s">
        <v>5</v>
      </c>
      <c r="X112" s="69">
        <v>58</v>
      </c>
      <c r="Y112" s="12">
        <f t="shared" si="35"/>
        <v>2.85012</v>
      </c>
      <c r="Z112" s="31">
        <v>9.9</v>
      </c>
      <c r="AA112" s="31">
        <v>8.1</v>
      </c>
      <c r="AB112" s="32">
        <v>84</v>
      </c>
      <c r="AC112" s="32">
        <v>69</v>
      </c>
      <c r="AD112" s="11" t="s">
        <v>6</v>
      </c>
      <c r="AE112" s="33" t="s">
        <v>7</v>
      </c>
      <c r="AF112" s="41" t="s">
        <v>765</v>
      </c>
    </row>
    <row r="113" spans="1:32" ht="15.75" x14ac:dyDescent="0.25">
      <c r="A113" s="1">
        <v>2215</v>
      </c>
      <c r="B113" s="2">
        <v>45899</v>
      </c>
      <c r="C113" s="1" t="s">
        <v>0</v>
      </c>
      <c r="D113" s="1" t="s">
        <v>265</v>
      </c>
      <c r="E113" s="1">
        <v>1</v>
      </c>
      <c r="F113" s="85">
        <v>12508036</v>
      </c>
      <c r="G113" s="16">
        <v>1260</v>
      </c>
      <c r="H113" s="69" t="s">
        <v>10</v>
      </c>
      <c r="I113" s="16" t="s">
        <v>194</v>
      </c>
      <c r="J113" s="16" t="s">
        <v>766</v>
      </c>
      <c r="K113" s="9">
        <v>1570</v>
      </c>
      <c r="L113" s="5">
        <v>1546</v>
      </c>
      <c r="M113" s="5">
        <v>1544</v>
      </c>
      <c r="N113" s="5">
        <v>1544</v>
      </c>
      <c r="O113" s="5">
        <v>1543</v>
      </c>
      <c r="P113" s="30">
        <f>AVERAGE(M113:N113:O113)</f>
        <v>1543.6666666666667</v>
      </c>
      <c r="Q113" s="16">
        <v>4</v>
      </c>
      <c r="R113" s="16">
        <v>39</v>
      </c>
      <c r="S113" s="75" t="s">
        <v>5</v>
      </c>
      <c r="T113" s="8">
        <v>156</v>
      </c>
      <c r="U113" s="8">
        <v>60</v>
      </c>
      <c r="V113" s="10">
        <f t="shared" si="33"/>
        <v>96</v>
      </c>
      <c r="W113" s="11" t="s">
        <v>5</v>
      </c>
      <c r="X113" s="69">
        <v>58</v>
      </c>
      <c r="Y113" s="12">
        <f t="shared" si="35"/>
        <v>2.2800959999999999</v>
      </c>
      <c r="Z113" s="31">
        <v>8.5</v>
      </c>
      <c r="AA113" s="31">
        <v>7.7</v>
      </c>
      <c r="AB113" s="32">
        <v>86</v>
      </c>
      <c r="AC113" s="32">
        <v>76</v>
      </c>
      <c r="AD113" s="11" t="s">
        <v>6</v>
      </c>
      <c r="AE113" s="33" t="s">
        <v>7</v>
      </c>
      <c r="AF113" s="41" t="s">
        <v>767</v>
      </c>
    </row>
    <row r="114" spans="1:32" ht="15.75" x14ac:dyDescent="0.25">
      <c r="A114" s="1">
        <v>2219</v>
      </c>
      <c r="B114" s="2">
        <v>45900</v>
      </c>
      <c r="C114" s="1" t="s">
        <v>18</v>
      </c>
      <c r="D114" s="1" t="s">
        <v>276</v>
      </c>
      <c r="E114" s="1">
        <v>1</v>
      </c>
      <c r="F114" s="85">
        <v>12508036</v>
      </c>
      <c r="G114" s="16">
        <v>1260</v>
      </c>
      <c r="H114" s="69" t="s">
        <v>10</v>
      </c>
      <c r="I114" s="16" t="s">
        <v>189</v>
      </c>
      <c r="J114" s="16" t="s">
        <v>768</v>
      </c>
      <c r="K114" s="3">
        <v>1571</v>
      </c>
      <c r="L114" s="5">
        <v>1548</v>
      </c>
      <c r="M114" s="5">
        <v>1547</v>
      </c>
      <c r="N114" s="5">
        <v>1548</v>
      </c>
      <c r="O114" s="5">
        <v>1546</v>
      </c>
      <c r="P114" s="30">
        <f>AVERAGE(M114:N114:O114)</f>
        <v>1547</v>
      </c>
      <c r="Q114" s="16">
        <v>4.2</v>
      </c>
      <c r="R114" s="16">
        <v>41</v>
      </c>
      <c r="S114" s="72">
        <v>34</v>
      </c>
      <c r="T114" s="11">
        <v>159</v>
      </c>
      <c r="U114" s="11">
        <v>62</v>
      </c>
      <c r="V114" s="10">
        <f t="shared" si="33"/>
        <v>97</v>
      </c>
      <c r="W114" s="11" t="s">
        <v>5</v>
      </c>
      <c r="X114" s="69">
        <v>58</v>
      </c>
      <c r="Y114" s="12">
        <f t="shared" si="35"/>
        <v>2.3941007999999999</v>
      </c>
      <c r="Z114" s="11">
        <v>10.1</v>
      </c>
      <c r="AA114" s="11">
        <v>10</v>
      </c>
      <c r="AB114" s="11">
        <v>87</v>
      </c>
      <c r="AC114" s="11">
        <v>79</v>
      </c>
      <c r="AD114" s="11" t="s">
        <v>6</v>
      </c>
      <c r="AE114" s="33" t="s">
        <v>7</v>
      </c>
      <c r="AF114" s="41" t="s">
        <v>769</v>
      </c>
    </row>
    <row r="115" spans="1:32" ht="15.75" x14ac:dyDescent="0.25">
      <c r="A115" s="1">
        <v>2220</v>
      </c>
      <c r="B115" s="2">
        <v>45900</v>
      </c>
      <c r="C115" s="1" t="s">
        <v>18</v>
      </c>
      <c r="D115" s="1" t="s">
        <v>276</v>
      </c>
      <c r="E115" s="1">
        <v>1</v>
      </c>
      <c r="F115" s="85">
        <v>12508036</v>
      </c>
      <c r="G115" s="16">
        <v>1260</v>
      </c>
      <c r="H115" s="69" t="s">
        <v>10</v>
      </c>
      <c r="I115" s="16" t="s">
        <v>90</v>
      </c>
      <c r="J115" s="16" t="s">
        <v>770</v>
      </c>
      <c r="K115" s="3">
        <v>1569</v>
      </c>
      <c r="L115" s="5">
        <v>1546</v>
      </c>
      <c r="M115" s="5">
        <v>1547</v>
      </c>
      <c r="N115" s="5">
        <v>1546</v>
      </c>
      <c r="O115" s="5">
        <v>1547</v>
      </c>
      <c r="P115" s="30">
        <f>AVERAGE(M115:N115:O115)</f>
        <v>1546.6666666666667</v>
      </c>
      <c r="Q115" s="16">
        <v>4.8</v>
      </c>
      <c r="R115" s="16">
        <v>36</v>
      </c>
      <c r="S115" s="72">
        <v>32</v>
      </c>
      <c r="T115" s="9">
        <v>162.6</v>
      </c>
      <c r="U115" s="9">
        <v>60.8</v>
      </c>
      <c r="V115" s="10">
        <f t="shared" si="33"/>
        <v>101.8</v>
      </c>
      <c r="W115" s="11" t="s">
        <v>5</v>
      </c>
      <c r="X115" s="69">
        <v>58</v>
      </c>
      <c r="Y115" s="12">
        <f t="shared" si="35"/>
        <v>2.7361152</v>
      </c>
      <c r="Z115" s="31">
        <v>10.8</v>
      </c>
      <c r="AA115" s="31">
        <v>9.9</v>
      </c>
      <c r="AB115" s="32">
        <v>87</v>
      </c>
      <c r="AC115" s="32">
        <v>80</v>
      </c>
      <c r="AD115" s="11" t="s">
        <v>6</v>
      </c>
      <c r="AE115" s="33" t="s">
        <v>7</v>
      </c>
      <c r="AF115" s="41" t="s">
        <v>771</v>
      </c>
    </row>
    <row r="116" spans="1:32" ht="15.75" x14ac:dyDescent="0.25">
      <c r="A116" s="1">
        <v>2221</v>
      </c>
      <c r="B116" s="2">
        <v>45900</v>
      </c>
      <c r="C116" s="1" t="s">
        <v>18</v>
      </c>
      <c r="D116" s="1" t="s">
        <v>276</v>
      </c>
      <c r="E116" s="1">
        <v>1</v>
      </c>
      <c r="F116" s="85">
        <v>12508036</v>
      </c>
      <c r="G116" s="16">
        <v>1260</v>
      </c>
      <c r="H116" s="69" t="s">
        <v>10</v>
      </c>
      <c r="I116" s="16" t="s">
        <v>70</v>
      </c>
      <c r="J116" s="16" t="s">
        <v>772</v>
      </c>
      <c r="K116" s="3">
        <v>1569</v>
      </c>
      <c r="L116" s="5">
        <v>1546</v>
      </c>
      <c r="M116" s="5">
        <v>1547</v>
      </c>
      <c r="N116" s="5">
        <v>1545</v>
      </c>
      <c r="O116" s="5" t="s">
        <v>5</v>
      </c>
      <c r="P116" s="30">
        <f>AVERAGE(M116:N116:O116)</f>
        <v>1546</v>
      </c>
      <c r="Q116" s="16">
        <v>4.8</v>
      </c>
      <c r="R116" s="16">
        <v>40</v>
      </c>
      <c r="S116" s="72">
        <v>7</v>
      </c>
      <c r="T116" s="8">
        <v>162.6</v>
      </c>
      <c r="U116" s="8">
        <v>60.5</v>
      </c>
      <c r="V116" s="10">
        <f t="shared" si="33"/>
        <v>102.1</v>
      </c>
      <c r="W116" s="11" t="s">
        <v>5</v>
      </c>
      <c r="X116" s="69">
        <v>58</v>
      </c>
      <c r="Y116" s="12">
        <f t="shared" si="35"/>
        <v>2.7361152</v>
      </c>
      <c r="Z116" s="46">
        <v>9.5</v>
      </c>
      <c r="AA116" s="31">
        <v>9.1999999999999993</v>
      </c>
      <c r="AB116" s="32">
        <v>84</v>
      </c>
      <c r="AC116" s="32">
        <v>80</v>
      </c>
      <c r="AD116" s="11" t="s">
        <v>6</v>
      </c>
      <c r="AE116" s="33" t="s">
        <v>455</v>
      </c>
      <c r="AF116" s="41" t="s">
        <v>769</v>
      </c>
    </row>
    <row r="117" spans="1:32" ht="15.75" x14ac:dyDescent="0.25">
      <c r="A117" s="1">
        <v>2247</v>
      </c>
      <c r="B117" s="2">
        <v>45900</v>
      </c>
      <c r="C117" s="1" t="s">
        <v>264</v>
      </c>
      <c r="D117" s="1" t="s">
        <v>1</v>
      </c>
      <c r="E117" s="87">
        <v>1</v>
      </c>
      <c r="F117" s="85">
        <v>12508036</v>
      </c>
      <c r="G117" s="16">
        <v>1260</v>
      </c>
      <c r="H117" s="69" t="s">
        <v>10</v>
      </c>
      <c r="I117" s="16" t="s">
        <v>103</v>
      </c>
      <c r="J117" s="16" t="s">
        <v>773</v>
      </c>
      <c r="K117" s="3">
        <v>1566</v>
      </c>
      <c r="L117" s="5">
        <v>1548</v>
      </c>
      <c r="M117" s="5">
        <v>1550</v>
      </c>
      <c r="N117" s="5">
        <v>1551</v>
      </c>
      <c r="O117" s="5">
        <v>1550</v>
      </c>
      <c r="P117" s="30">
        <f>AVERAGE(M117:N117:O117)</f>
        <v>1550.3333333333333</v>
      </c>
      <c r="Q117" s="16">
        <v>5.5</v>
      </c>
      <c r="R117" s="16">
        <v>33</v>
      </c>
      <c r="S117" s="72" t="s">
        <v>5</v>
      </c>
      <c r="T117" s="11">
        <v>161.30000000000001</v>
      </c>
      <c r="U117" s="11">
        <v>61.2</v>
      </c>
      <c r="V117" s="10">
        <f t="shared" si="33"/>
        <v>100.10000000000001</v>
      </c>
      <c r="W117" s="11" t="s">
        <v>5</v>
      </c>
      <c r="X117" s="69">
        <v>58</v>
      </c>
      <c r="Y117" s="12">
        <f t="shared" si="35"/>
        <v>3.135132</v>
      </c>
      <c r="Z117" s="31">
        <v>8.5</v>
      </c>
      <c r="AA117" s="31">
        <v>8</v>
      </c>
      <c r="AB117" s="11">
        <v>83</v>
      </c>
      <c r="AC117" s="11">
        <v>73</v>
      </c>
      <c r="AD117" s="11" t="s">
        <v>6</v>
      </c>
      <c r="AE117" s="33" t="s">
        <v>455</v>
      </c>
      <c r="AF117" s="41" t="s">
        <v>508</v>
      </c>
    </row>
    <row r="118" spans="1:32" ht="31.5" x14ac:dyDescent="0.25">
      <c r="A118" s="1">
        <v>2249</v>
      </c>
      <c r="B118" s="2">
        <v>45900</v>
      </c>
      <c r="C118" s="1" t="s">
        <v>264</v>
      </c>
      <c r="D118" s="1" t="s">
        <v>1</v>
      </c>
      <c r="E118" s="87">
        <v>1</v>
      </c>
      <c r="F118" s="85">
        <v>12508036</v>
      </c>
      <c r="G118" s="16">
        <v>1260</v>
      </c>
      <c r="H118" s="69" t="s">
        <v>10</v>
      </c>
      <c r="I118" s="16" t="s">
        <v>261</v>
      </c>
      <c r="J118" s="16" t="s">
        <v>774</v>
      </c>
      <c r="K118" s="3">
        <v>1565</v>
      </c>
      <c r="L118" s="5">
        <v>1553</v>
      </c>
      <c r="M118" s="5">
        <v>1553</v>
      </c>
      <c r="N118" s="5">
        <v>1553</v>
      </c>
      <c r="O118" s="5">
        <v>1549</v>
      </c>
      <c r="P118" s="30">
        <f>AVERAGE(M118:N118:O118)</f>
        <v>1551.6666666666667</v>
      </c>
      <c r="Q118" s="16">
        <v>5</v>
      </c>
      <c r="R118" s="16">
        <v>35</v>
      </c>
      <c r="S118" s="72" t="s">
        <v>5</v>
      </c>
      <c r="T118" s="8">
        <v>172.11</v>
      </c>
      <c r="U118" s="8">
        <v>61.1</v>
      </c>
      <c r="V118" s="10">
        <f t="shared" si="33"/>
        <v>111.01000000000002</v>
      </c>
      <c r="W118" s="11" t="s">
        <v>5</v>
      </c>
      <c r="X118" s="69">
        <v>58</v>
      </c>
      <c r="Y118" s="12">
        <f t="shared" si="35"/>
        <v>2.85012</v>
      </c>
      <c r="Z118" s="31">
        <v>8.3000000000000007</v>
      </c>
      <c r="AA118" s="31">
        <v>8.4</v>
      </c>
      <c r="AB118" s="32">
        <v>73</v>
      </c>
      <c r="AC118" s="32">
        <v>75</v>
      </c>
      <c r="AD118" s="11" t="s">
        <v>6</v>
      </c>
      <c r="AE118" s="33" t="s">
        <v>455</v>
      </c>
      <c r="AF118" s="41" t="s">
        <v>775</v>
      </c>
    </row>
    <row r="119" spans="1:32" ht="47.25" x14ac:dyDescent="0.25">
      <c r="A119" s="1">
        <v>2250</v>
      </c>
      <c r="B119" s="2">
        <v>45900</v>
      </c>
      <c r="C119" s="1" t="s">
        <v>264</v>
      </c>
      <c r="D119" s="1" t="s">
        <v>1</v>
      </c>
      <c r="E119" s="87">
        <v>1</v>
      </c>
      <c r="F119" s="85">
        <v>12508036</v>
      </c>
      <c r="G119" s="16">
        <v>1260</v>
      </c>
      <c r="H119" s="69" t="s">
        <v>10</v>
      </c>
      <c r="I119" s="16" t="s">
        <v>83</v>
      </c>
      <c r="J119" s="16" t="s">
        <v>776</v>
      </c>
      <c r="K119" s="3">
        <v>1563</v>
      </c>
      <c r="L119" s="5">
        <v>1535</v>
      </c>
      <c r="M119" s="5">
        <v>1534</v>
      </c>
      <c r="N119" s="5">
        <v>1533</v>
      </c>
      <c r="O119" s="5">
        <v>1533</v>
      </c>
      <c r="P119" s="30">
        <f>AVERAGE(M119:N119:O119)</f>
        <v>1533.3333333333333</v>
      </c>
      <c r="Q119" s="16">
        <v>4.5</v>
      </c>
      <c r="R119" s="16">
        <v>26</v>
      </c>
      <c r="S119" s="72" t="s">
        <v>5</v>
      </c>
      <c r="T119" s="8">
        <v>164.3</v>
      </c>
      <c r="U119" s="8">
        <v>60</v>
      </c>
      <c r="V119" s="10">
        <f t="shared" si="33"/>
        <v>104.30000000000001</v>
      </c>
      <c r="W119" s="11" t="s">
        <v>5</v>
      </c>
      <c r="X119" s="69">
        <v>58</v>
      </c>
      <c r="Y119" s="12">
        <f t="shared" si="35"/>
        <v>2.5651079999999999</v>
      </c>
      <c r="Z119" s="18">
        <v>10.1</v>
      </c>
      <c r="AA119" s="18">
        <v>9.6999999999999993</v>
      </c>
      <c r="AB119" s="11">
        <v>84</v>
      </c>
      <c r="AC119" s="11">
        <v>82</v>
      </c>
      <c r="AD119" s="11" t="s">
        <v>777</v>
      </c>
      <c r="AE119" s="33" t="s">
        <v>7</v>
      </c>
      <c r="AF119" s="41" t="s">
        <v>778</v>
      </c>
    </row>
    <row r="120" spans="1:32" ht="15.75" x14ac:dyDescent="0.25">
      <c r="A120" s="1">
        <v>2266</v>
      </c>
      <c r="B120" s="2">
        <v>45900</v>
      </c>
      <c r="C120" s="1" t="s">
        <v>264</v>
      </c>
      <c r="D120" s="1" t="s">
        <v>1</v>
      </c>
      <c r="E120" s="1">
        <v>2</v>
      </c>
      <c r="F120" s="36">
        <v>22508032</v>
      </c>
      <c r="G120" s="83">
        <v>1260</v>
      </c>
      <c r="H120" s="16" t="s">
        <v>10</v>
      </c>
      <c r="I120" s="88" t="s">
        <v>148</v>
      </c>
      <c r="J120" s="16" t="s">
        <v>779</v>
      </c>
      <c r="K120" s="3">
        <v>1563</v>
      </c>
      <c r="L120" s="5">
        <v>1549</v>
      </c>
      <c r="M120" s="5">
        <v>1549</v>
      </c>
      <c r="N120" s="5">
        <v>1548</v>
      </c>
      <c r="O120" s="5">
        <v>1548</v>
      </c>
      <c r="P120" s="30">
        <f>AVERAGE(M120:N120:O120)</f>
        <v>1548.3333333333333</v>
      </c>
      <c r="Q120" s="67">
        <v>5.6</v>
      </c>
      <c r="R120" s="16">
        <v>34</v>
      </c>
      <c r="S120" s="72">
        <v>34</v>
      </c>
      <c r="T120" s="72">
        <v>176</v>
      </c>
      <c r="U120" s="72">
        <v>64.3</v>
      </c>
      <c r="V120" s="10">
        <f t="shared" si="33"/>
        <v>111.7</v>
      </c>
      <c r="W120" s="11">
        <v>17</v>
      </c>
      <c r="X120" s="69">
        <v>58</v>
      </c>
      <c r="Y120" s="12">
        <f t="shared" si="35"/>
        <v>3.1921343999999996</v>
      </c>
      <c r="Z120" s="31">
        <v>7.6</v>
      </c>
      <c r="AA120" s="31">
        <v>7</v>
      </c>
      <c r="AB120" s="32">
        <v>86</v>
      </c>
      <c r="AC120" s="32">
        <v>78</v>
      </c>
      <c r="AD120" s="11" t="s">
        <v>6</v>
      </c>
      <c r="AE120" s="33" t="s">
        <v>53</v>
      </c>
      <c r="AF120" s="41" t="s">
        <v>503</v>
      </c>
    </row>
  </sheetData>
  <mergeCells count="26">
    <mergeCell ref="AE1:AE2"/>
    <mergeCell ref="AF1:AF2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4">
    <cfRule type="cellIs" dxfId="514" priority="53" stopIfTrue="1" operator="greaterThanOrEqual">
      <formula>1565</formula>
    </cfRule>
    <cfRule type="cellIs" dxfId="515" priority="54" stopIfTrue="1" operator="lessThanOrEqual">
      <formula>1545</formula>
    </cfRule>
  </conditionalFormatting>
  <conditionalFormatting sqref="L5:P10">
    <cfRule type="cellIs" dxfId="512" priority="51" stopIfTrue="1" operator="greaterThanOrEqual">
      <formula>1565</formula>
    </cfRule>
    <cfRule type="cellIs" dxfId="513" priority="52" stopIfTrue="1" operator="lessThanOrEqual">
      <formula>1545</formula>
    </cfRule>
  </conditionalFormatting>
  <conditionalFormatting sqref="L13:P14 L12:O12 L11 P11:P12">
    <cfRule type="cellIs" dxfId="510" priority="49" stopIfTrue="1" operator="greaterThanOrEqual">
      <formula>1565</formula>
    </cfRule>
    <cfRule type="cellIs" dxfId="511" priority="50" stopIfTrue="1" operator="lessThanOrEqual">
      <formula>1545</formula>
    </cfRule>
  </conditionalFormatting>
  <conditionalFormatting sqref="L15:P20">
    <cfRule type="cellIs" dxfId="508" priority="47" stopIfTrue="1" operator="greaterThanOrEqual">
      <formula>1565</formula>
    </cfRule>
    <cfRule type="cellIs" dxfId="509" priority="48" stopIfTrue="1" operator="lessThanOrEqual">
      <formula>1545</formula>
    </cfRule>
  </conditionalFormatting>
  <conditionalFormatting sqref="L21:P30">
    <cfRule type="cellIs" dxfId="506" priority="45" stopIfTrue="1" operator="greaterThanOrEqual">
      <formula>1565</formula>
    </cfRule>
    <cfRule type="cellIs" dxfId="507" priority="46" stopIfTrue="1" operator="lessThanOrEqual">
      <formula>1545</formula>
    </cfRule>
  </conditionalFormatting>
  <conditionalFormatting sqref="L31:P31">
    <cfRule type="cellIs" dxfId="504" priority="43" stopIfTrue="1" operator="greaterThanOrEqual">
      <formula>1565</formula>
    </cfRule>
    <cfRule type="cellIs" dxfId="505" priority="44" stopIfTrue="1" operator="lessThanOrEqual">
      <formula>1545</formula>
    </cfRule>
  </conditionalFormatting>
  <conditionalFormatting sqref="L32:P33">
    <cfRule type="cellIs" dxfId="502" priority="41" stopIfTrue="1" operator="greaterThanOrEqual">
      <formula>1565</formula>
    </cfRule>
    <cfRule type="cellIs" dxfId="503" priority="42" stopIfTrue="1" operator="lessThanOrEqual">
      <formula>1545</formula>
    </cfRule>
  </conditionalFormatting>
  <conditionalFormatting sqref="L34:P35">
    <cfRule type="cellIs" dxfId="500" priority="39" stopIfTrue="1" operator="greaterThanOrEqual">
      <formula>1565</formula>
    </cfRule>
    <cfRule type="cellIs" dxfId="501" priority="40" stopIfTrue="1" operator="lessThanOrEqual">
      <formula>1545</formula>
    </cfRule>
  </conditionalFormatting>
  <conditionalFormatting sqref="L37:P40 L36 P36">
    <cfRule type="cellIs" dxfId="499" priority="37" stopIfTrue="1" operator="greaterThanOrEqual">
      <formula>1565</formula>
    </cfRule>
    <cfRule type="cellIs" dxfId="498" priority="38" stopIfTrue="1" operator="lessThanOrEqual">
      <formula>1545</formula>
    </cfRule>
  </conditionalFormatting>
  <conditionalFormatting sqref="L41:P44">
    <cfRule type="cellIs" dxfId="496" priority="35" stopIfTrue="1" operator="greaterThanOrEqual">
      <formula>1565</formula>
    </cfRule>
    <cfRule type="cellIs" dxfId="497" priority="36" stopIfTrue="1" operator="lessThanOrEqual">
      <formula>1545</formula>
    </cfRule>
  </conditionalFormatting>
  <conditionalFormatting sqref="L45:P46">
    <cfRule type="cellIs" dxfId="494" priority="33" stopIfTrue="1" operator="greaterThanOrEqual">
      <formula>1565</formula>
    </cfRule>
    <cfRule type="cellIs" dxfId="495" priority="34" stopIfTrue="1" operator="lessThanOrEqual">
      <formula>1545</formula>
    </cfRule>
  </conditionalFormatting>
  <conditionalFormatting sqref="L47:P49">
    <cfRule type="cellIs" dxfId="493" priority="31" stopIfTrue="1" operator="greaterThanOrEqual">
      <formula>1565</formula>
    </cfRule>
    <cfRule type="cellIs" dxfId="492" priority="32" stopIfTrue="1" operator="lessThanOrEqual">
      <formula>1545</formula>
    </cfRule>
  </conditionalFormatting>
  <conditionalFormatting sqref="L50:P60">
    <cfRule type="cellIs" dxfId="490" priority="29" stopIfTrue="1" operator="greaterThanOrEqual">
      <formula>1565</formula>
    </cfRule>
    <cfRule type="cellIs" dxfId="491" priority="30" stopIfTrue="1" operator="lessThanOrEqual">
      <formula>1545</formula>
    </cfRule>
  </conditionalFormatting>
  <conditionalFormatting sqref="L61:P61">
    <cfRule type="cellIs" dxfId="488" priority="27" stopIfTrue="1" operator="greaterThanOrEqual">
      <formula>1565</formula>
    </cfRule>
    <cfRule type="cellIs" dxfId="489" priority="28" stopIfTrue="1" operator="lessThanOrEqual">
      <formula>1545</formula>
    </cfRule>
  </conditionalFormatting>
  <conditionalFormatting sqref="L62:P63">
    <cfRule type="cellIs" dxfId="486" priority="25" stopIfTrue="1" operator="greaterThanOrEqual">
      <formula>1565</formula>
    </cfRule>
    <cfRule type="cellIs" dxfId="487" priority="26" stopIfTrue="1" operator="lessThanOrEqual">
      <formula>1545</formula>
    </cfRule>
  </conditionalFormatting>
  <conditionalFormatting sqref="L64:P65">
    <cfRule type="cellIs" dxfId="485" priority="23" stopIfTrue="1" operator="greaterThanOrEqual">
      <formula>1565</formula>
    </cfRule>
    <cfRule type="cellIs" dxfId="484" priority="24" stopIfTrue="1" operator="lessThanOrEqual">
      <formula>1545</formula>
    </cfRule>
  </conditionalFormatting>
  <conditionalFormatting sqref="L66:P68">
    <cfRule type="cellIs" dxfId="482" priority="21" stopIfTrue="1" operator="greaterThanOrEqual">
      <formula>1565</formula>
    </cfRule>
    <cfRule type="cellIs" dxfId="483" priority="22" stopIfTrue="1" operator="lessThanOrEqual">
      <formula>1545</formula>
    </cfRule>
  </conditionalFormatting>
  <conditionalFormatting sqref="L69:P70">
    <cfRule type="cellIs" dxfId="480" priority="19" stopIfTrue="1" operator="greaterThanOrEqual">
      <formula>1565</formula>
    </cfRule>
    <cfRule type="cellIs" dxfId="481" priority="20" stopIfTrue="1" operator="lessThanOrEqual">
      <formula>1545</formula>
    </cfRule>
  </conditionalFormatting>
  <conditionalFormatting sqref="L71:P74">
    <cfRule type="cellIs" dxfId="478" priority="17" stopIfTrue="1" operator="greaterThanOrEqual">
      <formula>1565</formula>
    </cfRule>
    <cfRule type="cellIs" dxfId="479" priority="18" stopIfTrue="1" operator="lessThanOrEqual">
      <formula>1545</formula>
    </cfRule>
  </conditionalFormatting>
  <conditionalFormatting sqref="L75:P78">
    <cfRule type="cellIs" dxfId="476" priority="15" stopIfTrue="1" operator="greaterThanOrEqual">
      <formula>1565</formula>
    </cfRule>
    <cfRule type="cellIs" dxfId="477" priority="16" stopIfTrue="1" operator="lessThanOrEqual">
      <formula>1545</formula>
    </cfRule>
  </conditionalFormatting>
  <conditionalFormatting sqref="L79:P79">
    <cfRule type="cellIs" dxfId="474" priority="13" stopIfTrue="1" operator="greaterThanOrEqual">
      <formula>1565</formula>
    </cfRule>
    <cfRule type="cellIs" dxfId="475" priority="14" stopIfTrue="1" operator="lessThanOrEqual">
      <formula>1545</formula>
    </cfRule>
  </conditionalFormatting>
  <conditionalFormatting sqref="L80:P86">
    <cfRule type="cellIs" dxfId="472" priority="11" stopIfTrue="1" operator="greaterThanOrEqual">
      <formula>1565</formula>
    </cfRule>
    <cfRule type="cellIs" dxfId="473" priority="12" stopIfTrue="1" operator="lessThanOrEqual">
      <formula>1545</formula>
    </cfRule>
  </conditionalFormatting>
  <conditionalFormatting sqref="L87:P87">
    <cfRule type="cellIs" dxfId="470" priority="9" stopIfTrue="1" operator="greaterThanOrEqual">
      <formula>1565</formula>
    </cfRule>
    <cfRule type="cellIs" dxfId="471" priority="10" stopIfTrue="1" operator="lessThanOrEqual">
      <formula>1545</formula>
    </cfRule>
  </conditionalFormatting>
  <conditionalFormatting sqref="L88:P92">
    <cfRule type="cellIs" dxfId="468" priority="7" stopIfTrue="1" operator="greaterThanOrEqual">
      <formula>1565</formula>
    </cfRule>
    <cfRule type="cellIs" dxfId="469" priority="8" stopIfTrue="1" operator="lessThanOrEqual">
      <formula>1545</formula>
    </cfRule>
  </conditionalFormatting>
  <conditionalFormatting sqref="L93:P96">
    <cfRule type="cellIs" dxfId="467" priority="5" stopIfTrue="1" operator="greaterThanOrEqual">
      <formula>1565</formula>
    </cfRule>
    <cfRule type="cellIs" dxfId="466" priority="6" stopIfTrue="1" operator="lessThanOrEqual">
      <formula>1545</formula>
    </cfRule>
  </conditionalFormatting>
  <conditionalFormatting sqref="L97:P97">
    <cfRule type="cellIs" dxfId="464" priority="3" stopIfTrue="1" operator="greaterThanOrEqual">
      <formula>1565</formula>
    </cfRule>
    <cfRule type="cellIs" dxfId="465" priority="4" stopIfTrue="1" operator="lessThanOrEqual">
      <formula>1545</formula>
    </cfRule>
  </conditionalFormatting>
  <conditionalFormatting sqref="Q120 L98:P120">
    <cfRule type="cellIs" dxfId="463" priority="1" stopIfTrue="1" operator="greaterThanOrEqual">
      <formula>1565</formula>
    </cfRule>
    <cfRule type="cellIs" dxfId="462" priority="2" stopIfTrue="1" operator="lessThanOrEqual">
      <formula>1545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A938-F850-4091-A0D9-2E76B0291477}">
  <dimension ref="A1:AF137"/>
  <sheetViews>
    <sheetView topLeftCell="A115" workbookViewId="0">
      <selection activeCell="A131" sqref="A131:AF137"/>
    </sheetView>
  </sheetViews>
  <sheetFormatPr defaultColWidth="9.140625" defaultRowHeight="15" x14ac:dyDescent="0.25"/>
  <cols>
    <col min="1" max="1" width="10.85546875" customWidth="1"/>
    <col min="2" max="2" width="22.285156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0" customHeight="1" x14ac:dyDescent="0.2">
      <c r="A1" s="20" t="s">
        <v>785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0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s="60" customFormat="1" ht="30" customHeight="1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90" t="s">
        <v>780</v>
      </c>
      <c r="M3" s="90" t="s">
        <v>781</v>
      </c>
      <c r="N3" s="90" t="s">
        <v>782</v>
      </c>
      <c r="O3" s="90" t="s">
        <v>783</v>
      </c>
      <c r="P3" s="91" t="s">
        <v>784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31.5" x14ac:dyDescent="0.25">
      <c r="A4" s="1">
        <v>1</v>
      </c>
      <c r="B4" s="2">
        <v>45901</v>
      </c>
      <c r="C4" s="1" t="s">
        <v>18</v>
      </c>
      <c r="D4" s="1" t="s">
        <v>276</v>
      </c>
      <c r="E4" s="1">
        <v>1</v>
      </c>
      <c r="F4" s="16">
        <v>12509001</v>
      </c>
      <c r="G4" s="16">
        <v>1260</v>
      </c>
      <c r="H4" s="16" t="s">
        <v>10</v>
      </c>
      <c r="I4" s="16" t="s">
        <v>98</v>
      </c>
      <c r="J4" s="74" t="s">
        <v>786</v>
      </c>
      <c r="K4" s="3">
        <v>1600</v>
      </c>
      <c r="L4" s="5">
        <v>1574</v>
      </c>
      <c r="M4" s="5">
        <v>1571</v>
      </c>
      <c r="N4" s="5">
        <v>1575</v>
      </c>
      <c r="O4" s="5">
        <v>1576</v>
      </c>
      <c r="P4" s="30">
        <v>1574</v>
      </c>
      <c r="Q4" s="16">
        <v>3.6</v>
      </c>
      <c r="R4" s="16">
        <v>44</v>
      </c>
      <c r="S4" s="72" t="s">
        <v>5</v>
      </c>
      <c r="T4" s="11">
        <v>158.80000000000001</v>
      </c>
      <c r="U4" s="11">
        <v>60</v>
      </c>
      <c r="V4" s="10">
        <v>98.800000000000011</v>
      </c>
      <c r="W4" s="11" t="s">
        <v>100</v>
      </c>
      <c r="X4" s="69">
        <v>58</v>
      </c>
      <c r="Y4" s="12">
        <v>2.0783952000000001</v>
      </c>
      <c r="Z4" s="11">
        <v>8.5</v>
      </c>
      <c r="AA4" s="11">
        <v>8.1</v>
      </c>
      <c r="AB4" s="11">
        <v>76</v>
      </c>
      <c r="AC4" s="11">
        <v>71</v>
      </c>
      <c r="AD4" s="11" t="s">
        <v>6</v>
      </c>
      <c r="AE4" s="33" t="s">
        <v>72</v>
      </c>
      <c r="AF4" s="41" t="s">
        <v>787</v>
      </c>
    </row>
    <row r="5" spans="1:32" ht="15.75" x14ac:dyDescent="0.25">
      <c r="A5" s="1">
        <v>2</v>
      </c>
      <c r="B5" s="2">
        <v>45901</v>
      </c>
      <c r="C5" s="1" t="s">
        <v>18</v>
      </c>
      <c r="D5" s="1" t="s">
        <v>276</v>
      </c>
      <c r="E5" s="1">
        <v>1</v>
      </c>
      <c r="F5" s="16">
        <v>12509001</v>
      </c>
      <c r="G5" s="16">
        <v>1260</v>
      </c>
      <c r="H5" s="16" t="s">
        <v>10</v>
      </c>
      <c r="I5" s="16" t="s">
        <v>86</v>
      </c>
      <c r="J5" s="16" t="s">
        <v>788</v>
      </c>
      <c r="K5" s="3">
        <v>1568</v>
      </c>
      <c r="L5" s="5">
        <v>1541</v>
      </c>
      <c r="M5" s="73">
        <v>1537</v>
      </c>
      <c r="N5" s="73">
        <v>1538</v>
      </c>
      <c r="O5" s="73">
        <v>1539</v>
      </c>
      <c r="P5" s="30">
        <v>1538</v>
      </c>
      <c r="Q5" s="16">
        <v>4.5</v>
      </c>
      <c r="R5" s="16">
        <v>40</v>
      </c>
      <c r="S5" s="72" t="s">
        <v>5</v>
      </c>
      <c r="T5" s="9">
        <v>169.6</v>
      </c>
      <c r="U5" s="9">
        <v>65.599999999999994</v>
      </c>
      <c r="V5" s="10">
        <v>104</v>
      </c>
      <c r="W5" s="11" t="s">
        <v>5</v>
      </c>
      <c r="X5" s="69">
        <v>58</v>
      </c>
      <c r="Y5" s="12">
        <v>2.5979940000000004</v>
      </c>
      <c r="Z5" s="31">
        <v>9.6</v>
      </c>
      <c r="AA5" s="32">
        <v>10</v>
      </c>
      <c r="AB5" s="32">
        <v>74</v>
      </c>
      <c r="AC5" s="32">
        <v>80</v>
      </c>
      <c r="AD5" s="11" t="s">
        <v>6</v>
      </c>
      <c r="AE5" s="33" t="s">
        <v>72</v>
      </c>
      <c r="AF5" s="41" t="s">
        <v>397</v>
      </c>
    </row>
    <row r="6" spans="1:32" ht="15.75" x14ac:dyDescent="0.25">
      <c r="A6" s="1">
        <v>3</v>
      </c>
      <c r="B6" s="2">
        <v>45901</v>
      </c>
      <c r="C6" s="1" t="s">
        <v>18</v>
      </c>
      <c r="D6" s="1" t="s">
        <v>276</v>
      </c>
      <c r="E6" s="1">
        <v>1</v>
      </c>
      <c r="F6" s="16">
        <v>12509001</v>
      </c>
      <c r="G6" s="16">
        <v>1260</v>
      </c>
      <c r="H6" s="16" t="s">
        <v>10</v>
      </c>
      <c r="I6" s="16" t="s">
        <v>77</v>
      </c>
      <c r="J6" s="16" t="s">
        <v>789</v>
      </c>
      <c r="K6" s="3">
        <v>1570</v>
      </c>
      <c r="L6" s="5">
        <v>1550</v>
      </c>
      <c r="M6" s="5">
        <v>1550</v>
      </c>
      <c r="N6" s="5">
        <v>1549</v>
      </c>
      <c r="O6" s="5" t="s">
        <v>5</v>
      </c>
      <c r="P6" s="30">
        <v>1549.5</v>
      </c>
      <c r="Q6" s="16">
        <v>4.5</v>
      </c>
      <c r="R6" s="16">
        <v>38</v>
      </c>
      <c r="S6" s="72" t="s">
        <v>5</v>
      </c>
      <c r="T6" s="8">
        <v>165</v>
      </c>
      <c r="U6" s="8">
        <v>66</v>
      </c>
      <c r="V6" s="10">
        <v>99</v>
      </c>
      <c r="W6" s="11" t="s">
        <v>5</v>
      </c>
      <c r="X6" s="69">
        <v>58</v>
      </c>
      <c r="Y6" s="12">
        <v>2.5979940000000004</v>
      </c>
      <c r="Z6" s="46">
        <v>8.6</v>
      </c>
      <c r="AA6" s="31">
        <v>7.7</v>
      </c>
      <c r="AB6" s="32">
        <v>80</v>
      </c>
      <c r="AC6" s="32">
        <v>73</v>
      </c>
      <c r="AD6" s="11" t="s">
        <v>6</v>
      </c>
      <c r="AE6" s="33" t="s">
        <v>72</v>
      </c>
      <c r="AF6" s="41" t="s">
        <v>418</v>
      </c>
    </row>
    <row r="7" spans="1:32" ht="15.75" x14ac:dyDescent="0.25">
      <c r="A7" s="1">
        <v>4</v>
      </c>
      <c r="B7" s="2">
        <v>45901</v>
      </c>
      <c r="C7" s="1" t="s">
        <v>18</v>
      </c>
      <c r="D7" s="1" t="s">
        <v>276</v>
      </c>
      <c r="E7" s="1">
        <v>1</v>
      </c>
      <c r="F7" s="16">
        <v>12509001</v>
      </c>
      <c r="G7" s="16">
        <v>1260</v>
      </c>
      <c r="H7" s="16" t="s">
        <v>10</v>
      </c>
      <c r="I7" s="16" t="s">
        <v>194</v>
      </c>
      <c r="J7" s="16" t="s">
        <v>790</v>
      </c>
      <c r="K7" s="3">
        <v>1568</v>
      </c>
      <c r="L7" s="5">
        <v>1550</v>
      </c>
      <c r="M7" s="5">
        <v>1547</v>
      </c>
      <c r="N7" s="5">
        <v>1548</v>
      </c>
      <c r="O7" s="5" t="s">
        <v>5</v>
      </c>
      <c r="P7" s="30">
        <v>1547.5</v>
      </c>
      <c r="Q7" s="16">
        <v>4</v>
      </c>
      <c r="R7" s="16">
        <v>38</v>
      </c>
      <c r="S7" s="72" t="s">
        <v>5</v>
      </c>
      <c r="T7" s="9">
        <v>154</v>
      </c>
      <c r="U7" s="9">
        <v>60</v>
      </c>
      <c r="V7" s="10">
        <v>94</v>
      </c>
      <c r="W7" s="11" t="s">
        <v>5</v>
      </c>
      <c r="X7" s="69">
        <v>58</v>
      </c>
      <c r="Y7" s="12">
        <v>2.3093280000000003</v>
      </c>
      <c r="Z7" s="31">
        <v>9.4</v>
      </c>
      <c r="AA7" s="31">
        <v>9.6999999999999993</v>
      </c>
      <c r="AB7" s="32">
        <v>80</v>
      </c>
      <c r="AC7" s="32">
        <v>83</v>
      </c>
      <c r="AD7" s="11" t="s">
        <v>6</v>
      </c>
      <c r="AE7" s="33" t="s">
        <v>72</v>
      </c>
      <c r="AF7" s="41" t="s">
        <v>791</v>
      </c>
    </row>
    <row r="8" spans="1:32" ht="31.5" x14ac:dyDescent="0.25">
      <c r="A8" s="1">
        <v>28</v>
      </c>
      <c r="B8" s="2">
        <v>45901</v>
      </c>
      <c r="C8" s="1" t="s">
        <v>264</v>
      </c>
      <c r="D8" s="1" t="s">
        <v>1</v>
      </c>
      <c r="E8" s="1">
        <v>1</v>
      </c>
      <c r="F8" s="16">
        <v>12509001</v>
      </c>
      <c r="G8" s="16">
        <v>1260</v>
      </c>
      <c r="H8" s="16" t="s">
        <v>10</v>
      </c>
      <c r="I8" s="16" t="s">
        <v>315</v>
      </c>
      <c r="J8" s="3" t="s">
        <v>792</v>
      </c>
      <c r="K8" s="3">
        <v>1567</v>
      </c>
      <c r="L8" s="5">
        <v>1543</v>
      </c>
      <c r="M8" s="5">
        <v>1542</v>
      </c>
      <c r="N8" s="5">
        <v>1542</v>
      </c>
      <c r="O8" s="5" t="s">
        <v>5</v>
      </c>
      <c r="P8" s="30">
        <v>1542</v>
      </c>
      <c r="Q8" s="70">
        <v>5</v>
      </c>
      <c r="R8" s="71">
        <v>36</v>
      </c>
      <c r="S8" s="72" t="s">
        <v>5</v>
      </c>
      <c r="T8" s="11">
        <v>166.8</v>
      </c>
      <c r="U8" s="11">
        <v>64.5</v>
      </c>
      <c r="V8" s="10">
        <v>102.30000000000001</v>
      </c>
      <c r="W8" s="11" t="s">
        <v>5</v>
      </c>
      <c r="X8" s="69">
        <v>57</v>
      </c>
      <c r="Y8" s="12">
        <v>2.8368900000000004</v>
      </c>
      <c r="Z8" s="31">
        <v>9.6999999999999993</v>
      </c>
      <c r="AA8" s="31">
        <v>10.9</v>
      </c>
      <c r="AB8" s="11">
        <v>81</v>
      </c>
      <c r="AC8" s="11">
        <v>91</v>
      </c>
      <c r="AD8" s="11" t="s">
        <v>6</v>
      </c>
      <c r="AE8" s="33" t="s">
        <v>455</v>
      </c>
      <c r="AF8" s="14" t="s">
        <v>793</v>
      </c>
    </row>
    <row r="9" spans="1:32" ht="31.5" x14ac:dyDescent="0.25">
      <c r="A9" s="1">
        <v>37</v>
      </c>
      <c r="B9" s="2">
        <v>45901</v>
      </c>
      <c r="C9" s="1" t="s">
        <v>264</v>
      </c>
      <c r="D9" s="1" t="s">
        <v>1</v>
      </c>
      <c r="E9" s="1">
        <v>1</v>
      </c>
      <c r="F9" s="16">
        <v>12509001</v>
      </c>
      <c r="G9" s="16">
        <v>1230</v>
      </c>
      <c r="H9" s="16" t="s">
        <v>10</v>
      </c>
      <c r="I9" s="16" t="s">
        <v>80</v>
      </c>
      <c r="J9" s="16" t="s">
        <v>794</v>
      </c>
      <c r="K9" s="3">
        <v>1566</v>
      </c>
      <c r="L9" s="5">
        <v>1544</v>
      </c>
      <c r="M9" s="5">
        <v>1544</v>
      </c>
      <c r="N9" s="5">
        <v>1541</v>
      </c>
      <c r="O9" s="5">
        <v>1539</v>
      </c>
      <c r="P9" s="30">
        <v>1541.3333333333333</v>
      </c>
      <c r="Q9" s="67">
        <v>5.4</v>
      </c>
      <c r="R9" s="67">
        <v>34</v>
      </c>
      <c r="S9" s="68" t="s">
        <v>5</v>
      </c>
      <c r="T9" s="9">
        <v>158.30000000000001</v>
      </c>
      <c r="U9" s="9">
        <v>61</v>
      </c>
      <c r="V9" s="10">
        <v>97.300000000000011</v>
      </c>
      <c r="W9" s="11" t="s">
        <v>5</v>
      </c>
      <c r="X9" s="69">
        <v>57</v>
      </c>
      <c r="Y9" s="12">
        <v>2.9908926000000005</v>
      </c>
      <c r="Z9" s="31">
        <v>10.5</v>
      </c>
      <c r="AA9" s="31">
        <v>10.9</v>
      </c>
      <c r="AB9" s="32">
        <v>84</v>
      </c>
      <c r="AC9" s="32">
        <v>87</v>
      </c>
      <c r="AD9" s="11" t="s">
        <v>6</v>
      </c>
      <c r="AE9" s="33" t="s">
        <v>455</v>
      </c>
      <c r="AF9" s="14" t="s">
        <v>795</v>
      </c>
    </row>
    <row r="10" spans="1:32" ht="15.75" x14ac:dyDescent="0.25">
      <c r="A10" s="1">
        <v>60</v>
      </c>
      <c r="B10" s="2">
        <v>45901</v>
      </c>
      <c r="C10" s="1" t="s">
        <v>0</v>
      </c>
      <c r="D10" s="1" t="s">
        <v>265</v>
      </c>
      <c r="E10" s="1">
        <v>1</v>
      </c>
      <c r="F10" s="16">
        <v>12509001</v>
      </c>
      <c r="G10" s="16">
        <v>1230</v>
      </c>
      <c r="H10" s="16" t="s">
        <v>10</v>
      </c>
      <c r="I10" s="16" t="s">
        <v>269</v>
      </c>
      <c r="J10" s="16" t="s">
        <v>796</v>
      </c>
      <c r="K10" s="9">
        <v>1570</v>
      </c>
      <c r="L10" s="5">
        <v>1545</v>
      </c>
      <c r="M10" s="5">
        <v>1543</v>
      </c>
      <c r="N10" s="5">
        <v>1544</v>
      </c>
      <c r="O10" s="5">
        <v>1544</v>
      </c>
      <c r="P10" s="30">
        <v>1543.6666666666667</v>
      </c>
      <c r="Q10" s="69">
        <v>4.8</v>
      </c>
      <c r="R10" s="69">
        <v>31</v>
      </c>
      <c r="S10" s="8" t="s">
        <v>5</v>
      </c>
      <c r="T10" s="9">
        <v>153</v>
      </c>
      <c r="U10" s="9">
        <v>65</v>
      </c>
      <c r="V10" s="10">
        <v>88</v>
      </c>
      <c r="W10" s="11" t="s">
        <v>5</v>
      </c>
      <c r="X10" s="69">
        <v>57</v>
      </c>
      <c r="Y10" s="12">
        <v>2.7234144000000002</v>
      </c>
      <c r="Z10" s="31">
        <v>10</v>
      </c>
      <c r="AA10" s="31">
        <v>10.199999999999999</v>
      </c>
      <c r="AB10" s="32">
        <v>79</v>
      </c>
      <c r="AC10" s="32">
        <v>87</v>
      </c>
      <c r="AD10" s="11" t="s">
        <v>6</v>
      </c>
      <c r="AE10" s="33" t="s">
        <v>455</v>
      </c>
      <c r="AF10" s="14" t="s">
        <v>797</v>
      </c>
    </row>
    <row r="11" spans="1:32" ht="31.5" x14ac:dyDescent="0.25">
      <c r="A11" s="1">
        <v>63</v>
      </c>
      <c r="B11" s="2">
        <v>45901</v>
      </c>
      <c r="C11" s="1" t="s">
        <v>0</v>
      </c>
      <c r="D11" s="1" t="s">
        <v>265</v>
      </c>
      <c r="E11" s="1">
        <v>1</v>
      </c>
      <c r="F11" s="16">
        <v>12509001</v>
      </c>
      <c r="G11" s="16">
        <v>1230</v>
      </c>
      <c r="H11" s="16" t="s">
        <v>10</v>
      </c>
      <c r="I11" s="16" t="s">
        <v>416</v>
      </c>
      <c r="J11" s="16" t="s">
        <v>798</v>
      </c>
      <c r="K11" s="4">
        <v>1572</v>
      </c>
      <c r="L11" s="5">
        <v>1548</v>
      </c>
      <c r="M11" s="5">
        <v>1549</v>
      </c>
      <c r="N11" s="5">
        <v>1549</v>
      </c>
      <c r="O11" s="5">
        <v>1545</v>
      </c>
      <c r="P11" s="30">
        <v>1547.6666666666667</v>
      </c>
      <c r="Q11" s="69">
        <v>4.8</v>
      </c>
      <c r="R11" s="69">
        <v>41</v>
      </c>
      <c r="S11" s="8">
        <v>26</v>
      </c>
      <c r="T11" s="9">
        <v>170</v>
      </c>
      <c r="U11" s="9">
        <v>60</v>
      </c>
      <c r="V11" s="10">
        <v>110</v>
      </c>
      <c r="W11" s="11" t="s">
        <v>5</v>
      </c>
      <c r="X11" s="69">
        <v>57</v>
      </c>
      <c r="Y11" s="12">
        <v>2.6585712000000004</v>
      </c>
      <c r="Z11" s="7">
        <v>10.3</v>
      </c>
      <c r="AA11" s="7">
        <v>10.7</v>
      </c>
      <c r="AB11" s="13">
        <v>87</v>
      </c>
      <c r="AC11" s="13">
        <v>91</v>
      </c>
      <c r="AD11" s="11" t="s">
        <v>6</v>
      </c>
      <c r="AE11" s="33" t="s">
        <v>7</v>
      </c>
      <c r="AF11" s="14" t="s">
        <v>799</v>
      </c>
    </row>
    <row r="12" spans="1:32" ht="31.5" x14ac:dyDescent="0.25">
      <c r="A12" s="1">
        <v>116</v>
      </c>
      <c r="B12" s="2">
        <v>45902</v>
      </c>
      <c r="C12" s="1" t="s">
        <v>264</v>
      </c>
      <c r="D12" s="1" t="s">
        <v>1</v>
      </c>
      <c r="E12" s="1">
        <v>1</v>
      </c>
      <c r="F12" s="16">
        <v>12509002</v>
      </c>
      <c r="G12" s="16">
        <v>1230</v>
      </c>
      <c r="H12" s="16" t="s">
        <v>176</v>
      </c>
      <c r="I12" s="16" t="s">
        <v>182</v>
      </c>
      <c r="J12" s="16" t="s">
        <v>800</v>
      </c>
      <c r="K12" s="5">
        <v>1568</v>
      </c>
      <c r="L12" s="5">
        <v>1546</v>
      </c>
      <c r="M12" s="5">
        <v>1545</v>
      </c>
      <c r="N12" s="5">
        <v>1546</v>
      </c>
      <c r="O12" s="5">
        <v>1546</v>
      </c>
      <c r="P12" s="30">
        <v>1545.6666666666667</v>
      </c>
      <c r="Q12" s="67">
        <v>5</v>
      </c>
      <c r="R12" s="67">
        <v>32</v>
      </c>
      <c r="S12" s="68" t="s">
        <v>5</v>
      </c>
      <c r="T12" s="72">
        <v>160.4</v>
      </c>
      <c r="U12" s="72">
        <v>60</v>
      </c>
      <c r="V12" s="72">
        <v>100.4</v>
      </c>
      <c r="W12" s="11" t="s">
        <v>5</v>
      </c>
      <c r="X12" s="69">
        <v>57</v>
      </c>
      <c r="Y12" s="12">
        <v>2.7693450000000004</v>
      </c>
      <c r="Z12" s="18">
        <v>8.6999999999999993</v>
      </c>
      <c r="AA12" s="18">
        <v>7.6</v>
      </c>
      <c r="AB12" s="19">
        <v>75</v>
      </c>
      <c r="AC12" s="19">
        <v>66</v>
      </c>
      <c r="AD12" s="11" t="s">
        <v>6</v>
      </c>
      <c r="AE12" s="33" t="s">
        <v>455</v>
      </c>
      <c r="AF12" s="14" t="s">
        <v>801</v>
      </c>
    </row>
    <row r="13" spans="1:32" ht="31.5" x14ac:dyDescent="0.25">
      <c r="A13" s="1">
        <v>128</v>
      </c>
      <c r="B13" s="2">
        <v>45902</v>
      </c>
      <c r="C13" s="1" t="s">
        <v>264</v>
      </c>
      <c r="D13" s="1" t="s">
        <v>1</v>
      </c>
      <c r="E13" s="1">
        <v>2</v>
      </c>
      <c r="F13" s="16">
        <v>22509002</v>
      </c>
      <c r="G13" s="16">
        <v>1250</v>
      </c>
      <c r="H13" s="16" t="s">
        <v>215</v>
      </c>
      <c r="I13" s="16" t="s">
        <v>74</v>
      </c>
      <c r="J13" s="16" t="s">
        <v>802</v>
      </c>
      <c r="K13" s="3">
        <v>1565</v>
      </c>
      <c r="L13" s="5">
        <v>1537</v>
      </c>
      <c r="M13" s="5">
        <v>1536</v>
      </c>
      <c r="N13" s="5">
        <v>1534</v>
      </c>
      <c r="O13" s="5">
        <v>1533</v>
      </c>
      <c r="P13" s="30">
        <v>1534.3333333333333</v>
      </c>
      <c r="Q13" s="67">
        <v>5</v>
      </c>
      <c r="R13" s="67">
        <v>35</v>
      </c>
      <c r="S13" s="68">
        <v>30</v>
      </c>
      <c r="T13" s="11">
        <v>165.8</v>
      </c>
      <c r="U13" s="11">
        <v>63.5</v>
      </c>
      <c r="V13" s="10">
        <v>102.30000000000001</v>
      </c>
      <c r="W13" s="11" t="s">
        <v>5</v>
      </c>
      <c r="X13" s="16">
        <v>58</v>
      </c>
      <c r="Y13" s="12">
        <v>2.86375</v>
      </c>
      <c r="Z13" s="31">
        <v>9</v>
      </c>
      <c r="AA13" s="31">
        <v>8.8000000000000007</v>
      </c>
      <c r="AB13" s="32">
        <v>88</v>
      </c>
      <c r="AC13" s="32">
        <v>87</v>
      </c>
      <c r="AD13" s="8" t="s">
        <v>6</v>
      </c>
      <c r="AE13" s="33" t="s">
        <v>7</v>
      </c>
      <c r="AF13" s="14" t="s">
        <v>803</v>
      </c>
    </row>
    <row r="14" spans="1:32" ht="15.75" x14ac:dyDescent="0.25">
      <c r="A14" s="1">
        <v>139</v>
      </c>
      <c r="B14" s="2">
        <v>45902</v>
      </c>
      <c r="C14" s="1" t="s">
        <v>0</v>
      </c>
      <c r="D14" s="1" t="s">
        <v>265</v>
      </c>
      <c r="E14" s="1">
        <v>2</v>
      </c>
      <c r="F14" s="16">
        <v>22509002</v>
      </c>
      <c r="G14" s="16">
        <v>1250</v>
      </c>
      <c r="H14" s="16" t="s">
        <v>176</v>
      </c>
      <c r="I14" s="16" t="s">
        <v>122</v>
      </c>
      <c r="J14" s="16" t="s">
        <v>804</v>
      </c>
      <c r="K14" s="9">
        <v>1568</v>
      </c>
      <c r="L14" s="5">
        <v>1548</v>
      </c>
      <c r="M14" s="5">
        <v>1549</v>
      </c>
      <c r="N14" s="5">
        <v>1549</v>
      </c>
      <c r="O14" s="5" t="s">
        <v>5</v>
      </c>
      <c r="P14" s="30">
        <v>1549</v>
      </c>
      <c r="Q14" s="69">
        <v>4.5999999999999996</v>
      </c>
      <c r="R14" s="69">
        <v>37</v>
      </c>
      <c r="S14" s="8">
        <v>35</v>
      </c>
      <c r="T14" s="11">
        <v>152</v>
      </c>
      <c r="U14" s="11">
        <v>62</v>
      </c>
      <c r="V14" s="10">
        <v>90</v>
      </c>
      <c r="W14" s="11" t="s">
        <v>5</v>
      </c>
      <c r="X14" s="69">
        <v>58</v>
      </c>
      <c r="Y14" s="12">
        <v>2.5924955999999999</v>
      </c>
      <c r="Z14" s="31">
        <v>8.6</v>
      </c>
      <c r="AA14" s="31">
        <v>7.7</v>
      </c>
      <c r="AB14" s="32">
        <v>76</v>
      </c>
      <c r="AC14" s="32">
        <v>67</v>
      </c>
      <c r="AD14" s="11" t="s">
        <v>6</v>
      </c>
      <c r="AE14" s="33" t="s">
        <v>7</v>
      </c>
      <c r="AF14" s="14" t="s">
        <v>545</v>
      </c>
    </row>
    <row r="15" spans="1:32" ht="15.75" x14ac:dyDescent="0.25">
      <c r="A15" s="1">
        <v>141</v>
      </c>
      <c r="B15" s="2">
        <v>45902</v>
      </c>
      <c r="C15" s="1" t="s">
        <v>0</v>
      </c>
      <c r="D15" s="1" t="s">
        <v>265</v>
      </c>
      <c r="E15" s="1">
        <v>2</v>
      </c>
      <c r="F15" s="16">
        <v>22509003</v>
      </c>
      <c r="G15" s="16">
        <v>1250</v>
      </c>
      <c r="H15" s="16" t="s">
        <v>10</v>
      </c>
      <c r="I15" s="16" t="s">
        <v>98</v>
      </c>
      <c r="J15" s="16" t="s">
        <v>805</v>
      </c>
      <c r="K15" s="9">
        <v>1604</v>
      </c>
      <c r="L15" s="5">
        <v>1568</v>
      </c>
      <c r="M15" s="5">
        <v>1573</v>
      </c>
      <c r="N15" s="5">
        <v>1581</v>
      </c>
      <c r="O15" s="5">
        <v>1580</v>
      </c>
      <c r="P15" s="30">
        <v>1578</v>
      </c>
      <c r="Q15" s="69">
        <v>3.3</v>
      </c>
      <c r="R15" s="69">
        <v>46</v>
      </c>
      <c r="S15" s="8">
        <v>22</v>
      </c>
      <c r="T15" s="9" t="s">
        <v>5</v>
      </c>
      <c r="U15" s="9" t="s">
        <v>5</v>
      </c>
      <c r="V15" s="9" t="s">
        <v>5</v>
      </c>
      <c r="W15" s="11" t="s">
        <v>248</v>
      </c>
      <c r="X15" s="69">
        <v>58</v>
      </c>
      <c r="Y15" s="12">
        <v>1.8598338000000001</v>
      </c>
      <c r="Z15" s="31">
        <v>9.6</v>
      </c>
      <c r="AA15" s="31">
        <v>10</v>
      </c>
      <c r="AB15" s="32">
        <v>80</v>
      </c>
      <c r="AC15" s="32">
        <v>93</v>
      </c>
      <c r="AD15" s="11" t="s">
        <v>6</v>
      </c>
      <c r="AE15" s="33" t="s">
        <v>7</v>
      </c>
      <c r="AF15" s="14" t="s">
        <v>406</v>
      </c>
    </row>
    <row r="16" spans="1:32" ht="15.75" x14ac:dyDescent="0.25">
      <c r="A16" s="1">
        <v>142</v>
      </c>
      <c r="B16" s="2">
        <v>45902</v>
      </c>
      <c r="C16" s="1" t="s">
        <v>0</v>
      </c>
      <c r="D16" s="1" t="s">
        <v>265</v>
      </c>
      <c r="E16" s="1">
        <v>2</v>
      </c>
      <c r="F16" s="16">
        <v>22509003</v>
      </c>
      <c r="G16" s="16">
        <v>1250</v>
      </c>
      <c r="H16" s="16" t="s">
        <v>10</v>
      </c>
      <c r="I16" s="16" t="s">
        <v>86</v>
      </c>
      <c r="J16" s="16" t="s">
        <v>806</v>
      </c>
      <c r="K16" s="9">
        <v>1568</v>
      </c>
      <c r="L16" s="5">
        <v>1570</v>
      </c>
      <c r="M16" s="5">
        <v>1549</v>
      </c>
      <c r="N16" s="5">
        <v>1547</v>
      </c>
      <c r="O16" s="5" t="s">
        <v>5</v>
      </c>
      <c r="P16" s="30">
        <v>1548</v>
      </c>
      <c r="Q16" s="69">
        <v>5.4</v>
      </c>
      <c r="R16" s="69">
        <v>41</v>
      </c>
      <c r="S16" s="8" t="s">
        <v>5</v>
      </c>
      <c r="T16" s="9" t="s">
        <v>5</v>
      </c>
      <c r="U16" s="9" t="s">
        <v>5</v>
      </c>
      <c r="V16" s="9" t="s">
        <v>5</v>
      </c>
      <c r="W16" s="11">
        <v>16.7</v>
      </c>
      <c r="X16" s="69">
        <v>58</v>
      </c>
      <c r="Y16" s="12">
        <v>3.0433644000000002</v>
      </c>
      <c r="Z16" s="31">
        <v>9.9</v>
      </c>
      <c r="AA16" s="31">
        <v>11.2</v>
      </c>
      <c r="AB16" s="32">
        <v>86</v>
      </c>
      <c r="AC16" s="32">
        <v>95</v>
      </c>
      <c r="AD16" s="11" t="s">
        <v>6</v>
      </c>
      <c r="AE16" s="33" t="s">
        <v>53</v>
      </c>
      <c r="AF16" s="14" t="s">
        <v>14</v>
      </c>
    </row>
    <row r="17" spans="1:32" ht="31.5" x14ac:dyDescent="0.25">
      <c r="A17" s="1">
        <v>143</v>
      </c>
      <c r="B17" s="2">
        <v>45902</v>
      </c>
      <c r="C17" s="1" t="s">
        <v>0</v>
      </c>
      <c r="D17" s="1" t="s">
        <v>265</v>
      </c>
      <c r="E17" s="1">
        <v>2</v>
      </c>
      <c r="F17" s="16">
        <v>22509003</v>
      </c>
      <c r="G17" s="16">
        <v>1250</v>
      </c>
      <c r="H17" s="16" t="s">
        <v>10</v>
      </c>
      <c r="I17" s="16" t="s">
        <v>77</v>
      </c>
      <c r="J17" s="16" t="s">
        <v>807</v>
      </c>
      <c r="K17" s="9">
        <v>1565</v>
      </c>
      <c r="L17" s="5">
        <v>1548</v>
      </c>
      <c r="M17" s="5">
        <v>1548</v>
      </c>
      <c r="N17" s="5">
        <v>1547</v>
      </c>
      <c r="O17" s="5" t="s">
        <v>5</v>
      </c>
      <c r="P17" s="30">
        <v>1547.5</v>
      </c>
      <c r="Q17" s="69">
        <v>5.2</v>
      </c>
      <c r="R17" s="69">
        <v>33</v>
      </c>
      <c r="S17" s="8">
        <v>14</v>
      </c>
      <c r="T17" s="9" t="s">
        <v>5</v>
      </c>
      <c r="U17" s="9" t="s">
        <v>5</v>
      </c>
      <c r="V17" s="9" t="s">
        <v>5</v>
      </c>
      <c r="W17" s="11">
        <v>14.3</v>
      </c>
      <c r="X17" s="69">
        <v>58</v>
      </c>
      <c r="Y17" s="12">
        <v>2.9306472000000001</v>
      </c>
      <c r="Z17" s="31">
        <v>7.9</v>
      </c>
      <c r="AA17" s="31">
        <v>8.6</v>
      </c>
      <c r="AB17" s="32">
        <v>87</v>
      </c>
      <c r="AC17" s="32">
        <v>76</v>
      </c>
      <c r="AD17" s="11" t="s">
        <v>6</v>
      </c>
      <c r="AE17" s="33" t="s">
        <v>53</v>
      </c>
      <c r="AF17" s="14" t="s">
        <v>808</v>
      </c>
    </row>
    <row r="18" spans="1:32" ht="15.75" x14ac:dyDescent="0.25">
      <c r="A18" s="1">
        <v>146</v>
      </c>
      <c r="B18" s="2">
        <v>45902</v>
      </c>
      <c r="C18" s="1" t="s">
        <v>0</v>
      </c>
      <c r="D18" s="1" t="s">
        <v>265</v>
      </c>
      <c r="E18" s="1">
        <v>2</v>
      </c>
      <c r="F18" s="16">
        <v>22509003</v>
      </c>
      <c r="G18" s="16">
        <v>1250</v>
      </c>
      <c r="H18" s="16" t="s">
        <v>10</v>
      </c>
      <c r="I18" s="16" t="s">
        <v>90</v>
      </c>
      <c r="J18" s="16" t="s">
        <v>809</v>
      </c>
      <c r="K18" s="4">
        <v>1569</v>
      </c>
      <c r="L18" s="5">
        <v>1549</v>
      </c>
      <c r="M18" s="5">
        <v>1549</v>
      </c>
      <c r="N18" s="5">
        <v>1545</v>
      </c>
      <c r="O18" s="5" t="s">
        <v>5</v>
      </c>
      <c r="P18" s="30">
        <v>1547</v>
      </c>
      <c r="Q18" s="69">
        <v>5.2</v>
      </c>
      <c r="R18" s="69">
        <v>32</v>
      </c>
      <c r="S18" s="8" t="s">
        <v>5</v>
      </c>
      <c r="T18" s="9">
        <v>156.19999999999999</v>
      </c>
      <c r="U18" s="9">
        <v>63.2</v>
      </c>
      <c r="V18" s="10">
        <v>92.999999999999986</v>
      </c>
      <c r="W18" s="11">
        <v>14.6</v>
      </c>
      <c r="X18" s="69">
        <v>58</v>
      </c>
      <c r="Y18" s="12">
        <v>2.9782999999999999</v>
      </c>
      <c r="Z18" s="7">
        <v>10</v>
      </c>
      <c r="AA18" s="7">
        <v>11.8</v>
      </c>
      <c r="AB18" s="13">
        <v>75</v>
      </c>
      <c r="AC18" s="13">
        <v>91</v>
      </c>
      <c r="AD18" s="11" t="s">
        <v>6</v>
      </c>
      <c r="AE18" s="33" t="s">
        <v>53</v>
      </c>
      <c r="AF18" s="14" t="s">
        <v>14</v>
      </c>
    </row>
    <row r="19" spans="1:32" ht="15.75" x14ac:dyDescent="0.25">
      <c r="A19" s="1">
        <v>166</v>
      </c>
      <c r="B19" s="2">
        <v>45903</v>
      </c>
      <c r="C19" s="1" t="s">
        <v>18</v>
      </c>
      <c r="D19" s="1" t="s">
        <v>19</v>
      </c>
      <c r="E19" s="1">
        <v>2</v>
      </c>
      <c r="F19" s="16">
        <v>22509003</v>
      </c>
      <c r="G19" s="16">
        <v>1250</v>
      </c>
      <c r="H19" s="16" t="s">
        <v>10</v>
      </c>
      <c r="I19" s="16" t="s">
        <v>122</v>
      </c>
      <c r="J19" s="16" t="s">
        <v>810</v>
      </c>
      <c r="K19" s="3">
        <v>1566</v>
      </c>
      <c r="L19" s="5">
        <v>1547</v>
      </c>
      <c r="M19" s="5">
        <v>1547</v>
      </c>
      <c r="N19" s="5">
        <v>1549</v>
      </c>
      <c r="O19" s="5">
        <v>1549</v>
      </c>
      <c r="P19" s="30">
        <v>1548.3333333333333</v>
      </c>
      <c r="Q19" s="67">
        <v>5</v>
      </c>
      <c r="R19" s="67">
        <v>35</v>
      </c>
      <c r="S19" s="72">
        <v>29</v>
      </c>
      <c r="T19" s="10" t="s">
        <v>5</v>
      </c>
      <c r="U19" s="10" t="s">
        <v>5</v>
      </c>
      <c r="V19" s="10" t="s">
        <v>5</v>
      </c>
      <c r="W19" s="11">
        <v>15.2</v>
      </c>
      <c r="X19" s="69">
        <v>58</v>
      </c>
      <c r="Y19" s="12">
        <v>2.86375</v>
      </c>
      <c r="Z19" s="64">
        <v>10.199999999999999</v>
      </c>
      <c r="AA19" s="64">
        <v>11.8</v>
      </c>
      <c r="AB19" s="11">
        <v>85</v>
      </c>
      <c r="AC19" s="11">
        <v>99</v>
      </c>
      <c r="AD19" s="11" t="s">
        <v>6</v>
      </c>
      <c r="AE19" s="33" t="s">
        <v>53</v>
      </c>
      <c r="AF19" s="41" t="s">
        <v>397</v>
      </c>
    </row>
    <row r="20" spans="1:32" ht="15.75" x14ac:dyDescent="0.25">
      <c r="A20" s="1">
        <v>168</v>
      </c>
      <c r="B20" s="2">
        <v>45903</v>
      </c>
      <c r="C20" s="1" t="s">
        <v>18</v>
      </c>
      <c r="D20" s="1" t="s">
        <v>19</v>
      </c>
      <c r="E20" s="1">
        <v>2</v>
      </c>
      <c r="F20" s="16">
        <v>22509003</v>
      </c>
      <c r="G20" s="16">
        <v>1250</v>
      </c>
      <c r="H20" s="16" t="s">
        <v>10</v>
      </c>
      <c r="I20" s="16" t="s">
        <v>229</v>
      </c>
      <c r="J20" s="16" t="s">
        <v>811</v>
      </c>
      <c r="K20" s="3">
        <v>1568</v>
      </c>
      <c r="L20" s="5">
        <v>1544</v>
      </c>
      <c r="M20" s="5">
        <v>1542</v>
      </c>
      <c r="N20" s="5">
        <v>1542</v>
      </c>
      <c r="O20" s="5">
        <v>1542</v>
      </c>
      <c r="P20" s="30">
        <v>1542</v>
      </c>
      <c r="Q20" s="67">
        <v>5</v>
      </c>
      <c r="R20" s="67">
        <v>33</v>
      </c>
      <c r="S20" s="72" t="s">
        <v>5</v>
      </c>
      <c r="T20" s="10" t="s">
        <v>5</v>
      </c>
      <c r="U20" s="10" t="s">
        <v>5</v>
      </c>
      <c r="V20" s="10" t="s">
        <v>5</v>
      </c>
      <c r="W20" s="11">
        <v>15.8</v>
      </c>
      <c r="X20" s="69">
        <v>58</v>
      </c>
      <c r="Y20" s="12">
        <v>2.86375</v>
      </c>
      <c r="Z20" s="31">
        <v>8.1999999999999993</v>
      </c>
      <c r="AA20" s="31">
        <v>9.9</v>
      </c>
      <c r="AB20" s="11">
        <v>79</v>
      </c>
      <c r="AC20" s="11">
        <v>76</v>
      </c>
      <c r="AD20" s="11" t="s">
        <v>6</v>
      </c>
      <c r="AE20" s="33" t="s">
        <v>53</v>
      </c>
      <c r="AF20" s="41" t="s">
        <v>480</v>
      </c>
    </row>
    <row r="21" spans="1:32" ht="15.75" x14ac:dyDescent="0.25">
      <c r="A21" s="1">
        <v>196</v>
      </c>
      <c r="B21" s="2">
        <v>45903</v>
      </c>
      <c r="C21" s="1" t="s">
        <v>264</v>
      </c>
      <c r="D21" s="1" t="s">
        <v>258</v>
      </c>
      <c r="E21" s="1">
        <v>2</v>
      </c>
      <c r="F21" s="16">
        <v>22509003</v>
      </c>
      <c r="G21" s="16">
        <v>1250</v>
      </c>
      <c r="H21" s="16" t="s">
        <v>10</v>
      </c>
      <c r="I21" s="16" t="s">
        <v>126</v>
      </c>
      <c r="J21" s="16" t="s">
        <v>812</v>
      </c>
      <c r="K21" s="3">
        <v>1568</v>
      </c>
      <c r="L21" s="3">
        <v>1545</v>
      </c>
      <c r="M21" s="5">
        <v>1544</v>
      </c>
      <c r="N21" s="5">
        <v>1546</v>
      </c>
      <c r="O21" s="5" t="s">
        <v>5</v>
      </c>
      <c r="P21" s="30">
        <v>1545</v>
      </c>
      <c r="Q21" s="67">
        <v>5.6</v>
      </c>
      <c r="R21" s="67">
        <v>32</v>
      </c>
      <c r="S21" s="68">
        <v>35</v>
      </c>
      <c r="T21" s="68">
        <v>162.4</v>
      </c>
      <c r="U21" s="68">
        <v>61.86</v>
      </c>
      <c r="V21" s="10">
        <v>100.54</v>
      </c>
      <c r="W21" s="11">
        <v>11.6</v>
      </c>
      <c r="X21" s="16">
        <v>58</v>
      </c>
      <c r="Y21" s="12">
        <v>3.2073999999999998</v>
      </c>
      <c r="Z21" s="31">
        <v>10.3</v>
      </c>
      <c r="AA21" s="31">
        <v>12.1</v>
      </c>
      <c r="AB21" s="32">
        <v>85</v>
      </c>
      <c r="AC21" s="32">
        <v>99</v>
      </c>
      <c r="AD21" s="8" t="s">
        <v>6</v>
      </c>
      <c r="AE21" s="33" t="s">
        <v>53</v>
      </c>
      <c r="AF21" s="14" t="s">
        <v>397</v>
      </c>
    </row>
    <row r="22" spans="1:32" ht="15.75" x14ac:dyDescent="0.25">
      <c r="A22" s="1">
        <v>203</v>
      </c>
      <c r="B22" s="2">
        <v>45903</v>
      </c>
      <c r="C22" s="1" t="s">
        <v>264</v>
      </c>
      <c r="D22" s="1" t="s">
        <v>258</v>
      </c>
      <c r="E22" s="1">
        <v>2</v>
      </c>
      <c r="F22" s="16">
        <v>22509003</v>
      </c>
      <c r="G22" s="16">
        <v>1250</v>
      </c>
      <c r="H22" s="16" t="s">
        <v>10</v>
      </c>
      <c r="I22" s="16" t="s">
        <v>269</v>
      </c>
      <c r="J22" s="16" t="s">
        <v>813</v>
      </c>
      <c r="K22" s="9">
        <v>1570</v>
      </c>
      <c r="L22" s="5">
        <v>1541</v>
      </c>
      <c r="M22" s="5">
        <v>1545</v>
      </c>
      <c r="N22" s="5">
        <v>1544</v>
      </c>
      <c r="O22" s="5">
        <v>1544</v>
      </c>
      <c r="P22" s="30">
        <v>1544.3333333333333</v>
      </c>
      <c r="Q22" s="69">
        <v>5.7</v>
      </c>
      <c r="R22" s="69">
        <v>34</v>
      </c>
      <c r="S22" s="68">
        <v>35</v>
      </c>
      <c r="T22" s="11" t="s">
        <v>5</v>
      </c>
      <c r="U22" s="11" t="s">
        <v>5</v>
      </c>
      <c r="V22" s="11" t="s">
        <v>5</v>
      </c>
      <c r="W22" s="11" t="s">
        <v>5</v>
      </c>
      <c r="X22" s="16">
        <v>58</v>
      </c>
      <c r="Y22" s="12">
        <v>3.264675</v>
      </c>
      <c r="Z22" s="31">
        <v>10.4</v>
      </c>
      <c r="AA22" s="31">
        <v>11.8</v>
      </c>
      <c r="AB22" s="32">
        <v>82</v>
      </c>
      <c r="AC22" s="32">
        <v>97</v>
      </c>
      <c r="AD22" s="8" t="s">
        <v>6</v>
      </c>
      <c r="AE22" s="33" t="s">
        <v>53</v>
      </c>
      <c r="AF22" s="14" t="s">
        <v>397</v>
      </c>
    </row>
    <row r="23" spans="1:32" ht="15.75" x14ac:dyDescent="0.25">
      <c r="A23" s="1">
        <v>205</v>
      </c>
      <c r="B23" s="2">
        <v>45903</v>
      </c>
      <c r="C23" s="1" t="s">
        <v>264</v>
      </c>
      <c r="D23" s="1" t="s">
        <v>258</v>
      </c>
      <c r="E23" s="1">
        <v>2</v>
      </c>
      <c r="F23" s="16">
        <v>22509003</v>
      </c>
      <c r="G23" s="16">
        <v>1250</v>
      </c>
      <c r="H23" s="16" t="s">
        <v>10</v>
      </c>
      <c r="I23" s="16" t="s">
        <v>277</v>
      </c>
      <c r="J23" s="16" t="s">
        <v>814</v>
      </c>
      <c r="K23" s="9">
        <v>1568</v>
      </c>
      <c r="L23" s="5">
        <v>1547</v>
      </c>
      <c r="M23" s="5">
        <v>1547</v>
      </c>
      <c r="N23" s="5">
        <v>1543</v>
      </c>
      <c r="O23" s="5" t="s">
        <v>5</v>
      </c>
      <c r="P23" s="30">
        <v>1545</v>
      </c>
      <c r="Q23" s="69">
        <v>5.7</v>
      </c>
      <c r="R23" s="69">
        <v>31</v>
      </c>
      <c r="S23" s="8">
        <v>22</v>
      </c>
      <c r="T23" s="11" t="s">
        <v>5</v>
      </c>
      <c r="U23" s="11" t="s">
        <v>5</v>
      </c>
      <c r="V23" s="11" t="s">
        <v>5</v>
      </c>
      <c r="W23" s="11" t="s">
        <v>5</v>
      </c>
      <c r="X23" s="16">
        <v>58</v>
      </c>
      <c r="Y23" s="12">
        <v>3.264675</v>
      </c>
      <c r="Z23" s="31">
        <v>9.6</v>
      </c>
      <c r="AA23" s="31">
        <v>10.4</v>
      </c>
      <c r="AB23" s="31">
        <v>83</v>
      </c>
      <c r="AC23" s="31">
        <v>94</v>
      </c>
      <c r="AD23" s="8" t="s">
        <v>6</v>
      </c>
      <c r="AE23" s="33" t="s">
        <v>53</v>
      </c>
      <c r="AF23" s="14" t="s">
        <v>706</v>
      </c>
    </row>
    <row r="24" spans="1:32" ht="15.75" x14ac:dyDescent="0.25">
      <c r="A24" s="1">
        <v>207</v>
      </c>
      <c r="B24" s="2">
        <v>45903</v>
      </c>
      <c r="C24" s="1" t="s">
        <v>264</v>
      </c>
      <c r="D24" s="1" t="s">
        <v>258</v>
      </c>
      <c r="E24" s="1">
        <v>2</v>
      </c>
      <c r="F24" s="16">
        <v>22509003</v>
      </c>
      <c r="G24" s="16">
        <v>1250</v>
      </c>
      <c r="H24" s="16" t="s">
        <v>10</v>
      </c>
      <c r="I24" s="16" t="s">
        <v>303</v>
      </c>
      <c r="J24" s="16" t="s">
        <v>815</v>
      </c>
      <c r="K24" s="9">
        <v>1568</v>
      </c>
      <c r="L24" s="5">
        <v>1546</v>
      </c>
      <c r="M24" s="5">
        <v>1544</v>
      </c>
      <c r="N24" s="5">
        <v>1542</v>
      </c>
      <c r="O24" s="5" t="s">
        <v>5</v>
      </c>
      <c r="P24" s="30">
        <v>1543</v>
      </c>
      <c r="Q24" s="69">
        <v>5.6</v>
      </c>
      <c r="R24" s="69">
        <v>31</v>
      </c>
      <c r="S24" s="8" t="s">
        <v>5</v>
      </c>
      <c r="T24" s="9" t="s">
        <v>5</v>
      </c>
      <c r="U24" s="9" t="s">
        <v>5</v>
      </c>
      <c r="V24" s="9" t="s">
        <v>5</v>
      </c>
      <c r="W24" s="11" t="s">
        <v>5</v>
      </c>
      <c r="X24" s="16">
        <v>58</v>
      </c>
      <c r="Y24" s="12">
        <v>3.2073999999999998</v>
      </c>
      <c r="Z24" s="31">
        <v>9</v>
      </c>
      <c r="AA24" s="31">
        <v>10.7</v>
      </c>
      <c r="AB24" s="32">
        <v>79</v>
      </c>
      <c r="AC24" s="32">
        <v>94</v>
      </c>
      <c r="AD24" s="8" t="s">
        <v>6</v>
      </c>
      <c r="AE24" s="33" t="s">
        <v>53</v>
      </c>
      <c r="AF24" s="14" t="s">
        <v>397</v>
      </c>
    </row>
    <row r="25" spans="1:32" ht="15.75" x14ac:dyDescent="0.25">
      <c r="A25" s="1">
        <v>208</v>
      </c>
      <c r="B25" s="2">
        <v>45903</v>
      </c>
      <c r="C25" s="1" t="s">
        <v>264</v>
      </c>
      <c r="D25" s="1" t="s">
        <v>258</v>
      </c>
      <c r="E25" s="1">
        <v>2</v>
      </c>
      <c r="F25" s="16">
        <v>22509003</v>
      </c>
      <c r="G25" s="16">
        <v>1250</v>
      </c>
      <c r="H25" s="16" t="s">
        <v>10</v>
      </c>
      <c r="I25" s="16" t="s">
        <v>419</v>
      </c>
      <c r="J25" s="16" t="s">
        <v>816</v>
      </c>
      <c r="K25" s="9">
        <v>1567</v>
      </c>
      <c r="L25" s="5">
        <v>1545</v>
      </c>
      <c r="M25" s="5">
        <v>1547</v>
      </c>
      <c r="N25" s="5">
        <v>1547</v>
      </c>
      <c r="O25" s="5" t="s">
        <v>5</v>
      </c>
      <c r="P25" s="30">
        <v>1547</v>
      </c>
      <c r="Q25" s="69">
        <v>5.6</v>
      </c>
      <c r="R25" s="69">
        <v>28</v>
      </c>
      <c r="S25" s="8" t="s">
        <v>5</v>
      </c>
      <c r="T25" s="9">
        <v>150.97999999999999</v>
      </c>
      <c r="U25" s="9">
        <v>64</v>
      </c>
      <c r="V25" s="10">
        <v>86.97999999999999</v>
      </c>
      <c r="W25" s="11" t="s">
        <v>5</v>
      </c>
      <c r="X25" s="16">
        <v>58</v>
      </c>
      <c r="Y25" s="12">
        <v>3.2073999999999998</v>
      </c>
      <c r="Z25" s="31">
        <v>9</v>
      </c>
      <c r="AA25" s="31">
        <v>10.3</v>
      </c>
      <c r="AB25" s="32">
        <v>76</v>
      </c>
      <c r="AC25" s="32">
        <v>85</v>
      </c>
      <c r="AD25" s="8" t="s">
        <v>6</v>
      </c>
      <c r="AE25" s="33" t="s">
        <v>53</v>
      </c>
      <c r="AF25" s="14" t="s">
        <v>706</v>
      </c>
    </row>
    <row r="26" spans="1:32" ht="15.75" x14ac:dyDescent="0.25">
      <c r="A26" s="1">
        <v>224</v>
      </c>
      <c r="B26" s="2">
        <v>45903</v>
      </c>
      <c r="C26" s="1" t="s">
        <v>0</v>
      </c>
      <c r="D26" s="1" t="s">
        <v>265</v>
      </c>
      <c r="E26" s="1">
        <v>2</v>
      </c>
      <c r="F26" s="16">
        <v>22509003</v>
      </c>
      <c r="G26" s="16">
        <v>1250</v>
      </c>
      <c r="H26" s="16" t="s">
        <v>10</v>
      </c>
      <c r="I26" s="16" t="s">
        <v>59</v>
      </c>
      <c r="J26" s="16" t="s">
        <v>817</v>
      </c>
      <c r="K26" s="4">
        <v>1564</v>
      </c>
      <c r="L26" s="5">
        <v>1546</v>
      </c>
      <c r="M26" s="5">
        <v>1547</v>
      </c>
      <c r="N26" s="5">
        <v>1547</v>
      </c>
      <c r="O26" s="5" t="s">
        <v>5</v>
      </c>
      <c r="P26" s="30">
        <v>1547</v>
      </c>
      <c r="Q26" s="16">
        <v>5.2</v>
      </c>
      <c r="R26" s="16">
        <v>34</v>
      </c>
      <c r="S26" s="8">
        <v>20</v>
      </c>
      <c r="T26" s="11">
        <v>167</v>
      </c>
      <c r="U26" s="11">
        <v>64</v>
      </c>
      <c r="V26" s="10">
        <v>103</v>
      </c>
      <c r="W26" s="11" t="s">
        <v>5</v>
      </c>
      <c r="X26" s="16">
        <v>58</v>
      </c>
      <c r="Y26" s="12">
        <v>2.9782999999999999</v>
      </c>
      <c r="Z26" s="7">
        <v>9.3000000000000007</v>
      </c>
      <c r="AA26" s="7">
        <v>10.4</v>
      </c>
      <c r="AB26" s="13">
        <v>78</v>
      </c>
      <c r="AC26" s="13">
        <v>86</v>
      </c>
      <c r="AD26" s="8" t="s">
        <v>6</v>
      </c>
      <c r="AE26" s="33" t="s">
        <v>53</v>
      </c>
      <c r="AF26" s="14" t="s">
        <v>418</v>
      </c>
    </row>
    <row r="27" spans="1:32" ht="31.5" x14ac:dyDescent="0.25">
      <c r="A27" s="1">
        <v>228</v>
      </c>
      <c r="B27" s="2">
        <v>45903</v>
      </c>
      <c r="C27" s="1" t="s">
        <v>0</v>
      </c>
      <c r="D27" s="1" t="s">
        <v>265</v>
      </c>
      <c r="E27" s="1">
        <v>2</v>
      </c>
      <c r="F27" s="16">
        <v>22509003</v>
      </c>
      <c r="G27" s="16">
        <v>1250</v>
      </c>
      <c r="H27" s="16" t="s">
        <v>176</v>
      </c>
      <c r="I27" s="16" t="s">
        <v>273</v>
      </c>
      <c r="J27" s="16" t="s">
        <v>818</v>
      </c>
      <c r="K27" s="4">
        <v>1567</v>
      </c>
      <c r="L27" s="5">
        <v>1545</v>
      </c>
      <c r="M27" s="5">
        <v>1550</v>
      </c>
      <c r="N27" s="5">
        <v>1549</v>
      </c>
      <c r="O27" s="5">
        <v>1547</v>
      </c>
      <c r="P27" s="30">
        <v>1548.6666666666667</v>
      </c>
      <c r="Q27" s="7">
        <v>4.9000000000000004</v>
      </c>
      <c r="R27" s="4">
        <v>34</v>
      </c>
      <c r="S27" s="8">
        <v>29</v>
      </c>
      <c r="T27" s="11" t="s">
        <v>5</v>
      </c>
      <c r="U27" s="11" t="s">
        <v>5</v>
      </c>
      <c r="V27" s="11" t="s">
        <v>5</v>
      </c>
      <c r="W27" s="11" t="s">
        <v>5</v>
      </c>
      <c r="X27" s="16">
        <v>58</v>
      </c>
      <c r="Y27" s="12">
        <v>2.8064750000000003</v>
      </c>
      <c r="Z27" s="7">
        <v>8.4</v>
      </c>
      <c r="AA27" s="7">
        <v>10.1</v>
      </c>
      <c r="AB27" s="13">
        <v>70</v>
      </c>
      <c r="AC27" s="13">
        <v>81</v>
      </c>
      <c r="AD27" s="8" t="s">
        <v>6</v>
      </c>
      <c r="AE27" s="33" t="s">
        <v>72</v>
      </c>
      <c r="AF27" s="14" t="s">
        <v>819</v>
      </c>
    </row>
    <row r="28" spans="1:32" ht="47.25" x14ac:dyDescent="0.25">
      <c r="A28" s="1">
        <v>245</v>
      </c>
      <c r="B28" s="2">
        <v>45904</v>
      </c>
      <c r="C28" s="1" t="s">
        <v>18</v>
      </c>
      <c r="D28" s="1" t="s">
        <v>19</v>
      </c>
      <c r="E28" s="1">
        <v>1</v>
      </c>
      <c r="F28" s="16">
        <v>12509005</v>
      </c>
      <c r="G28" s="16">
        <v>1230</v>
      </c>
      <c r="H28" s="16" t="s">
        <v>10</v>
      </c>
      <c r="I28" s="16" t="s">
        <v>182</v>
      </c>
      <c r="J28" s="16" t="s">
        <v>820</v>
      </c>
      <c r="K28" s="3">
        <v>1564</v>
      </c>
      <c r="L28" s="5">
        <v>1540</v>
      </c>
      <c r="M28" s="5">
        <v>1537</v>
      </c>
      <c r="N28" s="5">
        <v>1536</v>
      </c>
      <c r="O28" s="5" t="s">
        <v>5</v>
      </c>
      <c r="P28" s="30">
        <v>1536.5</v>
      </c>
      <c r="Q28" s="16">
        <v>5</v>
      </c>
      <c r="R28" s="16">
        <v>32</v>
      </c>
      <c r="S28" s="72">
        <v>3</v>
      </c>
      <c r="T28" s="72">
        <v>163.4</v>
      </c>
      <c r="U28" s="72">
        <v>75</v>
      </c>
      <c r="V28" s="10">
        <v>88.4</v>
      </c>
      <c r="W28" s="11" t="s">
        <v>5</v>
      </c>
      <c r="X28" s="69">
        <v>58</v>
      </c>
      <c r="Y28" s="12">
        <v>2.81793</v>
      </c>
      <c r="Z28" s="31">
        <v>10.8</v>
      </c>
      <c r="AA28" s="31">
        <v>10.6</v>
      </c>
      <c r="AB28" s="32">
        <v>89</v>
      </c>
      <c r="AC28" s="32">
        <v>87</v>
      </c>
      <c r="AD28" s="11" t="s">
        <v>6</v>
      </c>
      <c r="AE28" s="33" t="s">
        <v>53</v>
      </c>
      <c r="AF28" s="41" t="s">
        <v>821</v>
      </c>
    </row>
    <row r="29" spans="1:32" ht="47.25" x14ac:dyDescent="0.25">
      <c r="A29" s="1">
        <v>283</v>
      </c>
      <c r="B29" s="2">
        <v>45904</v>
      </c>
      <c r="C29" s="1" t="s">
        <v>264</v>
      </c>
      <c r="D29" s="1" t="s">
        <v>258</v>
      </c>
      <c r="E29" s="1">
        <v>2</v>
      </c>
      <c r="F29" s="16">
        <v>22509004</v>
      </c>
      <c r="G29" s="16">
        <v>1230</v>
      </c>
      <c r="H29" s="16" t="s">
        <v>10</v>
      </c>
      <c r="I29" s="16" t="s">
        <v>120</v>
      </c>
      <c r="J29" s="16" t="s">
        <v>822</v>
      </c>
      <c r="K29" s="3">
        <v>1567</v>
      </c>
      <c r="L29" s="3">
        <v>1546</v>
      </c>
      <c r="M29" s="5">
        <v>1548</v>
      </c>
      <c r="N29" s="5">
        <v>1549</v>
      </c>
      <c r="O29" s="5" t="s">
        <v>5</v>
      </c>
      <c r="P29" s="30">
        <v>1548.5</v>
      </c>
      <c r="Q29" s="67">
        <v>5</v>
      </c>
      <c r="R29" s="67">
        <v>29</v>
      </c>
      <c r="S29" s="68">
        <v>36</v>
      </c>
      <c r="T29" s="10">
        <v>163.30000000000001</v>
      </c>
      <c r="U29" s="10">
        <v>60</v>
      </c>
      <c r="V29" s="10">
        <v>103.30000000000001</v>
      </c>
      <c r="W29" s="11">
        <v>16.8</v>
      </c>
      <c r="X29" s="16">
        <v>58</v>
      </c>
      <c r="Y29" s="12">
        <v>2.81793</v>
      </c>
      <c r="Z29" s="31">
        <v>5.9</v>
      </c>
      <c r="AA29" s="31">
        <v>8.4</v>
      </c>
      <c r="AB29" s="32">
        <v>54</v>
      </c>
      <c r="AC29" s="32">
        <v>72</v>
      </c>
      <c r="AD29" s="8" t="s">
        <v>6</v>
      </c>
      <c r="AE29" s="33" t="s">
        <v>7</v>
      </c>
      <c r="AF29" s="14" t="s">
        <v>823</v>
      </c>
    </row>
    <row r="30" spans="1:32" ht="47.25" x14ac:dyDescent="0.25">
      <c r="A30" s="1">
        <v>331</v>
      </c>
      <c r="B30" s="2">
        <v>45905</v>
      </c>
      <c r="C30" s="1" t="s">
        <v>18</v>
      </c>
      <c r="D30" s="1" t="s">
        <v>1</v>
      </c>
      <c r="E30" s="1">
        <v>2</v>
      </c>
      <c r="F30" s="16">
        <v>22509005</v>
      </c>
      <c r="G30" s="16">
        <v>1230</v>
      </c>
      <c r="H30" s="16" t="s">
        <v>10</v>
      </c>
      <c r="I30" s="16" t="s">
        <v>120</v>
      </c>
      <c r="J30" s="16" t="s">
        <v>824</v>
      </c>
      <c r="K30" s="3">
        <v>1565</v>
      </c>
      <c r="L30" s="5">
        <v>1545</v>
      </c>
      <c r="M30" s="5">
        <v>1544</v>
      </c>
      <c r="N30" s="5">
        <v>1542</v>
      </c>
      <c r="O30" s="5" t="s">
        <v>5</v>
      </c>
      <c r="P30" s="30">
        <v>1543</v>
      </c>
      <c r="Q30" s="67">
        <v>5.2</v>
      </c>
      <c r="R30" s="67">
        <v>35</v>
      </c>
      <c r="S30" s="72">
        <v>22</v>
      </c>
      <c r="T30" s="11" t="s">
        <v>5</v>
      </c>
      <c r="U30" s="11" t="s">
        <v>5</v>
      </c>
      <c r="V30" s="10" t="s">
        <v>5</v>
      </c>
      <c r="W30" s="11">
        <v>12.1</v>
      </c>
      <c r="X30" s="69">
        <v>58</v>
      </c>
      <c r="Y30" s="12">
        <v>2.9306472000000001</v>
      </c>
      <c r="Z30" s="18">
        <v>10.3</v>
      </c>
      <c r="AA30" s="18">
        <v>10.1</v>
      </c>
      <c r="AB30" s="11">
        <v>82</v>
      </c>
      <c r="AC30" s="11">
        <v>82</v>
      </c>
      <c r="AD30" s="11" t="s">
        <v>6</v>
      </c>
      <c r="AE30" s="33" t="s">
        <v>72</v>
      </c>
      <c r="AF30" s="14" t="s">
        <v>825</v>
      </c>
    </row>
    <row r="31" spans="1:32" ht="63" x14ac:dyDescent="0.25">
      <c r="A31" s="1">
        <v>345</v>
      </c>
      <c r="B31" s="2">
        <v>45905</v>
      </c>
      <c r="C31" s="1" t="s">
        <v>264</v>
      </c>
      <c r="D31" s="1" t="s">
        <v>258</v>
      </c>
      <c r="E31" s="1">
        <v>1</v>
      </c>
      <c r="F31" s="16">
        <v>12509006</v>
      </c>
      <c r="G31" s="16">
        <v>1250</v>
      </c>
      <c r="H31" s="16" t="s">
        <v>55</v>
      </c>
      <c r="I31" s="16" t="s">
        <v>189</v>
      </c>
      <c r="J31" s="16" t="s">
        <v>826</v>
      </c>
      <c r="K31" s="5">
        <v>1566</v>
      </c>
      <c r="L31" s="5">
        <v>1547</v>
      </c>
      <c r="M31" s="5">
        <v>1547</v>
      </c>
      <c r="N31" s="5">
        <v>1546</v>
      </c>
      <c r="O31" s="5">
        <v>1547</v>
      </c>
      <c r="P31" s="30">
        <v>1546.6666666666667</v>
      </c>
      <c r="Q31" s="67">
        <v>4.7</v>
      </c>
      <c r="R31" s="67">
        <v>32</v>
      </c>
      <c r="S31" s="68"/>
      <c r="T31" s="9">
        <v>166.49</v>
      </c>
      <c r="U31" s="9">
        <v>63.2</v>
      </c>
      <c r="V31" s="10">
        <v>103.29</v>
      </c>
      <c r="W31" s="11" t="s">
        <v>5</v>
      </c>
      <c r="X31" s="69">
        <v>58</v>
      </c>
      <c r="Y31" s="12">
        <v>2.6919249999999999</v>
      </c>
      <c r="Z31" s="31">
        <v>6</v>
      </c>
      <c r="AA31" s="31">
        <v>6.7</v>
      </c>
      <c r="AB31" s="32">
        <v>70</v>
      </c>
      <c r="AC31" s="32">
        <v>75</v>
      </c>
      <c r="AD31" s="11" t="s">
        <v>6</v>
      </c>
      <c r="AE31" s="33" t="s">
        <v>13</v>
      </c>
      <c r="AF31" s="14" t="s">
        <v>827</v>
      </c>
    </row>
    <row r="32" spans="1:32" ht="15.75" x14ac:dyDescent="0.25">
      <c r="A32" s="1">
        <v>346</v>
      </c>
      <c r="B32" s="2">
        <v>45905</v>
      </c>
      <c r="C32" s="1" t="s">
        <v>264</v>
      </c>
      <c r="D32" s="1" t="s">
        <v>258</v>
      </c>
      <c r="E32" s="1">
        <v>1</v>
      </c>
      <c r="F32" s="16">
        <v>12509006</v>
      </c>
      <c r="G32" s="16">
        <v>1250</v>
      </c>
      <c r="H32" s="16" t="s">
        <v>55</v>
      </c>
      <c r="I32" s="16" t="s">
        <v>90</v>
      </c>
      <c r="J32" s="16" t="s">
        <v>828</v>
      </c>
      <c r="K32" s="3">
        <v>1565</v>
      </c>
      <c r="L32" s="5">
        <v>1548</v>
      </c>
      <c r="M32" s="5">
        <v>1553</v>
      </c>
      <c r="N32" s="5">
        <v>1552</v>
      </c>
      <c r="O32" s="5">
        <v>1553</v>
      </c>
      <c r="P32" s="30">
        <v>1552.6666666666667</v>
      </c>
      <c r="Q32" s="67">
        <v>5.2</v>
      </c>
      <c r="R32" s="67">
        <v>30</v>
      </c>
      <c r="S32" s="68"/>
      <c r="T32" s="9">
        <v>157.30000000000001</v>
      </c>
      <c r="U32" s="9">
        <v>62.3</v>
      </c>
      <c r="V32" s="10">
        <v>95.000000000000014</v>
      </c>
      <c r="W32" s="11" t="s">
        <v>5</v>
      </c>
      <c r="X32" s="69">
        <v>58</v>
      </c>
      <c r="Y32" s="12">
        <v>2.9782999999999999</v>
      </c>
      <c r="Z32" s="31">
        <v>9.3000000000000007</v>
      </c>
      <c r="AA32" s="31">
        <v>10</v>
      </c>
      <c r="AB32" s="32">
        <v>71</v>
      </c>
      <c r="AC32" s="32">
        <v>77</v>
      </c>
      <c r="AD32" s="11" t="s">
        <v>6</v>
      </c>
      <c r="AE32" s="33" t="s">
        <v>13</v>
      </c>
      <c r="AF32" s="14" t="s">
        <v>829</v>
      </c>
    </row>
    <row r="33" spans="1:32" ht="47.25" x14ac:dyDescent="0.25">
      <c r="A33" s="1">
        <v>350</v>
      </c>
      <c r="B33" s="2">
        <v>45905</v>
      </c>
      <c r="C33" s="1" t="s">
        <v>264</v>
      </c>
      <c r="D33" s="1" t="s">
        <v>258</v>
      </c>
      <c r="E33" s="1">
        <v>1</v>
      </c>
      <c r="F33" s="16">
        <v>12509006</v>
      </c>
      <c r="G33" s="16">
        <v>1250</v>
      </c>
      <c r="H33" s="16" t="s">
        <v>55</v>
      </c>
      <c r="I33" s="16" t="s">
        <v>152</v>
      </c>
      <c r="J33" s="16" t="s">
        <v>830</v>
      </c>
      <c r="K33" s="3">
        <v>1563</v>
      </c>
      <c r="L33" s="5">
        <v>1542</v>
      </c>
      <c r="M33" s="5">
        <v>1542</v>
      </c>
      <c r="N33" s="5">
        <v>1542</v>
      </c>
      <c r="O33" s="5" t="s">
        <v>5</v>
      </c>
      <c r="P33" s="30">
        <v>1542</v>
      </c>
      <c r="Q33" s="95">
        <v>5</v>
      </c>
      <c r="R33" s="67">
        <v>38</v>
      </c>
      <c r="S33" s="72"/>
      <c r="T33" s="11">
        <v>158.30000000000001</v>
      </c>
      <c r="U33" s="11">
        <v>60</v>
      </c>
      <c r="V33" s="11">
        <v>98.300000000000011</v>
      </c>
      <c r="W33" s="11" t="s">
        <v>5</v>
      </c>
      <c r="X33" s="69">
        <v>58</v>
      </c>
      <c r="Y33" s="12">
        <v>2.86375</v>
      </c>
      <c r="Z33" s="31">
        <v>7.4</v>
      </c>
      <c r="AA33" s="31">
        <v>9.1999999999999993</v>
      </c>
      <c r="AB33" s="11">
        <v>74</v>
      </c>
      <c r="AC33" s="11">
        <v>85</v>
      </c>
      <c r="AD33" s="11" t="s">
        <v>6</v>
      </c>
      <c r="AE33" s="33" t="s">
        <v>13</v>
      </c>
      <c r="AF33" s="41" t="s">
        <v>831</v>
      </c>
    </row>
    <row r="34" spans="1:32" ht="31.5" x14ac:dyDescent="0.25">
      <c r="A34" s="1">
        <v>354</v>
      </c>
      <c r="B34" s="2">
        <v>45905</v>
      </c>
      <c r="C34" s="1" t="s">
        <v>264</v>
      </c>
      <c r="D34" s="1" t="s">
        <v>258</v>
      </c>
      <c r="E34" s="1">
        <v>1</v>
      </c>
      <c r="F34" s="16">
        <v>12509006</v>
      </c>
      <c r="G34" s="16">
        <v>1250</v>
      </c>
      <c r="H34" s="16" t="s">
        <v>55</v>
      </c>
      <c r="I34" s="16" t="s">
        <v>20</v>
      </c>
      <c r="J34" s="16" t="s">
        <v>832</v>
      </c>
      <c r="K34" s="3">
        <v>1566</v>
      </c>
      <c r="L34" s="5">
        <v>1548</v>
      </c>
      <c r="M34" s="5">
        <v>1547</v>
      </c>
      <c r="N34" s="5">
        <v>1548</v>
      </c>
      <c r="O34" s="5" t="s">
        <v>5</v>
      </c>
      <c r="P34" s="30">
        <v>1547.5</v>
      </c>
      <c r="Q34" s="67">
        <v>5</v>
      </c>
      <c r="R34" s="67">
        <v>34</v>
      </c>
      <c r="S34" s="72">
        <v>20</v>
      </c>
      <c r="T34" s="11">
        <v>167</v>
      </c>
      <c r="U34" s="11">
        <v>59.8</v>
      </c>
      <c r="V34" s="11">
        <v>107.2</v>
      </c>
      <c r="W34" s="11" t="s">
        <v>5</v>
      </c>
      <c r="X34" s="69">
        <v>58</v>
      </c>
      <c r="Y34" s="12">
        <v>2.86375</v>
      </c>
      <c r="Z34" s="31">
        <v>8.5</v>
      </c>
      <c r="AA34" s="31">
        <v>9.5</v>
      </c>
      <c r="AB34" s="11">
        <v>78</v>
      </c>
      <c r="AC34" s="11">
        <v>85</v>
      </c>
      <c r="AD34" s="11" t="s">
        <v>6</v>
      </c>
      <c r="AE34" s="33" t="s">
        <v>13</v>
      </c>
      <c r="AF34" s="14" t="s">
        <v>833</v>
      </c>
    </row>
    <row r="35" spans="1:32" ht="15.75" x14ac:dyDescent="0.25">
      <c r="A35" s="1">
        <v>370</v>
      </c>
      <c r="B35" s="2">
        <v>45905</v>
      </c>
      <c r="C35" s="1" t="s">
        <v>0</v>
      </c>
      <c r="D35" s="1" t="s">
        <v>19</v>
      </c>
      <c r="E35" s="1">
        <v>1</v>
      </c>
      <c r="F35" s="16">
        <v>12509006</v>
      </c>
      <c r="G35" s="16">
        <v>1250</v>
      </c>
      <c r="H35" s="16" t="s">
        <v>562</v>
      </c>
      <c r="I35" s="16" t="s">
        <v>315</v>
      </c>
      <c r="J35" s="16" t="s">
        <v>834</v>
      </c>
      <c r="K35" s="4">
        <v>1562</v>
      </c>
      <c r="L35" s="5">
        <v>1548</v>
      </c>
      <c r="M35" s="5">
        <v>1547</v>
      </c>
      <c r="N35" s="5">
        <v>1546</v>
      </c>
      <c r="O35" s="5">
        <v>1545</v>
      </c>
      <c r="P35" s="30">
        <v>1546</v>
      </c>
      <c r="Q35" s="16">
        <v>5.2</v>
      </c>
      <c r="R35" s="16">
        <v>35</v>
      </c>
      <c r="S35" s="8"/>
      <c r="T35" s="11">
        <v>166.2</v>
      </c>
      <c r="U35" s="11">
        <v>62</v>
      </c>
      <c r="V35" s="10">
        <v>104.19999999999999</v>
      </c>
      <c r="W35" s="11" t="s">
        <v>5</v>
      </c>
      <c r="X35" s="77">
        <v>58</v>
      </c>
      <c r="Y35" s="12">
        <v>2.9782999999999999</v>
      </c>
      <c r="Z35" s="7">
        <v>7.8</v>
      </c>
      <c r="AA35" s="7">
        <v>8.6</v>
      </c>
      <c r="AB35" s="13">
        <v>64</v>
      </c>
      <c r="AC35" s="13">
        <v>71</v>
      </c>
      <c r="AD35" s="8" t="s">
        <v>6</v>
      </c>
      <c r="AE35" s="33" t="s">
        <v>72</v>
      </c>
      <c r="AF35" s="14" t="s">
        <v>706</v>
      </c>
    </row>
    <row r="36" spans="1:32" ht="31.5" x14ac:dyDescent="0.25">
      <c r="A36" s="1">
        <v>375</v>
      </c>
      <c r="B36" s="2">
        <v>45905</v>
      </c>
      <c r="C36" s="1" t="s">
        <v>0</v>
      </c>
      <c r="D36" s="1" t="s">
        <v>19</v>
      </c>
      <c r="E36" s="1">
        <v>1</v>
      </c>
      <c r="F36" s="16">
        <v>12509006</v>
      </c>
      <c r="G36" s="16">
        <v>1250</v>
      </c>
      <c r="H36" s="16" t="s">
        <v>835</v>
      </c>
      <c r="I36" s="16" t="s">
        <v>83</v>
      </c>
      <c r="J36" s="16" t="s">
        <v>836</v>
      </c>
      <c r="K36" s="4">
        <v>1565</v>
      </c>
      <c r="L36" s="5">
        <v>1551</v>
      </c>
      <c r="M36" s="5">
        <v>1549</v>
      </c>
      <c r="N36" s="5">
        <v>1549</v>
      </c>
      <c r="O36" s="5">
        <v>1548</v>
      </c>
      <c r="P36" s="30">
        <v>1548.6666666666667</v>
      </c>
      <c r="Q36" s="16">
        <v>4</v>
      </c>
      <c r="R36" s="16">
        <v>43</v>
      </c>
      <c r="S36" s="8"/>
      <c r="T36" s="11">
        <v>160.6</v>
      </c>
      <c r="U36" s="11">
        <v>63.4</v>
      </c>
      <c r="V36" s="10">
        <v>97.199999999999989</v>
      </c>
      <c r="W36" s="11" t="s">
        <v>5</v>
      </c>
      <c r="X36" s="11">
        <v>58</v>
      </c>
      <c r="Y36" s="12">
        <v>2.2543440000000001</v>
      </c>
      <c r="Z36" s="7">
        <v>7.4</v>
      </c>
      <c r="AA36" s="7">
        <v>9.6</v>
      </c>
      <c r="AB36" s="13">
        <v>67</v>
      </c>
      <c r="AC36" s="13">
        <v>87</v>
      </c>
      <c r="AD36" s="8" t="s">
        <v>6</v>
      </c>
      <c r="AE36" s="33" t="s">
        <v>72</v>
      </c>
      <c r="AF36" s="14" t="s">
        <v>837</v>
      </c>
    </row>
    <row r="37" spans="1:32" ht="15.75" x14ac:dyDescent="0.25">
      <c r="A37" s="1">
        <v>381</v>
      </c>
      <c r="B37" s="2">
        <v>45905</v>
      </c>
      <c r="C37" s="1" t="s">
        <v>0</v>
      </c>
      <c r="D37" s="1" t="s">
        <v>19</v>
      </c>
      <c r="E37" s="1">
        <v>1</v>
      </c>
      <c r="F37" s="16">
        <v>12509006</v>
      </c>
      <c r="G37" s="16">
        <v>1250</v>
      </c>
      <c r="H37" s="16" t="s">
        <v>838</v>
      </c>
      <c r="I37" s="16" t="s">
        <v>331</v>
      </c>
      <c r="J37" s="16" t="s">
        <v>839</v>
      </c>
      <c r="K37" s="4">
        <v>1563</v>
      </c>
      <c r="L37" s="5">
        <v>1540</v>
      </c>
      <c r="M37" s="5">
        <v>1542</v>
      </c>
      <c r="N37" s="5">
        <v>1542</v>
      </c>
      <c r="O37" s="5">
        <v>1538</v>
      </c>
      <c r="P37" s="30">
        <v>1540.6666666666667</v>
      </c>
      <c r="Q37" s="16">
        <v>4.5</v>
      </c>
      <c r="R37" s="16">
        <v>37</v>
      </c>
      <c r="S37" s="8"/>
      <c r="T37" s="11">
        <v>165.3</v>
      </c>
      <c r="U37" s="11">
        <v>61.9</v>
      </c>
      <c r="V37" s="11">
        <v>103.4</v>
      </c>
      <c r="W37" s="11" t="s">
        <v>5</v>
      </c>
      <c r="X37" s="11">
        <v>58</v>
      </c>
      <c r="Y37" s="12">
        <v>2.5361370000000001</v>
      </c>
      <c r="Z37" s="7">
        <v>8.3000000000000007</v>
      </c>
      <c r="AA37" s="7">
        <v>9.6999999999999993</v>
      </c>
      <c r="AB37" s="13">
        <v>68</v>
      </c>
      <c r="AC37" s="13">
        <v>81</v>
      </c>
      <c r="AD37" s="8" t="s">
        <v>6</v>
      </c>
      <c r="AE37" s="33" t="s">
        <v>72</v>
      </c>
      <c r="AF37" s="14" t="s">
        <v>418</v>
      </c>
    </row>
    <row r="38" spans="1:32" ht="31.5" x14ac:dyDescent="0.25">
      <c r="A38" s="1">
        <v>392</v>
      </c>
      <c r="B38" s="2">
        <v>45905</v>
      </c>
      <c r="C38" s="1" t="s">
        <v>0</v>
      </c>
      <c r="D38" s="1" t="s">
        <v>19</v>
      </c>
      <c r="E38" s="1">
        <v>2</v>
      </c>
      <c r="F38" s="16">
        <v>22509005</v>
      </c>
      <c r="G38" s="16">
        <v>1250</v>
      </c>
      <c r="H38" s="16" t="s">
        <v>840</v>
      </c>
      <c r="I38" s="16" t="s">
        <v>296</v>
      </c>
      <c r="J38" s="1" t="s">
        <v>841</v>
      </c>
      <c r="K38" s="4">
        <v>1564</v>
      </c>
      <c r="L38" s="5">
        <v>1538</v>
      </c>
      <c r="M38" s="5">
        <v>1539</v>
      </c>
      <c r="N38" s="5">
        <v>1539</v>
      </c>
      <c r="O38" s="5">
        <v>1539</v>
      </c>
      <c r="P38" s="30">
        <v>1539</v>
      </c>
      <c r="Q38" s="7">
        <v>4.8</v>
      </c>
      <c r="R38" s="4">
        <v>41</v>
      </c>
      <c r="S38" s="8"/>
      <c r="T38" s="11" t="s">
        <v>5</v>
      </c>
      <c r="U38" s="11" t="s">
        <v>5</v>
      </c>
      <c r="V38" s="10" t="s">
        <v>5</v>
      </c>
      <c r="W38" s="37" t="s">
        <v>5</v>
      </c>
      <c r="X38" s="11">
        <v>58</v>
      </c>
      <c r="Y38" s="12">
        <v>2.7491999999999996</v>
      </c>
      <c r="Z38" s="7">
        <v>9.1999999999999993</v>
      </c>
      <c r="AA38" s="7">
        <v>7.7</v>
      </c>
      <c r="AB38" s="13">
        <v>72</v>
      </c>
      <c r="AC38" s="13">
        <v>63</v>
      </c>
      <c r="AD38" s="17" t="s">
        <v>6</v>
      </c>
      <c r="AE38" s="33" t="s">
        <v>72</v>
      </c>
      <c r="AF38" s="14" t="s">
        <v>757</v>
      </c>
    </row>
    <row r="39" spans="1:32" ht="15.75" x14ac:dyDescent="0.25">
      <c r="A39" s="1">
        <v>412</v>
      </c>
      <c r="B39" s="2">
        <v>45906</v>
      </c>
      <c r="C39" s="1" t="s">
        <v>18</v>
      </c>
      <c r="D39" s="1" t="s">
        <v>1</v>
      </c>
      <c r="E39" s="1">
        <v>2</v>
      </c>
      <c r="F39" s="16">
        <v>22509006</v>
      </c>
      <c r="G39" s="16">
        <v>1250</v>
      </c>
      <c r="H39" s="16" t="s">
        <v>10</v>
      </c>
      <c r="I39" s="16" t="s">
        <v>189</v>
      </c>
      <c r="J39" s="16" t="s">
        <v>842</v>
      </c>
      <c r="K39" s="3">
        <v>1565</v>
      </c>
      <c r="L39" s="5">
        <v>1546</v>
      </c>
      <c r="M39" s="5">
        <v>1546</v>
      </c>
      <c r="N39" s="5">
        <v>1547</v>
      </c>
      <c r="O39" s="5" t="s">
        <v>5</v>
      </c>
      <c r="P39" s="30">
        <v>1546.5</v>
      </c>
      <c r="Q39" s="67">
        <v>5.5</v>
      </c>
      <c r="R39" s="67">
        <v>32</v>
      </c>
      <c r="S39" s="72" t="s">
        <v>5</v>
      </c>
      <c r="T39" s="11">
        <v>161.4</v>
      </c>
      <c r="U39" s="11">
        <v>62.56</v>
      </c>
      <c r="V39" s="10">
        <v>98.84</v>
      </c>
      <c r="W39" s="11" t="s">
        <v>5</v>
      </c>
      <c r="X39" s="69">
        <v>58</v>
      </c>
      <c r="Y39" s="12">
        <v>3.1501250000000001</v>
      </c>
      <c r="Z39" s="31">
        <v>10.8</v>
      </c>
      <c r="AA39" s="31">
        <v>10.4</v>
      </c>
      <c r="AB39" s="11">
        <v>85</v>
      </c>
      <c r="AC39" s="11">
        <v>69</v>
      </c>
      <c r="AD39" s="11" t="s">
        <v>6</v>
      </c>
      <c r="AE39" s="33" t="s">
        <v>53</v>
      </c>
      <c r="AF39" s="41" t="s">
        <v>397</v>
      </c>
    </row>
    <row r="40" spans="1:32" ht="47.25" x14ac:dyDescent="0.25">
      <c r="A40" s="1">
        <v>435</v>
      </c>
      <c r="B40" s="2">
        <v>45906</v>
      </c>
      <c r="C40" s="1" t="s">
        <v>264</v>
      </c>
      <c r="D40" s="1" t="s">
        <v>265</v>
      </c>
      <c r="E40" s="1">
        <v>2</v>
      </c>
      <c r="F40" s="16">
        <v>22509006</v>
      </c>
      <c r="G40" s="16">
        <v>1230</v>
      </c>
      <c r="H40" s="16" t="s">
        <v>10</v>
      </c>
      <c r="I40" s="16" t="s">
        <v>132</v>
      </c>
      <c r="J40" s="16" t="s">
        <v>843</v>
      </c>
      <c r="K40" s="3">
        <v>1564</v>
      </c>
      <c r="L40" s="5">
        <v>1546</v>
      </c>
      <c r="M40" s="5">
        <v>1545</v>
      </c>
      <c r="N40" s="5">
        <v>1544</v>
      </c>
      <c r="O40" s="5" t="s">
        <v>5</v>
      </c>
      <c r="P40" s="30">
        <v>1544.5</v>
      </c>
      <c r="Q40" s="67">
        <v>5.0999999999999996</v>
      </c>
      <c r="R40" s="67">
        <v>33</v>
      </c>
      <c r="S40" s="72" t="s">
        <v>5</v>
      </c>
      <c r="T40" s="11">
        <v>158</v>
      </c>
      <c r="U40" s="11">
        <v>60</v>
      </c>
      <c r="V40" s="10">
        <v>98</v>
      </c>
      <c r="W40" s="11" t="s">
        <v>5</v>
      </c>
      <c r="X40" s="69">
        <v>58</v>
      </c>
      <c r="Y40" s="12">
        <v>2.8742885999999999</v>
      </c>
      <c r="Z40" s="31">
        <v>10.6</v>
      </c>
      <c r="AA40" s="31">
        <v>7.6</v>
      </c>
      <c r="AB40" s="11">
        <v>92</v>
      </c>
      <c r="AC40" s="11">
        <v>70</v>
      </c>
      <c r="AD40" s="11" t="s">
        <v>6</v>
      </c>
      <c r="AE40" s="33" t="s">
        <v>53</v>
      </c>
      <c r="AF40" s="14" t="s">
        <v>844</v>
      </c>
    </row>
    <row r="41" spans="1:32" ht="31.5" x14ac:dyDescent="0.25">
      <c r="A41" s="1">
        <v>438</v>
      </c>
      <c r="B41" s="2">
        <v>45906</v>
      </c>
      <c r="C41" s="1" t="s">
        <v>264</v>
      </c>
      <c r="D41" s="1" t="s">
        <v>265</v>
      </c>
      <c r="E41" s="1">
        <v>2</v>
      </c>
      <c r="F41" s="16">
        <v>22509006</v>
      </c>
      <c r="G41" s="16">
        <v>1230</v>
      </c>
      <c r="H41" s="16" t="s">
        <v>10</v>
      </c>
      <c r="I41" s="16" t="s">
        <v>103</v>
      </c>
      <c r="J41" s="16" t="s">
        <v>845</v>
      </c>
      <c r="K41" s="9">
        <v>1564</v>
      </c>
      <c r="L41" s="5">
        <v>1546</v>
      </c>
      <c r="M41" s="5">
        <v>1544</v>
      </c>
      <c r="N41" s="5">
        <v>1543</v>
      </c>
      <c r="O41" s="5" t="s">
        <v>5</v>
      </c>
      <c r="P41" s="30">
        <v>1543.5</v>
      </c>
      <c r="Q41" s="16">
        <v>5</v>
      </c>
      <c r="R41" s="16">
        <v>33</v>
      </c>
      <c r="S41" s="8" t="s">
        <v>5</v>
      </c>
      <c r="T41" s="9">
        <v>165.5</v>
      </c>
      <c r="U41" s="9">
        <v>65.2</v>
      </c>
      <c r="V41" s="10">
        <v>100.3</v>
      </c>
      <c r="W41" s="11" t="s">
        <v>5</v>
      </c>
      <c r="X41" s="69">
        <v>58</v>
      </c>
      <c r="Y41" s="12">
        <v>2.81793</v>
      </c>
      <c r="Z41" s="31">
        <v>11.3</v>
      </c>
      <c r="AA41" s="31">
        <v>8.4</v>
      </c>
      <c r="AB41" s="32">
        <v>92</v>
      </c>
      <c r="AC41" s="32">
        <v>79</v>
      </c>
      <c r="AD41" s="11" t="s">
        <v>6</v>
      </c>
      <c r="AE41" s="33" t="s">
        <v>53</v>
      </c>
      <c r="AF41" s="14" t="s">
        <v>846</v>
      </c>
    </row>
    <row r="42" spans="1:32" ht="15.75" x14ac:dyDescent="0.25">
      <c r="A42" s="1">
        <v>442</v>
      </c>
      <c r="B42" s="2">
        <v>45906</v>
      </c>
      <c r="C42" s="1" t="s">
        <v>264</v>
      </c>
      <c r="D42" s="1" t="s">
        <v>265</v>
      </c>
      <c r="E42" s="1">
        <v>2</v>
      </c>
      <c r="F42" s="16">
        <v>22509006</v>
      </c>
      <c r="G42" s="16">
        <v>1230</v>
      </c>
      <c r="H42" s="16" t="s">
        <v>10</v>
      </c>
      <c r="I42" s="16" t="s">
        <v>113</v>
      </c>
      <c r="J42" s="16" t="s">
        <v>847</v>
      </c>
      <c r="K42" s="9">
        <v>1566</v>
      </c>
      <c r="L42" s="5">
        <v>1542</v>
      </c>
      <c r="M42" s="5">
        <v>1542</v>
      </c>
      <c r="N42" s="5">
        <v>1542</v>
      </c>
      <c r="O42" s="5" t="s">
        <v>5</v>
      </c>
      <c r="P42" s="30">
        <v>1542</v>
      </c>
      <c r="Q42" s="69">
        <v>4.9000000000000004</v>
      </c>
      <c r="R42" s="69">
        <v>36</v>
      </c>
      <c r="S42" s="8" t="s">
        <v>5</v>
      </c>
      <c r="T42" s="11">
        <v>171.2</v>
      </c>
      <c r="U42" s="11">
        <v>65.3</v>
      </c>
      <c r="V42" s="10">
        <v>105.89999999999999</v>
      </c>
      <c r="W42" s="11">
        <v>15.4</v>
      </c>
      <c r="X42" s="69">
        <v>58</v>
      </c>
      <c r="Y42" s="12">
        <v>2.7615714000000002</v>
      </c>
      <c r="Z42" s="31">
        <v>12.3</v>
      </c>
      <c r="AA42" s="31">
        <v>10</v>
      </c>
      <c r="AB42" s="32">
        <v>95</v>
      </c>
      <c r="AC42" s="32">
        <v>70</v>
      </c>
      <c r="AD42" s="11" t="s">
        <v>6</v>
      </c>
      <c r="AE42" s="33" t="s">
        <v>53</v>
      </c>
      <c r="AF42" s="14" t="s">
        <v>397</v>
      </c>
    </row>
    <row r="43" spans="1:32" ht="31.5" x14ac:dyDescent="0.25">
      <c r="A43" s="1">
        <v>444</v>
      </c>
      <c r="B43" s="2">
        <v>45906</v>
      </c>
      <c r="C43" s="1" t="s">
        <v>264</v>
      </c>
      <c r="D43" s="1" t="s">
        <v>265</v>
      </c>
      <c r="E43" s="1">
        <v>2</v>
      </c>
      <c r="F43" s="16">
        <v>22509006</v>
      </c>
      <c r="G43" s="16">
        <v>1230</v>
      </c>
      <c r="H43" s="16" t="s">
        <v>10</v>
      </c>
      <c r="I43" s="16" t="s">
        <v>155</v>
      </c>
      <c r="J43" s="16" t="s">
        <v>848</v>
      </c>
      <c r="K43" s="9">
        <v>1568</v>
      </c>
      <c r="L43" s="5">
        <v>1543</v>
      </c>
      <c r="M43" s="5">
        <v>1544</v>
      </c>
      <c r="N43" s="5">
        <v>1543</v>
      </c>
      <c r="O43" s="5" t="s">
        <v>5</v>
      </c>
      <c r="P43" s="30">
        <v>1543.5</v>
      </c>
      <c r="Q43" s="69">
        <v>5</v>
      </c>
      <c r="R43" s="69">
        <v>37</v>
      </c>
      <c r="S43" s="8" t="s">
        <v>5</v>
      </c>
      <c r="T43" s="9">
        <v>172.2</v>
      </c>
      <c r="U43" s="9">
        <v>60</v>
      </c>
      <c r="V43" s="10">
        <v>112.19999999999999</v>
      </c>
      <c r="W43" s="11">
        <v>17.100000000000001</v>
      </c>
      <c r="X43" s="69">
        <v>58</v>
      </c>
      <c r="Y43" s="12">
        <v>2.81793</v>
      </c>
      <c r="Z43" s="31">
        <v>12.1</v>
      </c>
      <c r="AA43" s="31">
        <v>9.6999999999999993</v>
      </c>
      <c r="AB43" s="32">
        <v>93</v>
      </c>
      <c r="AC43" s="32">
        <v>78</v>
      </c>
      <c r="AD43" s="11" t="s">
        <v>6</v>
      </c>
      <c r="AE43" s="33" t="s">
        <v>53</v>
      </c>
      <c r="AF43" s="14" t="s">
        <v>849</v>
      </c>
    </row>
    <row r="44" spans="1:32" ht="15.75" x14ac:dyDescent="0.25">
      <c r="A44" s="1">
        <v>460</v>
      </c>
      <c r="B44" s="2">
        <v>45906</v>
      </c>
      <c r="C44" s="1" t="s">
        <v>0</v>
      </c>
      <c r="D44" s="1" t="s">
        <v>19</v>
      </c>
      <c r="E44" s="1">
        <v>2</v>
      </c>
      <c r="F44" s="16">
        <v>22509006</v>
      </c>
      <c r="G44" s="16">
        <v>1230</v>
      </c>
      <c r="H44" s="16" t="s">
        <v>10</v>
      </c>
      <c r="I44" s="16" t="s">
        <v>126</v>
      </c>
      <c r="J44" s="16" t="s">
        <v>850</v>
      </c>
      <c r="K44" s="4">
        <v>1565</v>
      </c>
      <c r="L44" s="5">
        <v>1543</v>
      </c>
      <c r="M44" s="5">
        <v>1543</v>
      </c>
      <c r="N44" s="5">
        <v>1540</v>
      </c>
      <c r="O44" s="5">
        <v>1540</v>
      </c>
      <c r="P44" s="30">
        <v>1541</v>
      </c>
      <c r="Q44" s="16">
        <v>5.0999999999999996</v>
      </c>
      <c r="R44" s="16">
        <v>40</v>
      </c>
      <c r="S44" s="8" t="s">
        <v>5</v>
      </c>
      <c r="T44" s="11">
        <v>168</v>
      </c>
      <c r="U44" s="11">
        <v>64.400000000000006</v>
      </c>
      <c r="V44" s="10">
        <v>103.6</v>
      </c>
      <c r="W44" s="11">
        <v>17.899999999999999</v>
      </c>
      <c r="X44" s="11">
        <v>58</v>
      </c>
      <c r="Y44" s="12">
        <v>2.8742885999999999</v>
      </c>
      <c r="Z44" s="7">
        <v>11.7</v>
      </c>
      <c r="AA44" s="7">
        <v>8.6999999999999993</v>
      </c>
      <c r="AB44" s="13">
        <v>92</v>
      </c>
      <c r="AC44" s="13">
        <v>62</v>
      </c>
      <c r="AD44" s="8" t="s">
        <v>6</v>
      </c>
      <c r="AE44" s="33" t="s">
        <v>53</v>
      </c>
      <c r="AF44" s="14" t="s">
        <v>397</v>
      </c>
    </row>
    <row r="45" spans="1:32" ht="31.5" x14ac:dyDescent="0.25">
      <c r="A45" s="1">
        <v>461</v>
      </c>
      <c r="B45" s="2">
        <v>45906</v>
      </c>
      <c r="C45" s="1" t="s">
        <v>0</v>
      </c>
      <c r="D45" s="1" t="s">
        <v>19</v>
      </c>
      <c r="E45" s="1">
        <v>2</v>
      </c>
      <c r="F45" s="16">
        <v>22509006</v>
      </c>
      <c r="G45" s="16">
        <v>1230</v>
      </c>
      <c r="H45" s="16" t="s">
        <v>10</v>
      </c>
      <c r="I45" s="16" t="s">
        <v>331</v>
      </c>
      <c r="J45" s="16" t="s">
        <v>851</v>
      </c>
      <c r="K45" s="4">
        <v>1565</v>
      </c>
      <c r="L45" s="5">
        <v>1542</v>
      </c>
      <c r="M45" s="5">
        <v>1546</v>
      </c>
      <c r="N45" s="5">
        <v>1545</v>
      </c>
      <c r="O45" s="5">
        <v>1540</v>
      </c>
      <c r="P45" s="30">
        <v>1543.6666666666667</v>
      </c>
      <c r="Q45" s="16">
        <v>5.4</v>
      </c>
      <c r="R45" s="16">
        <v>33</v>
      </c>
      <c r="S45" s="8" t="s">
        <v>5</v>
      </c>
      <c r="T45" s="11">
        <v>157.22999999999999</v>
      </c>
      <c r="U45" s="11">
        <v>62.66</v>
      </c>
      <c r="V45" s="10">
        <v>94.57</v>
      </c>
      <c r="W45" s="11">
        <v>16.399999999999999</v>
      </c>
      <c r="X45" s="11">
        <v>58</v>
      </c>
      <c r="Y45" s="12">
        <v>3.0433644000000002</v>
      </c>
      <c r="Z45" s="7">
        <v>12.3</v>
      </c>
      <c r="AA45" s="7">
        <v>7.9</v>
      </c>
      <c r="AB45" s="13">
        <v>95</v>
      </c>
      <c r="AC45" s="13">
        <v>61</v>
      </c>
      <c r="AD45" s="8" t="s">
        <v>6</v>
      </c>
      <c r="AE45" s="33" t="s">
        <v>53</v>
      </c>
      <c r="AF45" s="14" t="s">
        <v>849</v>
      </c>
    </row>
    <row r="46" spans="1:32" ht="47.25" x14ac:dyDescent="0.25">
      <c r="A46" s="1">
        <v>465</v>
      </c>
      <c r="B46" s="2">
        <v>45906</v>
      </c>
      <c r="C46" s="1" t="s">
        <v>0</v>
      </c>
      <c r="D46" s="1" t="s">
        <v>19</v>
      </c>
      <c r="E46" s="1">
        <v>2</v>
      </c>
      <c r="F46" s="16">
        <v>22509007</v>
      </c>
      <c r="G46" s="16">
        <v>1230</v>
      </c>
      <c r="H46" s="16" t="s">
        <v>10</v>
      </c>
      <c r="I46" s="16" t="s">
        <v>77</v>
      </c>
      <c r="J46" s="16" t="s">
        <v>852</v>
      </c>
      <c r="K46" s="4">
        <v>1565</v>
      </c>
      <c r="L46" s="5">
        <v>1540</v>
      </c>
      <c r="M46" s="5">
        <v>1538</v>
      </c>
      <c r="N46" s="5">
        <v>1537</v>
      </c>
      <c r="O46" s="5">
        <v>1535</v>
      </c>
      <c r="P46" s="30">
        <v>1536.6666666666667</v>
      </c>
      <c r="Q46" s="7">
        <v>4.5</v>
      </c>
      <c r="R46" s="4">
        <v>26</v>
      </c>
      <c r="S46" s="8">
        <v>30</v>
      </c>
      <c r="T46" s="11">
        <v>162.01</v>
      </c>
      <c r="U46" s="11">
        <v>85.3</v>
      </c>
      <c r="V46" s="10">
        <v>76.709999999999994</v>
      </c>
      <c r="W46" s="11">
        <v>20.5</v>
      </c>
      <c r="X46" s="11">
        <v>58</v>
      </c>
      <c r="Y46" s="12">
        <v>2.5361370000000001</v>
      </c>
      <c r="Z46" s="7">
        <v>9.8000000000000007</v>
      </c>
      <c r="AA46" s="7">
        <v>9.1</v>
      </c>
      <c r="AB46" s="13">
        <v>89</v>
      </c>
      <c r="AC46" s="13">
        <v>87</v>
      </c>
      <c r="AD46" s="8" t="s">
        <v>6</v>
      </c>
      <c r="AE46" s="33" t="s">
        <v>7</v>
      </c>
      <c r="AF46" s="14" t="s">
        <v>853</v>
      </c>
    </row>
    <row r="47" spans="1:32" ht="31.5" x14ac:dyDescent="0.25">
      <c r="A47" s="1">
        <v>525</v>
      </c>
      <c r="B47" s="2">
        <v>45907</v>
      </c>
      <c r="C47" s="1" t="s">
        <v>0</v>
      </c>
      <c r="D47" s="1" t="s">
        <v>19</v>
      </c>
      <c r="E47" s="1">
        <v>1</v>
      </c>
      <c r="F47" s="16">
        <v>12509007</v>
      </c>
      <c r="G47" s="16">
        <v>1250</v>
      </c>
      <c r="H47" s="16" t="s">
        <v>244</v>
      </c>
      <c r="I47" s="16" t="s">
        <v>240</v>
      </c>
      <c r="J47" s="16" t="s">
        <v>854</v>
      </c>
      <c r="K47" s="9">
        <v>1566</v>
      </c>
      <c r="L47" s="5">
        <v>1546</v>
      </c>
      <c r="M47" s="5">
        <v>1547</v>
      </c>
      <c r="N47" s="5">
        <v>1545</v>
      </c>
      <c r="O47" s="5">
        <v>1542</v>
      </c>
      <c r="P47" s="30">
        <v>1544.6666666666667</v>
      </c>
      <c r="Q47" s="69">
        <v>5</v>
      </c>
      <c r="R47" s="69">
        <v>35</v>
      </c>
      <c r="S47" s="8" t="s">
        <v>5</v>
      </c>
      <c r="T47" s="11">
        <v>162.4</v>
      </c>
      <c r="U47" s="11">
        <v>64.2</v>
      </c>
      <c r="V47" s="10">
        <v>98.2</v>
      </c>
      <c r="W47" s="78" t="s">
        <v>5</v>
      </c>
      <c r="X47" s="69">
        <v>56</v>
      </c>
      <c r="Y47" s="12">
        <v>2.7650000000000001</v>
      </c>
      <c r="Z47" s="31">
        <v>10.4</v>
      </c>
      <c r="AA47" s="31">
        <v>10.8</v>
      </c>
      <c r="AB47" s="32">
        <v>77</v>
      </c>
      <c r="AC47" s="32">
        <v>92</v>
      </c>
      <c r="AD47" s="11" t="s">
        <v>6</v>
      </c>
      <c r="AE47" s="33" t="s">
        <v>455</v>
      </c>
      <c r="AF47" s="14" t="s">
        <v>855</v>
      </c>
    </row>
    <row r="48" spans="1:32" ht="63" x14ac:dyDescent="0.25">
      <c r="A48" s="1">
        <v>526</v>
      </c>
      <c r="B48" s="2">
        <v>45907</v>
      </c>
      <c r="C48" s="1" t="s">
        <v>0</v>
      </c>
      <c r="D48" s="1" t="s">
        <v>19</v>
      </c>
      <c r="E48" s="1">
        <v>1</v>
      </c>
      <c r="F48" s="16">
        <v>12509007</v>
      </c>
      <c r="G48" s="16">
        <v>1250</v>
      </c>
      <c r="H48" s="16" t="s">
        <v>244</v>
      </c>
      <c r="I48" s="16" t="s">
        <v>273</v>
      </c>
      <c r="J48" s="16" t="s">
        <v>856</v>
      </c>
      <c r="K48" s="4">
        <v>1568</v>
      </c>
      <c r="L48" s="5">
        <v>1546</v>
      </c>
      <c r="M48" s="5">
        <v>1544</v>
      </c>
      <c r="N48" s="5">
        <v>1542</v>
      </c>
      <c r="O48" s="5">
        <v>1540</v>
      </c>
      <c r="P48" s="30">
        <v>1542</v>
      </c>
      <c r="Q48" s="16">
        <v>4.5</v>
      </c>
      <c r="R48" s="16">
        <v>34</v>
      </c>
      <c r="S48" s="8" t="s">
        <v>5</v>
      </c>
      <c r="T48" s="11">
        <v>154</v>
      </c>
      <c r="U48" s="11">
        <v>63</v>
      </c>
      <c r="V48" s="10">
        <v>91</v>
      </c>
      <c r="W48" s="78" t="s">
        <v>5</v>
      </c>
      <c r="X48" s="69">
        <v>56</v>
      </c>
      <c r="Y48" s="12">
        <v>2.4486840000000005</v>
      </c>
      <c r="Z48" s="7">
        <v>9.4</v>
      </c>
      <c r="AA48" s="7">
        <v>10.7</v>
      </c>
      <c r="AB48" s="13">
        <v>79</v>
      </c>
      <c r="AC48" s="13">
        <v>91</v>
      </c>
      <c r="AD48" s="11" t="s">
        <v>6</v>
      </c>
      <c r="AE48" s="33" t="s">
        <v>455</v>
      </c>
      <c r="AF48" s="14" t="s">
        <v>857</v>
      </c>
    </row>
    <row r="49" spans="1:32" ht="47.25" x14ac:dyDescent="0.25">
      <c r="A49" s="1">
        <v>561</v>
      </c>
      <c r="B49" s="2">
        <v>45908</v>
      </c>
      <c r="C49" s="1" t="s">
        <v>18</v>
      </c>
      <c r="D49" s="1" t="s">
        <v>1</v>
      </c>
      <c r="E49" s="1">
        <v>2</v>
      </c>
      <c r="F49" s="16">
        <v>22509008</v>
      </c>
      <c r="G49" s="16">
        <v>1250</v>
      </c>
      <c r="H49" s="16" t="s">
        <v>10</v>
      </c>
      <c r="I49" s="16" t="s">
        <v>86</v>
      </c>
      <c r="J49" s="16" t="s">
        <v>858</v>
      </c>
      <c r="K49" s="3">
        <v>1563</v>
      </c>
      <c r="L49" s="5">
        <v>1556</v>
      </c>
      <c r="M49" s="5">
        <v>1556</v>
      </c>
      <c r="N49" s="5">
        <v>1556</v>
      </c>
      <c r="O49" s="5"/>
      <c r="P49" s="30">
        <v>1556</v>
      </c>
      <c r="Q49" s="70">
        <v>4.8</v>
      </c>
      <c r="R49" s="67">
        <v>34</v>
      </c>
      <c r="S49" s="72"/>
      <c r="T49" s="11">
        <v>169</v>
      </c>
      <c r="U49" s="11">
        <v>63</v>
      </c>
      <c r="V49" s="11">
        <v>106</v>
      </c>
      <c r="W49" s="11" t="s">
        <v>5</v>
      </c>
      <c r="X49" s="69">
        <v>58</v>
      </c>
      <c r="Y49" s="12">
        <v>2.7491999999999996</v>
      </c>
      <c r="Z49" s="46">
        <v>7.7</v>
      </c>
      <c r="AA49" s="31">
        <v>7.8</v>
      </c>
      <c r="AB49" s="11">
        <v>71</v>
      </c>
      <c r="AC49" s="11">
        <v>73</v>
      </c>
      <c r="AD49" s="11" t="s">
        <v>6</v>
      </c>
      <c r="AE49" s="33" t="s">
        <v>72</v>
      </c>
      <c r="AF49" s="41" t="s">
        <v>859</v>
      </c>
    </row>
    <row r="50" spans="1:32" ht="47.25" x14ac:dyDescent="0.25">
      <c r="A50" s="1">
        <v>563</v>
      </c>
      <c r="B50" s="2">
        <v>45908</v>
      </c>
      <c r="C50" s="1" t="s">
        <v>18</v>
      </c>
      <c r="D50" s="1" t="s">
        <v>1</v>
      </c>
      <c r="E50" s="1">
        <v>2</v>
      </c>
      <c r="F50" s="16">
        <v>22509008</v>
      </c>
      <c r="G50" s="16">
        <v>1250</v>
      </c>
      <c r="H50" s="16" t="s">
        <v>10</v>
      </c>
      <c r="I50" s="16" t="s">
        <v>194</v>
      </c>
      <c r="J50" s="16" t="s">
        <v>860</v>
      </c>
      <c r="K50" s="3">
        <v>1567</v>
      </c>
      <c r="L50" s="5">
        <v>1549</v>
      </c>
      <c r="M50" s="5">
        <v>1548</v>
      </c>
      <c r="N50" s="5">
        <v>1548</v>
      </c>
      <c r="O50" s="5">
        <v>1548</v>
      </c>
      <c r="P50" s="30">
        <v>1548</v>
      </c>
      <c r="Q50" s="70">
        <v>5</v>
      </c>
      <c r="R50" s="67">
        <v>31</v>
      </c>
      <c r="S50" s="72"/>
      <c r="T50" s="11">
        <v>158.6</v>
      </c>
      <c r="U50" s="11">
        <v>62.4</v>
      </c>
      <c r="V50" s="11">
        <v>96.199999999999989</v>
      </c>
      <c r="W50" s="11" t="s">
        <v>5</v>
      </c>
      <c r="X50" s="69">
        <v>58</v>
      </c>
      <c r="Y50" s="12">
        <v>2.86375</v>
      </c>
      <c r="Z50" s="64">
        <v>9.6</v>
      </c>
      <c r="AA50" s="64">
        <v>9.3000000000000007</v>
      </c>
      <c r="AB50" s="11">
        <v>82</v>
      </c>
      <c r="AC50" s="11">
        <v>79</v>
      </c>
      <c r="AD50" s="11" t="s">
        <v>6</v>
      </c>
      <c r="AE50" s="33" t="s">
        <v>53</v>
      </c>
      <c r="AF50" s="41" t="s">
        <v>861</v>
      </c>
    </row>
    <row r="51" spans="1:32" ht="15.75" x14ac:dyDescent="0.25">
      <c r="A51" s="1">
        <v>570</v>
      </c>
      <c r="B51" s="2">
        <v>45908</v>
      </c>
      <c r="C51" s="1" t="s">
        <v>18</v>
      </c>
      <c r="D51" s="1" t="s">
        <v>1</v>
      </c>
      <c r="E51" s="1">
        <v>2</v>
      </c>
      <c r="F51" s="16">
        <v>22509008</v>
      </c>
      <c r="G51" s="16">
        <v>1250</v>
      </c>
      <c r="H51" s="16" t="s">
        <v>10</v>
      </c>
      <c r="I51" s="16" t="s">
        <v>122</v>
      </c>
      <c r="J51" s="16" t="s">
        <v>862</v>
      </c>
      <c r="K51" s="3">
        <v>1566</v>
      </c>
      <c r="L51" s="5">
        <v>1536</v>
      </c>
      <c r="M51" s="5">
        <v>1537</v>
      </c>
      <c r="N51" s="5">
        <v>1538</v>
      </c>
      <c r="O51" s="5">
        <v>1537</v>
      </c>
      <c r="P51" s="30">
        <v>1537.3333333333333</v>
      </c>
      <c r="Q51" s="70">
        <v>5</v>
      </c>
      <c r="R51" s="67">
        <v>33</v>
      </c>
      <c r="S51" s="72"/>
      <c r="T51" s="11">
        <v>162</v>
      </c>
      <c r="U51" s="11">
        <v>60</v>
      </c>
      <c r="V51" s="10">
        <v>102</v>
      </c>
      <c r="W51" s="11" t="s">
        <v>5</v>
      </c>
      <c r="X51" s="69">
        <v>58</v>
      </c>
      <c r="Y51" s="12">
        <v>2.86375</v>
      </c>
      <c r="Z51" s="31">
        <v>9.6</v>
      </c>
      <c r="AA51" s="31">
        <v>9.8000000000000007</v>
      </c>
      <c r="AB51" s="11">
        <v>81</v>
      </c>
      <c r="AC51" s="11">
        <v>81</v>
      </c>
      <c r="AD51" s="11" t="s">
        <v>6</v>
      </c>
      <c r="AE51" s="33" t="s">
        <v>53</v>
      </c>
      <c r="AF51" s="41" t="s">
        <v>863</v>
      </c>
    </row>
    <row r="52" spans="1:32" ht="31.5" x14ac:dyDescent="0.25">
      <c r="A52" s="1">
        <v>581</v>
      </c>
      <c r="B52" s="2">
        <v>45908</v>
      </c>
      <c r="C52" s="1" t="s">
        <v>264</v>
      </c>
      <c r="D52" s="1" t="s">
        <v>265</v>
      </c>
      <c r="E52" s="1">
        <v>1</v>
      </c>
      <c r="F52" s="16">
        <v>12509009</v>
      </c>
      <c r="G52" s="16">
        <v>1250</v>
      </c>
      <c r="H52" s="16" t="s">
        <v>55</v>
      </c>
      <c r="I52" s="16" t="s">
        <v>261</v>
      </c>
      <c r="J52" s="16" t="s">
        <v>864</v>
      </c>
      <c r="K52" s="5">
        <v>1568</v>
      </c>
      <c r="L52" s="5">
        <v>1541</v>
      </c>
      <c r="M52" s="5">
        <v>1542</v>
      </c>
      <c r="N52" s="5">
        <v>1543</v>
      </c>
      <c r="O52" s="5">
        <v>1543</v>
      </c>
      <c r="P52" s="30">
        <v>1542.6666666666667</v>
      </c>
      <c r="Q52" s="67">
        <v>5</v>
      </c>
      <c r="R52" s="67">
        <v>36</v>
      </c>
      <c r="S52" s="68"/>
      <c r="T52" s="9">
        <v>165</v>
      </c>
      <c r="U52" s="9">
        <v>62</v>
      </c>
      <c r="V52" s="10">
        <v>103</v>
      </c>
      <c r="W52" s="11" t="s">
        <v>5</v>
      </c>
      <c r="X52" s="69">
        <v>58</v>
      </c>
      <c r="Y52" s="12">
        <v>2.86375</v>
      </c>
      <c r="Z52" s="46">
        <v>77</v>
      </c>
      <c r="AA52" s="31">
        <v>84</v>
      </c>
      <c r="AB52" s="32">
        <v>77</v>
      </c>
      <c r="AC52" s="32">
        <v>84</v>
      </c>
      <c r="AD52" s="11" t="s">
        <v>6</v>
      </c>
      <c r="AE52" s="33" t="s">
        <v>455</v>
      </c>
      <c r="AF52" s="46" t="s">
        <v>865</v>
      </c>
    </row>
    <row r="53" spans="1:32" ht="31.5" x14ac:dyDescent="0.25">
      <c r="A53" s="1">
        <v>585</v>
      </c>
      <c r="B53" s="2">
        <v>45908</v>
      </c>
      <c r="C53" s="1" t="s">
        <v>264</v>
      </c>
      <c r="D53" s="1" t="s">
        <v>265</v>
      </c>
      <c r="E53" s="1">
        <v>1</v>
      </c>
      <c r="F53" s="16">
        <v>12509009</v>
      </c>
      <c r="G53" s="16">
        <v>1250</v>
      </c>
      <c r="H53" s="16" t="s">
        <v>10</v>
      </c>
      <c r="I53" s="16" t="s">
        <v>155</v>
      </c>
      <c r="J53" s="16" t="s">
        <v>866</v>
      </c>
      <c r="K53" s="3">
        <v>1575</v>
      </c>
      <c r="L53" s="5">
        <v>1548</v>
      </c>
      <c r="M53" s="5">
        <v>1546</v>
      </c>
      <c r="N53" s="5">
        <v>1545</v>
      </c>
      <c r="O53" s="5">
        <v>1546</v>
      </c>
      <c r="P53" s="30">
        <v>1545.6666666666667</v>
      </c>
      <c r="Q53" s="67">
        <v>4.5999999999999996</v>
      </c>
      <c r="R53" s="67">
        <v>36</v>
      </c>
      <c r="S53" s="72"/>
      <c r="T53" s="72">
        <v>160</v>
      </c>
      <c r="U53" s="72">
        <v>64</v>
      </c>
      <c r="V53" s="10">
        <v>96</v>
      </c>
      <c r="W53" s="11" t="s">
        <v>5</v>
      </c>
      <c r="X53" s="69">
        <v>58</v>
      </c>
      <c r="Y53" s="12">
        <v>2.6346499999999997</v>
      </c>
      <c r="Z53" s="31">
        <v>8.6999999999999993</v>
      </c>
      <c r="AA53" s="31">
        <v>10.1</v>
      </c>
      <c r="AB53" s="11">
        <v>74</v>
      </c>
      <c r="AC53" s="11">
        <v>83</v>
      </c>
      <c r="AD53" s="11" t="s">
        <v>6</v>
      </c>
      <c r="AE53" s="33" t="s">
        <v>455</v>
      </c>
      <c r="AF53" s="14" t="s">
        <v>867</v>
      </c>
    </row>
    <row r="54" spans="1:32" ht="31.5" x14ac:dyDescent="0.25">
      <c r="A54" s="1">
        <v>588</v>
      </c>
      <c r="B54" s="2">
        <v>45908</v>
      </c>
      <c r="C54" s="1" t="s">
        <v>264</v>
      </c>
      <c r="D54" s="1" t="s">
        <v>265</v>
      </c>
      <c r="E54" s="1">
        <v>2</v>
      </c>
      <c r="F54" s="16">
        <v>22509008</v>
      </c>
      <c r="G54" s="16">
        <v>1250</v>
      </c>
      <c r="H54" s="16" t="s">
        <v>10</v>
      </c>
      <c r="I54" s="16" t="s">
        <v>132</v>
      </c>
      <c r="J54" s="16" t="s">
        <v>868</v>
      </c>
      <c r="K54" s="9">
        <v>1565</v>
      </c>
      <c r="L54" s="5">
        <v>1545</v>
      </c>
      <c r="M54" s="5">
        <v>1544</v>
      </c>
      <c r="N54" s="5">
        <v>1544</v>
      </c>
      <c r="O54" s="5">
        <v>1545</v>
      </c>
      <c r="P54" s="30">
        <v>1544.3333333333333</v>
      </c>
      <c r="Q54" s="16">
        <v>4.5</v>
      </c>
      <c r="R54" s="16">
        <v>38</v>
      </c>
      <c r="S54" s="8"/>
      <c r="T54" s="11" t="s">
        <v>5</v>
      </c>
      <c r="U54" s="11" t="s">
        <v>5</v>
      </c>
      <c r="V54" s="11" t="s">
        <v>5</v>
      </c>
      <c r="W54" s="11" t="s">
        <v>5</v>
      </c>
      <c r="X54" s="69">
        <v>58</v>
      </c>
      <c r="Y54" s="12">
        <v>2.577375</v>
      </c>
      <c r="Z54" s="31">
        <v>8.5</v>
      </c>
      <c r="AA54" s="31">
        <v>8.5</v>
      </c>
      <c r="AB54" s="32">
        <v>85</v>
      </c>
      <c r="AC54" s="32">
        <v>85</v>
      </c>
      <c r="AD54" s="11" t="s">
        <v>6</v>
      </c>
      <c r="AE54" s="33" t="s">
        <v>88</v>
      </c>
      <c r="AF54" s="14" t="s">
        <v>869</v>
      </c>
    </row>
    <row r="55" spans="1:32" ht="47.25" x14ac:dyDescent="0.25">
      <c r="A55" s="1">
        <v>589</v>
      </c>
      <c r="B55" s="2">
        <v>45908</v>
      </c>
      <c r="C55" s="1" t="s">
        <v>264</v>
      </c>
      <c r="D55" s="1" t="s">
        <v>265</v>
      </c>
      <c r="E55" s="1">
        <v>2</v>
      </c>
      <c r="F55" s="16">
        <v>22509008</v>
      </c>
      <c r="G55" s="16">
        <v>1250</v>
      </c>
      <c r="H55" s="16" t="s">
        <v>55</v>
      </c>
      <c r="I55" s="16" t="s">
        <v>315</v>
      </c>
      <c r="J55" s="16" t="s">
        <v>870</v>
      </c>
      <c r="K55" s="3">
        <v>1568</v>
      </c>
      <c r="L55" s="5">
        <v>1542</v>
      </c>
      <c r="M55" s="5">
        <v>1542</v>
      </c>
      <c r="N55" s="5">
        <v>1543</v>
      </c>
      <c r="O55" s="5">
        <v>1543</v>
      </c>
      <c r="P55" s="30">
        <v>1542.6666666666667</v>
      </c>
      <c r="Q55" s="67">
        <v>4.7</v>
      </c>
      <c r="R55" s="67">
        <v>32</v>
      </c>
      <c r="S55" s="68"/>
      <c r="T55" s="11" t="s">
        <v>5</v>
      </c>
      <c r="U55" s="11" t="s">
        <v>5</v>
      </c>
      <c r="V55" s="11" t="s">
        <v>5</v>
      </c>
      <c r="W55" s="11" t="s">
        <v>5</v>
      </c>
      <c r="X55" s="69">
        <v>58</v>
      </c>
      <c r="Y55" s="12">
        <v>2.6919249999999999</v>
      </c>
      <c r="Z55" s="31">
        <v>9.8000000000000007</v>
      </c>
      <c r="AA55" s="31">
        <v>10.199999999999999</v>
      </c>
      <c r="AB55" s="32">
        <v>80</v>
      </c>
      <c r="AC55" s="32">
        <v>80</v>
      </c>
      <c r="AD55" s="11" t="s">
        <v>6</v>
      </c>
      <c r="AE55" s="33" t="s">
        <v>53</v>
      </c>
      <c r="AF55" s="14" t="s">
        <v>871</v>
      </c>
    </row>
    <row r="56" spans="1:32" ht="47.25" x14ac:dyDescent="0.25">
      <c r="A56" s="1">
        <v>668</v>
      </c>
      <c r="B56" s="2">
        <v>45909</v>
      </c>
      <c r="C56" s="1" t="s">
        <v>264</v>
      </c>
      <c r="D56" s="1" t="s">
        <v>265</v>
      </c>
      <c r="E56" s="1">
        <v>1</v>
      </c>
      <c r="F56" s="16">
        <v>12509010</v>
      </c>
      <c r="G56" s="16">
        <v>1240</v>
      </c>
      <c r="H56" s="16" t="s">
        <v>10</v>
      </c>
      <c r="I56" s="16" t="s">
        <v>229</v>
      </c>
      <c r="J56" s="16" t="s">
        <v>872</v>
      </c>
      <c r="K56" s="4">
        <v>1566</v>
      </c>
      <c r="L56" s="5">
        <v>1542</v>
      </c>
      <c r="M56" s="5">
        <v>1536</v>
      </c>
      <c r="N56" s="5">
        <v>1538</v>
      </c>
      <c r="O56" s="5">
        <v>1537</v>
      </c>
      <c r="P56" s="30">
        <v>1537</v>
      </c>
      <c r="Q56" s="7">
        <v>5.2</v>
      </c>
      <c r="R56" s="4">
        <v>32</v>
      </c>
      <c r="S56" s="8">
        <v>23</v>
      </c>
      <c r="T56" s="9">
        <v>159</v>
      </c>
      <c r="U56" s="9">
        <v>61</v>
      </c>
      <c r="V56" s="10">
        <v>98</v>
      </c>
      <c r="W56" s="11" t="s">
        <v>5</v>
      </c>
      <c r="X56" s="16">
        <v>58</v>
      </c>
      <c r="Y56" s="12">
        <v>2.9544736</v>
      </c>
      <c r="Z56" s="7">
        <v>11.2</v>
      </c>
      <c r="AA56" s="7">
        <v>11</v>
      </c>
      <c r="AB56" s="13">
        <v>87</v>
      </c>
      <c r="AC56" s="13">
        <v>86</v>
      </c>
      <c r="AD56" s="11" t="s">
        <v>6</v>
      </c>
      <c r="AE56" s="33" t="s">
        <v>455</v>
      </c>
      <c r="AF56" s="14" t="s">
        <v>873</v>
      </c>
    </row>
    <row r="57" spans="1:32" ht="15.75" x14ac:dyDescent="0.25">
      <c r="A57" s="1">
        <v>674</v>
      </c>
      <c r="B57" s="2">
        <v>45909</v>
      </c>
      <c r="C57" s="1" t="s">
        <v>264</v>
      </c>
      <c r="D57" s="1" t="s">
        <v>265</v>
      </c>
      <c r="E57" s="1">
        <v>2</v>
      </c>
      <c r="F57" s="16">
        <v>22509009</v>
      </c>
      <c r="G57" s="16">
        <v>1240</v>
      </c>
      <c r="H57" s="16" t="s">
        <v>10</v>
      </c>
      <c r="I57" s="16" t="s">
        <v>164</v>
      </c>
      <c r="J57" s="16" t="s">
        <v>874</v>
      </c>
      <c r="K57" s="4">
        <v>1571</v>
      </c>
      <c r="L57" s="5">
        <v>1545</v>
      </c>
      <c r="M57" s="5">
        <v>1544</v>
      </c>
      <c r="N57" s="5">
        <v>1543</v>
      </c>
      <c r="O57" s="5"/>
      <c r="P57" s="30">
        <v>1543.5</v>
      </c>
      <c r="Q57" s="7">
        <v>5.2</v>
      </c>
      <c r="R57" s="4">
        <v>34</v>
      </c>
      <c r="S57" s="8">
        <v>28</v>
      </c>
      <c r="T57" s="9">
        <v>173</v>
      </c>
      <c r="U57" s="9">
        <v>63.3</v>
      </c>
      <c r="V57" s="10">
        <v>109.7</v>
      </c>
      <c r="W57" s="11" t="s">
        <v>5</v>
      </c>
      <c r="X57" s="16">
        <v>58</v>
      </c>
      <c r="Y57" s="12">
        <v>2.9544736</v>
      </c>
      <c r="Z57" s="7">
        <v>9.6</v>
      </c>
      <c r="AA57" s="7">
        <v>9.8000000000000007</v>
      </c>
      <c r="AB57" s="13">
        <v>74</v>
      </c>
      <c r="AC57" s="13">
        <v>76</v>
      </c>
      <c r="AD57" s="11" t="s">
        <v>6</v>
      </c>
      <c r="AE57" s="33" t="s">
        <v>53</v>
      </c>
      <c r="AF57" s="33" t="s">
        <v>397</v>
      </c>
    </row>
    <row r="58" spans="1:32" ht="31.5" x14ac:dyDescent="0.25">
      <c r="A58" s="1">
        <v>689</v>
      </c>
      <c r="B58" s="2">
        <v>45909</v>
      </c>
      <c r="C58" s="1" t="s">
        <v>0</v>
      </c>
      <c r="D58" s="1" t="s">
        <v>19</v>
      </c>
      <c r="E58" s="1">
        <v>1</v>
      </c>
      <c r="F58" s="16">
        <v>12509010</v>
      </c>
      <c r="G58" s="16">
        <v>1240</v>
      </c>
      <c r="H58" s="16" t="s">
        <v>10</v>
      </c>
      <c r="I58" s="16" t="s">
        <v>261</v>
      </c>
      <c r="J58" s="16" t="s">
        <v>875</v>
      </c>
      <c r="K58" s="4">
        <v>1580</v>
      </c>
      <c r="L58" s="5">
        <v>1562</v>
      </c>
      <c r="M58" s="5">
        <v>1564</v>
      </c>
      <c r="N58" s="5">
        <v>1565</v>
      </c>
      <c r="O58" s="5">
        <v>1567</v>
      </c>
      <c r="P58" s="30">
        <v>1565.3333333333333</v>
      </c>
      <c r="Q58" s="7">
        <v>5</v>
      </c>
      <c r="R58" s="4">
        <v>36</v>
      </c>
      <c r="S58" s="8" t="s">
        <v>5</v>
      </c>
      <c r="T58" s="9">
        <v>168</v>
      </c>
      <c r="U58" s="9">
        <v>62</v>
      </c>
      <c r="V58" s="10">
        <v>106</v>
      </c>
      <c r="W58" s="11" t="s">
        <v>5</v>
      </c>
      <c r="X58" s="16">
        <v>58</v>
      </c>
      <c r="Y58" s="12">
        <v>2.84084</v>
      </c>
      <c r="Z58" s="7">
        <v>7.5</v>
      </c>
      <c r="AA58" s="7">
        <v>7.2</v>
      </c>
      <c r="AB58" s="13">
        <v>88</v>
      </c>
      <c r="AC58" s="13">
        <v>84</v>
      </c>
      <c r="AD58" s="11" t="s">
        <v>6</v>
      </c>
      <c r="AE58" s="33" t="s">
        <v>455</v>
      </c>
      <c r="AF58" s="14" t="s">
        <v>876</v>
      </c>
    </row>
    <row r="59" spans="1:32" ht="31.5" x14ac:dyDescent="0.25">
      <c r="A59" s="1">
        <v>707</v>
      </c>
      <c r="B59" s="2">
        <v>45909</v>
      </c>
      <c r="C59" s="1" t="s">
        <v>0</v>
      </c>
      <c r="D59" s="1" t="s">
        <v>19</v>
      </c>
      <c r="E59" s="1">
        <v>2</v>
      </c>
      <c r="F59" s="16">
        <v>22509009</v>
      </c>
      <c r="G59" s="16">
        <v>1240</v>
      </c>
      <c r="H59" s="16" t="s">
        <v>10</v>
      </c>
      <c r="I59" s="16" t="s">
        <v>159</v>
      </c>
      <c r="J59" s="16" t="s">
        <v>877</v>
      </c>
      <c r="K59" s="4">
        <v>1570</v>
      </c>
      <c r="L59" s="5">
        <v>1548</v>
      </c>
      <c r="M59" s="5">
        <v>1550</v>
      </c>
      <c r="N59" s="5">
        <v>1550</v>
      </c>
      <c r="O59" s="5">
        <v>1548</v>
      </c>
      <c r="P59" s="30">
        <v>1549.3333333333333</v>
      </c>
      <c r="Q59" s="7">
        <v>4.9000000000000004</v>
      </c>
      <c r="R59" s="4">
        <v>38</v>
      </c>
      <c r="S59" s="8">
        <v>33</v>
      </c>
      <c r="T59" s="9">
        <v>166.77</v>
      </c>
      <c r="U59" s="9">
        <v>61.1</v>
      </c>
      <c r="V59" s="10">
        <v>105.67000000000002</v>
      </c>
      <c r="W59" s="11" t="s">
        <v>5</v>
      </c>
      <c r="X59" s="16">
        <v>58</v>
      </c>
      <c r="Y59" s="12">
        <v>2.7840232</v>
      </c>
      <c r="Z59" s="7">
        <v>9.9</v>
      </c>
      <c r="AA59" s="7">
        <v>9.6999999999999993</v>
      </c>
      <c r="AB59" s="13">
        <v>84</v>
      </c>
      <c r="AC59" s="13">
        <v>81</v>
      </c>
      <c r="AD59" s="11" t="s">
        <v>6</v>
      </c>
      <c r="AE59" s="33" t="s">
        <v>53</v>
      </c>
      <c r="AF59" s="14" t="s">
        <v>878</v>
      </c>
    </row>
    <row r="60" spans="1:32" ht="47.25" x14ac:dyDescent="0.25">
      <c r="A60" s="1">
        <v>713</v>
      </c>
      <c r="B60" s="2">
        <v>45910</v>
      </c>
      <c r="C60" s="1" t="s">
        <v>18</v>
      </c>
      <c r="D60" s="1" t="s">
        <v>9</v>
      </c>
      <c r="E60" s="1">
        <v>1</v>
      </c>
      <c r="F60" s="16">
        <v>12509010</v>
      </c>
      <c r="G60" s="16">
        <v>1240</v>
      </c>
      <c r="H60" s="16" t="s">
        <v>10</v>
      </c>
      <c r="I60" s="16" t="s">
        <v>66</v>
      </c>
      <c r="J60" s="16" t="s">
        <v>879</v>
      </c>
      <c r="K60" s="3">
        <v>1570</v>
      </c>
      <c r="L60" s="5">
        <v>1545</v>
      </c>
      <c r="M60" s="5">
        <v>1546</v>
      </c>
      <c r="N60" s="5">
        <v>1548</v>
      </c>
      <c r="O60" s="5" t="s">
        <v>5</v>
      </c>
      <c r="P60" s="30">
        <v>1547</v>
      </c>
      <c r="Q60" s="16">
        <v>5</v>
      </c>
      <c r="R60" s="16">
        <v>35</v>
      </c>
      <c r="S60" s="72">
        <v>21</v>
      </c>
      <c r="T60" s="11">
        <v>161</v>
      </c>
      <c r="U60" s="9">
        <v>63</v>
      </c>
      <c r="V60" s="10">
        <v>98</v>
      </c>
      <c r="W60" s="11" t="s">
        <v>5</v>
      </c>
      <c r="X60" s="69">
        <v>58</v>
      </c>
      <c r="Y60" s="12">
        <v>2.84084</v>
      </c>
      <c r="Z60" s="31">
        <v>10.5</v>
      </c>
      <c r="AA60" s="31">
        <v>10.5</v>
      </c>
      <c r="AB60" s="32">
        <v>84</v>
      </c>
      <c r="AC60" s="32">
        <v>82</v>
      </c>
      <c r="AD60" s="11" t="s">
        <v>6</v>
      </c>
      <c r="AE60" s="33" t="s">
        <v>72</v>
      </c>
      <c r="AF60" s="41" t="s">
        <v>880</v>
      </c>
    </row>
    <row r="61" spans="1:32" ht="31.5" x14ac:dyDescent="0.25">
      <c r="A61" s="1">
        <v>737</v>
      </c>
      <c r="B61" s="2">
        <v>45910</v>
      </c>
      <c r="C61" s="1" t="s">
        <v>264</v>
      </c>
      <c r="D61" s="1" t="s">
        <v>265</v>
      </c>
      <c r="E61" s="1">
        <v>1</v>
      </c>
      <c r="F61" s="16">
        <v>12509011</v>
      </c>
      <c r="G61" s="16">
        <v>1250</v>
      </c>
      <c r="H61" s="16" t="s">
        <v>368</v>
      </c>
      <c r="I61" s="16" t="s">
        <v>86</v>
      </c>
      <c r="J61" s="16" t="s">
        <v>881</v>
      </c>
      <c r="K61" s="5">
        <v>1567</v>
      </c>
      <c r="L61" s="5">
        <v>1555</v>
      </c>
      <c r="M61" s="5">
        <v>1546</v>
      </c>
      <c r="N61" s="5">
        <v>1546</v>
      </c>
      <c r="O61" s="5">
        <v>1550</v>
      </c>
      <c r="P61" s="30">
        <v>1547.3333333333333</v>
      </c>
      <c r="Q61" s="67">
        <v>4.8</v>
      </c>
      <c r="R61" s="67">
        <v>40</v>
      </c>
      <c r="S61" s="68" t="s">
        <v>5</v>
      </c>
      <c r="T61" s="9">
        <v>168</v>
      </c>
      <c r="U61" s="9">
        <v>61</v>
      </c>
      <c r="V61" s="10">
        <v>107</v>
      </c>
      <c r="W61" s="11" t="s">
        <v>5</v>
      </c>
      <c r="X61" s="16">
        <v>58</v>
      </c>
      <c r="Y61" s="12">
        <v>2.7491999999999996</v>
      </c>
      <c r="Z61" s="18">
        <v>9.6999999999999993</v>
      </c>
      <c r="AA61" s="18">
        <v>8.8000000000000007</v>
      </c>
      <c r="AB61" s="19">
        <v>77</v>
      </c>
      <c r="AC61" s="19">
        <v>72</v>
      </c>
      <c r="AD61" s="11" t="s">
        <v>6</v>
      </c>
      <c r="AE61" s="33" t="s">
        <v>72</v>
      </c>
      <c r="AF61" s="14" t="s">
        <v>882</v>
      </c>
    </row>
    <row r="62" spans="1:32" ht="15.75" x14ac:dyDescent="0.25">
      <c r="A62" s="1">
        <v>778</v>
      </c>
      <c r="B62" s="2">
        <v>45910</v>
      </c>
      <c r="C62" s="1" t="s">
        <v>0</v>
      </c>
      <c r="D62" s="1" t="s">
        <v>19</v>
      </c>
      <c r="E62" s="1">
        <v>2</v>
      </c>
      <c r="F62" s="16">
        <v>22509011</v>
      </c>
      <c r="G62" s="16">
        <v>1260</v>
      </c>
      <c r="H62" s="16" t="s">
        <v>10</v>
      </c>
      <c r="I62" s="16" t="s">
        <v>110</v>
      </c>
      <c r="J62" s="16" t="s">
        <v>883</v>
      </c>
      <c r="K62" s="4">
        <v>1568</v>
      </c>
      <c r="L62" s="5">
        <v>1549</v>
      </c>
      <c r="M62" s="5">
        <v>1546</v>
      </c>
      <c r="N62" s="5">
        <v>1546</v>
      </c>
      <c r="O62" s="5">
        <v>1544</v>
      </c>
      <c r="P62" s="30">
        <v>1545.3333333333333</v>
      </c>
      <c r="Q62" s="16">
        <v>5.2</v>
      </c>
      <c r="R62" s="16">
        <v>32</v>
      </c>
      <c r="S62" s="8">
        <v>33</v>
      </c>
      <c r="T62" s="11">
        <v>151.54</v>
      </c>
      <c r="U62" s="11">
        <v>59.81</v>
      </c>
      <c r="V62" s="11">
        <v>91.72999999999999</v>
      </c>
      <c r="W62" s="37" t="s">
        <v>5</v>
      </c>
      <c r="X62" s="8">
        <v>58</v>
      </c>
      <c r="Y62" s="12">
        <v>3.0021264000000003</v>
      </c>
      <c r="Z62" s="7">
        <v>9.3000000000000007</v>
      </c>
      <c r="AA62" s="7">
        <v>9</v>
      </c>
      <c r="AB62" s="13">
        <v>91</v>
      </c>
      <c r="AC62" s="13">
        <v>88</v>
      </c>
      <c r="AD62" s="11" t="s">
        <v>6</v>
      </c>
      <c r="AE62" s="33" t="s">
        <v>53</v>
      </c>
      <c r="AF62" s="14" t="s">
        <v>721</v>
      </c>
    </row>
    <row r="63" spans="1:32" ht="31.5" x14ac:dyDescent="0.25">
      <c r="A63" s="1">
        <v>835</v>
      </c>
      <c r="B63" s="2">
        <v>45911</v>
      </c>
      <c r="C63" s="1" t="s">
        <v>0</v>
      </c>
      <c r="D63" s="1" t="s">
        <v>19</v>
      </c>
      <c r="E63" s="1">
        <v>1</v>
      </c>
      <c r="F63" s="36">
        <v>12509012</v>
      </c>
      <c r="G63" s="16">
        <v>1240</v>
      </c>
      <c r="H63" s="16" t="s">
        <v>10</v>
      </c>
      <c r="I63" s="16" t="s">
        <v>86</v>
      </c>
      <c r="J63" s="16" t="s">
        <v>884</v>
      </c>
      <c r="K63" s="9">
        <v>1565</v>
      </c>
      <c r="L63" s="5">
        <v>1554</v>
      </c>
      <c r="M63" s="5">
        <v>1540</v>
      </c>
      <c r="N63" s="5">
        <v>1539</v>
      </c>
      <c r="O63" s="5">
        <v>1535</v>
      </c>
      <c r="P63" s="30">
        <v>1538</v>
      </c>
      <c r="Q63" s="16">
        <v>4.5999999999999996</v>
      </c>
      <c r="R63" s="9">
        <v>45</v>
      </c>
      <c r="S63" s="8">
        <v>25</v>
      </c>
      <c r="T63" s="72">
        <v>173</v>
      </c>
      <c r="U63" s="72">
        <v>64.3</v>
      </c>
      <c r="V63" s="10">
        <v>108.7</v>
      </c>
      <c r="W63" s="11" t="s">
        <v>5</v>
      </c>
      <c r="X63" s="16">
        <v>58</v>
      </c>
      <c r="Y63" s="12">
        <v>2.6135728</v>
      </c>
      <c r="Z63" s="31">
        <v>8.1999999999999993</v>
      </c>
      <c r="AA63" s="31">
        <v>10.6</v>
      </c>
      <c r="AB63" s="32">
        <v>73</v>
      </c>
      <c r="AC63" s="32">
        <v>96</v>
      </c>
      <c r="AD63" s="11" t="s">
        <v>6</v>
      </c>
      <c r="AE63" s="33" t="s">
        <v>885</v>
      </c>
      <c r="AF63" s="14" t="s">
        <v>886</v>
      </c>
    </row>
    <row r="64" spans="1:32" ht="31.5" x14ac:dyDescent="0.25">
      <c r="A64" s="1">
        <v>836</v>
      </c>
      <c r="B64" s="2">
        <v>45911</v>
      </c>
      <c r="C64" s="1" t="s">
        <v>0</v>
      </c>
      <c r="D64" s="1" t="s">
        <v>19</v>
      </c>
      <c r="E64" s="1">
        <v>1</v>
      </c>
      <c r="F64" s="36">
        <v>12509012</v>
      </c>
      <c r="G64" s="16">
        <v>1240</v>
      </c>
      <c r="H64" s="16" t="s">
        <v>10</v>
      </c>
      <c r="I64" s="16" t="s">
        <v>77</v>
      </c>
      <c r="J64" s="16" t="s">
        <v>887</v>
      </c>
      <c r="K64" s="9">
        <v>1568</v>
      </c>
      <c r="L64" s="5">
        <v>1542</v>
      </c>
      <c r="M64" s="5">
        <v>1547</v>
      </c>
      <c r="N64" s="5">
        <v>1548</v>
      </c>
      <c r="O64" s="5">
        <v>1548</v>
      </c>
      <c r="P64" s="30">
        <v>1547.6666666666667</v>
      </c>
      <c r="Q64" s="16">
        <v>3.5</v>
      </c>
      <c r="R64" s="69">
        <v>38</v>
      </c>
      <c r="S64" s="8">
        <v>37</v>
      </c>
      <c r="T64" s="11">
        <v>160.6</v>
      </c>
      <c r="U64" s="11">
        <v>60</v>
      </c>
      <c r="V64" s="10">
        <v>100.6</v>
      </c>
      <c r="W64" s="11" t="s">
        <v>5</v>
      </c>
      <c r="X64" s="16">
        <v>58</v>
      </c>
      <c r="Y64" s="12">
        <v>1.988588</v>
      </c>
      <c r="Z64" s="31">
        <v>9.6999999999999993</v>
      </c>
      <c r="AA64" s="31">
        <v>11.4</v>
      </c>
      <c r="AB64" s="32">
        <v>78</v>
      </c>
      <c r="AC64" s="32">
        <v>91</v>
      </c>
      <c r="AD64" s="11" t="s">
        <v>6</v>
      </c>
      <c r="AE64" s="33" t="s">
        <v>455</v>
      </c>
      <c r="AF64" s="14" t="s">
        <v>833</v>
      </c>
    </row>
    <row r="65" spans="1:32" ht="15.75" x14ac:dyDescent="0.25">
      <c r="A65" s="1">
        <v>923</v>
      </c>
      <c r="B65" s="2">
        <v>45913</v>
      </c>
      <c r="C65" s="1" t="s">
        <v>0</v>
      </c>
      <c r="D65" s="1" t="s">
        <v>258</v>
      </c>
      <c r="E65" s="1">
        <v>1</v>
      </c>
      <c r="F65" s="36">
        <v>12509014</v>
      </c>
      <c r="G65" s="16">
        <v>1230</v>
      </c>
      <c r="H65" s="16" t="s">
        <v>10</v>
      </c>
      <c r="I65" s="16" t="s">
        <v>70</v>
      </c>
      <c r="J65" s="96" t="s">
        <v>888</v>
      </c>
      <c r="K65" s="9">
        <v>1566</v>
      </c>
      <c r="L65" s="5">
        <v>1545</v>
      </c>
      <c r="M65" s="5">
        <v>1545</v>
      </c>
      <c r="N65" s="5">
        <v>1545</v>
      </c>
      <c r="O65" s="5">
        <v>1541</v>
      </c>
      <c r="P65" s="30">
        <v>1546</v>
      </c>
      <c r="Q65" s="82">
        <v>5.7</v>
      </c>
      <c r="R65" s="82">
        <v>33</v>
      </c>
      <c r="S65" s="11">
        <v>32</v>
      </c>
      <c r="T65" s="10">
        <v>169.2</v>
      </c>
      <c r="U65" s="10">
        <v>65</v>
      </c>
      <c r="V65" s="10">
        <v>104.19999999999999</v>
      </c>
      <c r="W65" s="11" t="s">
        <v>5</v>
      </c>
      <c r="X65" s="16">
        <v>58</v>
      </c>
      <c r="Y65" s="12">
        <v>3.2124402000000001</v>
      </c>
      <c r="Z65" s="31">
        <v>10.9</v>
      </c>
      <c r="AA65" s="31">
        <v>11</v>
      </c>
      <c r="AB65" s="32">
        <v>77</v>
      </c>
      <c r="AC65" s="32">
        <v>78</v>
      </c>
      <c r="AD65" s="11" t="s">
        <v>6</v>
      </c>
      <c r="AE65" s="33" t="s">
        <v>53</v>
      </c>
      <c r="AF65" s="14" t="s">
        <v>889</v>
      </c>
    </row>
    <row r="66" spans="1:32" ht="31.5" x14ac:dyDescent="0.25">
      <c r="A66" s="1">
        <v>958</v>
      </c>
      <c r="B66" s="2">
        <v>45914</v>
      </c>
      <c r="C66" s="1" t="s">
        <v>18</v>
      </c>
      <c r="D66" s="1" t="s">
        <v>265</v>
      </c>
      <c r="E66" s="1">
        <v>2</v>
      </c>
      <c r="F66" s="16">
        <v>22509013</v>
      </c>
      <c r="G66" s="16">
        <v>1230</v>
      </c>
      <c r="H66" s="16" t="s">
        <v>10</v>
      </c>
      <c r="I66" s="16" t="s">
        <v>80</v>
      </c>
      <c r="J66" s="16" t="s">
        <v>890</v>
      </c>
      <c r="K66" s="3">
        <v>1570</v>
      </c>
      <c r="L66" s="5">
        <v>1543</v>
      </c>
      <c r="M66" s="5">
        <v>1540</v>
      </c>
      <c r="N66" s="5">
        <v>1539</v>
      </c>
      <c r="O66" s="5" t="s">
        <v>5</v>
      </c>
      <c r="P66" s="30">
        <v>1539.5</v>
      </c>
      <c r="Q66" s="16">
        <v>4.5</v>
      </c>
      <c r="R66" s="16">
        <v>35</v>
      </c>
      <c r="S66" s="72">
        <v>29</v>
      </c>
      <c r="T66" s="9">
        <v>159.19999999999999</v>
      </c>
      <c r="U66" s="9">
        <v>61.3</v>
      </c>
      <c r="V66" s="10">
        <v>97.899999999999991</v>
      </c>
      <c r="W66" s="11">
        <v>18</v>
      </c>
      <c r="X66" s="69">
        <v>58</v>
      </c>
      <c r="Y66" s="12">
        <v>2.5361370000000001</v>
      </c>
      <c r="Z66" s="18">
        <v>8.8000000000000007</v>
      </c>
      <c r="AA66" s="18">
        <v>9.1999999999999993</v>
      </c>
      <c r="AB66" s="19">
        <v>84</v>
      </c>
      <c r="AC66" s="19">
        <v>88</v>
      </c>
      <c r="AD66" s="11" t="s">
        <v>6</v>
      </c>
      <c r="AE66" s="33" t="s">
        <v>53</v>
      </c>
      <c r="AF66" s="41" t="s">
        <v>891</v>
      </c>
    </row>
    <row r="67" spans="1:32" ht="31.5" x14ac:dyDescent="0.25">
      <c r="A67" s="1">
        <v>973</v>
      </c>
      <c r="B67" s="2">
        <v>45914</v>
      </c>
      <c r="C67" s="1" t="s">
        <v>264</v>
      </c>
      <c r="D67" s="1" t="s">
        <v>19</v>
      </c>
      <c r="E67" s="1">
        <v>1</v>
      </c>
      <c r="F67" s="36">
        <v>12509014</v>
      </c>
      <c r="G67" s="16">
        <v>1250</v>
      </c>
      <c r="H67" s="16" t="s">
        <v>10</v>
      </c>
      <c r="I67" s="16" t="s">
        <v>164</v>
      </c>
      <c r="J67" s="16" t="s">
        <v>892</v>
      </c>
      <c r="K67" s="3">
        <v>1570</v>
      </c>
      <c r="L67" s="5">
        <v>1542</v>
      </c>
      <c r="M67" s="5">
        <v>1540</v>
      </c>
      <c r="N67" s="5">
        <v>1545</v>
      </c>
      <c r="O67" s="5">
        <v>1546</v>
      </c>
      <c r="P67" s="30">
        <v>1543.6666666666667</v>
      </c>
      <c r="Q67" s="16">
        <v>5</v>
      </c>
      <c r="R67" s="16">
        <v>36</v>
      </c>
      <c r="S67" s="72" t="s">
        <v>5</v>
      </c>
      <c r="T67" s="11">
        <v>165</v>
      </c>
      <c r="U67" s="11">
        <v>60</v>
      </c>
      <c r="V67" s="10">
        <v>105</v>
      </c>
      <c r="W67" s="11" t="s">
        <v>5</v>
      </c>
      <c r="X67" s="69">
        <v>58</v>
      </c>
      <c r="Y67" s="12">
        <v>2.86375</v>
      </c>
      <c r="Z67" s="31">
        <v>9.6</v>
      </c>
      <c r="AA67" s="31">
        <v>9.5</v>
      </c>
      <c r="AB67" s="11">
        <v>86</v>
      </c>
      <c r="AC67" s="11">
        <v>80</v>
      </c>
      <c r="AD67" s="11" t="s">
        <v>6</v>
      </c>
      <c r="AE67" s="33" t="s">
        <v>53</v>
      </c>
      <c r="AF67" s="41" t="s">
        <v>893</v>
      </c>
    </row>
    <row r="68" spans="1:32" ht="15.75" x14ac:dyDescent="0.25">
      <c r="A68" s="1">
        <v>997</v>
      </c>
      <c r="B68" s="2">
        <v>45914</v>
      </c>
      <c r="C68" s="1" t="s">
        <v>264</v>
      </c>
      <c r="D68" s="1" t="s">
        <v>19</v>
      </c>
      <c r="E68" s="1">
        <v>2</v>
      </c>
      <c r="F68" s="36">
        <v>22509014</v>
      </c>
      <c r="G68" s="16">
        <v>1270</v>
      </c>
      <c r="H68" s="16" t="s">
        <v>10</v>
      </c>
      <c r="I68" s="16" t="s">
        <v>98</v>
      </c>
      <c r="J68" s="96" t="s">
        <v>894</v>
      </c>
      <c r="K68" s="9">
        <v>1602</v>
      </c>
      <c r="L68" s="5">
        <v>1578</v>
      </c>
      <c r="M68" s="5">
        <v>1574</v>
      </c>
      <c r="N68" s="5">
        <v>1575</v>
      </c>
      <c r="O68" s="5">
        <v>1568</v>
      </c>
      <c r="P68" s="30">
        <v>1572.3333333333333</v>
      </c>
      <c r="Q68" s="82">
        <v>3.4</v>
      </c>
      <c r="R68" s="82">
        <v>51</v>
      </c>
      <c r="S68" s="11">
        <v>7</v>
      </c>
      <c r="T68" s="10">
        <v>174.91</v>
      </c>
      <c r="U68" s="10">
        <v>62.4</v>
      </c>
      <c r="V68" s="10">
        <v>112.50999999999999</v>
      </c>
      <c r="W68" s="11" t="s">
        <v>100</v>
      </c>
      <c r="X68" s="16">
        <v>58</v>
      </c>
      <c r="Y68" s="12">
        <v>1.9785076000000001</v>
      </c>
      <c r="Z68" s="31">
        <v>8.3000000000000007</v>
      </c>
      <c r="AA68" s="31">
        <v>7.4</v>
      </c>
      <c r="AB68" s="32">
        <v>81</v>
      </c>
      <c r="AC68" s="32">
        <v>69</v>
      </c>
      <c r="AD68" s="11" t="s">
        <v>6</v>
      </c>
      <c r="AE68" s="33" t="s">
        <v>72</v>
      </c>
      <c r="AF68" s="14" t="s">
        <v>895</v>
      </c>
    </row>
    <row r="69" spans="1:32" ht="31.5" x14ac:dyDescent="0.25">
      <c r="A69" s="1">
        <v>1013</v>
      </c>
      <c r="B69" s="2">
        <v>45914</v>
      </c>
      <c r="C69" s="1" t="s">
        <v>0</v>
      </c>
      <c r="D69" s="1" t="s">
        <v>9</v>
      </c>
      <c r="E69" s="1">
        <v>2</v>
      </c>
      <c r="F69" s="16">
        <v>22509014</v>
      </c>
      <c r="G69" s="16">
        <v>1270</v>
      </c>
      <c r="H69" s="16" t="s">
        <v>10</v>
      </c>
      <c r="I69" s="16" t="s">
        <v>86</v>
      </c>
      <c r="J69" s="16" t="s">
        <v>896</v>
      </c>
      <c r="K69" s="4">
        <v>1568</v>
      </c>
      <c r="L69" s="5">
        <v>1553</v>
      </c>
      <c r="M69" s="5">
        <v>1549</v>
      </c>
      <c r="N69" s="5">
        <v>1549</v>
      </c>
      <c r="O69" s="5">
        <v>1546</v>
      </c>
      <c r="P69" s="30">
        <v>1548</v>
      </c>
      <c r="Q69" s="16">
        <v>4.5</v>
      </c>
      <c r="R69" s="16">
        <v>41</v>
      </c>
      <c r="S69" s="75">
        <v>25</v>
      </c>
      <c r="T69" s="11">
        <v>179</v>
      </c>
      <c r="U69" s="11">
        <v>67</v>
      </c>
      <c r="V69" s="10">
        <v>112</v>
      </c>
      <c r="W69" s="78">
        <v>21.5</v>
      </c>
      <c r="X69" s="69">
        <v>58</v>
      </c>
      <c r="Y69" s="12">
        <v>2.6186130000000003</v>
      </c>
      <c r="Z69" s="7">
        <v>8.9</v>
      </c>
      <c r="AA69" s="7">
        <v>8.3000000000000007</v>
      </c>
      <c r="AB69" s="13">
        <v>80</v>
      </c>
      <c r="AC69" s="13">
        <v>72</v>
      </c>
      <c r="AD69" s="11" t="s">
        <v>6</v>
      </c>
      <c r="AE69" s="33" t="s">
        <v>53</v>
      </c>
      <c r="AF69" s="14" t="s">
        <v>897</v>
      </c>
    </row>
    <row r="70" spans="1:32" ht="31.5" x14ac:dyDescent="0.25">
      <c r="A70" s="1">
        <v>1111</v>
      </c>
      <c r="B70" s="2">
        <v>45916</v>
      </c>
      <c r="C70" s="1" t="s">
        <v>18</v>
      </c>
      <c r="D70" s="1" t="s">
        <v>265</v>
      </c>
      <c r="E70" s="1">
        <v>1</v>
      </c>
      <c r="F70" s="36">
        <v>12509015</v>
      </c>
      <c r="G70" s="16">
        <v>1250</v>
      </c>
      <c r="H70" s="16" t="s">
        <v>10</v>
      </c>
      <c r="I70" s="16" t="s">
        <v>458</v>
      </c>
      <c r="J70" s="16" t="s">
        <v>898</v>
      </c>
      <c r="K70" s="3">
        <v>1566</v>
      </c>
      <c r="L70" s="5">
        <v>1538</v>
      </c>
      <c r="M70" s="5">
        <v>1540</v>
      </c>
      <c r="N70" s="5">
        <v>1540</v>
      </c>
      <c r="O70" s="5">
        <v>1541</v>
      </c>
      <c r="P70" s="30">
        <v>1540.3333333333333</v>
      </c>
      <c r="Q70" s="70">
        <v>5.2</v>
      </c>
      <c r="R70" s="67">
        <v>36</v>
      </c>
      <c r="S70" s="72" t="s">
        <v>5</v>
      </c>
      <c r="T70" s="11">
        <v>167</v>
      </c>
      <c r="U70" s="11">
        <v>64</v>
      </c>
      <c r="V70" s="10">
        <v>103</v>
      </c>
      <c r="W70" s="78" t="s">
        <v>5</v>
      </c>
      <c r="X70" s="69">
        <v>57</v>
      </c>
      <c r="Y70" s="12">
        <v>2.9269500000000002</v>
      </c>
      <c r="Z70" s="31">
        <v>8.4</v>
      </c>
      <c r="AA70" s="31">
        <v>7.4</v>
      </c>
      <c r="AB70" s="11">
        <v>83</v>
      </c>
      <c r="AC70" s="11">
        <v>67</v>
      </c>
      <c r="AD70" s="11" t="s">
        <v>6</v>
      </c>
      <c r="AE70" s="33" t="s">
        <v>455</v>
      </c>
      <c r="AF70" s="41" t="s">
        <v>899</v>
      </c>
    </row>
    <row r="71" spans="1:32" ht="47.25" x14ac:dyDescent="0.25">
      <c r="A71" s="1">
        <v>1178</v>
      </c>
      <c r="B71" s="2">
        <v>45916</v>
      </c>
      <c r="C71" s="1" t="s">
        <v>0</v>
      </c>
      <c r="D71" s="1" t="s">
        <v>9</v>
      </c>
      <c r="E71" s="1">
        <v>2</v>
      </c>
      <c r="F71" s="16">
        <v>22509015</v>
      </c>
      <c r="G71" s="16">
        <v>1350</v>
      </c>
      <c r="H71" s="16" t="s">
        <v>10</v>
      </c>
      <c r="I71" s="16" t="s">
        <v>277</v>
      </c>
      <c r="J71" s="16" t="s">
        <v>900</v>
      </c>
      <c r="K71" s="3">
        <v>1564</v>
      </c>
      <c r="L71" s="5">
        <v>1543</v>
      </c>
      <c r="M71" s="5">
        <v>1543</v>
      </c>
      <c r="N71" s="5">
        <v>1545</v>
      </c>
      <c r="O71" s="5">
        <v>1542</v>
      </c>
      <c r="P71" s="30">
        <v>1543.3333333333333</v>
      </c>
      <c r="Q71" s="16">
        <v>5</v>
      </c>
      <c r="R71" s="16">
        <v>32</v>
      </c>
      <c r="S71" s="72">
        <v>4</v>
      </c>
      <c r="T71" s="11">
        <v>172</v>
      </c>
      <c r="U71" s="9">
        <v>66</v>
      </c>
      <c r="V71" s="10">
        <v>106</v>
      </c>
      <c r="W71" s="11">
        <v>12.2</v>
      </c>
      <c r="X71" s="69">
        <v>57</v>
      </c>
      <c r="Y71" s="12">
        <v>3.0395250000000003</v>
      </c>
      <c r="Z71" s="31">
        <v>9.6</v>
      </c>
      <c r="AA71" s="31">
        <v>8.5</v>
      </c>
      <c r="AB71" s="32">
        <v>80</v>
      </c>
      <c r="AC71" s="32">
        <v>80</v>
      </c>
      <c r="AD71" s="11" t="s">
        <v>6</v>
      </c>
      <c r="AE71" s="33" t="s">
        <v>53</v>
      </c>
      <c r="AF71" s="41" t="s">
        <v>901</v>
      </c>
    </row>
    <row r="72" spans="1:32" ht="63" x14ac:dyDescent="0.25">
      <c r="A72" s="1">
        <v>1206</v>
      </c>
      <c r="B72" s="2">
        <v>45917</v>
      </c>
      <c r="C72" s="1" t="s">
        <v>18</v>
      </c>
      <c r="D72" s="1" t="s">
        <v>265</v>
      </c>
      <c r="E72" s="1">
        <v>2</v>
      </c>
      <c r="F72" s="16">
        <v>22509017</v>
      </c>
      <c r="G72" s="16">
        <v>1260</v>
      </c>
      <c r="H72" s="16" t="s">
        <v>10</v>
      </c>
      <c r="I72" s="16" t="s">
        <v>77</v>
      </c>
      <c r="J72" s="16" t="s">
        <v>902</v>
      </c>
      <c r="K72" s="3">
        <v>1565</v>
      </c>
      <c r="L72" s="5">
        <v>1538</v>
      </c>
      <c r="M72" s="5">
        <v>1531</v>
      </c>
      <c r="N72" s="5">
        <v>1527</v>
      </c>
      <c r="O72" s="5">
        <v>1525</v>
      </c>
      <c r="P72" s="30">
        <v>1527.6666666666667</v>
      </c>
      <c r="Q72" s="16">
        <v>5.4</v>
      </c>
      <c r="R72" s="95">
        <v>13</v>
      </c>
      <c r="S72" s="72">
        <v>7</v>
      </c>
      <c r="T72" s="72">
        <v>164.8</v>
      </c>
      <c r="U72" s="72">
        <v>62.7</v>
      </c>
      <c r="V72" s="10">
        <v>102.10000000000001</v>
      </c>
      <c r="W72" s="78" t="s">
        <v>5</v>
      </c>
      <c r="X72" s="69">
        <v>58</v>
      </c>
      <c r="Y72" s="12">
        <v>3.1175928000000006</v>
      </c>
      <c r="Z72" s="64">
        <v>10.8</v>
      </c>
      <c r="AA72" s="64">
        <v>10.1</v>
      </c>
      <c r="AB72" s="11">
        <v>83</v>
      </c>
      <c r="AC72" s="11">
        <v>80</v>
      </c>
      <c r="AD72" s="11" t="s">
        <v>6</v>
      </c>
      <c r="AE72" s="33" t="s">
        <v>72</v>
      </c>
      <c r="AF72" s="41" t="s">
        <v>903</v>
      </c>
    </row>
    <row r="73" spans="1:32" ht="47.25" x14ac:dyDescent="0.25">
      <c r="A73" s="1">
        <v>1219</v>
      </c>
      <c r="B73" s="2">
        <v>45917</v>
      </c>
      <c r="C73" s="1" t="s">
        <v>264</v>
      </c>
      <c r="D73" s="1" t="s">
        <v>19</v>
      </c>
      <c r="E73" s="1">
        <v>1</v>
      </c>
      <c r="F73" s="36">
        <v>12509019</v>
      </c>
      <c r="G73" s="16">
        <v>1260</v>
      </c>
      <c r="H73" s="16" t="s">
        <v>10</v>
      </c>
      <c r="I73" s="16" t="s">
        <v>98</v>
      </c>
      <c r="J73" s="16" t="s">
        <v>904</v>
      </c>
      <c r="K73" s="9">
        <v>1595</v>
      </c>
      <c r="L73" s="5">
        <v>1551</v>
      </c>
      <c r="M73" s="5">
        <v>1552</v>
      </c>
      <c r="N73" s="5">
        <v>1557</v>
      </c>
      <c r="O73" s="5" t="s">
        <v>5</v>
      </c>
      <c r="P73" s="30">
        <v>1554.5</v>
      </c>
      <c r="Q73" s="95">
        <v>4.5</v>
      </c>
      <c r="R73" s="95">
        <v>39</v>
      </c>
      <c r="S73" s="75">
        <v>32</v>
      </c>
      <c r="T73" s="10">
        <v>165.45</v>
      </c>
      <c r="U73" s="10">
        <v>62.2</v>
      </c>
      <c r="V73" s="10">
        <v>103.24999999999999</v>
      </c>
      <c r="W73" s="11" t="s">
        <v>5</v>
      </c>
      <c r="X73" s="69">
        <v>58</v>
      </c>
      <c r="Y73" s="12">
        <v>2.5979940000000004</v>
      </c>
      <c r="Z73" s="31">
        <v>7.2</v>
      </c>
      <c r="AA73" s="31">
        <v>7.3</v>
      </c>
      <c r="AB73" s="32">
        <v>77</v>
      </c>
      <c r="AC73" s="32">
        <v>78</v>
      </c>
      <c r="AD73" s="11" t="s">
        <v>6</v>
      </c>
      <c r="AE73" s="33" t="s">
        <v>72</v>
      </c>
      <c r="AF73" s="14" t="s">
        <v>905</v>
      </c>
    </row>
    <row r="74" spans="1:32" ht="31.5" x14ac:dyDescent="0.25">
      <c r="A74" s="1">
        <v>1304</v>
      </c>
      <c r="B74" s="2">
        <v>45918</v>
      </c>
      <c r="C74" s="1" t="s">
        <v>264</v>
      </c>
      <c r="D74" s="1" t="s">
        <v>377</v>
      </c>
      <c r="E74" s="1">
        <v>2</v>
      </c>
      <c r="F74" s="16">
        <v>22509019</v>
      </c>
      <c r="G74" s="16">
        <v>1230</v>
      </c>
      <c r="H74" s="16" t="s">
        <v>10</v>
      </c>
      <c r="I74" s="16" t="s">
        <v>77</v>
      </c>
      <c r="J74" s="16" t="s">
        <v>906</v>
      </c>
      <c r="K74" s="9">
        <v>1568</v>
      </c>
      <c r="L74" s="5">
        <v>1544</v>
      </c>
      <c r="M74" s="5">
        <v>1538</v>
      </c>
      <c r="N74" s="5">
        <v>1539</v>
      </c>
      <c r="O74" s="5" t="s">
        <v>5</v>
      </c>
      <c r="P74" s="30">
        <v>1538.5</v>
      </c>
      <c r="Q74" s="16">
        <v>5.3</v>
      </c>
      <c r="R74" s="16">
        <v>37</v>
      </c>
      <c r="S74" s="75">
        <v>32</v>
      </c>
      <c r="T74" s="10">
        <v>172.45</v>
      </c>
      <c r="U74" s="10">
        <v>64.06</v>
      </c>
      <c r="V74" s="10">
        <v>108.38999999999999</v>
      </c>
      <c r="W74" s="11">
        <v>15.5</v>
      </c>
      <c r="X74" s="69">
        <v>58</v>
      </c>
      <c r="Y74" s="12">
        <v>2.9870057999999999</v>
      </c>
      <c r="Z74" s="31">
        <v>11.2</v>
      </c>
      <c r="AA74" s="31">
        <v>9.5</v>
      </c>
      <c r="AB74" s="32">
        <v>96</v>
      </c>
      <c r="AC74" s="32">
        <v>84</v>
      </c>
      <c r="AD74" s="11" t="s">
        <v>6</v>
      </c>
      <c r="AE74" s="33" t="s">
        <v>53</v>
      </c>
      <c r="AF74" s="14" t="s">
        <v>907</v>
      </c>
    </row>
    <row r="75" spans="1:32" ht="15.75" x14ac:dyDescent="0.25">
      <c r="A75" s="1">
        <v>1325</v>
      </c>
      <c r="B75" s="2">
        <v>45918</v>
      </c>
      <c r="C75" s="1" t="s">
        <v>0</v>
      </c>
      <c r="D75" s="1" t="s">
        <v>9</v>
      </c>
      <c r="E75" s="1">
        <v>1</v>
      </c>
      <c r="F75" s="36">
        <v>12509020</v>
      </c>
      <c r="G75" s="16">
        <v>1230</v>
      </c>
      <c r="H75" s="16" t="s">
        <v>10</v>
      </c>
      <c r="I75" s="16" t="s">
        <v>77</v>
      </c>
      <c r="J75" s="16" t="s">
        <v>908</v>
      </c>
      <c r="K75" s="4">
        <v>1565</v>
      </c>
      <c r="L75" s="5">
        <v>1547</v>
      </c>
      <c r="M75" s="5">
        <v>1547</v>
      </c>
      <c r="N75" s="5">
        <v>1545</v>
      </c>
      <c r="O75" s="5">
        <v>1543</v>
      </c>
      <c r="P75" s="30">
        <v>1545</v>
      </c>
      <c r="Q75" s="16">
        <v>5</v>
      </c>
      <c r="R75" s="16">
        <v>37</v>
      </c>
      <c r="S75" s="8">
        <v>22</v>
      </c>
      <c r="T75" s="97">
        <v>167.5</v>
      </c>
      <c r="U75" s="11">
        <v>62</v>
      </c>
      <c r="V75" s="10">
        <v>105.5</v>
      </c>
      <c r="W75" s="37" t="s">
        <v>5</v>
      </c>
      <c r="X75" s="69">
        <v>58</v>
      </c>
      <c r="Y75" s="12">
        <v>2.81793</v>
      </c>
      <c r="Z75" s="7">
        <v>7.2</v>
      </c>
      <c r="AA75" s="7">
        <v>8.1999999999999993</v>
      </c>
      <c r="AB75" s="13">
        <v>73</v>
      </c>
      <c r="AC75" s="13">
        <v>81</v>
      </c>
      <c r="AD75" s="11" t="s">
        <v>6</v>
      </c>
      <c r="AE75" s="33" t="s">
        <v>455</v>
      </c>
      <c r="AF75" s="14" t="s">
        <v>721</v>
      </c>
    </row>
    <row r="76" spans="1:32" ht="31.5" x14ac:dyDescent="0.25">
      <c r="A76" s="1">
        <v>1341</v>
      </c>
      <c r="B76" s="2">
        <v>45919</v>
      </c>
      <c r="C76" s="1" t="s">
        <v>18</v>
      </c>
      <c r="D76" s="1" t="s">
        <v>265</v>
      </c>
      <c r="E76" s="1">
        <v>1</v>
      </c>
      <c r="F76" s="16">
        <v>12509020</v>
      </c>
      <c r="G76" s="16">
        <v>1230</v>
      </c>
      <c r="H76" s="16" t="s">
        <v>10</v>
      </c>
      <c r="I76" s="16" t="s">
        <v>189</v>
      </c>
      <c r="J76" s="16" t="s">
        <v>909</v>
      </c>
      <c r="K76" s="3">
        <v>1565</v>
      </c>
      <c r="L76" s="5">
        <v>1547</v>
      </c>
      <c r="M76" s="5">
        <v>1546</v>
      </c>
      <c r="N76" s="5">
        <v>1546</v>
      </c>
      <c r="O76" s="5">
        <v>1546</v>
      </c>
      <c r="P76" s="30">
        <v>1546</v>
      </c>
      <c r="Q76" s="16">
        <v>4.5</v>
      </c>
      <c r="R76" s="16">
        <v>31</v>
      </c>
      <c r="S76" s="72">
        <v>20</v>
      </c>
      <c r="T76" s="11">
        <v>164</v>
      </c>
      <c r="U76" s="11">
        <v>64</v>
      </c>
      <c r="V76" s="10">
        <v>100</v>
      </c>
      <c r="W76" s="11" t="s">
        <v>5</v>
      </c>
      <c r="X76" s="69">
        <v>58</v>
      </c>
      <c r="Y76" s="12">
        <v>2.5361370000000001</v>
      </c>
      <c r="Z76" s="31">
        <v>9.1999999999999993</v>
      </c>
      <c r="AA76" s="31">
        <v>10.3</v>
      </c>
      <c r="AB76" s="32">
        <v>70</v>
      </c>
      <c r="AC76" s="32">
        <v>80</v>
      </c>
      <c r="AD76" s="11" t="s">
        <v>6</v>
      </c>
      <c r="AE76" s="33" t="s">
        <v>455</v>
      </c>
      <c r="AF76" s="41" t="s">
        <v>910</v>
      </c>
    </row>
    <row r="77" spans="1:32" ht="31.5" x14ac:dyDescent="0.25">
      <c r="A77" s="1">
        <v>1381</v>
      </c>
      <c r="B77" s="2">
        <v>45919</v>
      </c>
      <c r="C77" s="1" t="s">
        <v>264</v>
      </c>
      <c r="D77" s="1" t="s">
        <v>377</v>
      </c>
      <c r="E77" s="1">
        <v>2</v>
      </c>
      <c r="F77" s="36">
        <v>22509020</v>
      </c>
      <c r="G77" s="16">
        <v>1250</v>
      </c>
      <c r="H77" s="16" t="s">
        <v>10</v>
      </c>
      <c r="I77" s="16" t="s">
        <v>182</v>
      </c>
      <c r="J77" s="16" t="s">
        <v>911</v>
      </c>
      <c r="K77" s="9">
        <v>1572</v>
      </c>
      <c r="L77" s="5">
        <v>1542</v>
      </c>
      <c r="M77" s="5">
        <v>1542</v>
      </c>
      <c r="N77" s="5">
        <v>1541</v>
      </c>
      <c r="O77" s="5" t="s">
        <v>5</v>
      </c>
      <c r="P77" s="30">
        <v>1541.5</v>
      </c>
      <c r="Q77" s="16">
        <v>5.2</v>
      </c>
      <c r="R77" s="16">
        <v>35</v>
      </c>
      <c r="S77" s="8">
        <v>26</v>
      </c>
      <c r="T77" s="10">
        <v>164</v>
      </c>
      <c r="U77" s="10">
        <v>63</v>
      </c>
      <c r="V77" s="10">
        <v>101</v>
      </c>
      <c r="W77" s="11" t="s">
        <v>5</v>
      </c>
      <c r="X77" s="69">
        <v>58</v>
      </c>
      <c r="Y77" s="12">
        <v>2.9782999999999999</v>
      </c>
      <c r="Z77" s="31">
        <v>10.1</v>
      </c>
      <c r="AA77" s="31">
        <v>11</v>
      </c>
      <c r="AB77" s="32">
        <v>83</v>
      </c>
      <c r="AC77" s="32">
        <v>94</v>
      </c>
      <c r="AD77" s="11" t="s">
        <v>6</v>
      </c>
      <c r="AE77" s="33" t="s">
        <v>53</v>
      </c>
      <c r="AF77" s="14" t="s">
        <v>912</v>
      </c>
    </row>
    <row r="78" spans="1:32" ht="15.75" x14ac:dyDescent="0.25">
      <c r="A78" s="1">
        <v>1406</v>
      </c>
      <c r="B78" s="2">
        <v>45919</v>
      </c>
      <c r="C78" s="1" t="s">
        <v>0</v>
      </c>
      <c r="D78" s="1" t="s">
        <v>9</v>
      </c>
      <c r="E78" s="1">
        <v>1</v>
      </c>
      <c r="F78" s="36">
        <v>12509020</v>
      </c>
      <c r="G78" s="16">
        <v>1250</v>
      </c>
      <c r="H78" s="16" t="s">
        <v>10</v>
      </c>
      <c r="I78" s="16" t="s">
        <v>346</v>
      </c>
      <c r="J78" s="16" t="s">
        <v>913</v>
      </c>
      <c r="K78" s="4">
        <v>1567</v>
      </c>
      <c r="L78" s="5">
        <v>1548</v>
      </c>
      <c r="M78" s="5">
        <v>1548</v>
      </c>
      <c r="N78" s="5">
        <v>1549</v>
      </c>
      <c r="O78" s="5" t="s">
        <v>5</v>
      </c>
      <c r="P78" s="30">
        <v>1548.5</v>
      </c>
      <c r="Q78" s="16">
        <v>5.8</v>
      </c>
      <c r="R78" s="16">
        <v>34</v>
      </c>
      <c r="S78" s="8">
        <v>27</v>
      </c>
      <c r="T78" s="97">
        <v>162.04</v>
      </c>
      <c r="U78" s="11">
        <v>60</v>
      </c>
      <c r="V78" s="11">
        <v>102.03999999999999</v>
      </c>
      <c r="W78" s="37" t="s">
        <v>5</v>
      </c>
      <c r="X78" s="69">
        <v>56</v>
      </c>
      <c r="Y78" s="12">
        <v>3.2074000000000003</v>
      </c>
      <c r="Z78" s="7">
        <v>9.6</v>
      </c>
      <c r="AA78" s="7">
        <v>10.6</v>
      </c>
      <c r="AB78" s="13">
        <v>80</v>
      </c>
      <c r="AC78" s="13">
        <v>88</v>
      </c>
      <c r="AD78" s="11" t="s">
        <v>6</v>
      </c>
      <c r="AE78" s="33" t="s">
        <v>455</v>
      </c>
      <c r="AF78" s="14" t="s">
        <v>721</v>
      </c>
    </row>
    <row r="79" spans="1:32" ht="31.5" x14ac:dyDescent="0.25">
      <c r="A79" s="1">
        <v>1441</v>
      </c>
      <c r="B79" s="2">
        <v>45920</v>
      </c>
      <c r="C79" s="1" t="s">
        <v>18</v>
      </c>
      <c r="D79" s="1" t="s">
        <v>19</v>
      </c>
      <c r="E79" s="1">
        <v>2</v>
      </c>
      <c r="F79" s="16">
        <v>22509020</v>
      </c>
      <c r="G79" s="16">
        <v>1250</v>
      </c>
      <c r="H79" s="16" t="s">
        <v>10</v>
      </c>
      <c r="I79" s="16" t="s">
        <v>159</v>
      </c>
      <c r="J79" s="16" t="s">
        <v>914</v>
      </c>
      <c r="K79" s="4">
        <v>1565</v>
      </c>
      <c r="L79" s="5">
        <v>1543</v>
      </c>
      <c r="M79" s="5">
        <v>1545</v>
      </c>
      <c r="N79" s="5">
        <v>1541</v>
      </c>
      <c r="O79" s="5">
        <v>1539</v>
      </c>
      <c r="P79" s="30">
        <v>1541.6666666666667</v>
      </c>
      <c r="Q79" s="16">
        <v>5</v>
      </c>
      <c r="R79" s="16">
        <v>38</v>
      </c>
      <c r="S79" s="8">
        <v>6</v>
      </c>
      <c r="T79" s="9">
        <v>166.31</v>
      </c>
      <c r="U79" s="9">
        <v>60.49</v>
      </c>
      <c r="V79" s="10">
        <v>105.82</v>
      </c>
      <c r="W79" s="11">
        <v>14.8</v>
      </c>
      <c r="X79" s="11">
        <v>57</v>
      </c>
      <c r="Y79" s="12">
        <v>2.8143750000000001</v>
      </c>
      <c r="Z79" s="7">
        <v>10.3</v>
      </c>
      <c r="AA79" s="7">
        <v>10.5</v>
      </c>
      <c r="AB79" s="13">
        <v>89</v>
      </c>
      <c r="AC79" s="13">
        <v>89</v>
      </c>
      <c r="AD79" s="17" t="s">
        <v>6</v>
      </c>
      <c r="AE79" s="33" t="s">
        <v>53</v>
      </c>
      <c r="AF79" s="14" t="s">
        <v>915</v>
      </c>
    </row>
    <row r="80" spans="1:32" ht="110.25" x14ac:dyDescent="0.25">
      <c r="A80" s="1">
        <v>1455</v>
      </c>
      <c r="B80" s="2">
        <v>45920</v>
      </c>
      <c r="C80" s="1" t="s">
        <v>264</v>
      </c>
      <c r="D80" s="1" t="s">
        <v>377</v>
      </c>
      <c r="E80" s="1">
        <v>1</v>
      </c>
      <c r="F80" s="16">
        <v>12509021</v>
      </c>
      <c r="G80" s="16">
        <v>1250</v>
      </c>
      <c r="H80" s="16" t="s">
        <v>55</v>
      </c>
      <c r="I80" s="16" t="s">
        <v>152</v>
      </c>
      <c r="J80" s="1" t="s">
        <v>916</v>
      </c>
      <c r="K80" s="4">
        <v>1565</v>
      </c>
      <c r="L80" s="5">
        <v>1548</v>
      </c>
      <c r="M80" s="5">
        <v>1550</v>
      </c>
      <c r="N80" s="5">
        <v>1538</v>
      </c>
      <c r="O80" s="5">
        <v>1537</v>
      </c>
      <c r="P80" s="30">
        <v>1541.6666666666667</v>
      </c>
      <c r="Q80" s="7">
        <v>4.5999999999999996</v>
      </c>
      <c r="R80" s="4">
        <v>34</v>
      </c>
      <c r="S80" s="8" t="s">
        <v>5</v>
      </c>
      <c r="T80" s="9">
        <v>169</v>
      </c>
      <c r="U80" s="9">
        <v>72</v>
      </c>
      <c r="V80" s="9">
        <v>97</v>
      </c>
      <c r="W80" s="37">
        <v>6.3</v>
      </c>
      <c r="X80" s="11">
        <v>58</v>
      </c>
      <c r="Y80" s="12">
        <v>2.6346499999999997</v>
      </c>
      <c r="Z80" s="7">
        <v>10.5</v>
      </c>
      <c r="AA80" s="7">
        <v>9.6</v>
      </c>
      <c r="AB80" s="13">
        <v>88</v>
      </c>
      <c r="AC80" s="13">
        <v>86</v>
      </c>
      <c r="AD80" s="17" t="s">
        <v>6</v>
      </c>
      <c r="AE80" s="33" t="s">
        <v>7</v>
      </c>
      <c r="AF80" s="14" t="s">
        <v>917</v>
      </c>
    </row>
    <row r="81" spans="1:32" ht="31.5" x14ac:dyDescent="0.25">
      <c r="A81" s="1">
        <v>1495</v>
      </c>
      <c r="B81" s="2">
        <v>45920</v>
      </c>
      <c r="C81" s="1" t="s">
        <v>0</v>
      </c>
      <c r="D81" s="1" t="s">
        <v>9</v>
      </c>
      <c r="E81" s="1">
        <v>2</v>
      </c>
      <c r="F81" s="36">
        <v>22509021</v>
      </c>
      <c r="G81" s="16">
        <v>1250</v>
      </c>
      <c r="H81" s="16" t="s">
        <v>55</v>
      </c>
      <c r="I81" s="16" t="s">
        <v>110</v>
      </c>
      <c r="J81" s="16" t="s">
        <v>918</v>
      </c>
      <c r="K81" s="3">
        <v>1570</v>
      </c>
      <c r="L81" s="5">
        <v>1552</v>
      </c>
      <c r="M81" s="5">
        <v>1553</v>
      </c>
      <c r="N81" s="5">
        <v>1552</v>
      </c>
      <c r="O81" s="5" t="s">
        <v>5</v>
      </c>
      <c r="P81" s="30">
        <v>1552.5</v>
      </c>
      <c r="Q81" s="16">
        <v>5.0999999999999996</v>
      </c>
      <c r="R81" s="16">
        <v>30</v>
      </c>
      <c r="S81" s="72">
        <v>32</v>
      </c>
      <c r="T81" s="8">
        <v>157.69999999999999</v>
      </c>
      <c r="U81" s="11">
        <v>61.9</v>
      </c>
      <c r="V81" s="10">
        <v>95.799999999999983</v>
      </c>
      <c r="W81" s="11">
        <v>15.6</v>
      </c>
      <c r="X81" s="69">
        <v>58</v>
      </c>
      <c r="Y81" s="12">
        <v>2.9210249999999998</v>
      </c>
      <c r="Z81" s="64">
        <v>11.4</v>
      </c>
      <c r="AA81" s="64">
        <v>11.4</v>
      </c>
      <c r="AB81" s="49">
        <v>89</v>
      </c>
      <c r="AC81" s="49">
        <v>92</v>
      </c>
      <c r="AD81" s="11" t="s">
        <v>6</v>
      </c>
      <c r="AE81" s="33" t="s">
        <v>53</v>
      </c>
      <c r="AF81" s="41" t="s">
        <v>919</v>
      </c>
    </row>
    <row r="82" spans="1:32" ht="15.75" x14ac:dyDescent="0.25">
      <c r="A82" s="1">
        <v>1502</v>
      </c>
      <c r="B82" s="2">
        <v>45921</v>
      </c>
      <c r="C82" s="1" t="s">
        <v>18</v>
      </c>
      <c r="D82" s="1" t="s">
        <v>19</v>
      </c>
      <c r="E82" s="1">
        <v>1</v>
      </c>
      <c r="F82" s="16">
        <v>12509021</v>
      </c>
      <c r="G82" s="16">
        <v>1250</v>
      </c>
      <c r="H82" s="16" t="s">
        <v>244</v>
      </c>
      <c r="I82" s="16" t="s">
        <v>66</v>
      </c>
      <c r="J82" s="16" t="s">
        <v>920</v>
      </c>
      <c r="K82" s="4">
        <v>1566</v>
      </c>
      <c r="L82" s="5">
        <v>1542</v>
      </c>
      <c r="M82" s="5">
        <v>1543</v>
      </c>
      <c r="N82" s="5">
        <v>1542</v>
      </c>
      <c r="O82" s="5">
        <v>1540</v>
      </c>
      <c r="P82" s="30">
        <v>1541.6666666666667</v>
      </c>
      <c r="Q82" s="7">
        <v>5</v>
      </c>
      <c r="R82" s="4">
        <v>38</v>
      </c>
      <c r="S82" s="8" t="s">
        <v>5</v>
      </c>
      <c r="T82" s="9">
        <v>169.7</v>
      </c>
      <c r="U82" s="9">
        <v>59.2</v>
      </c>
      <c r="V82" s="10">
        <v>110.49999999999999</v>
      </c>
      <c r="W82" s="11" t="s">
        <v>5</v>
      </c>
      <c r="X82" s="16">
        <v>57</v>
      </c>
      <c r="Y82" s="12">
        <v>2.8143750000000001</v>
      </c>
      <c r="Z82" s="7">
        <v>8.6999999999999993</v>
      </c>
      <c r="AA82" s="7">
        <v>8.5</v>
      </c>
      <c r="AB82" s="13">
        <v>87</v>
      </c>
      <c r="AC82" s="13">
        <v>85</v>
      </c>
      <c r="AD82" s="11" t="s">
        <v>6</v>
      </c>
      <c r="AE82" s="33" t="s">
        <v>455</v>
      </c>
      <c r="AF82" s="14" t="s">
        <v>480</v>
      </c>
    </row>
    <row r="83" spans="1:32" ht="31.5" x14ac:dyDescent="0.25">
      <c r="A83" s="1">
        <v>1529</v>
      </c>
      <c r="B83" s="2">
        <v>45921</v>
      </c>
      <c r="C83" s="1" t="s">
        <v>264</v>
      </c>
      <c r="D83" s="1" t="s">
        <v>9</v>
      </c>
      <c r="E83" s="1">
        <v>1</v>
      </c>
      <c r="F83" s="16">
        <v>12509021</v>
      </c>
      <c r="G83" s="16">
        <v>1250</v>
      </c>
      <c r="H83" s="16" t="s">
        <v>582</v>
      </c>
      <c r="I83" s="16" t="s">
        <v>273</v>
      </c>
      <c r="J83" s="16" t="s">
        <v>921</v>
      </c>
      <c r="K83" s="4">
        <v>1565</v>
      </c>
      <c r="L83" s="4">
        <v>1543</v>
      </c>
      <c r="M83" s="5">
        <v>1545</v>
      </c>
      <c r="N83" s="5">
        <v>1544</v>
      </c>
      <c r="O83" s="5" t="s">
        <v>5</v>
      </c>
      <c r="P83" s="30">
        <v>1544.5</v>
      </c>
      <c r="Q83" s="7">
        <v>5.3</v>
      </c>
      <c r="R83" s="4">
        <v>33</v>
      </c>
      <c r="S83" s="8">
        <v>32</v>
      </c>
      <c r="T83" s="9" t="s">
        <v>5</v>
      </c>
      <c r="U83" s="9" t="s">
        <v>5</v>
      </c>
      <c r="V83" s="10" t="s">
        <v>5</v>
      </c>
      <c r="W83" s="11" t="s">
        <v>5</v>
      </c>
      <c r="X83" s="16">
        <v>57</v>
      </c>
      <c r="Y83" s="12">
        <v>2.9832375</v>
      </c>
      <c r="Z83" s="7">
        <v>10.5</v>
      </c>
      <c r="AA83" s="7">
        <v>10.1</v>
      </c>
      <c r="AB83" s="13">
        <v>89</v>
      </c>
      <c r="AC83" s="13">
        <v>90</v>
      </c>
      <c r="AD83" s="11" t="s">
        <v>6</v>
      </c>
      <c r="AE83" s="33" t="s">
        <v>455</v>
      </c>
      <c r="AF83" s="14" t="s">
        <v>922</v>
      </c>
    </row>
    <row r="84" spans="1:32" ht="47.25" x14ac:dyDescent="0.25">
      <c r="A84" s="1">
        <v>1563</v>
      </c>
      <c r="B84" s="2">
        <v>45921</v>
      </c>
      <c r="C84" s="1" t="s">
        <v>0</v>
      </c>
      <c r="D84" s="1" t="s">
        <v>265</v>
      </c>
      <c r="E84" s="1">
        <v>2</v>
      </c>
      <c r="F84" s="16">
        <v>22509021</v>
      </c>
      <c r="G84" s="16">
        <v>1255</v>
      </c>
      <c r="H84" s="16" t="s">
        <v>923</v>
      </c>
      <c r="I84" s="16" t="s">
        <v>296</v>
      </c>
      <c r="J84" s="16" t="s">
        <v>924</v>
      </c>
      <c r="K84" s="4">
        <v>1566</v>
      </c>
      <c r="L84" s="5">
        <v>1535</v>
      </c>
      <c r="M84" s="5">
        <v>1538</v>
      </c>
      <c r="N84" s="5">
        <v>1537</v>
      </c>
      <c r="O84" s="5" t="s">
        <v>5</v>
      </c>
      <c r="P84" s="30">
        <v>1537.5</v>
      </c>
      <c r="Q84" s="7">
        <v>4.2</v>
      </c>
      <c r="R84" s="4">
        <v>42</v>
      </c>
      <c r="S84" s="8"/>
      <c r="T84" s="9">
        <v>175.8</v>
      </c>
      <c r="U84" s="9">
        <v>64.8</v>
      </c>
      <c r="V84" s="10">
        <v>111.00000000000001</v>
      </c>
      <c r="W84" s="11" t="s">
        <v>5</v>
      </c>
      <c r="X84" s="16">
        <v>58</v>
      </c>
      <c r="Y84" s="12">
        <v>2.4151722000000002</v>
      </c>
      <c r="Z84" s="7">
        <v>9.6</v>
      </c>
      <c r="AA84" s="7">
        <v>10.7</v>
      </c>
      <c r="AB84" s="13">
        <v>82</v>
      </c>
      <c r="AC84" s="13">
        <v>90</v>
      </c>
      <c r="AD84" s="11" t="s">
        <v>6</v>
      </c>
      <c r="AE84" s="33" t="s">
        <v>72</v>
      </c>
      <c r="AF84" s="14" t="s">
        <v>925</v>
      </c>
    </row>
    <row r="85" spans="1:32" ht="15.75" x14ac:dyDescent="0.25">
      <c r="A85" s="1">
        <v>1592</v>
      </c>
      <c r="B85" s="2">
        <v>45922</v>
      </c>
      <c r="C85" s="1" t="s">
        <v>18</v>
      </c>
      <c r="D85" s="1" t="s">
        <v>19</v>
      </c>
      <c r="E85" s="1">
        <v>2</v>
      </c>
      <c r="F85" s="16">
        <v>22509021</v>
      </c>
      <c r="G85" s="16">
        <v>1230</v>
      </c>
      <c r="H85" s="16" t="s">
        <v>10</v>
      </c>
      <c r="I85" s="16" t="s">
        <v>132</v>
      </c>
      <c r="J85" s="16" t="s">
        <v>926</v>
      </c>
      <c r="K85" s="4">
        <v>1564</v>
      </c>
      <c r="L85" s="4">
        <v>1546</v>
      </c>
      <c r="M85" s="5">
        <v>1546</v>
      </c>
      <c r="N85" s="5">
        <v>1546</v>
      </c>
      <c r="O85" s="5" t="s">
        <v>5</v>
      </c>
      <c r="P85" s="30">
        <v>1546</v>
      </c>
      <c r="Q85" s="7">
        <v>5.2</v>
      </c>
      <c r="R85" s="4">
        <v>40</v>
      </c>
      <c r="S85" s="8"/>
      <c r="T85" s="9">
        <v>169</v>
      </c>
      <c r="U85" s="9">
        <v>62.27</v>
      </c>
      <c r="V85" s="10">
        <v>106.72999999999999</v>
      </c>
      <c r="W85" s="11">
        <v>15.5</v>
      </c>
      <c r="X85" s="16">
        <v>58</v>
      </c>
      <c r="Y85" s="12">
        <v>2.9306472000000001</v>
      </c>
      <c r="Z85" s="7">
        <v>10.8</v>
      </c>
      <c r="AA85" s="7">
        <v>10.9</v>
      </c>
      <c r="AB85" s="13">
        <v>87</v>
      </c>
      <c r="AC85" s="13">
        <v>90</v>
      </c>
      <c r="AD85" s="11" t="s">
        <v>6</v>
      </c>
      <c r="AE85" s="33" t="s">
        <v>53</v>
      </c>
      <c r="AF85" s="14" t="s">
        <v>927</v>
      </c>
    </row>
    <row r="86" spans="1:32" ht="31.5" x14ac:dyDescent="0.25">
      <c r="A86" s="1">
        <v>1596</v>
      </c>
      <c r="B86" s="2">
        <v>45922</v>
      </c>
      <c r="C86" s="1" t="s">
        <v>18</v>
      </c>
      <c r="D86" s="1" t="s">
        <v>19</v>
      </c>
      <c r="E86" s="1">
        <v>2</v>
      </c>
      <c r="F86" s="16">
        <v>22509021</v>
      </c>
      <c r="G86" s="16">
        <v>1230</v>
      </c>
      <c r="H86" s="16" t="s">
        <v>55</v>
      </c>
      <c r="I86" s="16" t="s">
        <v>110</v>
      </c>
      <c r="J86" s="16" t="s">
        <v>928</v>
      </c>
      <c r="K86" s="4">
        <v>1565</v>
      </c>
      <c r="L86" s="4">
        <v>1544</v>
      </c>
      <c r="M86" s="5">
        <v>1543</v>
      </c>
      <c r="N86" s="5">
        <v>1542</v>
      </c>
      <c r="O86" s="5" t="s">
        <v>5</v>
      </c>
      <c r="P86" s="30">
        <v>1542.5</v>
      </c>
      <c r="Q86" s="7">
        <v>4.9000000000000004</v>
      </c>
      <c r="R86" s="4">
        <v>36</v>
      </c>
      <c r="S86" s="8">
        <v>30</v>
      </c>
      <c r="T86" s="9">
        <v>157.69999999999999</v>
      </c>
      <c r="U86" s="9">
        <v>61.14</v>
      </c>
      <c r="V86" s="10">
        <v>96.559999999999988</v>
      </c>
      <c r="W86" s="11">
        <v>11.8</v>
      </c>
      <c r="X86" s="16">
        <v>56</v>
      </c>
      <c r="Y86" s="12">
        <v>2.6663448000000005</v>
      </c>
      <c r="Z86" s="7">
        <v>9.9</v>
      </c>
      <c r="AA86" s="7">
        <v>9.1</v>
      </c>
      <c r="AB86" s="13">
        <v>91</v>
      </c>
      <c r="AC86" s="13">
        <v>83</v>
      </c>
      <c r="AD86" s="11" t="s">
        <v>6</v>
      </c>
      <c r="AE86" s="33" t="s">
        <v>53</v>
      </c>
      <c r="AF86" s="14" t="s">
        <v>929</v>
      </c>
    </row>
    <row r="87" spans="1:32" ht="63" x14ac:dyDescent="0.25">
      <c r="A87" s="1">
        <v>1623</v>
      </c>
      <c r="B87" s="2">
        <v>45922</v>
      </c>
      <c r="C87" s="1" t="s">
        <v>0</v>
      </c>
      <c r="D87" s="1" t="s">
        <v>265</v>
      </c>
      <c r="E87" s="1">
        <v>1</v>
      </c>
      <c r="F87" s="16">
        <v>12509024</v>
      </c>
      <c r="G87" s="4">
        <v>1250</v>
      </c>
      <c r="H87" s="16" t="s">
        <v>10</v>
      </c>
      <c r="I87" s="16" t="s">
        <v>77</v>
      </c>
      <c r="J87" s="16" t="s">
        <v>930</v>
      </c>
      <c r="K87" s="4">
        <v>1559</v>
      </c>
      <c r="L87" s="5">
        <v>1548</v>
      </c>
      <c r="M87" s="5">
        <v>1546</v>
      </c>
      <c r="N87" s="5">
        <v>1544</v>
      </c>
      <c r="O87" s="5">
        <v>1543</v>
      </c>
      <c r="P87" s="30">
        <v>1544.3333333333333</v>
      </c>
      <c r="Q87" s="7">
        <v>4.5</v>
      </c>
      <c r="R87" s="4">
        <v>40</v>
      </c>
      <c r="S87" s="8" t="s">
        <v>5</v>
      </c>
      <c r="T87" s="9">
        <v>168</v>
      </c>
      <c r="U87" s="9">
        <v>61</v>
      </c>
      <c r="V87" s="10">
        <v>107</v>
      </c>
      <c r="W87" s="11">
        <v>15</v>
      </c>
      <c r="X87" s="16">
        <v>58</v>
      </c>
      <c r="Y87" s="12">
        <v>2.577375</v>
      </c>
      <c r="Z87" s="7">
        <v>8.9</v>
      </c>
      <c r="AA87" s="7">
        <v>9.6</v>
      </c>
      <c r="AB87" s="13">
        <v>76</v>
      </c>
      <c r="AC87" s="13">
        <v>85</v>
      </c>
      <c r="AD87" s="11" t="s">
        <v>747</v>
      </c>
      <c r="AE87" s="33" t="s">
        <v>455</v>
      </c>
      <c r="AF87" s="14" t="s">
        <v>931</v>
      </c>
    </row>
    <row r="88" spans="1:32" ht="47.25" x14ac:dyDescent="0.25">
      <c r="A88" s="1">
        <v>1624</v>
      </c>
      <c r="B88" s="2">
        <v>45922</v>
      </c>
      <c r="C88" s="1" t="s">
        <v>0</v>
      </c>
      <c r="D88" s="1" t="s">
        <v>265</v>
      </c>
      <c r="E88" s="1">
        <v>1</v>
      </c>
      <c r="F88" s="16">
        <v>12509024</v>
      </c>
      <c r="G88" s="4">
        <v>1250</v>
      </c>
      <c r="H88" s="16" t="s">
        <v>10</v>
      </c>
      <c r="I88" s="16" t="s">
        <v>194</v>
      </c>
      <c r="J88" s="16" t="s">
        <v>932</v>
      </c>
      <c r="K88" s="4">
        <v>1569</v>
      </c>
      <c r="L88" s="5">
        <v>1546</v>
      </c>
      <c r="M88" s="5">
        <v>1540</v>
      </c>
      <c r="N88" s="5">
        <v>1546</v>
      </c>
      <c r="O88" s="5">
        <v>1546</v>
      </c>
      <c r="P88" s="30">
        <v>1544</v>
      </c>
      <c r="Q88" s="7">
        <v>4.5</v>
      </c>
      <c r="R88" s="4">
        <v>47</v>
      </c>
      <c r="S88" s="8" t="s">
        <v>5</v>
      </c>
      <c r="T88" s="9">
        <v>173</v>
      </c>
      <c r="U88" s="9">
        <v>59</v>
      </c>
      <c r="V88" s="10">
        <v>114</v>
      </c>
      <c r="W88" s="11" t="s">
        <v>5</v>
      </c>
      <c r="X88" s="16">
        <v>58</v>
      </c>
      <c r="Y88" s="12">
        <v>2.577375</v>
      </c>
      <c r="Z88" s="7">
        <v>9.5</v>
      </c>
      <c r="AA88" s="7">
        <v>10.7</v>
      </c>
      <c r="AB88" s="13">
        <v>79</v>
      </c>
      <c r="AC88" s="13">
        <v>85</v>
      </c>
      <c r="AD88" s="11" t="s">
        <v>6</v>
      </c>
      <c r="AE88" s="33" t="s">
        <v>72</v>
      </c>
      <c r="AF88" s="14" t="s">
        <v>933</v>
      </c>
    </row>
    <row r="89" spans="1:32" ht="47.25" x14ac:dyDescent="0.25">
      <c r="A89" s="1">
        <v>1638</v>
      </c>
      <c r="B89" s="2">
        <v>45922</v>
      </c>
      <c r="C89" s="1" t="s">
        <v>0</v>
      </c>
      <c r="D89" s="1" t="s">
        <v>265</v>
      </c>
      <c r="E89" s="1">
        <v>2</v>
      </c>
      <c r="F89" s="16">
        <v>22509024</v>
      </c>
      <c r="G89" s="16">
        <v>1250</v>
      </c>
      <c r="H89" s="16" t="s">
        <v>225</v>
      </c>
      <c r="I89" s="16" t="s">
        <v>77</v>
      </c>
      <c r="J89" s="16" t="s">
        <v>934</v>
      </c>
      <c r="K89" s="4">
        <v>1565</v>
      </c>
      <c r="L89" s="5">
        <v>1542</v>
      </c>
      <c r="M89" s="5">
        <v>1543</v>
      </c>
      <c r="N89" s="5">
        <v>1542</v>
      </c>
      <c r="O89" s="5">
        <v>1542</v>
      </c>
      <c r="P89" s="30">
        <v>1542.3333333333333</v>
      </c>
      <c r="Q89" s="7">
        <v>4.5999999999999996</v>
      </c>
      <c r="R89" s="4">
        <v>41</v>
      </c>
      <c r="S89" s="8" t="s">
        <v>5</v>
      </c>
      <c r="T89" s="9">
        <v>174</v>
      </c>
      <c r="U89" s="9">
        <v>60</v>
      </c>
      <c r="V89" s="10">
        <v>114</v>
      </c>
      <c r="W89" s="11">
        <v>13.5</v>
      </c>
      <c r="X89" s="16">
        <v>56</v>
      </c>
      <c r="Y89" s="12">
        <v>2.5438000000000001</v>
      </c>
      <c r="Z89" s="7">
        <v>9.4</v>
      </c>
      <c r="AA89" s="7">
        <v>9.1</v>
      </c>
      <c r="AB89" s="13">
        <v>82</v>
      </c>
      <c r="AC89" s="13">
        <v>80</v>
      </c>
      <c r="AD89" s="11" t="s">
        <v>777</v>
      </c>
      <c r="AE89" s="33" t="s">
        <v>455</v>
      </c>
      <c r="AF89" s="14" t="s">
        <v>935</v>
      </c>
    </row>
    <row r="90" spans="1:32" ht="15.75" x14ac:dyDescent="0.25">
      <c r="A90" s="1">
        <v>1640</v>
      </c>
      <c r="B90" s="2">
        <v>45922</v>
      </c>
      <c r="C90" s="1" t="s">
        <v>0</v>
      </c>
      <c r="D90" s="1" t="s">
        <v>265</v>
      </c>
      <c r="E90" s="1">
        <v>2</v>
      </c>
      <c r="F90" s="16">
        <v>22509024</v>
      </c>
      <c r="G90" s="16">
        <v>1250</v>
      </c>
      <c r="H90" s="16" t="s">
        <v>225</v>
      </c>
      <c r="I90" s="16" t="s">
        <v>189</v>
      </c>
      <c r="J90" s="16" t="s">
        <v>936</v>
      </c>
      <c r="K90" s="4">
        <v>1565</v>
      </c>
      <c r="L90" s="5">
        <v>1546</v>
      </c>
      <c r="M90" s="5">
        <v>1550</v>
      </c>
      <c r="N90" s="5">
        <v>1553</v>
      </c>
      <c r="O90" s="5">
        <v>1550</v>
      </c>
      <c r="P90" s="30">
        <v>1551</v>
      </c>
      <c r="Q90" s="7">
        <v>4.3</v>
      </c>
      <c r="R90" s="4">
        <v>38</v>
      </c>
      <c r="S90" s="8" t="s">
        <v>5</v>
      </c>
      <c r="T90" s="9">
        <v>175</v>
      </c>
      <c r="U90" s="9">
        <v>60</v>
      </c>
      <c r="V90" s="10">
        <v>115</v>
      </c>
      <c r="W90" s="11" t="s">
        <v>5</v>
      </c>
      <c r="X90" s="16">
        <v>56</v>
      </c>
      <c r="Y90" s="12">
        <v>2.3778999999999999</v>
      </c>
      <c r="Z90" s="7">
        <v>9.1</v>
      </c>
      <c r="AA90" s="7">
        <v>7.6</v>
      </c>
      <c r="AB90" s="13">
        <v>84</v>
      </c>
      <c r="AC90" s="13">
        <v>81</v>
      </c>
      <c r="AD90" s="11" t="s">
        <v>6</v>
      </c>
      <c r="AE90" s="33" t="s">
        <v>455</v>
      </c>
      <c r="AF90" s="14" t="s">
        <v>721</v>
      </c>
    </row>
    <row r="91" spans="1:32" ht="47.25" x14ac:dyDescent="0.25">
      <c r="A91" s="1">
        <v>1658</v>
      </c>
      <c r="B91" s="2">
        <v>45923</v>
      </c>
      <c r="C91" s="1" t="s">
        <v>18</v>
      </c>
      <c r="D91" s="1" t="s">
        <v>19</v>
      </c>
      <c r="E91" s="1">
        <v>2</v>
      </c>
      <c r="F91" s="83">
        <v>22509024</v>
      </c>
      <c r="G91" s="4">
        <v>1250</v>
      </c>
      <c r="H91" s="88" t="s">
        <v>225</v>
      </c>
      <c r="I91" s="16" t="s">
        <v>152</v>
      </c>
      <c r="J91" s="16" t="s">
        <v>937</v>
      </c>
      <c r="K91" s="4">
        <v>1565</v>
      </c>
      <c r="L91" s="4">
        <v>1549</v>
      </c>
      <c r="M91" s="5">
        <v>1551</v>
      </c>
      <c r="N91" s="5">
        <v>1551</v>
      </c>
      <c r="O91" s="5">
        <v>1549</v>
      </c>
      <c r="P91" s="30">
        <v>1550.3333333333333</v>
      </c>
      <c r="Q91" s="7">
        <v>4.8</v>
      </c>
      <c r="R91" s="4">
        <v>39</v>
      </c>
      <c r="S91" s="8">
        <v>18</v>
      </c>
      <c r="T91" s="9">
        <v>166.2</v>
      </c>
      <c r="U91" s="9">
        <v>61.34</v>
      </c>
      <c r="V91" s="10">
        <v>104.85999999999999</v>
      </c>
      <c r="W91" s="11">
        <v>15.8</v>
      </c>
      <c r="X91" s="16">
        <v>56</v>
      </c>
      <c r="Y91" s="12">
        <v>2.6544000000000003</v>
      </c>
      <c r="Z91" s="7">
        <v>7.8</v>
      </c>
      <c r="AA91" s="7">
        <v>6.3</v>
      </c>
      <c r="AB91" s="13">
        <v>82</v>
      </c>
      <c r="AC91" s="13">
        <v>63</v>
      </c>
      <c r="AD91" s="11" t="s">
        <v>6</v>
      </c>
      <c r="AE91" s="33" t="s">
        <v>455</v>
      </c>
      <c r="AF91" s="14" t="s">
        <v>938</v>
      </c>
    </row>
    <row r="92" spans="1:32" ht="47.25" x14ac:dyDescent="0.25">
      <c r="A92" s="1">
        <v>1660</v>
      </c>
      <c r="B92" s="2">
        <v>45923</v>
      </c>
      <c r="C92" s="1" t="s">
        <v>18</v>
      </c>
      <c r="D92" s="1" t="s">
        <v>19</v>
      </c>
      <c r="E92" s="1">
        <v>2</v>
      </c>
      <c r="F92" s="83">
        <v>22509024</v>
      </c>
      <c r="G92" s="4">
        <v>1250</v>
      </c>
      <c r="H92" s="88" t="s">
        <v>225</v>
      </c>
      <c r="I92" s="16" t="s">
        <v>182</v>
      </c>
      <c r="J92" s="16" t="s">
        <v>939</v>
      </c>
      <c r="K92" s="4">
        <v>1566</v>
      </c>
      <c r="L92" s="4">
        <v>1543</v>
      </c>
      <c r="M92" s="5">
        <v>1546</v>
      </c>
      <c r="N92" s="5">
        <v>1545</v>
      </c>
      <c r="O92" s="5">
        <v>1545</v>
      </c>
      <c r="P92" s="30">
        <v>1545.3333333333333</v>
      </c>
      <c r="Q92" s="7">
        <v>4.8</v>
      </c>
      <c r="R92" s="4">
        <v>41</v>
      </c>
      <c r="S92" s="8" t="s">
        <v>5</v>
      </c>
      <c r="T92" s="9">
        <v>178</v>
      </c>
      <c r="U92" s="9">
        <v>82</v>
      </c>
      <c r="V92" s="10">
        <v>96</v>
      </c>
      <c r="W92" s="11">
        <v>14.7</v>
      </c>
      <c r="X92" s="16">
        <v>56</v>
      </c>
      <c r="Y92" s="12">
        <v>2.6544000000000003</v>
      </c>
      <c r="Z92" s="7">
        <v>9.3000000000000007</v>
      </c>
      <c r="AA92" s="7">
        <v>6.4</v>
      </c>
      <c r="AB92" s="13">
        <v>94</v>
      </c>
      <c r="AC92" s="13">
        <v>62</v>
      </c>
      <c r="AD92" s="11" t="s">
        <v>6</v>
      </c>
      <c r="AE92" s="33" t="s">
        <v>455</v>
      </c>
      <c r="AF92" s="14" t="s">
        <v>940</v>
      </c>
    </row>
    <row r="93" spans="1:32" ht="31.5" x14ac:dyDescent="0.25">
      <c r="A93" s="1">
        <v>1700</v>
      </c>
      <c r="B93" s="2">
        <v>45923</v>
      </c>
      <c r="C93" s="1" t="s">
        <v>0</v>
      </c>
      <c r="D93" s="1" t="s">
        <v>265</v>
      </c>
      <c r="E93" s="1">
        <v>2</v>
      </c>
      <c r="F93" s="16">
        <v>22509025</v>
      </c>
      <c r="G93" s="4">
        <v>1250</v>
      </c>
      <c r="H93" s="88" t="s">
        <v>225</v>
      </c>
      <c r="I93" s="16" t="s">
        <v>120</v>
      </c>
      <c r="J93" s="16" t="s">
        <v>941</v>
      </c>
      <c r="K93" s="4">
        <v>1570</v>
      </c>
      <c r="L93" s="5">
        <v>1548</v>
      </c>
      <c r="M93" s="5">
        <v>1549</v>
      </c>
      <c r="N93" s="5">
        <v>1548</v>
      </c>
      <c r="O93" s="5">
        <v>1550</v>
      </c>
      <c r="P93" s="30">
        <v>1549</v>
      </c>
      <c r="Q93" s="7">
        <v>4.4000000000000004</v>
      </c>
      <c r="R93" s="4">
        <v>40</v>
      </c>
      <c r="S93" s="8" t="s">
        <v>5</v>
      </c>
      <c r="T93" s="9">
        <v>170</v>
      </c>
      <c r="U93" s="9">
        <v>62</v>
      </c>
      <c r="V93" s="10">
        <v>108</v>
      </c>
      <c r="W93" s="11" t="s">
        <v>5</v>
      </c>
      <c r="X93" s="16">
        <v>56</v>
      </c>
      <c r="Y93" s="12">
        <v>2.4332000000000003</v>
      </c>
      <c r="Z93" s="7">
        <v>7.7</v>
      </c>
      <c r="AA93" s="7">
        <v>8.1999999999999993</v>
      </c>
      <c r="AB93" s="13">
        <v>63</v>
      </c>
      <c r="AC93" s="13">
        <v>70</v>
      </c>
      <c r="AD93" s="11" t="s">
        <v>6</v>
      </c>
      <c r="AE93" s="33" t="s">
        <v>72</v>
      </c>
      <c r="AF93" s="14" t="s">
        <v>942</v>
      </c>
    </row>
    <row r="94" spans="1:32" ht="15.75" x14ac:dyDescent="0.25">
      <c r="A94" s="1">
        <v>1703</v>
      </c>
      <c r="B94" s="2">
        <v>45923</v>
      </c>
      <c r="C94" s="1" t="s">
        <v>0</v>
      </c>
      <c r="D94" s="1" t="s">
        <v>265</v>
      </c>
      <c r="E94" s="1">
        <v>2</v>
      </c>
      <c r="F94" s="16">
        <v>22509025</v>
      </c>
      <c r="G94" s="4">
        <v>1250</v>
      </c>
      <c r="H94" s="16" t="s">
        <v>176</v>
      </c>
      <c r="I94" s="16" t="s">
        <v>261</v>
      </c>
      <c r="J94" s="16" t="s">
        <v>943</v>
      </c>
      <c r="K94" s="4">
        <v>1565</v>
      </c>
      <c r="L94" s="5">
        <v>1550</v>
      </c>
      <c r="M94" s="5">
        <v>1551</v>
      </c>
      <c r="N94" s="5">
        <v>1549</v>
      </c>
      <c r="O94" s="5">
        <v>1549</v>
      </c>
      <c r="P94" s="30">
        <v>1549.6666666666667</v>
      </c>
      <c r="Q94" s="7">
        <v>4.5</v>
      </c>
      <c r="R94" s="4">
        <v>41</v>
      </c>
      <c r="S94" s="8">
        <v>33</v>
      </c>
      <c r="T94" s="9" t="s">
        <v>5</v>
      </c>
      <c r="U94" s="9" t="s">
        <v>5</v>
      </c>
      <c r="V94" s="9" t="s">
        <v>5</v>
      </c>
      <c r="W94" s="11" t="s">
        <v>5</v>
      </c>
      <c r="X94" s="16">
        <v>58</v>
      </c>
      <c r="Y94" s="12">
        <v>2.577375</v>
      </c>
      <c r="Z94" s="7">
        <v>8.6999999999999993</v>
      </c>
      <c r="AA94" s="7">
        <v>8.9</v>
      </c>
      <c r="AB94" s="13">
        <v>72</v>
      </c>
      <c r="AC94" s="13">
        <v>76</v>
      </c>
      <c r="AD94" s="11" t="s">
        <v>6</v>
      </c>
      <c r="AE94" s="33" t="s">
        <v>72</v>
      </c>
      <c r="AF94" s="14" t="s">
        <v>418</v>
      </c>
    </row>
    <row r="95" spans="1:32" ht="31.5" x14ac:dyDescent="0.25">
      <c r="A95" s="1">
        <v>1707</v>
      </c>
      <c r="B95" s="2">
        <v>45923</v>
      </c>
      <c r="C95" s="1" t="s">
        <v>0</v>
      </c>
      <c r="D95" s="1" t="s">
        <v>265</v>
      </c>
      <c r="E95" s="1">
        <v>2</v>
      </c>
      <c r="F95" s="16">
        <v>22509025</v>
      </c>
      <c r="G95" s="4">
        <v>1250</v>
      </c>
      <c r="H95" s="16" t="s">
        <v>244</v>
      </c>
      <c r="I95" s="16" t="s">
        <v>155</v>
      </c>
      <c r="J95" s="16" t="s">
        <v>944</v>
      </c>
      <c r="K95" s="4">
        <v>1568</v>
      </c>
      <c r="L95" s="5">
        <v>1551</v>
      </c>
      <c r="M95" s="5">
        <v>1551</v>
      </c>
      <c r="N95" s="5">
        <v>1550</v>
      </c>
      <c r="O95" s="5">
        <v>1548</v>
      </c>
      <c r="P95" s="30">
        <v>1549.6666666666667</v>
      </c>
      <c r="Q95" s="7">
        <v>4.8</v>
      </c>
      <c r="R95" s="4">
        <v>38</v>
      </c>
      <c r="S95" s="8" t="s">
        <v>5</v>
      </c>
      <c r="T95" s="9" t="s">
        <v>5</v>
      </c>
      <c r="U95" s="9" t="s">
        <v>5</v>
      </c>
      <c r="V95" s="9" t="s">
        <v>5</v>
      </c>
      <c r="W95" s="11" t="s">
        <v>5</v>
      </c>
      <c r="X95" s="16">
        <v>58</v>
      </c>
      <c r="Y95" s="12">
        <v>2.7491999999999996</v>
      </c>
      <c r="Z95" s="7">
        <v>8.6999999999999993</v>
      </c>
      <c r="AA95" s="7">
        <v>9.4</v>
      </c>
      <c r="AB95" s="13">
        <v>71</v>
      </c>
      <c r="AC95" s="13">
        <v>78</v>
      </c>
      <c r="AD95" s="11" t="s">
        <v>6</v>
      </c>
      <c r="AE95" s="33" t="s">
        <v>72</v>
      </c>
      <c r="AF95" s="14" t="s">
        <v>945</v>
      </c>
    </row>
    <row r="96" spans="1:32" ht="31.5" x14ac:dyDescent="0.25">
      <c r="A96" s="1">
        <v>1716</v>
      </c>
      <c r="B96" s="2">
        <v>45924</v>
      </c>
      <c r="C96" s="1" t="s">
        <v>18</v>
      </c>
      <c r="D96" s="1" t="s">
        <v>19</v>
      </c>
      <c r="E96" s="1">
        <v>1</v>
      </c>
      <c r="F96" s="83">
        <v>12509025</v>
      </c>
      <c r="G96" s="4">
        <v>1250</v>
      </c>
      <c r="H96" s="88" t="s">
        <v>55</v>
      </c>
      <c r="I96" s="16" t="s">
        <v>126</v>
      </c>
      <c r="J96" s="16" t="s">
        <v>946</v>
      </c>
      <c r="K96" s="4">
        <v>1569</v>
      </c>
      <c r="L96" s="5">
        <v>1547</v>
      </c>
      <c r="M96" s="5">
        <v>1549</v>
      </c>
      <c r="N96" s="5">
        <v>1544</v>
      </c>
      <c r="O96" s="5">
        <v>1546</v>
      </c>
      <c r="P96" s="30">
        <v>1546.3333333333333</v>
      </c>
      <c r="Q96" s="7">
        <v>4.5</v>
      </c>
      <c r="R96" s="4">
        <v>41</v>
      </c>
      <c r="S96" s="8">
        <v>20</v>
      </c>
      <c r="T96" s="9">
        <v>172.2</v>
      </c>
      <c r="U96" s="9">
        <v>60.4</v>
      </c>
      <c r="V96" s="10">
        <v>111.79999999999998</v>
      </c>
      <c r="W96" s="11" t="s">
        <v>5</v>
      </c>
      <c r="X96" s="16">
        <v>58</v>
      </c>
      <c r="Y96" s="12">
        <v>2.577375</v>
      </c>
      <c r="Z96" s="7">
        <v>9.6999999999999993</v>
      </c>
      <c r="AA96" s="7">
        <v>10.7</v>
      </c>
      <c r="AB96" s="13">
        <v>78</v>
      </c>
      <c r="AC96" s="13">
        <v>87</v>
      </c>
      <c r="AD96" s="11" t="s">
        <v>6</v>
      </c>
      <c r="AE96" s="33" t="s">
        <v>72</v>
      </c>
      <c r="AF96" s="14" t="s">
        <v>947</v>
      </c>
    </row>
    <row r="97" spans="1:32" ht="47.25" x14ac:dyDescent="0.25">
      <c r="A97" s="1">
        <v>1723</v>
      </c>
      <c r="B97" s="2">
        <v>45924</v>
      </c>
      <c r="C97" s="1" t="s">
        <v>18</v>
      </c>
      <c r="D97" s="1" t="s">
        <v>19</v>
      </c>
      <c r="E97" s="1">
        <v>2</v>
      </c>
      <c r="F97" s="83">
        <v>22509025</v>
      </c>
      <c r="G97" s="4">
        <v>1250</v>
      </c>
      <c r="H97" s="88" t="s">
        <v>244</v>
      </c>
      <c r="I97" s="16" t="s">
        <v>331</v>
      </c>
      <c r="J97" s="16" t="s">
        <v>948</v>
      </c>
      <c r="K97" s="4">
        <v>1570</v>
      </c>
      <c r="L97" s="4">
        <v>1545</v>
      </c>
      <c r="M97" s="5">
        <v>1546</v>
      </c>
      <c r="N97" s="5">
        <v>1546</v>
      </c>
      <c r="O97" s="5">
        <v>1547</v>
      </c>
      <c r="P97" s="30">
        <v>1546.3333333333333</v>
      </c>
      <c r="Q97" s="7">
        <v>4.5</v>
      </c>
      <c r="R97" s="4">
        <v>44</v>
      </c>
      <c r="S97" s="8">
        <v>6</v>
      </c>
      <c r="T97" s="9">
        <v>169.56</v>
      </c>
      <c r="U97" s="9">
        <v>59.2</v>
      </c>
      <c r="V97" s="10">
        <v>110.36</v>
      </c>
      <c r="W97" s="11">
        <v>15.1</v>
      </c>
      <c r="X97" s="16">
        <v>56</v>
      </c>
      <c r="Y97" s="12">
        <v>2.4885000000000002</v>
      </c>
      <c r="Z97" s="7">
        <v>8.3000000000000007</v>
      </c>
      <c r="AA97" s="7">
        <v>9.3000000000000007</v>
      </c>
      <c r="AB97" s="13">
        <v>71</v>
      </c>
      <c r="AC97" s="13">
        <v>79</v>
      </c>
      <c r="AD97" s="11" t="s">
        <v>6</v>
      </c>
      <c r="AE97" s="33" t="s">
        <v>72</v>
      </c>
      <c r="AF97" s="14" t="s">
        <v>949</v>
      </c>
    </row>
    <row r="98" spans="1:32" ht="47.25" x14ac:dyDescent="0.25">
      <c r="A98" s="1">
        <v>1725</v>
      </c>
      <c r="B98" s="2">
        <v>45924</v>
      </c>
      <c r="C98" s="1" t="s">
        <v>18</v>
      </c>
      <c r="D98" s="1" t="s">
        <v>19</v>
      </c>
      <c r="E98" s="1">
        <v>2</v>
      </c>
      <c r="F98" s="83">
        <v>22509025</v>
      </c>
      <c r="G98" s="4">
        <v>1250</v>
      </c>
      <c r="H98" s="88" t="s">
        <v>244</v>
      </c>
      <c r="I98" s="16" t="s">
        <v>11</v>
      </c>
      <c r="J98" s="16" t="s">
        <v>950</v>
      </c>
      <c r="K98" s="4">
        <v>1571</v>
      </c>
      <c r="L98" s="4">
        <v>1545</v>
      </c>
      <c r="M98" s="5">
        <v>1546</v>
      </c>
      <c r="N98" s="5">
        <v>1545</v>
      </c>
      <c r="O98" s="5">
        <v>1544</v>
      </c>
      <c r="P98" s="30">
        <v>1545</v>
      </c>
      <c r="Q98" s="7">
        <v>4.2</v>
      </c>
      <c r="R98" s="4">
        <v>45</v>
      </c>
      <c r="S98" s="8">
        <v>21</v>
      </c>
      <c r="T98" s="9">
        <v>162.5</v>
      </c>
      <c r="U98" s="9">
        <v>63</v>
      </c>
      <c r="V98" s="10">
        <v>99.5</v>
      </c>
      <c r="W98" s="11" t="s">
        <v>5</v>
      </c>
      <c r="X98" s="16">
        <v>56</v>
      </c>
      <c r="Y98" s="12">
        <v>2.3226000000000004</v>
      </c>
      <c r="Z98" s="7">
        <v>7</v>
      </c>
      <c r="AA98" s="7">
        <v>7.5</v>
      </c>
      <c r="AB98" s="13">
        <v>63</v>
      </c>
      <c r="AC98" s="13">
        <v>67</v>
      </c>
      <c r="AD98" s="11" t="s">
        <v>6</v>
      </c>
      <c r="AE98" s="33" t="s">
        <v>72</v>
      </c>
      <c r="AF98" s="14" t="s">
        <v>951</v>
      </c>
    </row>
    <row r="99" spans="1:32" ht="31.5" x14ac:dyDescent="0.25">
      <c r="A99" s="1">
        <v>1726</v>
      </c>
      <c r="B99" s="2">
        <v>45924</v>
      </c>
      <c r="C99" s="1" t="s">
        <v>18</v>
      </c>
      <c r="D99" s="1" t="s">
        <v>19</v>
      </c>
      <c r="E99" s="1">
        <v>2</v>
      </c>
      <c r="F99" s="83">
        <v>22509025</v>
      </c>
      <c r="G99" s="4">
        <v>1250</v>
      </c>
      <c r="H99" s="88" t="s">
        <v>244</v>
      </c>
      <c r="I99" s="16" t="s">
        <v>164</v>
      </c>
      <c r="J99" s="16" t="s">
        <v>952</v>
      </c>
      <c r="K99" s="4">
        <v>1570</v>
      </c>
      <c r="L99" s="4">
        <v>1551</v>
      </c>
      <c r="M99" s="5">
        <v>1548</v>
      </c>
      <c r="N99" s="5">
        <v>1547</v>
      </c>
      <c r="O99" s="5">
        <v>1547</v>
      </c>
      <c r="P99" s="30">
        <v>1547.3333333333333</v>
      </c>
      <c r="Q99" s="7">
        <v>4.5</v>
      </c>
      <c r="R99" s="4">
        <v>47</v>
      </c>
      <c r="S99" s="8">
        <v>29</v>
      </c>
      <c r="T99" s="9">
        <v>178</v>
      </c>
      <c r="U99" s="9">
        <v>66</v>
      </c>
      <c r="V99" s="10">
        <v>112</v>
      </c>
      <c r="W99" s="11" t="s">
        <v>5</v>
      </c>
      <c r="X99" s="16">
        <v>56</v>
      </c>
      <c r="Y99" s="12">
        <v>2.4885000000000002</v>
      </c>
      <c r="Z99" s="7">
        <v>8.6999999999999993</v>
      </c>
      <c r="AA99" s="7">
        <v>8.5</v>
      </c>
      <c r="AB99" s="13">
        <v>69</v>
      </c>
      <c r="AC99" s="13">
        <v>73</v>
      </c>
      <c r="AD99" s="11" t="s">
        <v>6</v>
      </c>
      <c r="AE99" s="33" t="s">
        <v>72</v>
      </c>
      <c r="AF99" s="14" t="s">
        <v>833</v>
      </c>
    </row>
    <row r="100" spans="1:32" ht="15.75" x14ac:dyDescent="0.25">
      <c r="A100" s="1">
        <v>1780</v>
      </c>
      <c r="B100" s="2">
        <v>45924</v>
      </c>
      <c r="C100" s="1" t="s">
        <v>0</v>
      </c>
      <c r="D100" s="1" t="s">
        <v>265</v>
      </c>
      <c r="E100" s="1">
        <v>2</v>
      </c>
      <c r="F100" s="16">
        <v>22509026</v>
      </c>
      <c r="G100" s="16">
        <v>1170</v>
      </c>
      <c r="H100" s="16" t="s">
        <v>62</v>
      </c>
      <c r="I100" s="16" t="s">
        <v>20</v>
      </c>
      <c r="J100" s="16" t="s">
        <v>953</v>
      </c>
      <c r="K100" s="4">
        <v>1564</v>
      </c>
      <c r="L100" s="5">
        <v>1543</v>
      </c>
      <c r="M100" s="5">
        <v>1543</v>
      </c>
      <c r="N100" s="5">
        <v>1543</v>
      </c>
      <c r="O100" s="5">
        <v>1543</v>
      </c>
      <c r="P100" s="30">
        <v>1543</v>
      </c>
      <c r="Q100" s="7">
        <v>5.4</v>
      </c>
      <c r="R100" s="4">
        <v>36</v>
      </c>
      <c r="S100" s="8">
        <v>33</v>
      </c>
      <c r="T100" s="9">
        <v>161</v>
      </c>
      <c r="U100" s="9">
        <v>62</v>
      </c>
      <c r="V100" s="10">
        <v>99</v>
      </c>
      <c r="W100" s="11" t="s">
        <v>5</v>
      </c>
      <c r="X100" s="16">
        <v>58</v>
      </c>
      <c r="Y100" s="12">
        <v>2.8949075999999998</v>
      </c>
      <c r="Z100" s="7">
        <v>10.7</v>
      </c>
      <c r="AA100" s="7">
        <v>12</v>
      </c>
      <c r="AB100" s="13">
        <v>88</v>
      </c>
      <c r="AC100" s="13">
        <v>99</v>
      </c>
      <c r="AD100" s="11" t="s">
        <v>6</v>
      </c>
      <c r="AE100" s="33" t="s">
        <v>7</v>
      </c>
      <c r="AF100" s="14" t="s">
        <v>397</v>
      </c>
    </row>
    <row r="101" spans="1:32" ht="15.75" x14ac:dyDescent="0.25">
      <c r="A101" s="1">
        <v>1835</v>
      </c>
      <c r="B101" s="2">
        <v>45925</v>
      </c>
      <c r="C101" s="1" t="s">
        <v>264</v>
      </c>
      <c r="D101" s="1" t="s">
        <v>9</v>
      </c>
      <c r="E101" s="1">
        <v>2</v>
      </c>
      <c r="F101" s="16">
        <v>22509026</v>
      </c>
      <c r="G101" s="4">
        <v>1260</v>
      </c>
      <c r="H101" s="88" t="s">
        <v>954</v>
      </c>
      <c r="I101" s="16" t="s">
        <v>59</v>
      </c>
      <c r="J101" s="16" t="s">
        <v>955</v>
      </c>
      <c r="K101" s="4">
        <v>1570</v>
      </c>
      <c r="L101" s="5">
        <v>1538</v>
      </c>
      <c r="M101" s="5">
        <v>1540</v>
      </c>
      <c r="N101" s="5">
        <v>1541</v>
      </c>
      <c r="O101" s="5">
        <v>1541</v>
      </c>
      <c r="P101" s="30">
        <v>1540.6666666666667</v>
      </c>
      <c r="Q101" s="7">
        <v>5.7</v>
      </c>
      <c r="R101" s="4">
        <v>25</v>
      </c>
      <c r="S101" s="8" t="s">
        <v>5</v>
      </c>
      <c r="T101" s="9">
        <v>163.19</v>
      </c>
      <c r="U101" s="9">
        <v>60</v>
      </c>
      <c r="V101" s="10">
        <v>103.19</v>
      </c>
      <c r="W101" s="11" t="s">
        <v>5</v>
      </c>
      <c r="X101" s="16">
        <v>58</v>
      </c>
      <c r="Y101" s="12">
        <v>3.2907924000000004</v>
      </c>
      <c r="Z101" s="7">
        <v>7.8</v>
      </c>
      <c r="AA101" s="7">
        <v>9.1</v>
      </c>
      <c r="AB101" s="13">
        <v>67</v>
      </c>
      <c r="AC101" s="13">
        <v>78</v>
      </c>
      <c r="AD101" s="11" t="s">
        <v>6</v>
      </c>
      <c r="AE101" s="33" t="s">
        <v>72</v>
      </c>
      <c r="AF101" s="14" t="s">
        <v>721</v>
      </c>
    </row>
    <row r="102" spans="1:32" ht="15.75" x14ac:dyDescent="0.25">
      <c r="A102" s="1">
        <v>1838</v>
      </c>
      <c r="B102" s="2">
        <v>45925</v>
      </c>
      <c r="C102" s="1" t="s">
        <v>0</v>
      </c>
      <c r="D102" s="1" t="s">
        <v>265</v>
      </c>
      <c r="E102" s="1">
        <v>1</v>
      </c>
      <c r="F102" s="16">
        <v>12509026</v>
      </c>
      <c r="G102" s="4">
        <v>1260</v>
      </c>
      <c r="H102" s="88" t="s">
        <v>10</v>
      </c>
      <c r="I102" s="16" t="s">
        <v>277</v>
      </c>
      <c r="J102" s="16" t="s">
        <v>956</v>
      </c>
      <c r="K102" s="4">
        <v>1569</v>
      </c>
      <c r="L102" s="5">
        <v>1548</v>
      </c>
      <c r="M102" s="5">
        <v>1548</v>
      </c>
      <c r="N102" s="5">
        <v>1547</v>
      </c>
      <c r="O102" s="5">
        <v>1545</v>
      </c>
      <c r="P102" s="30">
        <v>1546.6666666666667</v>
      </c>
      <c r="Q102" s="7">
        <v>5.7</v>
      </c>
      <c r="R102" s="4">
        <v>30</v>
      </c>
      <c r="S102" s="8" t="s">
        <v>5</v>
      </c>
      <c r="T102" s="9">
        <v>156</v>
      </c>
      <c r="U102" s="9">
        <v>60</v>
      </c>
      <c r="V102" s="10">
        <v>96</v>
      </c>
      <c r="W102" s="11" t="s">
        <v>5</v>
      </c>
      <c r="X102" s="16">
        <v>56</v>
      </c>
      <c r="Y102" s="12">
        <v>3.1773168000000003</v>
      </c>
      <c r="Z102" s="7">
        <v>10.4</v>
      </c>
      <c r="AA102" s="7">
        <v>10.5</v>
      </c>
      <c r="AB102" s="13">
        <v>72</v>
      </c>
      <c r="AC102" s="13">
        <v>76</v>
      </c>
      <c r="AD102" s="11" t="s">
        <v>6</v>
      </c>
      <c r="AE102" s="33" t="s">
        <v>72</v>
      </c>
      <c r="AF102" s="14" t="s">
        <v>721</v>
      </c>
    </row>
    <row r="103" spans="1:32" ht="15.75" x14ac:dyDescent="0.25">
      <c r="A103" s="1">
        <v>1855</v>
      </c>
      <c r="B103" s="2">
        <v>45925</v>
      </c>
      <c r="C103" s="1" t="s">
        <v>0</v>
      </c>
      <c r="D103" s="1" t="s">
        <v>265</v>
      </c>
      <c r="E103" s="1">
        <v>2</v>
      </c>
      <c r="F103" s="16">
        <v>22509026</v>
      </c>
      <c r="G103" s="16">
        <v>1250</v>
      </c>
      <c r="H103" s="88" t="s">
        <v>176</v>
      </c>
      <c r="I103" s="16" t="s">
        <v>504</v>
      </c>
      <c r="J103" s="16" t="s">
        <v>957</v>
      </c>
      <c r="K103" s="4">
        <v>1568</v>
      </c>
      <c r="L103" s="5">
        <v>1540</v>
      </c>
      <c r="M103" s="5">
        <v>1546</v>
      </c>
      <c r="N103" s="5">
        <v>1548</v>
      </c>
      <c r="O103" s="5">
        <v>1547</v>
      </c>
      <c r="P103" s="30">
        <v>1547</v>
      </c>
      <c r="Q103" s="7">
        <v>5.3</v>
      </c>
      <c r="R103" s="4">
        <v>33</v>
      </c>
      <c r="S103" s="8" t="s">
        <v>5</v>
      </c>
      <c r="T103" s="9" t="s">
        <v>5</v>
      </c>
      <c r="U103" s="9" t="s">
        <v>5</v>
      </c>
      <c r="V103" s="10" t="e">
        <v>#VALUE!</v>
      </c>
      <c r="W103" s="11">
        <v>17.899999999999999</v>
      </c>
      <c r="X103" s="16">
        <v>58</v>
      </c>
      <c r="Y103" s="12">
        <v>3.0355749999999997</v>
      </c>
      <c r="Z103" s="7">
        <v>9.1</v>
      </c>
      <c r="AA103" s="7">
        <v>10.5</v>
      </c>
      <c r="AB103" s="13">
        <v>72</v>
      </c>
      <c r="AC103" s="13">
        <v>74</v>
      </c>
      <c r="AD103" s="11" t="s">
        <v>6</v>
      </c>
      <c r="AE103" s="33" t="s">
        <v>72</v>
      </c>
      <c r="AF103" s="14" t="s">
        <v>397</v>
      </c>
    </row>
    <row r="104" spans="1:32" ht="15.75" x14ac:dyDescent="0.25">
      <c r="A104" s="1">
        <v>1861</v>
      </c>
      <c r="B104" s="2">
        <v>45926</v>
      </c>
      <c r="C104" s="1" t="s">
        <v>18</v>
      </c>
      <c r="D104" s="1" t="s">
        <v>258</v>
      </c>
      <c r="E104" s="1">
        <v>1</v>
      </c>
      <c r="F104" s="83">
        <v>12509027</v>
      </c>
      <c r="G104" s="4">
        <v>1240</v>
      </c>
      <c r="H104" s="88" t="s">
        <v>10</v>
      </c>
      <c r="I104" s="16" t="s">
        <v>98</v>
      </c>
      <c r="J104" s="16" t="s">
        <v>958</v>
      </c>
      <c r="K104" s="4">
        <v>1585</v>
      </c>
      <c r="L104" s="5">
        <v>1565</v>
      </c>
      <c r="M104" s="5">
        <v>1565</v>
      </c>
      <c r="N104" s="5">
        <v>1570</v>
      </c>
      <c r="O104" s="5">
        <v>1570</v>
      </c>
      <c r="P104" s="30">
        <v>1568.3333333333333</v>
      </c>
      <c r="Q104" s="7">
        <v>4</v>
      </c>
      <c r="R104" s="4">
        <v>46</v>
      </c>
      <c r="S104" s="8">
        <v>20</v>
      </c>
      <c r="T104" s="9">
        <v>169</v>
      </c>
      <c r="U104" s="9">
        <v>59</v>
      </c>
      <c r="V104" s="10">
        <v>110</v>
      </c>
      <c r="W104" s="11" t="s">
        <v>100</v>
      </c>
      <c r="X104" s="16">
        <v>58</v>
      </c>
      <c r="Y104" s="12">
        <v>2.272672</v>
      </c>
      <c r="Z104" s="7">
        <v>6.4</v>
      </c>
      <c r="AA104" s="7">
        <v>7.4</v>
      </c>
      <c r="AB104" s="13">
        <v>69</v>
      </c>
      <c r="AC104" s="13">
        <v>69</v>
      </c>
      <c r="AD104" s="11" t="s">
        <v>959</v>
      </c>
      <c r="AE104" s="33" t="s">
        <v>72</v>
      </c>
      <c r="AF104" s="14" t="s">
        <v>721</v>
      </c>
    </row>
    <row r="105" spans="1:32" ht="15.75" x14ac:dyDescent="0.25">
      <c r="A105" s="1">
        <v>1863</v>
      </c>
      <c r="B105" s="2">
        <v>45926</v>
      </c>
      <c r="C105" s="1" t="s">
        <v>18</v>
      </c>
      <c r="D105" s="1" t="s">
        <v>258</v>
      </c>
      <c r="E105" s="1">
        <v>1</v>
      </c>
      <c r="F105" s="83">
        <v>12509027</v>
      </c>
      <c r="G105" s="4">
        <v>1240</v>
      </c>
      <c r="H105" s="88" t="s">
        <v>10</v>
      </c>
      <c r="I105" s="16" t="s">
        <v>77</v>
      </c>
      <c r="J105" s="16" t="s">
        <v>960</v>
      </c>
      <c r="K105" s="4">
        <v>1566</v>
      </c>
      <c r="L105" s="5">
        <v>1541</v>
      </c>
      <c r="M105" s="5">
        <v>1541</v>
      </c>
      <c r="N105" s="5">
        <v>1540</v>
      </c>
      <c r="O105" s="5">
        <v>1540</v>
      </c>
      <c r="P105" s="30">
        <v>1540.3333333333333</v>
      </c>
      <c r="Q105" s="7">
        <v>3.7</v>
      </c>
      <c r="R105" s="4">
        <v>31</v>
      </c>
      <c r="S105" s="8">
        <v>8</v>
      </c>
      <c r="T105" s="9">
        <v>162</v>
      </c>
      <c r="U105" s="9">
        <v>79</v>
      </c>
      <c r="V105" s="10">
        <v>83</v>
      </c>
      <c r="W105" s="11" t="s">
        <v>5</v>
      </c>
      <c r="X105" s="16">
        <v>58</v>
      </c>
      <c r="Y105" s="12">
        <v>2.1022216</v>
      </c>
      <c r="Z105" s="7">
        <v>7</v>
      </c>
      <c r="AA105" s="7">
        <v>6.8</v>
      </c>
      <c r="AB105" s="13">
        <v>67</v>
      </c>
      <c r="AC105" s="13">
        <v>64</v>
      </c>
      <c r="AD105" s="11" t="s">
        <v>959</v>
      </c>
      <c r="AE105" s="33" t="s">
        <v>72</v>
      </c>
      <c r="AF105" s="14" t="s">
        <v>961</v>
      </c>
    </row>
    <row r="106" spans="1:32" ht="15.75" x14ac:dyDescent="0.25">
      <c r="A106" s="1">
        <v>1864</v>
      </c>
      <c r="B106" s="2">
        <v>45926</v>
      </c>
      <c r="C106" s="1" t="s">
        <v>18</v>
      </c>
      <c r="D106" s="1" t="s">
        <v>258</v>
      </c>
      <c r="E106" s="1">
        <v>1</v>
      </c>
      <c r="F106" s="83">
        <v>12509027</v>
      </c>
      <c r="G106" s="4">
        <v>1240</v>
      </c>
      <c r="H106" s="88" t="s">
        <v>10</v>
      </c>
      <c r="I106" s="16" t="s">
        <v>194</v>
      </c>
      <c r="J106" s="16" t="s">
        <v>962</v>
      </c>
      <c r="K106" s="4">
        <v>1570</v>
      </c>
      <c r="L106" s="5">
        <v>1545</v>
      </c>
      <c r="M106" s="5">
        <v>1545</v>
      </c>
      <c r="N106" s="5">
        <v>1547</v>
      </c>
      <c r="O106" s="5">
        <v>1540</v>
      </c>
      <c r="P106" s="30">
        <v>1544</v>
      </c>
      <c r="Q106" s="7">
        <v>4.8</v>
      </c>
      <c r="R106" s="4">
        <v>43</v>
      </c>
      <c r="S106" s="8">
        <v>36</v>
      </c>
      <c r="T106" s="9">
        <v>165</v>
      </c>
      <c r="U106" s="9">
        <v>60</v>
      </c>
      <c r="V106" s="10">
        <v>105</v>
      </c>
      <c r="W106" s="11" t="s">
        <v>5</v>
      </c>
      <c r="X106" s="16">
        <v>58</v>
      </c>
      <c r="Y106" s="12">
        <v>2.7272064</v>
      </c>
      <c r="Z106" s="7">
        <v>7.6</v>
      </c>
      <c r="AA106" s="7">
        <v>7.6</v>
      </c>
      <c r="AB106" s="13">
        <v>62</v>
      </c>
      <c r="AC106" s="13">
        <v>64</v>
      </c>
      <c r="AD106" s="11" t="s">
        <v>959</v>
      </c>
      <c r="AE106" s="33" t="s">
        <v>72</v>
      </c>
      <c r="AF106" s="14" t="s">
        <v>418</v>
      </c>
    </row>
    <row r="107" spans="1:32" ht="15.75" x14ac:dyDescent="0.25">
      <c r="A107" s="1">
        <v>1866</v>
      </c>
      <c r="B107" s="2">
        <v>45926</v>
      </c>
      <c r="C107" s="1" t="s">
        <v>18</v>
      </c>
      <c r="D107" s="1" t="s">
        <v>258</v>
      </c>
      <c r="E107" s="1">
        <v>1</v>
      </c>
      <c r="F107" s="83">
        <v>12509027</v>
      </c>
      <c r="G107" s="4">
        <v>1240</v>
      </c>
      <c r="H107" s="88" t="s">
        <v>10</v>
      </c>
      <c r="I107" s="16" t="s">
        <v>90</v>
      </c>
      <c r="J107" s="16" t="s">
        <v>963</v>
      </c>
      <c r="K107" s="4">
        <v>1570</v>
      </c>
      <c r="L107" s="5">
        <v>1550</v>
      </c>
      <c r="M107" s="5">
        <v>1550</v>
      </c>
      <c r="N107" s="5">
        <v>1544</v>
      </c>
      <c r="O107" s="5">
        <v>1544</v>
      </c>
      <c r="P107" s="30">
        <v>1546</v>
      </c>
      <c r="Q107" s="7">
        <v>5.6</v>
      </c>
      <c r="R107" s="4">
        <v>44</v>
      </c>
      <c r="S107" s="8">
        <v>20</v>
      </c>
      <c r="T107" s="9">
        <v>175</v>
      </c>
      <c r="U107" s="9">
        <v>61</v>
      </c>
      <c r="V107" s="10">
        <v>114</v>
      </c>
      <c r="W107" s="11" t="s">
        <v>5</v>
      </c>
      <c r="X107" s="16">
        <v>58</v>
      </c>
      <c r="Y107" s="12">
        <v>3.1817408</v>
      </c>
      <c r="Z107" s="7">
        <v>9.1999999999999993</v>
      </c>
      <c r="AA107" s="7">
        <v>8.3000000000000007</v>
      </c>
      <c r="AB107" s="13">
        <v>68</v>
      </c>
      <c r="AC107" s="13">
        <v>67</v>
      </c>
      <c r="AD107" s="11" t="s">
        <v>959</v>
      </c>
      <c r="AE107" s="33" t="s">
        <v>72</v>
      </c>
      <c r="AF107" s="14" t="s">
        <v>397</v>
      </c>
    </row>
    <row r="108" spans="1:32" ht="31.5" x14ac:dyDescent="0.25">
      <c r="A108" s="1">
        <v>1868</v>
      </c>
      <c r="B108" s="2">
        <v>45926</v>
      </c>
      <c r="C108" s="1" t="s">
        <v>18</v>
      </c>
      <c r="D108" s="1" t="s">
        <v>258</v>
      </c>
      <c r="E108" s="1">
        <v>1</v>
      </c>
      <c r="F108" s="83">
        <v>12509027</v>
      </c>
      <c r="G108" s="4">
        <v>1240</v>
      </c>
      <c r="H108" s="88" t="s">
        <v>10</v>
      </c>
      <c r="I108" s="16" t="s">
        <v>93</v>
      </c>
      <c r="J108" s="16" t="s">
        <v>964</v>
      </c>
      <c r="K108" s="4">
        <v>1569</v>
      </c>
      <c r="L108" s="5">
        <v>1541</v>
      </c>
      <c r="M108" s="5">
        <v>1542</v>
      </c>
      <c r="N108" s="5">
        <v>1542</v>
      </c>
      <c r="O108" s="5">
        <v>1542</v>
      </c>
      <c r="P108" s="30">
        <v>1542</v>
      </c>
      <c r="Q108" s="7">
        <v>5.5</v>
      </c>
      <c r="R108" s="4">
        <v>36</v>
      </c>
      <c r="S108" s="8">
        <v>2</v>
      </c>
      <c r="T108" s="9">
        <v>165.9</v>
      </c>
      <c r="U108" s="9">
        <v>59</v>
      </c>
      <c r="V108" s="10">
        <v>106.9</v>
      </c>
      <c r="W108" s="11" t="s">
        <v>5</v>
      </c>
      <c r="X108" s="16">
        <v>58</v>
      </c>
      <c r="Y108" s="12">
        <v>3.124924</v>
      </c>
      <c r="Z108" s="7">
        <v>10</v>
      </c>
      <c r="AA108" s="7">
        <v>9.1</v>
      </c>
      <c r="AB108" s="13">
        <v>66</v>
      </c>
      <c r="AC108" s="11">
        <v>69</v>
      </c>
      <c r="AD108" s="11" t="s">
        <v>959</v>
      </c>
      <c r="AE108" s="33" t="s">
        <v>72</v>
      </c>
      <c r="AF108" s="14" t="s">
        <v>833</v>
      </c>
    </row>
    <row r="109" spans="1:32" ht="15.75" x14ac:dyDescent="0.25">
      <c r="A109" s="1">
        <v>1870</v>
      </c>
      <c r="B109" s="2">
        <v>45926</v>
      </c>
      <c r="C109" s="1" t="s">
        <v>18</v>
      </c>
      <c r="D109" s="1" t="s">
        <v>258</v>
      </c>
      <c r="E109" s="1">
        <v>1</v>
      </c>
      <c r="F109" s="83">
        <v>12509027</v>
      </c>
      <c r="G109" s="4">
        <v>1240</v>
      </c>
      <c r="H109" s="88" t="s">
        <v>10</v>
      </c>
      <c r="I109" s="16" t="s">
        <v>152</v>
      </c>
      <c r="J109" s="16" t="s">
        <v>965</v>
      </c>
      <c r="K109" s="4">
        <v>1574</v>
      </c>
      <c r="L109" s="4">
        <v>1545</v>
      </c>
      <c r="M109" s="5">
        <v>1546</v>
      </c>
      <c r="N109" s="5">
        <v>1546</v>
      </c>
      <c r="O109" s="5">
        <v>1546</v>
      </c>
      <c r="P109" s="30">
        <v>1546</v>
      </c>
      <c r="Q109" s="7">
        <v>5.4</v>
      </c>
      <c r="R109" s="4">
        <v>33</v>
      </c>
      <c r="S109" s="8" t="s">
        <v>5</v>
      </c>
      <c r="T109" s="9">
        <v>168</v>
      </c>
      <c r="U109" s="9">
        <v>66</v>
      </c>
      <c r="V109" s="10">
        <v>102</v>
      </c>
      <c r="W109" s="11"/>
      <c r="X109" s="16">
        <v>58</v>
      </c>
      <c r="Y109" s="12">
        <v>3.0681072</v>
      </c>
      <c r="Z109" s="7">
        <v>10.1</v>
      </c>
      <c r="AA109" s="7">
        <v>8.4</v>
      </c>
      <c r="AB109" s="13">
        <v>73</v>
      </c>
      <c r="AC109" s="13">
        <v>68</v>
      </c>
      <c r="AD109" s="11" t="s">
        <v>959</v>
      </c>
      <c r="AE109" s="33" t="s">
        <v>72</v>
      </c>
      <c r="AF109" s="14" t="s">
        <v>480</v>
      </c>
    </row>
    <row r="110" spans="1:32" ht="31.5" x14ac:dyDescent="0.25">
      <c r="A110" s="1">
        <v>1872</v>
      </c>
      <c r="B110" s="2">
        <v>45926</v>
      </c>
      <c r="C110" s="1" t="s">
        <v>18</v>
      </c>
      <c r="D110" s="1" t="s">
        <v>258</v>
      </c>
      <c r="E110" s="1">
        <v>1</v>
      </c>
      <c r="F110" s="83">
        <v>12509027</v>
      </c>
      <c r="G110" s="4">
        <v>1240</v>
      </c>
      <c r="H110" s="88" t="s">
        <v>10</v>
      </c>
      <c r="I110" s="16" t="s">
        <v>182</v>
      </c>
      <c r="J110" s="16" t="s">
        <v>966</v>
      </c>
      <c r="K110" s="4">
        <v>1569</v>
      </c>
      <c r="L110" s="4">
        <v>1545</v>
      </c>
      <c r="M110" s="5">
        <v>1543</v>
      </c>
      <c r="N110" s="5">
        <v>1543</v>
      </c>
      <c r="O110" s="5">
        <v>1544</v>
      </c>
      <c r="P110" s="30">
        <v>1543.3333333333333</v>
      </c>
      <c r="Q110" s="5">
        <v>5</v>
      </c>
      <c r="R110" s="4">
        <v>41</v>
      </c>
      <c r="S110" s="8">
        <v>8</v>
      </c>
      <c r="T110" s="9">
        <v>170</v>
      </c>
      <c r="U110" s="9">
        <v>64</v>
      </c>
      <c r="V110" s="10">
        <v>106</v>
      </c>
      <c r="W110" s="11"/>
      <c r="X110" s="16">
        <v>58</v>
      </c>
      <c r="Y110" s="12">
        <v>2.84084</v>
      </c>
      <c r="Z110" s="7">
        <v>8.9</v>
      </c>
      <c r="AA110" s="7">
        <v>9.5</v>
      </c>
      <c r="AB110" s="13">
        <v>65</v>
      </c>
      <c r="AC110" s="13">
        <v>66</v>
      </c>
      <c r="AD110" s="11" t="s">
        <v>959</v>
      </c>
      <c r="AE110" s="33" t="s">
        <v>72</v>
      </c>
      <c r="AF110" s="14" t="s">
        <v>967</v>
      </c>
    </row>
    <row r="111" spans="1:32" ht="15.75" x14ac:dyDescent="0.25">
      <c r="A111" s="1">
        <v>1877</v>
      </c>
      <c r="B111" s="2">
        <v>45926</v>
      </c>
      <c r="C111" s="1" t="s">
        <v>18</v>
      </c>
      <c r="D111" s="1" t="s">
        <v>258</v>
      </c>
      <c r="E111" s="1">
        <v>2</v>
      </c>
      <c r="F111" s="83">
        <v>22509027</v>
      </c>
      <c r="G111" s="4">
        <v>1240</v>
      </c>
      <c r="H111" s="88" t="s">
        <v>10</v>
      </c>
      <c r="I111" s="16" t="s">
        <v>93</v>
      </c>
      <c r="J111" s="16" t="s">
        <v>968</v>
      </c>
      <c r="K111" s="4">
        <v>1565</v>
      </c>
      <c r="L111" s="4">
        <v>1546</v>
      </c>
      <c r="M111" s="5">
        <v>1546</v>
      </c>
      <c r="N111" s="5">
        <v>1546</v>
      </c>
      <c r="O111" s="5" t="s">
        <v>5</v>
      </c>
      <c r="P111" s="30">
        <v>1546</v>
      </c>
      <c r="Q111" s="7">
        <v>5.6</v>
      </c>
      <c r="R111" s="4">
        <v>32</v>
      </c>
      <c r="S111" s="8">
        <v>22</v>
      </c>
      <c r="T111" s="9">
        <v>169.27</v>
      </c>
      <c r="U111" s="9">
        <v>64.239999999999995</v>
      </c>
      <c r="V111" s="9" t="s">
        <v>5</v>
      </c>
      <c r="W111" s="11">
        <v>18.2</v>
      </c>
      <c r="X111" s="16">
        <v>58</v>
      </c>
      <c r="Y111" s="12">
        <v>3.1817408</v>
      </c>
      <c r="Z111" s="7">
        <v>8.1999999999999993</v>
      </c>
      <c r="AA111" s="7">
        <v>10</v>
      </c>
      <c r="AB111" s="13">
        <v>63</v>
      </c>
      <c r="AC111" s="13">
        <v>79</v>
      </c>
      <c r="AD111" s="11" t="s">
        <v>959</v>
      </c>
      <c r="AE111" s="33" t="s">
        <v>72</v>
      </c>
      <c r="AF111" s="14" t="s">
        <v>397</v>
      </c>
    </row>
    <row r="112" spans="1:32" ht="31.5" x14ac:dyDescent="0.25">
      <c r="A112" s="1">
        <v>1879</v>
      </c>
      <c r="B112" s="2">
        <v>45926</v>
      </c>
      <c r="C112" s="1" t="s">
        <v>18</v>
      </c>
      <c r="D112" s="1" t="s">
        <v>258</v>
      </c>
      <c r="E112" s="1">
        <v>2</v>
      </c>
      <c r="F112" s="83">
        <v>22509027</v>
      </c>
      <c r="G112" s="4">
        <v>1240</v>
      </c>
      <c r="H112" s="88" t="s">
        <v>10</v>
      </c>
      <c r="I112" s="16" t="s">
        <v>152</v>
      </c>
      <c r="J112" s="16" t="s">
        <v>969</v>
      </c>
      <c r="K112" s="4">
        <v>1563</v>
      </c>
      <c r="L112" s="4">
        <v>1546</v>
      </c>
      <c r="M112" s="5">
        <v>1547</v>
      </c>
      <c r="N112" s="5">
        <v>1547</v>
      </c>
      <c r="O112" s="5" t="s">
        <v>5</v>
      </c>
      <c r="P112" s="30">
        <v>1547</v>
      </c>
      <c r="Q112" s="7">
        <v>5</v>
      </c>
      <c r="R112" s="4">
        <v>36</v>
      </c>
      <c r="S112" s="8" t="s">
        <v>5</v>
      </c>
      <c r="T112" s="9">
        <v>166.09</v>
      </c>
      <c r="U112" s="9">
        <v>61.92</v>
      </c>
      <c r="V112" s="10">
        <v>104.17</v>
      </c>
      <c r="W112" s="11" t="s">
        <v>5</v>
      </c>
      <c r="X112" s="16">
        <v>58</v>
      </c>
      <c r="Y112" s="12">
        <v>2.84084</v>
      </c>
      <c r="Z112" s="7">
        <v>9.6</v>
      </c>
      <c r="AA112" s="7">
        <v>11.3</v>
      </c>
      <c r="AB112" s="13">
        <v>75</v>
      </c>
      <c r="AC112" s="13">
        <v>89</v>
      </c>
      <c r="AD112" s="11" t="s">
        <v>959</v>
      </c>
      <c r="AE112" s="33" t="s">
        <v>72</v>
      </c>
      <c r="AF112" s="14" t="s">
        <v>970</v>
      </c>
    </row>
    <row r="113" spans="1:32" ht="47.25" x14ac:dyDescent="0.25">
      <c r="A113" s="1">
        <v>1892</v>
      </c>
      <c r="B113" s="2">
        <v>45926</v>
      </c>
      <c r="C113" s="1" t="s">
        <v>264</v>
      </c>
      <c r="D113" s="1" t="s">
        <v>9</v>
      </c>
      <c r="E113" s="1">
        <v>1</v>
      </c>
      <c r="F113" s="83">
        <v>12509027</v>
      </c>
      <c r="G113" s="4">
        <v>1240</v>
      </c>
      <c r="H113" s="88" t="s">
        <v>971</v>
      </c>
      <c r="I113" s="16" t="s">
        <v>103</v>
      </c>
      <c r="J113" s="16" t="s">
        <v>972</v>
      </c>
      <c r="K113" s="4">
        <v>1566</v>
      </c>
      <c r="L113" s="4">
        <v>1544</v>
      </c>
      <c r="M113" s="5">
        <v>1544</v>
      </c>
      <c r="N113" s="5">
        <v>1542</v>
      </c>
      <c r="O113" s="5" t="s">
        <v>5</v>
      </c>
      <c r="P113" s="30">
        <v>1543</v>
      </c>
      <c r="Q113" s="7">
        <v>5</v>
      </c>
      <c r="R113" s="4">
        <v>34</v>
      </c>
      <c r="S113" s="8" t="s">
        <v>5</v>
      </c>
      <c r="T113" s="9">
        <v>158</v>
      </c>
      <c r="U113" s="9">
        <v>58</v>
      </c>
      <c r="V113" s="10">
        <v>100</v>
      </c>
      <c r="W113" s="11" t="s">
        <v>5</v>
      </c>
      <c r="X113" s="16">
        <v>58</v>
      </c>
      <c r="Y113" s="12">
        <v>2.84084</v>
      </c>
      <c r="Z113" s="7">
        <v>6</v>
      </c>
      <c r="AA113" s="7">
        <v>6.9</v>
      </c>
      <c r="AB113" s="13">
        <v>52</v>
      </c>
      <c r="AC113" s="13">
        <v>53</v>
      </c>
      <c r="AD113" s="11" t="s">
        <v>959</v>
      </c>
      <c r="AE113" s="33" t="s">
        <v>72</v>
      </c>
      <c r="AF113" s="14" t="s">
        <v>973</v>
      </c>
    </row>
    <row r="114" spans="1:32" ht="63" x14ac:dyDescent="0.25">
      <c r="A114" s="1">
        <v>1896</v>
      </c>
      <c r="B114" s="2">
        <v>45926</v>
      </c>
      <c r="C114" s="1" t="s">
        <v>264</v>
      </c>
      <c r="D114" s="1" t="s">
        <v>9</v>
      </c>
      <c r="E114" s="1">
        <v>1</v>
      </c>
      <c r="F114" s="83">
        <v>12509027</v>
      </c>
      <c r="G114" s="4">
        <v>1240</v>
      </c>
      <c r="H114" s="88" t="s">
        <v>971</v>
      </c>
      <c r="I114" s="16" t="s">
        <v>113</v>
      </c>
      <c r="J114" s="16" t="s">
        <v>974</v>
      </c>
      <c r="K114" s="4">
        <v>1565</v>
      </c>
      <c r="L114" s="4">
        <v>1547</v>
      </c>
      <c r="M114" s="5">
        <v>1546</v>
      </c>
      <c r="N114" s="5">
        <v>1547</v>
      </c>
      <c r="O114" s="5" t="s">
        <v>5</v>
      </c>
      <c r="P114" s="30">
        <v>1546.5</v>
      </c>
      <c r="Q114" s="7">
        <v>4.9000000000000004</v>
      </c>
      <c r="R114" s="4">
        <v>37</v>
      </c>
      <c r="S114" s="8" t="s">
        <v>5</v>
      </c>
      <c r="T114" s="8">
        <v>164</v>
      </c>
      <c r="U114" s="8">
        <v>61</v>
      </c>
      <c r="V114" s="10">
        <v>103</v>
      </c>
      <c r="W114" s="11" t="s">
        <v>5</v>
      </c>
      <c r="X114" s="16">
        <v>58</v>
      </c>
      <c r="Y114" s="12">
        <v>2.7840232</v>
      </c>
      <c r="Z114" s="7">
        <v>7</v>
      </c>
      <c r="AA114" s="7">
        <v>6.9</v>
      </c>
      <c r="AB114" s="13">
        <v>54</v>
      </c>
      <c r="AC114" s="13">
        <v>52</v>
      </c>
      <c r="AD114" s="11" t="s">
        <v>959</v>
      </c>
      <c r="AE114" s="33" t="s">
        <v>72</v>
      </c>
      <c r="AF114" s="14" t="s">
        <v>975</v>
      </c>
    </row>
    <row r="115" spans="1:32" ht="47.25" x14ac:dyDescent="0.25">
      <c r="A115" s="1">
        <v>1901</v>
      </c>
      <c r="B115" s="2">
        <v>45926</v>
      </c>
      <c r="C115" s="1" t="s">
        <v>264</v>
      </c>
      <c r="D115" s="1" t="s">
        <v>9</v>
      </c>
      <c r="E115" s="1">
        <v>2</v>
      </c>
      <c r="F115" s="83">
        <v>22509027</v>
      </c>
      <c r="G115" s="4">
        <v>1240</v>
      </c>
      <c r="H115" s="88" t="s">
        <v>971</v>
      </c>
      <c r="I115" s="16" t="s">
        <v>110</v>
      </c>
      <c r="J115" s="16" t="s">
        <v>976</v>
      </c>
      <c r="K115" s="4">
        <v>1569</v>
      </c>
      <c r="L115" s="4">
        <v>1548</v>
      </c>
      <c r="M115" s="5">
        <v>1546</v>
      </c>
      <c r="N115" s="5">
        <v>1545</v>
      </c>
      <c r="O115" s="5" t="s">
        <v>5</v>
      </c>
      <c r="P115" s="30">
        <v>1545.5</v>
      </c>
      <c r="Q115" s="7">
        <v>5.3</v>
      </c>
      <c r="R115" s="4">
        <v>37</v>
      </c>
      <c r="S115" s="8" t="s">
        <v>5</v>
      </c>
      <c r="T115" s="8" t="s">
        <v>5</v>
      </c>
      <c r="U115" s="8" t="s">
        <v>5</v>
      </c>
      <c r="V115" s="8" t="s">
        <v>5</v>
      </c>
      <c r="W115" s="11" t="s">
        <v>5</v>
      </c>
      <c r="X115" s="16">
        <v>58</v>
      </c>
      <c r="Y115" s="12">
        <v>3.0112904</v>
      </c>
      <c r="Z115" s="7">
        <v>7.4</v>
      </c>
      <c r="AA115" s="7">
        <v>10.199999999999999</v>
      </c>
      <c r="AB115" s="13">
        <v>64</v>
      </c>
      <c r="AC115" s="13">
        <v>86</v>
      </c>
      <c r="AD115" s="11" t="s">
        <v>959</v>
      </c>
      <c r="AE115" s="33" t="s">
        <v>72</v>
      </c>
      <c r="AF115" s="14" t="s">
        <v>977</v>
      </c>
    </row>
    <row r="116" spans="1:32" ht="31.5" x14ac:dyDescent="0.25">
      <c r="A116" s="1">
        <v>1905</v>
      </c>
      <c r="B116" s="2">
        <v>45926</v>
      </c>
      <c r="C116" s="1" t="s">
        <v>264</v>
      </c>
      <c r="D116" s="1" t="s">
        <v>9</v>
      </c>
      <c r="E116" s="1">
        <v>2</v>
      </c>
      <c r="F116" s="83">
        <v>22509027</v>
      </c>
      <c r="G116" s="4">
        <v>1240</v>
      </c>
      <c r="H116" s="88" t="s">
        <v>971</v>
      </c>
      <c r="I116" s="16" t="s">
        <v>148</v>
      </c>
      <c r="J116" s="16" t="s">
        <v>978</v>
      </c>
      <c r="K116" s="4">
        <v>1568</v>
      </c>
      <c r="L116" s="4">
        <v>1549</v>
      </c>
      <c r="M116" s="5">
        <v>1544</v>
      </c>
      <c r="N116" s="5">
        <v>1540</v>
      </c>
      <c r="O116" s="5">
        <v>1536</v>
      </c>
      <c r="P116" s="30">
        <v>1540</v>
      </c>
      <c r="Q116" s="7">
        <v>4.5</v>
      </c>
      <c r="R116" s="4">
        <v>28</v>
      </c>
      <c r="S116" s="8" t="s">
        <v>5</v>
      </c>
      <c r="T116" s="8" t="s">
        <v>5</v>
      </c>
      <c r="U116" s="8" t="s">
        <v>5</v>
      </c>
      <c r="V116" s="8" t="s">
        <v>5</v>
      </c>
      <c r="W116" s="11" t="s">
        <v>5</v>
      </c>
      <c r="X116" s="16">
        <v>58</v>
      </c>
      <c r="Y116" s="12">
        <v>2.556756</v>
      </c>
      <c r="Z116" s="7">
        <v>8.3000000000000007</v>
      </c>
      <c r="AA116" s="7">
        <v>9.1999999999999993</v>
      </c>
      <c r="AB116" s="13">
        <v>69</v>
      </c>
      <c r="AC116" s="13">
        <v>87</v>
      </c>
      <c r="AD116" s="11" t="s">
        <v>959</v>
      </c>
      <c r="AE116" s="33" t="s">
        <v>72</v>
      </c>
      <c r="AF116" s="14" t="s">
        <v>979</v>
      </c>
    </row>
    <row r="117" spans="1:32" ht="63" x14ac:dyDescent="0.25">
      <c r="A117" s="1">
        <v>1907</v>
      </c>
      <c r="B117" s="2">
        <v>45926</v>
      </c>
      <c r="C117" s="1" t="s">
        <v>264</v>
      </c>
      <c r="D117" s="1" t="s">
        <v>9</v>
      </c>
      <c r="E117" s="1">
        <v>2</v>
      </c>
      <c r="F117" s="83">
        <v>22509027</v>
      </c>
      <c r="G117" s="4">
        <v>1240</v>
      </c>
      <c r="H117" s="88" t="s">
        <v>971</v>
      </c>
      <c r="I117" s="16" t="s">
        <v>80</v>
      </c>
      <c r="J117" s="16" t="s">
        <v>980</v>
      </c>
      <c r="K117" s="4">
        <v>1567</v>
      </c>
      <c r="L117" s="4">
        <v>1544</v>
      </c>
      <c r="M117" s="5">
        <v>1543</v>
      </c>
      <c r="N117" s="5">
        <v>1541</v>
      </c>
      <c r="O117" s="5" t="s">
        <v>5</v>
      </c>
      <c r="P117" s="30">
        <v>1542</v>
      </c>
      <c r="Q117" s="7">
        <v>5.2</v>
      </c>
      <c r="R117" s="4">
        <v>36</v>
      </c>
      <c r="S117" s="8" t="s">
        <v>5</v>
      </c>
      <c r="T117" s="8" t="s">
        <v>5</v>
      </c>
      <c r="U117" s="8" t="s">
        <v>5</v>
      </c>
      <c r="V117" s="8" t="s">
        <v>5</v>
      </c>
      <c r="W117" s="11" t="s">
        <v>5</v>
      </c>
      <c r="X117" s="16">
        <v>58</v>
      </c>
      <c r="Y117" s="12">
        <v>2.9544736</v>
      </c>
      <c r="Z117" s="7">
        <v>7.7</v>
      </c>
      <c r="AA117" s="7">
        <v>9.6</v>
      </c>
      <c r="AB117" s="13">
        <v>60</v>
      </c>
      <c r="AC117" s="13">
        <v>72</v>
      </c>
      <c r="AD117" s="11" t="s">
        <v>959</v>
      </c>
      <c r="AE117" s="33" t="s">
        <v>72</v>
      </c>
      <c r="AF117" s="14" t="s">
        <v>981</v>
      </c>
    </row>
    <row r="118" spans="1:32" ht="31.5" x14ac:dyDescent="0.25">
      <c r="A118" s="1">
        <v>1908</v>
      </c>
      <c r="B118" s="2">
        <v>45926</v>
      </c>
      <c r="C118" s="1" t="s">
        <v>264</v>
      </c>
      <c r="D118" s="1" t="s">
        <v>9</v>
      </c>
      <c r="E118" s="1">
        <v>2</v>
      </c>
      <c r="F118" s="83">
        <v>22509027</v>
      </c>
      <c r="G118" s="4">
        <v>1240</v>
      </c>
      <c r="H118" s="88" t="s">
        <v>971</v>
      </c>
      <c r="I118" s="16" t="s">
        <v>126</v>
      </c>
      <c r="J118" s="16" t="s">
        <v>982</v>
      </c>
      <c r="K118" s="4">
        <v>1568</v>
      </c>
      <c r="L118" s="4">
        <v>1539</v>
      </c>
      <c r="M118" s="5">
        <v>1542</v>
      </c>
      <c r="N118" s="5">
        <v>1545</v>
      </c>
      <c r="O118" s="5">
        <v>1542</v>
      </c>
      <c r="P118" s="30">
        <v>1543</v>
      </c>
      <c r="Q118" s="7">
        <v>5.2</v>
      </c>
      <c r="R118" s="4">
        <v>37</v>
      </c>
      <c r="S118" s="8">
        <v>12</v>
      </c>
      <c r="T118" s="9" t="s">
        <v>5</v>
      </c>
      <c r="U118" s="9" t="s">
        <v>5</v>
      </c>
      <c r="V118" s="9" t="s">
        <v>5</v>
      </c>
      <c r="W118" s="11" t="s">
        <v>5</v>
      </c>
      <c r="X118" s="16">
        <v>58</v>
      </c>
      <c r="Y118" s="12">
        <v>2.9544736</v>
      </c>
      <c r="Z118" s="7">
        <v>7.5</v>
      </c>
      <c r="AA118" s="7">
        <v>9.6</v>
      </c>
      <c r="AB118" s="13">
        <v>65</v>
      </c>
      <c r="AC118" s="13">
        <v>87</v>
      </c>
      <c r="AD118" s="11" t="s">
        <v>959</v>
      </c>
      <c r="AE118" s="33" t="s">
        <v>72</v>
      </c>
      <c r="AF118" s="14" t="s">
        <v>983</v>
      </c>
    </row>
    <row r="119" spans="1:32" ht="31.5" x14ac:dyDescent="0.25">
      <c r="A119" s="1">
        <v>1909</v>
      </c>
      <c r="B119" s="2">
        <v>45926</v>
      </c>
      <c r="C119" s="1" t="s">
        <v>264</v>
      </c>
      <c r="D119" s="1" t="s">
        <v>9</v>
      </c>
      <c r="E119" s="1">
        <v>2</v>
      </c>
      <c r="F119" s="83">
        <v>22509027</v>
      </c>
      <c r="G119" s="4">
        <v>1240</v>
      </c>
      <c r="H119" s="88" t="s">
        <v>971</v>
      </c>
      <c r="I119" s="16" t="s">
        <v>331</v>
      </c>
      <c r="J119" s="16" t="s">
        <v>984</v>
      </c>
      <c r="K119" s="4">
        <v>1570</v>
      </c>
      <c r="L119" s="4">
        <v>1540</v>
      </c>
      <c r="M119" s="5">
        <v>1543</v>
      </c>
      <c r="N119" s="5">
        <v>1544</v>
      </c>
      <c r="O119" s="5" t="s">
        <v>5</v>
      </c>
      <c r="P119" s="30">
        <v>1543.5</v>
      </c>
      <c r="Q119" s="7">
        <v>5.2</v>
      </c>
      <c r="R119" s="4">
        <v>38</v>
      </c>
      <c r="S119" s="8" t="s">
        <v>5</v>
      </c>
      <c r="T119" s="8" t="s">
        <v>5</v>
      </c>
      <c r="U119" s="8" t="s">
        <v>5</v>
      </c>
      <c r="V119" s="10">
        <v>108</v>
      </c>
      <c r="W119" s="11" t="s">
        <v>5</v>
      </c>
      <c r="X119" s="16">
        <v>58</v>
      </c>
      <c r="Y119" s="12">
        <v>2.9544736</v>
      </c>
      <c r="Z119" s="7">
        <v>8.1</v>
      </c>
      <c r="AA119" s="7">
        <v>11.1</v>
      </c>
      <c r="AB119" s="13">
        <v>68</v>
      </c>
      <c r="AC119" s="13">
        <v>88</v>
      </c>
      <c r="AD119" s="11" t="s">
        <v>959</v>
      </c>
      <c r="AE119" s="33" t="s">
        <v>72</v>
      </c>
      <c r="AF119" s="14" t="s">
        <v>757</v>
      </c>
    </row>
    <row r="120" spans="1:32" ht="31.5" x14ac:dyDescent="0.25">
      <c r="A120" s="1">
        <v>1911</v>
      </c>
      <c r="B120" s="2">
        <v>45926</v>
      </c>
      <c r="C120" s="1" t="s">
        <v>264</v>
      </c>
      <c r="D120" s="1" t="s">
        <v>9</v>
      </c>
      <c r="E120" s="1">
        <v>2</v>
      </c>
      <c r="F120" s="83">
        <v>22509027</v>
      </c>
      <c r="G120" s="4">
        <v>1240</v>
      </c>
      <c r="H120" s="88" t="s">
        <v>971</v>
      </c>
      <c r="I120" s="16" t="s">
        <v>11</v>
      </c>
      <c r="J120" s="16" t="s">
        <v>985</v>
      </c>
      <c r="K120" s="4">
        <v>1568</v>
      </c>
      <c r="L120" s="5">
        <v>1545</v>
      </c>
      <c r="M120" s="5">
        <v>1542</v>
      </c>
      <c r="N120" s="5">
        <v>1538</v>
      </c>
      <c r="O120" s="5">
        <v>1537</v>
      </c>
      <c r="P120" s="30">
        <v>1539</v>
      </c>
      <c r="Q120" s="7">
        <v>4.3</v>
      </c>
      <c r="R120" s="4">
        <v>46</v>
      </c>
      <c r="S120" s="8" t="s">
        <v>5</v>
      </c>
      <c r="T120" s="8" t="s">
        <v>5</v>
      </c>
      <c r="U120" s="8" t="s">
        <v>5</v>
      </c>
      <c r="V120" s="8" t="s">
        <v>5</v>
      </c>
      <c r="W120" s="11" t="s">
        <v>5</v>
      </c>
      <c r="X120" s="16">
        <v>58</v>
      </c>
      <c r="Y120" s="12">
        <v>2.4431224</v>
      </c>
      <c r="Z120" s="7">
        <v>6.8</v>
      </c>
      <c r="AA120" s="7">
        <v>9.6</v>
      </c>
      <c r="AB120" s="13">
        <v>59</v>
      </c>
      <c r="AC120" s="13">
        <v>78</v>
      </c>
      <c r="AD120" s="11" t="s">
        <v>959</v>
      </c>
      <c r="AE120" s="33" t="s">
        <v>72</v>
      </c>
      <c r="AF120" s="14" t="s">
        <v>986</v>
      </c>
    </row>
    <row r="121" spans="1:32" ht="15.75" x14ac:dyDescent="0.25">
      <c r="A121" s="1">
        <v>1932</v>
      </c>
      <c r="B121" s="2">
        <v>45926</v>
      </c>
      <c r="C121" s="1" t="s">
        <v>0</v>
      </c>
      <c r="D121" s="1" t="s">
        <v>19</v>
      </c>
      <c r="E121" s="1">
        <v>2</v>
      </c>
      <c r="F121" s="16">
        <v>22509027</v>
      </c>
      <c r="G121" s="4">
        <v>1230</v>
      </c>
      <c r="H121" s="88" t="s">
        <v>10</v>
      </c>
      <c r="I121" s="16" t="s">
        <v>416</v>
      </c>
      <c r="J121" s="16" t="s">
        <v>987</v>
      </c>
      <c r="K121" s="4">
        <v>1566</v>
      </c>
      <c r="L121" s="5">
        <v>1543</v>
      </c>
      <c r="M121" s="5">
        <v>1542</v>
      </c>
      <c r="N121" s="5">
        <v>1542</v>
      </c>
      <c r="O121" s="5">
        <v>1542</v>
      </c>
      <c r="P121" s="30">
        <v>1542</v>
      </c>
      <c r="Q121" s="7">
        <v>4.8</v>
      </c>
      <c r="R121" s="4">
        <v>37</v>
      </c>
      <c r="S121" s="8">
        <v>35</v>
      </c>
      <c r="T121" s="9">
        <v>160</v>
      </c>
      <c r="U121" s="9">
        <v>60</v>
      </c>
      <c r="V121" s="10">
        <v>100</v>
      </c>
      <c r="W121" s="11" t="s">
        <v>5</v>
      </c>
      <c r="X121" s="16">
        <v>58</v>
      </c>
      <c r="Y121" s="12">
        <v>2.7052128</v>
      </c>
      <c r="Z121" s="7">
        <v>6.7</v>
      </c>
      <c r="AA121" s="7">
        <v>9.1</v>
      </c>
      <c r="AB121" s="13">
        <v>54</v>
      </c>
      <c r="AC121" s="13">
        <v>72</v>
      </c>
      <c r="AD121" s="11" t="s">
        <v>959</v>
      </c>
      <c r="AE121" s="33" t="s">
        <v>72</v>
      </c>
      <c r="AF121" s="14" t="s">
        <v>988</v>
      </c>
    </row>
    <row r="122" spans="1:32" ht="15.75" x14ac:dyDescent="0.25">
      <c r="A122" s="1">
        <v>2046</v>
      </c>
      <c r="B122" s="2">
        <v>45928</v>
      </c>
      <c r="C122" s="1" t="s">
        <v>18</v>
      </c>
      <c r="D122" s="1" t="s">
        <v>258</v>
      </c>
      <c r="E122" s="1">
        <v>2</v>
      </c>
      <c r="F122" s="83">
        <v>22509028</v>
      </c>
      <c r="G122" s="4">
        <v>1230</v>
      </c>
      <c r="H122" s="88" t="s">
        <v>10</v>
      </c>
      <c r="I122" s="16" t="s">
        <v>504</v>
      </c>
      <c r="J122" s="16" t="s">
        <v>989</v>
      </c>
      <c r="K122" s="4">
        <v>1568</v>
      </c>
      <c r="L122" s="4">
        <v>1546</v>
      </c>
      <c r="M122" s="4">
        <v>1545</v>
      </c>
      <c r="N122" s="4">
        <v>1545</v>
      </c>
      <c r="O122" s="5" t="s">
        <v>5</v>
      </c>
      <c r="P122" s="30">
        <v>1545</v>
      </c>
      <c r="Q122" s="7">
        <v>5.7</v>
      </c>
      <c r="R122" s="4">
        <v>31</v>
      </c>
      <c r="S122" s="8" t="s">
        <v>5</v>
      </c>
      <c r="T122" s="9">
        <v>161.75</v>
      </c>
      <c r="U122" s="9">
        <v>61.63</v>
      </c>
      <c r="V122" s="10">
        <v>100.12</v>
      </c>
      <c r="W122" s="11">
        <v>15.8</v>
      </c>
      <c r="X122" s="16">
        <v>58</v>
      </c>
      <c r="Y122" s="12">
        <v>3.2124402000000001</v>
      </c>
      <c r="Z122" s="7">
        <v>11.2</v>
      </c>
      <c r="AA122" s="7">
        <v>12.6</v>
      </c>
      <c r="AB122" s="13">
        <v>92</v>
      </c>
      <c r="AC122" s="13">
        <v>99</v>
      </c>
      <c r="AD122" s="11" t="s">
        <v>6</v>
      </c>
      <c r="AE122" s="94" t="s">
        <v>53</v>
      </c>
      <c r="AF122" s="98" t="s">
        <v>397</v>
      </c>
    </row>
    <row r="123" spans="1:32" ht="15.75" x14ac:dyDescent="0.25">
      <c r="A123" s="1">
        <v>2047</v>
      </c>
      <c r="B123" s="2">
        <v>45928</v>
      </c>
      <c r="C123" s="1" t="s">
        <v>18</v>
      </c>
      <c r="D123" s="1" t="s">
        <v>258</v>
      </c>
      <c r="E123" s="1">
        <v>2</v>
      </c>
      <c r="F123" s="83">
        <v>22509028</v>
      </c>
      <c r="G123" s="4">
        <v>1230</v>
      </c>
      <c r="H123" s="88" t="s">
        <v>10</v>
      </c>
      <c r="I123" s="16" t="s">
        <v>296</v>
      </c>
      <c r="J123" s="16" t="s">
        <v>990</v>
      </c>
      <c r="K123" s="4">
        <v>1565</v>
      </c>
      <c r="L123" s="4">
        <v>1546</v>
      </c>
      <c r="M123" s="5">
        <v>1545</v>
      </c>
      <c r="N123" s="5">
        <v>1545</v>
      </c>
      <c r="O123" s="5" t="s">
        <v>5</v>
      </c>
      <c r="P123" s="30">
        <v>1545</v>
      </c>
      <c r="Q123" s="7">
        <v>5.8</v>
      </c>
      <c r="R123" s="4">
        <v>32</v>
      </c>
      <c r="S123" s="8">
        <v>27</v>
      </c>
      <c r="T123" s="9">
        <v>161.52000000000001</v>
      </c>
      <c r="U123" s="8">
        <v>62.5</v>
      </c>
      <c r="V123" s="10">
        <v>99.02000000000001</v>
      </c>
      <c r="W123" s="11">
        <v>17.600000000000001</v>
      </c>
      <c r="X123" s="16">
        <v>58</v>
      </c>
      <c r="Y123" s="12">
        <v>3.2687987999999999</v>
      </c>
      <c r="Z123" s="7">
        <v>7.9</v>
      </c>
      <c r="AA123" s="7">
        <v>85</v>
      </c>
      <c r="AB123" s="13">
        <v>86</v>
      </c>
      <c r="AC123" s="13">
        <v>96</v>
      </c>
      <c r="AD123" s="11" t="s">
        <v>6</v>
      </c>
      <c r="AE123" s="94" t="s">
        <v>53</v>
      </c>
      <c r="AF123" s="14" t="s">
        <v>480</v>
      </c>
    </row>
    <row r="124" spans="1:32" ht="15.75" x14ac:dyDescent="0.25">
      <c r="A124" s="1">
        <v>2056</v>
      </c>
      <c r="B124" s="2">
        <v>45928</v>
      </c>
      <c r="C124" s="1" t="s">
        <v>264</v>
      </c>
      <c r="D124" s="1" t="s">
        <v>265</v>
      </c>
      <c r="E124" s="1">
        <v>1</v>
      </c>
      <c r="F124" s="83">
        <v>12509028</v>
      </c>
      <c r="G124" s="4">
        <v>1250</v>
      </c>
      <c r="H124" s="88" t="s">
        <v>176</v>
      </c>
      <c r="I124" s="16" t="s">
        <v>504</v>
      </c>
      <c r="J124" s="16" t="s">
        <v>991</v>
      </c>
      <c r="K124" s="4">
        <v>1569</v>
      </c>
      <c r="L124" s="4">
        <v>1543</v>
      </c>
      <c r="M124" s="5">
        <v>1543</v>
      </c>
      <c r="N124" s="5">
        <v>1542</v>
      </c>
      <c r="O124" s="5">
        <v>1540</v>
      </c>
      <c r="P124" s="30">
        <v>1541.6666666666667</v>
      </c>
      <c r="Q124" s="7">
        <v>5.3</v>
      </c>
      <c r="R124" s="4">
        <v>35</v>
      </c>
      <c r="S124" s="8" t="s">
        <v>5</v>
      </c>
      <c r="T124" s="8">
        <v>166.1</v>
      </c>
      <c r="U124" s="8">
        <v>61</v>
      </c>
      <c r="V124" s="10">
        <v>105.1</v>
      </c>
      <c r="W124" s="11" t="s">
        <v>5</v>
      </c>
      <c r="X124" s="16">
        <v>56</v>
      </c>
      <c r="Y124" s="12">
        <v>2.9309000000000003</v>
      </c>
      <c r="Z124" s="7">
        <v>9.3000000000000007</v>
      </c>
      <c r="AA124" s="7">
        <v>10</v>
      </c>
      <c r="AB124" s="13">
        <v>76</v>
      </c>
      <c r="AC124" s="13">
        <v>84</v>
      </c>
      <c r="AD124" s="11" t="s">
        <v>6</v>
      </c>
      <c r="AE124" s="33" t="s">
        <v>455</v>
      </c>
      <c r="AF124" s="14" t="s">
        <v>397</v>
      </c>
    </row>
    <row r="125" spans="1:32" ht="47.25" x14ac:dyDescent="0.25">
      <c r="A125" s="1">
        <v>2061</v>
      </c>
      <c r="B125" s="2">
        <v>45928</v>
      </c>
      <c r="C125" s="1" t="s">
        <v>264</v>
      </c>
      <c r="D125" s="1" t="s">
        <v>265</v>
      </c>
      <c r="E125" s="1">
        <v>1</v>
      </c>
      <c r="F125" s="83">
        <v>12509028</v>
      </c>
      <c r="G125" s="4">
        <v>1250</v>
      </c>
      <c r="H125" s="88" t="s">
        <v>2</v>
      </c>
      <c r="I125" s="16" t="s">
        <v>702</v>
      </c>
      <c r="J125" s="16" t="s">
        <v>992</v>
      </c>
      <c r="K125" s="4">
        <v>1569</v>
      </c>
      <c r="L125" s="4">
        <v>1550</v>
      </c>
      <c r="M125" s="5">
        <v>1548</v>
      </c>
      <c r="N125" s="5">
        <v>1548</v>
      </c>
      <c r="O125" s="5">
        <v>1548</v>
      </c>
      <c r="P125" s="30">
        <v>1548</v>
      </c>
      <c r="Q125" s="7">
        <v>5</v>
      </c>
      <c r="R125" s="4">
        <v>27</v>
      </c>
      <c r="S125" s="8" t="s">
        <v>5</v>
      </c>
      <c r="T125" s="8">
        <v>168.1</v>
      </c>
      <c r="U125" s="8">
        <v>94</v>
      </c>
      <c r="V125" s="8" t="s">
        <v>5</v>
      </c>
      <c r="W125" s="11" t="s">
        <v>5</v>
      </c>
      <c r="X125" s="16">
        <v>56</v>
      </c>
      <c r="Y125" s="12">
        <v>2.7650000000000001</v>
      </c>
      <c r="Z125" s="7">
        <v>9.4</v>
      </c>
      <c r="AA125" s="7">
        <v>11.5</v>
      </c>
      <c r="AB125" s="13">
        <v>76</v>
      </c>
      <c r="AC125" s="13">
        <v>85</v>
      </c>
      <c r="AD125" s="11" t="s">
        <v>6</v>
      </c>
      <c r="AE125" s="33" t="s">
        <v>455</v>
      </c>
      <c r="AF125" s="14" t="s">
        <v>993</v>
      </c>
    </row>
    <row r="126" spans="1:32" ht="63" x14ac:dyDescent="0.25">
      <c r="A126" s="1">
        <v>2092</v>
      </c>
      <c r="B126" s="2">
        <v>45928</v>
      </c>
      <c r="C126" s="1" t="s">
        <v>0</v>
      </c>
      <c r="D126" s="1" t="s">
        <v>19</v>
      </c>
      <c r="E126" s="1">
        <v>2</v>
      </c>
      <c r="F126" s="16">
        <v>22509029</v>
      </c>
      <c r="G126" s="4">
        <v>1260</v>
      </c>
      <c r="H126" s="88" t="s">
        <v>10</v>
      </c>
      <c r="I126" s="16" t="s">
        <v>132</v>
      </c>
      <c r="J126" s="16" t="s">
        <v>994</v>
      </c>
      <c r="K126" s="4">
        <v>1565</v>
      </c>
      <c r="L126" s="4">
        <v>1541</v>
      </c>
      <c r="M126" s="5">
        <v>1539</v>
      </c>
      <c r="N126" s="5">
        <v>1537</v>
      </c>
      <c r="O126" s="5">
        <v>1537</v>
      </c>
      <c r="P126" s="30">
        <v>1537.6666666666667</v>
      </c>
      <c r="Q126" s="7">
        <v>5.2</v>
      </c>
      <c r="R126" s="4">
        <v>35</v>
      </c>
      <c r="S126" s="8">
        <v>2</v>
      </c>
      <c r="T126" s="9">
        <v>171</v>
      </c>
      <c r="U126" s="9">
        <v>75</v>
      </c>
      <c r="V126" s="10">
        <v>96</v>
      </c>
      <c r="W126" s="11" t="s">
        <v>5</v>
      </c>
      <c r="X126" s="16">
        <v>58</v>
      </c>
      <c r="Y126" s="12">
        <v>3.0021264000000003</v>
      </c>
      <c r="Z126" s="7">
        <v>8.1</v>
      </c>
      <c r="AA126" s="7">
        <v>9.4</v>
      </c>
      <c r="AB126" s="13">
        <v>69</v>
      </c>
      <c r="AC126" s="13">
        <v>83</v>
      </c>
      <c r="AD126" s="11" t="s">
        <v>6</v>
      </c>
      <c r="AE126" s="33" t="s">
        <v>72</v>
      </c>
      <c r="AF126" s="14" t="s">
        <v>995</v>
      </c>
    </row>
    <row r="127" spans="1:32" ht="31.5" x14ac:dyDescent="0.25">
      <c r="A127" s="1">
        <v>2130</v>
      </c>
      <c r="B127" s="2">
        <v>45929</v>
      </c>
      <c r="C127" s="1" t="s">
        <v>18</v>
      </c>
      <c r="D127" s="1" t="s">
        <v>9</v>
      </c>
      <c r="E127" s="1">
        <v>2</v>
      </c>
      <c r="F127" s="83">
        <v>22509029</v>
      </c>
      <c r="G127" s="4">
        <v>1260</v>
      </c>
      <c r="H127" s="88" t="s">
        <v>10</v>
      </c>
      <c r="I127" s="16" t="s">
        <v>419</v>
      </c>
      <c r="J127" s="16" t="s">
        <v>996</v>
      </c>
      <c r="K127" s="4">
        <v>1567</v>
      </c>
      <c r="L127" s="4">
        <v>1548</v>
      </c>
      <c r="M127" s="4">
        <v>1548</v>
      </c>
      <c r="N127" s="5">
        <v>1547</v>
      </c>
      <c r="O127" s="5">
        <v>1548</v>
      </c>
      <c r="P127" s="30">
        <v>1547.6666666666667</v>
      </c>
      <c r="Q127" s="7">
        <v>5</v>
      </c>
      <c r="R127" s="4">
        <v>36</v>
      </c>
      <c r="S127" s="8">
        <v>36</v>
      </c>
      <c r="T127" s="9" t="s">
        <v>5</v>
      </c>
      <c r="U127" s="9" t="s">
        <v>5</v>
      </c>
      <c r="V127" s="9" t="s">
        <v>5</v>
      </c>
      <c r="W127" s="11" t="s">
        <v>5</v>
      </c>
      <c r="X127" s="16">
        <v>58</v>
      </c>
      <c r="Y127" s="12">
        <v>2.8866600000000004</v>
      </c>
      <c r="Z127" s="7">
        <v>9.1999999999999993</v>
      </c>
      <c r="AA127" s="7">
        <v>9.6999999999999993</v>
      </c>
      <c r="AB127" s="13">
        <v>81</v>
      </c>
      <c r="AC127" s="13">
        <v>83</v>
      </c>
      <c r="AD127" s="11" t="s">
        <v>6</v>
      </c>
      <c r="AE127" s="94" t="s">
        <v>53</v>
      </c>
      <c r="AF127" s="14" t="s">
        <v>997</v>
      </c>
    </row>
    <row r="128" spans="1:32" ht="15.75" x14ac:dyDescent="0.25">
      <c r="A128" s="1">
        <v>2170</v>
      </c>
      <c r="B128" s="2">
        <v>45929</v>
      </c>
      <c r="C128" s="1" t="s">
        <v>0</v>
      </c>
      <c r="D128" s="1" t="s">
        <v>19</v>
      </c>
      <c r="E128" s="1">
        <v>1</v>
      </c>
      <c r="F128" s="83">
        <v>12509029</v>
      </c>
      <c r="G128" s="4">
        <v>1250</v>
      </c>
      <c r="H128" s="88" t="s">
        <v>55</v>
      </c>
      <c r="I128" s="16" t="s">
        <v>296</v>
      </c>
      <c r="J128" s="16" t="s">
        <v>998</v>
      </c>
      <c r="K128" s="4">
        <v>1565</v>
      </c>
      <c r="L128" s="5">
        <v>1546</v>
      </c>
      <c r="M128" s="5">
        <v>1547</v>
      </c>
      <c r="N128" s="5">
        <v>1546</v>
      </c>
      <c r="O128" s="5">
        <v>1545</v>
      </c>
      <c r="P128" s="30">
        <v>1546</v>
      </c>
      <c r="Q128" s="7">
        <v>5.8</v>
      </c>
      <c r="R128" s="4">
        <v>31</v>
      </c>
      <c r="S128" s="8" t="s">
        <v>5</v>
      </c>
      <c r="T128" s="9">
        <v>162</v>
      </c>
      <c r="U128" s="9">
        <v>61</v>
      </c>
      <c r="V128" s="10">
        <v>101</v>
      </c>
      <c r="W128" s="8" t="s">
        <v>5</v>
      </c>
      <c r="X128" s="16">
        <v>56</v>
      </c>
      <c r="Y128" s="12">
        <v>3.2074000000000003</v>
      </c>
      <c r="Z128" s="7">
        <v>9.8000000000000007</v>
      </c>
      <c r="AA128" s="7">
        <v>9.1999999999999993</v>
      </c>
      <c r="AB128" s="13">
        <v>81</v>
      </c>
      <c r="AC128" s="13">
        <v>84</v>
      </c>
      <c r="AD128" s="11" t="s">
        <v>6</v>
      </c>
      <c r="AE128" s="33" t="s">
        <v>455</v>
      </c>
      <c r="AF128" s="14" t="s">
        <v>999</v>
      </c>
    </row>
    <row r="129" spans="1:32" ht="15.75" x14ac:dyDescent="0.25">
      <c r="A129" s="1">
        <v>2208</v>
      </c>
      <c r="B129" s="2">
        <v>45930</v>
      </c>
      <c r="C129" s="1" t="s">
        <v>18</v>
      </c>
      <c r="D129" s="1" t="s">
        <v>9</v>
      </c>
      <c r="E129" s="1">
        <v>2</v>
      </c>
      <c r="F129" s="83">
        <v>22509030</v>
      </c>
      <c r="G129" s="4">
        <v>1252</v>
      </c>
      <c r="H129" s="88" t="s">
        <v>55</v>
      </c>
      <c r="I129" s="16" t="s">
        <v>120</v>
      </c>
      <c r="J129" s="16" t="s">
        <v>1000</v>
      </c>
      <c r="K129" s="4">
        <v>1567</v>
      </c>
      <c r="L129" s="4">
        <v>1550</v>
      </c>
      <c r="M129" s="4">
        <v>1547</v>
      </c>
      <c r="N129" s="5">
        <v>1546</v>
      </c>
      <c r="O129" s="5">
        <v>1546</v>
      </c>
      <c r="P129" s="30">
        <v>1546.3333333333333</v>
      </c>
      <c r="Q129" s="7">
        <v>4.8</v>
      </c>
      <c r="R129" s="4">
        <v>36</v>
      </c>
      <c r="S129" s="8" t="s">
        <v>5</v>
      </c>
      <c r="T129" s="9" t="s">
        <v>5</v>
      </c>
      <c r="U129" s="9" t="s">
        <v>5</v>
      </c>
      <c r="V129" s="9" t="s">
        <v>5</v>
      </c>
      <c r="W129" s="11" t="s">
        <v>5</v>
      </c>
      <c r="X129" s="16">
        <v>58</v>
      </c>
      <c r="Y129" s="12">
        <v>2.7535987199999998</v>
      </c>
      <c r="Z129" s="7">
        <v>10.9</v>
      </c>
      <c r="AA129" s="7">
        <v>11.9</v>
      </c>
      <c r="AB129" s="13">
        <v>88</v>
      </c>
      <c r="AC129" s="13">
        <v>93</v>
      </c>
      <c r="AD129" s="11" t="s">
        <v>6</v>
      </c>
      <c r="AE129" s="18" t="s">
        <v>72</v>
      </c>
      <c r="AF129" s="14" t="s">
        <v>418</v>
      </c>
    </row>
    <row r="130" spans="1:32" ht="31.5" x14ac:dyDescent="0.25">
      <c r="A130" s="1">
        <v>2237</v>
      </c>
      <c r="B130" s="2">
        <v>45930</v>
      </c>
      <c r="C130" s="1" t="s">
        <v>264</v>
      </c>
      <c r="D130" s="1" t="s">
        <v>265</v>
      </c>
      <c r="E130" s="1">
        <v>2</v>
      </c>
      <c r="F130" s="83">
        <v>22509030</v>
      </c>
      <c r="G130" s="4">
        <v>1250</v>
      </c>
      <c r="H130" s="88" t="s">
        <v>10</v>
      </c>
      <c r="I130" s="16" t="s">
        <v>66</v>
      </c>
      <c r="J130" s="16" t="s">
        <v>1001</v>
      </c>
      <c r="K130" s="4">
        <v>1563</v>
      </c>
      <c r="L130" s="4">
        <v>1547</v>
      </c>
      <c r="M130" s="5">
        <v>1545</v>
      </c>
      <c r="N130" s="5">
        <v>1542</v>
      </c>
      <c r="O130" s="5">
        <v>1536</v>
      </c>
      <c r="P130" s="30">
        <v>1541</v>
      </c>
      <c r="Q130" s="7">
        <v>5.3</v>
      </c>
      <c r="R130" s="4">
        <v>32</v>
      </c>
      <c r="S130" s="8" t="s">
        <v>5</v>
      </c>
      <c r="T130" s="9">
        <v>161.75</v>
      </c>
      <c r="U130" s="9">
        <v>61</v>
      </c>
      <c r="V130" s="10">
        <v>100.75</v>
      </c>
      <c r="W130" s="11" t="s">
        <v>5</v>
      </c>
      <c r="X130" s="16">
        <v>58</v>
      </c>
      <c r="Y130" s="12">
        <v>3.0355749999999997</v>
      </c>
      <c r="Z130" s="7">
        <v>9.1</v>
      </c>
      <c r="AA130" s="7">
        <v>9</v>
      </c>
      <c r="AB130" s="13">
        <v>85</v>
      </c>
      <c r="AC130" s="13">
        <v>90</v>
      </c>
      <c r="AD130" s="11" t="s">
        <v>6</v>
      </c>
      <c r="AE130" s="18" t="s">
        <v>455</v>
      </c>
      <c r="AF130" s="14" t="s">
        <v>1002</v>
      </c>
    </row>
    <row r="131" spans="1:32" ht="15.75" x14ac:dyDescent="0.25">
      <c r="A131" s="1">
        <v>832</v>
      </c>
      <c r="B131" s="2">
        <v>45911</v>
      </c>
      <c r="C131" s="1" t="s">
        <v>264</v>
      </c>
      <c r="D131" s="1" t="s">
        <v>265</v>
      </c>
      <c r="E131" s="1">
        <v>2</v>
      </c>
      <c r="F131" s="36">
        <v>22509011</v>
      </c>
      <c r="G131" s="16">
        <v>1240</v>
      </c>
      <c r="H131" s="16" t="s">
        <v>10</v>
      </c>
      <c r="I131" s="16" t="s">
        <v>159</v>
      </c>
      <c r="J131" s="16" t="s">
        <v>1003</v>
      </c>
      <c r="K131" s="3">
        <v>1567</v>
      </c>
      <c r="L131" s="5">
        <v>1545</v>
      </c>
      <c r="M131" s="5">
        <v>1543</v>
      </c>
      <c r="N131" s="5">
        <v>1539</v>
      </c>
      <c r="O131" s="5" t="s">
        <v>5</v>
      </c>
      <c r="P131" s="30">
        <v>1541</v>
      </c>
      <c r="Q131" s="16">
        <v>5.0999999999999996</v>
      </c>
      <c r="R131" s="67">
        <v>35</v>
      </c>
      <c r="S131" s="72">
        <v>8</v>
      </c>
      <c r="T131" s="72">
        <v>166</v>
      </c>
      <c r="U131" s="72">
        <v>61</v>
      </c>
      <c r="V131" s="10">
        <v>105</v>
      </c>
      <c r="W131" s="11" t="s">
        <v>5</v>
      </c>
      <c r="X131" s="16">
        <v>58</v>
      </c>
      <c r="Y131" s="12">
        <v>2.8976568</v>
      </c>
      <c r="Z131" s="31">
        <v>10.7</v>
      </c>
      <c r="AA131" s="31">
        <v>10.8</v>
      </c>
      <c r="AB131" s="11">
        <v>80</v>
      </c>
      <c r="AC131" s="11">
        <v>83</v>
      </c>
      <c r="AD131" s="11" t="s">
        <v>6</v>
      </c>
      <c r="AE131" s="33" t="s">
        <v>53</v>
      </c>
      <c r="AF131" s="14" t="s">
        <v>58</v>
      </c>
    </row>
    <row r="132" spans="1:32" ht="47.25" x14ac:dyDescent="0.25">
      <c r="A132" s="1">
        <v>1141</v>
      </c>
      <c r="B132" s="2">
        <v>45916</v>
      </c>
      <c r="C132" s="1" t="s">
        <v>264</v>
      </c>
      <c r="D132" s="1" t="s">
        <v>19</v>
      </c>
      <c r="E132" s="1">
        <v>2</v>
      </c>
      <c r="F132" s="36">
        <v>22509015</v>
      </c>
      <c r="G132" s="16">
        <v>1350</v>
      </c>
      <c r="H132" s="16" t="s">
        <v>10</v>
      </c>
      <c r="I132" s="16" t="s">
        <v>20</v>
      </c>
      <c r="J132" s="16" t="s">
        <v>1004</v>
      </c>
      <c r="K132" s="4">
        <v>1566</v>
      </c>
      <c r="L132" s="5">
        <v>1546</v>
      </c>
      <c r="M132" s="5">
        <v>1548</v>
      </c>
      <c r="N132" s="5">
        <v>1549</v>
      </c>
      <c r="O132" s="5">
        <v>1549</v>
      </c>
      <c r="P132" s="30">
        <v>1548.6666666666667</v>
      </c>
      <c r="Q132" s="16">
        <v>4.8</v>
      </c>
      <c r="R132" s="16">
        <v>35</v>
      </c>
      <c r="S132" s="75" t="s">
        <v>5</v>
      </c>
      <c r="T132" s="10" t="s">
        <v>5</v>
      </c>
      <c r="U132" s="10" t="s">
        <v>5</v>
      </c>
      <c r="V132" s="10" t="s">
        <v>5</v>
      </c>
      <c r="W132" s="78">
        <v>9.6</v>
      </c>
      <c r="X132" s="69">
        <v>57</v>
      </c>
      <c r="Y132" s="12">
        <v>2.9179439999999999</v>
      </c>
      <c r="Z132" s="7">
        <v>10.3</v>
      </c>
      <c r="AA132" s="7">
        <v>9.6999999999999993</v>
      </c>
      <c r="AB132" s="13">
        <v>79</v>
      </c>
      <c r="AC132" s="13">
        <v>74</v>
      </c>
      <c r="AD132" s="11" t="s">
        <v>6</v>
      </c>
      <c r="AE132" s="33" t="s">
        <v>1005</v>
      </c>
      <c r="AF132" s="14" t="s">
        <v>1006</v>
      </c>
    </row>
    <row r="133" spans="1:32" ht="78.75" x14ac:dyDescent="0.25">
      <c r="A133" s="1">
        <v>1601</v>
      </c>
      <c r="B133" s="2">
        <v>45922</v>
      </c>
      <c r="C133" s="1" t="s">
        <v>264</v>
      </c>
      <c r="D133" s="1" t="s">
        <v>9</v>
      </c>
      <c r="E133" s="1">
        <v>1</v>
      </c>
      <c r="F133" s="16">
        <v>12509023</v>
      </c>
      <c r="G133" s="4">
        <v>1250</v>
      </c>
      <c r="H133" s="16" t="s">
        <v>10</v>
      </c>
      <c r="I133" s="16" t="s">
        <v>113</v>
      </c>
      <c r="J133" s="16" t="s">
        <v>1007</v>
      </c>
      <c r="K133" s="4">
        <v>1562</v>
      </c>
      <c r="L133" s="4">
        <v>1541</v>
      </c>
      <c r="M133" s="5">
        <v>1542</v>
      </c>
      <c r="N133" s="5">
        <v>1542</v>
      </c>
      <c r="O133" s="5" t="s">
        <v>5</v>
      </c>
      <c r="P133" s="30">
        <v>1542</v>
      </c>
      <c r="Q133" s="7">
        <v>4.8</v>
      </c>
      <c r="R133" s="4">
        <v>43</v>
      </c>
      <c r="S133" s="8" t="s">
        <v>5</v>
      </c>
      <c r="T133" s="9">
        <v>178.88</v>
      </c>
      <c r="U133" s="9">
        <v>61.05</v>
      </c>
      <c r="V133" s="10">
        <v>117.83</v>
      </c>
      <c r="W133" s="11" t="s">
        <v>5</v>
      </c>
      <c r="X133" s="16">
        <v>57</v>
      </c>
      <c r="Y133" s="12">
        <v>2.7018</v>
      </c>
      <c r="Z133" s="7">
        <v>11.5</v>
      </c>
      <c r="AA133" s="7">
        <v>11.6</v>
      </c>
      <c r="AB133" s="13">
        <v>90</v>
      </c>
      <c r="AC133" s="13">
        <v>98</v>
      </c>
      <c r="AD133" s="11" t="s">
        <v>6</v>
      </c>
      <c r="AE133" s="33" t="s">
        <v>53</v>
      </c>
      <c r="AF133" s="14" t="s">
        <v>1008</v>
      </c>
    </row>
    <row r="134" spans="1:32" ht="78.75" x14ac:dyDescent="0.25">
      <c r="A134" s="1">
        <v>1676</v>
      </c>
      <c r="B134" s="2">
        <v>45923</v>
      </c>
      <c r="C134" s="1" t="s">
        <v>264</v>
      </c>
      <c r="D134" s="1" t="s">
        <v>9</v>
      </c>
      <c r="E134" s="1">
        <v>2</v>
      </c>
      <c r="F134" s="16">
        <v>22509025</v>
      </c>
      <c r="G134" s="4">
        <v>1250</v>
      </c>
      <c r="H134" s="88" t="s">
        <v>225</v>
      </c>
      <c r="I134" s="16" t="s">
        <v>90</v>
      </c>
      <c r="J134" s="16" t="s">
        <v>1009</v>
      </c>
      <c r="K134" s="4">
        <v>1564</v>
      </c>
      <c r="L134" s="4">
        <v>1546</v>
      </c>
      <c r="M134" s="5">
        <v>1546</v>
      </c>
      <c r="N134" s="5">
        <v>1541</v>
      </c>
      <c r="O134" s="5" t="s">
        <v>5</v>
      </c>
      <c r="P134" s="30">
        <v>1543.5</v>
      </c>
      <c r="Q134" s="7">
        <v>4.4000000000000004</v>
      </c>
      <c r="R134" s="4">
        <v>43</v>
      </c>
      <c r="S134" s="8">
        <v>23</v>
      </c>
      <c r="T134" s="9" t="s">
        <v>5</v>
      </c>
      <c r="U134" s="9" t="s">
        <v>5</v>
      </c>
      <c r="V134" s="9" t="s">
        <v>5</v>
      </c>
      <c r="W134" s="11" t="s">
        <v>5</v>
      </c>
      <c r="X134" s="16">
        <v>56</v>
      </c>
      <c r="Y134" s="12">
        <v>2.4332000000000003</v>
      </c>
      <c r="Z134" s="7">
        <v>6.8</v>
      </c>
      <c r="AA134" s="7">
        <v>7.4</v>
      </c>
      <c r="AB134" s="13">
        <v>60</v>
      </c>
      <c r="AC134" s="13">
        <v>59</v>
      </c>
      <c r="AD134" s="11" t="s">
        <v>6</v>
      </c>
      <c r="AE134" s="33" t="s">
        <v>72</v>
      </c>
      <c r="AF134" s="14" t="s">
        <v>1010</v>
      </c>
    </row>
    <row r="135" spans="1:32" ht="47.25" x14ac:dyDescent="0.25">
      <c r="A135" s="1">
        <v>1677</v>
      </c>
      <c r="B135" s="2">
        <v>45923</v>
      </c>
      <c r="C135" s="1" t="s">
        <v>264</v>
      </c>
      <c r="D135" s="1" t="s">
        <v>9</v>
      </c>
      <c r="E135" s="1">
        <v>2</v>
      </c>
      <c r="F135" s="16">
        <v>22509025</v>
      </c>
      <c r="G135" s="4">
        <v>1250</v>
      </c>
      <c r="H135" s="88" t="s">
        <v>225</v>
      </c>
      <c r="I135" s="16" t="s">
        <v>70</v>
      </c>
      <c r="J135" s="16" t="s">
        <v>1011</v>
      </c>
      <c r="K135" s="4">
        <v>1565</v>
      </c>
      <c r="L135" s="4">
        <v>1542</v>
      </c>
      <c r="M135" s="5">
        <v>1542</v>
      </c>
      <c r="N135" s="5">
        <v>1541</v>
      </c>
      <c r="O135" s="5">
        <v>1542</v>
      </c>
      <c r="P135" s="30">
        <v>1541.6666666666667</v>
      </c>
      <c r="Q135" s="7">
        <v>4.3</v>
      </c>
      <c r="R135" s="4">
        <v>39</v>
      </c>
      <c r="S135" s="8">
        <v>20</v>
      </c>
      <c r="T135" s="9">
        <v>161</v>
      </c>
      <c r="U135" s="9">
        <v>60</v>
      </c>
      <c r="V135" s="10">
        <v>101</v>
      </c>
      <c r="W135" s="11" t="s">
        <v>5</v>
      </c>
      <c r="X135" s="16">
        <v>56</v>
      </c>
      <c r="Y135" s="12">
        <v>2.3778999999999999</v>
      </c>
      <c r="Z135" s="7">
        <v>7.6</v>
      </c>
      <c r="AA135" s="7">
        <v>6.8</v>
      </c>
      <c r="AB135" s="13">
        <v>68</v>
      </c>
      <c r="AC135" s="13">
        <v>64</v>
      </c>
      <c r="AD135" s="11" t="s">
        <v>777</v>
      </c>
      <c r="AE135" s="33" t="s">
        <v>72</v>
      </c>
      <c r="AF135" s="14" t="s">
        <v>1012</v>
      </c>
    </row>
    <row r="136" spans="1:32" ht="63" x14ac:dyDescent="0.25">
      <c r="A136" s="1">
        <v>1737</v>
      </c>
      <c r="B136" s="2">
        <v>45924</v>
      </c>
      <c r="C136" s="1" t="s">
        <v>264</v>
      </c>
      <c r="D136" s="1" t="s">
        <v>9</v>
      </c>
      <c r="E136" s="1">
        <v>1</v>
      </c>
      <c r="F136" s="16">
        <v>12509025</v>
      </c>
      <c r="G136" s="4">
        <v>1250</v>
      </c>
      <c r="H136" s="88" t="s">
        <v>55</v>
      </c>
      <c r="I136" s="16" t="s">
        <v>416</v>
      </c>
      <c r="J136" s="16" t="s">
        <v>1013</v>
      </c>
      <c r="K136" s="4">
        <v>1564</v>
      </c>
      <c r="L136" s="4">
        <v>1548</v>
      </c>
      <c r="M136" s="5">
        <v>1548</v>
      </c>
      <c r="N136" s="5">
        <v>1544</v>
      </c>
      <c r="O136" s="5" t="s">
        <v>5</v>
      </c>
      <c r="P136" s="30">
        <v>1546</v>
      </c>
      <c r="Q136" s="7">
        <v>5</v>
      </c>
      <c r="R136" s="4">
        <v>36</v>
      </c>
      <c r="S136" s="8" t="s">
        <v>5</v>
      </c>
      <c r="T136" s="9">
        <v>172</v>
      </c>
      <c r="U136" s="9">
        <v>64.06</v>
      </c>
      <c r="V136" s="10">
        <v>107.94</v>
      </c>
      <c r="W136" s="11" t="s">
        <v>5</v>
      </c>
      <c r="X136" s="16">
        <v>58</v>
      </c>
      <c r="Y136" s="12">
        <v>2.86375</v>
      </c>
      <c r="Z136" s="7">
        <v>8.8000000000000007</v>
      </c>
      <c r="AA136" s="7">
        <v>9.9</v>
      </c>
      <c r="AB136" s="13">
        <v>77</v>
      </c>
      <c r="AC136" s="13">
        <v>85</v>
      </c>
      <c r="AD136" s="11" t="s">
        <v>6</v>
      </c>
      <c r="AE136" s="33" t="s">
        <v>72</v>
      </c>
      <c r="AF136" s="14" t="s">
        <v>1014</v>
      </c>
    </row>
    <row r="137" spans="1:32" ht="47.25" x14ac:dyDescent="0.25">
      <c r="A137" s="1">
        <v>1754</v>
      </c>
      <c r="B137" s="2">
        <v>45924</v>
      </c>
      <c r="C137" s="1" t="s">
        <v>264</v>
      </c>
      <c r="D137" s="1" t="s">
        <v>9</v>
      </c>
      <c r="E137" s="1">
        <v>2</v>
      </c>
      <c r="F137" s="16">
        <v>22509025</v>
      </c>
      <c r="G137" s="4">
        <v>1250</v>
      </c>
      <c r="H137" s="88" t="s">
        <v>55</v>
      </c>
      <c r="I137" s="16" t="s">
        <v>240</v>
      </c>
      <c r="J137" s="16" t="s">
        <v>1015</v>
      </c>
      <c r="K137" s="4">
        <v>1565</v>
      </c>
      <c r="L137" s="4">
        <v>1545</v>
      </c>
      <c r="M137" s="5">
        <v>1546</v>
      </c>
      <c r="N137" s="5">
        <v>1547</v>
      </c>
      <c r="O137" s="5">
        <v>1546</v>
      </c>
      <c r="P137" s="30">
        <v>1546.3333333333333</v>
      </c>
      <c r="Q137" s="7">
        <v>5</v>
      </c>
      <c r="R137" s="4">
        <v>35</v>
      </c>
      <c r="S137" s="8">
        <v>33</v>
      </c>
      <c r="T137" s="9">
        <v>172</v>
      </c>
      <c r="U137" s="9">
        <v>65</v>
      </c>
      <c r="V137" s="10">
        <v>107</v>
      </c>
      <c r="W137" s="11" t="s">
        <v>5</v>
      </c>
      <c r="X137" s="16">
        <v>58</v>
      </c>
      <c r="Y137" s="12">
        <v>2.86375</v>
      </c>
      <c r="Z137" s="7">
        <v>7.3</v>
      </c>
      <c r="AA137" s="7">
        <v>8.5</v>
      </c>
      <c r="AB137" s="13">
        <v>67</v>
      </c>
      <c r="AC137" s="13">
        <v>73</v>
      </c>
      <c r="AD137" s="11" t="s">
        <v>6</v>
      </c>
      <c r="AE137" s="33" t="s">
        <v>72</v>
      </c>
      <c r="AF137" s="14" t="s">
        <v>1016</v>
      </c>
    </row>
  </sheetData>
  <mergeCells count="28">
    <mergeCell ref="AE1:AE2"/>
    <mergeCell ref="AF1:AF2"/>
    <mergeCell ref="A3:K3"/>
    <mergeCell ref="Q3:AE3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3">
    <cfRule type="cellIs" dxfId="458" priority="67" stopIfTrue="1" operator="greaterThanOrEqual">
      <formula>1565</formula>
    </cfRule>
    <cfRule type="cellIs" dxfId="459" priority="68" stopIfTrue="1" operator="lessThanOrEqual">
      <formula>1545</formula>
    </cfRule>
  </conditionalFormatting>
  <conditionalFormatting sqref="L9:P11 L8:O8 M4:P4 L4:L7 P5:P8 M6:O7">
    <cfRule type="cellIs" dxfId="457" priority="65" stopIfTrue="1" operator="greaterThanOrEqual">
      <formula>1565</formula>
    </cfRule>
    <cfRule type="cellIs" dxfId="456" priority="66" stopIfTrue="1" operator="lessThanOrEqual">
      <formula>1545</formula>
    </cfRule>
  </conditionalFormatting>
  <conditionalFormatting sqref="L12:P18">
    <cfRule type="cellIs" dxfId="455" priority="63" stopIfTrue="1" operator="greaterThanOrEqual">
      <formula>1565</formula>
    </cfRule>
    <cfRule type="cellIs" dxfId="454" priority="64" stopIfTrue="1" operator="lessThanOrEqual">
      <formula>1545</formula>
    </cfRule>
  </conditionalFormatting>
  <conditionalFormatting sqref="L19:P27">
    <cfRule type="cellIs" dxfId="453" priority="61" stopIfTrue="1" operator="greaterThanOrEqual">
      <formula>1565</formula>
    </cfRule>
    <cfRule type="cellIs" dxfId="452" priority="62" stopIfTrue="1" operator="lessThanOrEqual">
      <formula>1545</formula>
    </cfRule>
  </conditionalFormatting>
  <conditionalFormatting sqref="L28:P38">
    <cfRule type="cellIs" dxfId="451" priority="59" stopIfTrue="1" operator="greaterThanOrEqual">
      <formula>1565</formula>
    </cfRule>
    <cfRule type="cellIs" dxfId="450" priority="60" stopIfTrue="1" operator="lessThanOrEqual">
      <formula>1545</formula>
    </cfRule>
  </conditionalFormatting>
  <conditionalFormatting sqref="L39:P46">
    <cfRule type="cellIs" dxfId="448" priority="57" stopIfTrue="1" operator="greaterThanOrEqual">
      <formula>1565</formula>
    </cfRule>
    <cfRule type="cellIs" dxfId="449" priority="58" stopIfTrue="1" operator="lessThanOrEqual">
      <formula>1545</formula>
    </cfRule>
  </conditionalFormatting>
  <conditionalFormatting sqref="L47:P48">
    <cfRule type="cellIs" dxfId="447" priority="55" stopIfTrue="1" operator="greaterThanOrEqual">
      <formula>1565</formula>
    </cfRule>
    <cfRule type="cellIs" dxfId="446" priority="56" stopIfTrue="1" operator="lessThanOrEqual">
      <formula>1545</formula>
    </cfRule>
  </conditionalFormatting>
  <conditionalFormatting sqref="L49:P55">
    <cfRule type="cellIs" dxfId="445" priority="53" stopIfTrue="1" operator="greaterThanOrEqual">
      <formula>1565</formula>
    </cfRule>
    <cfRule type="cellIs" dxfId="444" priority="54" stopIfTrue="1" operator="lessThanOrEqual">
      <formula>1545</formula>
    </cfRule>
  </conditionalFormatting>
  <conditionalFormatting sqref="L56:P62">
    <cfRule type="cellIs" dxfId="443" priority="51" stopIfTrue="1" operator="greaterThanOrEqual">
      <formula>1565</formula>
    </cfRule>
    <cfRule type="cellIs" dxfId="442" priority="52" stopIfTrue="1" operator="lessThanOrEqual">
      <formula>1545</formula>
    </cfRule>
  </conditionalFormatting>
  <conditionalFormatting sqref="Q61">
    <cfRule type="cellIs" dxfId="441" priority="49" stopIfTrue="1" operator="greaterThanOrEqual">
      <formula>1565</formula>
    </cfRule>
    <cfRule type="cellIs" dxfId="440" priority="50" stopIfTrue="1" operator="lessThanOrEqual">
      <formula>1545</formula>
    </cfRule>
  </conditionalFormatting>
  <conditionalFormatting sqref="L63:P64">
    <cfRule type="cellIs" dxfId="439" priority="47" stopIfTrue="1" operator="greaterThanOrEqual">
      <formula>1565</formula>
    </cfRule>
    <cfRule type="cellIs" dxfId="438" priority="48" stopIfTrue="1" operator="lessThanOrEqual">
      <formula>1545</formula>
    </cfRule>
  </conditionalFormatting>
  <conditionalFormatting sqref="L65:P65">
    <cfRule type="cellIs" dxfId="437" priority="45" stopIfTrue="1" operator="greaterThanOrEqual">
      <formula>1565</formula>
    </cfRule>
    <cfRule type="cellIs" dxfId="436" priority="46" stopIfTrue="1" operator="lessThanOrEqual">
      <formula>1545</formula>
    </cfRule>
  </conditionalFormatting>
  <conditionalFormatting sqref="L66:P69">
    <cfRule type="cellIs" dxfId="435" priority="43" stopIfTrue="1" operator="greaterThanOrEqual">
      <formula>1565</formula>
    </cfRule>
    <cfRule type="cellIs" dxfId="434" priority="44" stopIfTrue="1" operator="lessThanOrEqual">
      <formula>1545</formula>
    </cfRule>
  </conditionalFormatting>
  <conditionalFormatting sqref="L70:P70">
    <cfRule type="cellIs" dxfId="433" priority="41" stopIfTrue="1" operator="greaterThanOrEqual">
      <formula>1565</formula>
    </cfRule>
    <cfRule type="cellIs" dxfId="432" priority="42" stopIfTrue="1" operator="lessThanOrEqual">
      <formula>1545</formula>
    </cfRule>
  </conditionalFormatting>
  <conditionalFormatting sqref="L71:P73">
    <cfRule type="cellIs" dxfId="431" priority="39" stopIfTrue="1" operator="greaterThanOrEqual">
      <formula>1565</formula>
    </cfRule>
    <cfRule type="cellIs" dxfId="430" priority="40" stopIfTrue="1" operator="lessThanOrEqual">
      <formula>1545</formula>
    </cfRule>
  </conditionalFormatting>
  <conditionalFormatting sqref="L74:P75">
    <cfRule type="cellIs" dxfId="429" priority="37" stopIfTrue="1" operator="greaterThanOrEqual">
      <formula>1565</formula>
    </cfRule>
    <cfRule type="cellIs" dxfId="428" priority="38" stopIfTrue="1" operator="lessThanOrEqual">
      <formula>1545</formula>
    </cfRule>
  </conditionalFormatting>
  <conditionalFormatting sqref="L76:P78">
    <cfRule type="cellIs" dxfId="427" priority="35" stopIfTrue="1" operator="greaterThanOrEqual">
      <formula>1565</formula>
    </cfRule>
    <cfRule type="cellIs" dxfId="426" priority="36" stopIfTrue="1" operator="lessThanOrEqual">
      <formula>1545</formula>
    </cfRule>
  </conditionalFormatting>
  <conditionalFormatting sqref="L79:P80">
    <cfRule type="cellIs" dxfId="425" priority="33" stopIfTrue="1" operator="greaterThanOrEqual">
      <formula>1565</formula>
    </cfRule>
    <cfRule type="cellIs" dxfId="424" priority="34" stopIfTrue="1" operator="lessThanOrEqual">
      <formula>1545</formula>
    </cfRule>
  </conditionalFormatting>
  <conditionalFormatting sqref="L81:P81">
    <cfRule type="cellIs" dxfId="422" priority="31" stopIfTrue="1" operator="greaterThanOrEqual">
      <formula>1565</formula>
    </cfRule>
    <cfRule type="cellIs" dxfId="423" priority="32" stopIfTrue="1" operator="lessThanOrEqual">
      <formula>1545</formula>
    </cfRule>
  </conditionalFormatting>
  <conditionalFormatting sqref="M83:P83 L82:P82">
    <cfRule type="cellIs" dxfId="421" priority="29" stopIfTrue="1" operator="greaterThanOrEqual">
      <formula>1565</formula>
    </cfRule>
    <cfRule type="cellIs" dxfId="420" priority="30" stopIfTrue="1" operator="lessThanOrEqual">
      <formula>1545</formula>
    </cfRule>
  </conditionalFormatting>
  <conditionalFormatting sqref="L87:P88 M85:P86 L84:P84">
    <cfRule type="cellIs" dxfId="419" priority="27" stopIfTrue="1" operator="greaterThanOrEqual">
      <formula>1565</formula>
    </cfRule>
    <cfRule type="cellIs" dxfId="418" priority="28" stopIfTrue="1" operator="lessThanOrEqual">
      <formula>1545</formula>
    </cfRule>
  </conditionalFormatting>
  <conditionalFormatting sqref="L93:P96 M91:P92 L89:P90">
    <cfRule type="cellIs" dxfId="417" priority="25" stopIfTrue="1" operator="greaterThanOrEqual">
      <formula>1565</formula>
    </cfRule>
    <cfRule type="cellIs" dxfId="416" priority="26" stopIfTrue="1" operator="lessThanOrEqual">
      <formula>1545</formula>
    </cfRule>
  </conditionalFormatting>
  <conditionalFormatting sqref="M97:P99">
    <cfRule type="cellIs" dxfId="414" priority="23" stopIfTrue="1" operator="greaterThanOrEqual">
      <formula>1565</formula>
    </cfRule>
    <cfRule type="cellIs" dxfId="415" priority="24" stopIfTrue="1" operator="lessThanOrEqual">
      <formula>1545</formula>
    </cfRule>
  </conditionalFormatting>
  <conditionalFormatting sqref="L100:P101">
    <cfRule type="cellIs" dxfId="413" priority="21" stopIfTrue="1" operator="greaterThanOrEqual">
      <formula>1565</formula>
    </cfRule>
    <cfRule type="cellIs" dxfId="412" priority="22" stopIfTrue="1" operator="lessThanOrEqual">
      <formula>1545</formula>
    </cfRule>
  </conditionalFormatting>
  <conditionalFormatting sqref="L120:P120 M109:P119 Q110 L102:P108">
    <cfRule type="cellIs" dxfId="411" priority="19" stopIfTrue="1" operator="greaterThanOrEqual">
      <formula>1565</formula>
    </cfRule>
    <cfRule type="cellIs" dxfId="410" priority="20" stopIfTrue="1" operator="lessThanOrEqual">
      <formula>1545</formula>
    </cfRule>
  </conditionalFormatting>
  <conditionalFormatting sqref="L121:P121">
    <cfRule type="cellIs" dxfId="409" priority="17" stopIfTrue="1" operator="greaterThanOrEqual">
      <formula>1565</formula>
    </cfRule>
    <cfRule type="cellIs" dxfId="408" priority="18" stopIfTrue="1" operator="lessThanOrEqual">
      <formula>1545</formula>
    </cfRule>
  </conditionalFormatting>
  <conditionalFormatting sqref="M122:P126">
    <cfRule type="cellIs" dxfId="407" priority="15" stopIfTrue="1" operator="greaterThanOrEqual">
      <formula>1565</formula>
    </cfRule>
    <cfRule type="cellIs" dxfId="406" priority="16" stopIfTrue="1" operator="lessThanOrEqual">
      <formula>1545</formula>
    </cfRule>
  </conditionalFormatting>
  <conditionalFormatting sqref="L128:P128 M127:P127">
    <cfRule type="cellIs" dxfId="405" priority="13" stopIfTrue="1" operator="greaterThanOrEqual">
      <formula>1565</formula>
    </cfRule>
    <cfRule type="cellIs" dxfId="404" priority="14" stopIfTrue="1" operator="lessThanOrEqual">
      <formula>1545</formula>
    </cfRule>
  </conditionalFormatting>
  <conditionalFormatting sqref="L129:P130">
    <cfRule type="cellIs" dxfId="402" priority="11" stopIfTrue="1" operator="greaterThanOrEqual">
      <formula>1565</formula>
    </cfRule>
    <cfRule type="cellIs" dxfId="403" priority="12" stopIfTrue="1" operator="lessThanOrEqual">
      <formula>1545</formula>
    </cfRule>
  </conditionalFormatting>
  <conditionalFormatting sqref="L131:P131">
    <cfRule type="cellIs" dxfId="401" priority="9" stopIfTrue="1" operator="greaterThanOrEqual">
      <formula>1565</formula>
    </cfRule>
    <cfRule type="cellIs" dxfId="400" priority="10" stopIfTrue="1" operator="lessThanOrEqual">
      <formula>1545</formula>
    </cfRule>
  </conditionalFormatting>
  <conditionalFormatting sqref="L132:P132">
    <cfRule type="cellIs" dxfId="399" priority="7" stopIfTrue="1" operator="greaterThanOrEqual">
      <formula>1565</formula>
    </cfRule>
    <cfRule type="cellIs" dxfId="398" priority="8" stopIfTrue="1" operator="lessThanOrEqual">
      <formula>1545</formula>
    </cfRule>
  </conditionalFormatting>
  <conditionalFormatting sqref="M133:P133">
    <cfRule type="cellIs" dxfId="397" priority="5" stopIfTrue="1" operator="greaterThanOrEqual">
      <formula>1565</formula>
    </cfRule>
    <cfRule type="cellIs" dxfId="396" priority="6" stopIfTrue="1" operator="lessThanOrEqual">
      <formula>1545</formula>
    </cfRule>
  </conditionalFormatting>
  <conditionalFormatting sqref="M134:P135">
    <cfRule type="cellIs" dxfId="395" priority="3" stopIfTrue="1" operator="greaterThanOrEqual">
      <formula>1565</formula>
    </cfRule>
    <cfRule type="cellIs" dxfId="394" priority="4" stopIfTrue="1" operator="lessThanOrEqual">
      <formula>1545</formula>
    </cfRule>
  </conditionalFormatting>
  <conditionalFormatting sqref="M136:P137">
    <cfRule type="cellIs" dxfId="392" priority="1" stopIfTrue="1" operator="greaterThanOrEqual">
      <formula>1565</formula>
    </cfRule>
    <cfRule type="cellIs" dxfId="393" priority="2" stopIfTrue="1" operator="lessThanOrEqual">
      <formula>1545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A4DB-C458-44CE-87BA-B431A9CFE5B7}">
  <dimension ref="A1:AF144"/>
  <sheetViews>
    <sheetView workbookViewId="0">
      <selection activeCell="O8" sqref="O8"/>
    </sheetView>
  </sheetViews>
  <sheetFormatPr defaultColWidth="9.140625" defaultRowHeight="15" x14ac:dyDescent="0.25"/>
  <cols>
    <col min="1" max="1" width="11.5703125" customWidth="1"/>
    <col min="2" max="2" width="24" customWidth="1"/>
    <col min="3" max="3" width="7.28515625" customWidth="1"/>
    <col min="4" max="4" width="17" customWidth="1"/>
    <col min="5" max="5" width="0" hidden="1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0" customHeight="1" x14ac:dyDescent="0.2">
      <c r="A1" s="20" t="s">
        <v>1017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0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ht="78.75" x14ac:dyDescent="0.25">
      <c r="A3" s="1">
        <v>36</v>
      </c>
      <c r="B3" s="2">
        <v>45931</v>
      </c>
      <c r="C3" s="1" t="s">
        <v>264</v>
      </c>
      <c r="D3" s="1" t="s">
        <v>691</v>
      </c>
      <c r="E3" s="16">
        <v>12510001</v>
      </c>
      <c r="F3" s="16">
        <v>1230</v>
      </c>
      <c r="G3" s="16" t="s">
        <v>10</v>
      </c>
      <c r="H3" s="16" t="s">
        <v>70</v>
      </c>
      <c r="I3" s="16" t="s">
        <v>1018</v>
      </c>
      <c r="J3" s="5">
        <v>1565</v>
      </c>
      <c r="K3" s="5">
        <v>1540</v>
      </c>
      <c r="L3" s="5">
        <v>1541</v>
      </c>
      <c r="M3" s="5">
        <v>1539</v>
      </c>
      <c r="N3" s="5">
        <v>1539</v>
      </c>
      <c r="O3" s="30">
        <v>1539.6666666666667</v>
      </c>
      <c r="P3" s="67">
        <v>5.4</v>
      </c>
      <c r="Q3" s="67">
        <v>32</v>
      </c>
      <c r="R3" s="68" t="s">
        <v>5</v>
      </c>
      <c r="S3" s="9">
        <v>158</v>
      </c>
      <c r="T3" s="9">
        <v>58</v>
      </c>
      <c r="U3" s="10">
        <v>100</v>
      </c>
      <c r="V3" s="11" t="s">
        <v>5</v>
      </c>
      <c r="W3" s="69">
        <v>58</v>
      </c>
      <c r="X3" s="12">
        <v>3.0433644000000002</v>
      </c>
      <c r="Y3" s="31">
        <v>10.8</v>
      </c>
      <c r="Z3" s="31">
        <v>10.3</v>
      </c>
      <c r="AA3" s="32">
        <v>85</v>
      </c>
      <c r="AB3" s="32">
        <v>81</v>
      </c>
      <c r="AC3" s="11" t="s">
        <v>1019</v>
      </c>
      <c r="AD3" s="33" t="s">
        <v>455</v>
      </c>
      <c r="AE3" s="14" t="s">
        <v>1020</v>
      </c>
    </row>
    <row r="4" spans="1:32" ht="47.25" x14ac:dyDescent="0.25">
      <c r="A4" s="1">
        <v>66</v>
      </c>
      <c r="B4" s="2">
        <v>45931</v>
      </c>
      <c r="C4" s="1" t="s">
        <v>0</v>
      </c>
      <c r="D4" s="1" t="s">
        <v>19</v>
      </c>
      <c r="E4" s="16">
        <v>12510001</v>
      </c>
      <c r="F4" s="16">
        <v>1230</v>
      </c>
      <c r="G4" s="16" t="s">
        <v>10</v>
      </c>
      <c r="H4" s="16" t="s">
        <v>148</v>
      </c>
      <c r="I4" s="16" t="s">
        <v>1021</v>
      </c>
      <c r="J4" s="4">
        <v>1565</v>
      </c>
      <c r="K4" s="5">
        <v>1546</v>
      </c>
      <c r="L4" s="5">
        <v>1543</v>
      </c>
      <c r="M4" s="5">
        <v>1543</v>
      </c>
      <c r="N4" s="5" t="s">
        <v>5</v>
      </c>
      <c r="O4" s="30">
        <v>1543</v>
      </c>
      <c r="P4" s="16">
        <v>5.7</v>
      </c>
      <c r="Q4" s="16">
        <v>29</v>
      </c>
      <c r="R4" s="8" t="s">
        <v>5</v>
      </c>
      <c r="S4" s="11">
        <v>157</v>
      </c>
      <c r="T4" s="11">
        <v>62</v>
      </c>
      <c r="U4" s="10">
        <v>95</v>
      </c>
      <c r="V4" s="11" t="s">
        <v>5</v>
      </c>
      <c r="W4" s="11">
        <v>58</v>
      </c>
      <c r="X4" s="12">
        <v>3.2124402000000001</v>
      </c>
      <c r="Y4" s="7">
        <v>11.1</v>
      </c>
      <c r="Z4" s="7">
        <v>10.8</v>
      </c>
      <c r="AA4" s="13">
        <v>89</v>
      </c>
      <c r="AB4" s="13">
        <v>88</v>
      </c>
      <c r="AC4" s="8" t="s">
        <v>1019</v>
      </c>
      <c r="AD4" s="33" t="s">
        <v>455</v>
      </c>
      <c r="AE4" s="14" t="s">
        <v>1022</v>
      </c>
    </row>
    <row r="5" spans="1:32" ht="63" x14ac:dyDescent="0.25">
      <c r="A5" s="1">
        <v>67</v>
      </c>
      <c r="B5" s="2">
        <v>45931</v>
      </c>
      <c r="C5" s="1" t="s">
        <v>0</v>
      </c>
      <c r="D5" s="1" t="s">
        <v>19</v>
      </c>
      <c r="E5" s="16">
        <v>12510001</v>
      </c>
      <c r="F5" s="16">
        <v>1230</v>
      </c>
      <c r="G5" s="16" t="s">
        <v>10</v>
      </c>
      <c r="H5" s="16" t="s">
        <v>155</v>
      </c>
      <c r="I5" s="16" t="s">
        <v>1023</v>
      </c>
      <c r="J5" s="4">
        <v>1570</v>
      </c>
      <c r="K5" s="5">
        <v>1545</v>
      </c>
      <c r="L5" s="5">
        <v>1546</v>
      </c>
      <c r="M5" s="5">
        <v>1549</v>
      </c>
      <c r="N5" s="5">
        <v>1549</v>
      </c>
      <c r="O5" s="30">
        <v>1548</v>
      </c>
      <c r="P5" s="16">
        <v>5.3</v>
      </c>
      <c r="Q5" s="16">
        <v>35</v>
      </c>
      <c r="R5" s="8" t="s">
        <v>5</v>
      </c>
      <c r="S5" s="11">
        <v>167</v>
      </c>
      <c r="T5" s="11">
        <v>63</v>
      </c>
      <c r="U5" s="10">
        <v>104</v>
      </c>
      <c r="V5" s="11" t="s">
        <v>5</v>
      </c>
      <c r="W5" s="11">
        <v>58</v>
      </c>
      <c r="X5" s="12">
        <v>2.9870057999999999</v>
      </c>
      <c r="Y5" s="7">
        <v>11.4</v>
      </c>
      <c r="Z5" s="7">
        <v>10.8</v>
      </c>
      <c r="AA5" s="13">
        <v>92</v>
      </c>
      <c r="AB5" s="13">
        <v>87</v>
      </c>
      <c r="AC5" s="8" t="s">
        <v>1019</v>
      </c>
      <c r="AD5" s="33" t="s">
        <v>455</v>
      </c>
      <c r="AE5" s="14" t="s">
        <v>1024</v>
      </c>
    </row>
    <row r="6" spans="1:32" ht="31.5" x14ac:dyDescent="0.25">
      <c r="A6" s="1">
        <v>70</v>
      </c>
      <c r="B6" s="2">
        <v>45931</v>
      </c>
      <c r="C6" s="1" t="s">
        <v>0</v>
      </c>
      <c r="D6" s="1" t="s">
        <v>19</v>
      </c>
      <c r="E6" s="16">
        <v>12510001</v>
      </c>
      <c r="F6" s="16">
        <v>1230</v>
      </c>
      <c r="G6" s="16" t="s">
        <v>10</v>
      </c>
      <c r="H6" s="16" t="s">
        <v>331</v>
      </c>
      <c r="I6" s="16" t="s">
        <v>1025</v>
      </c>
      <c r="J6" s="4">
        <v>1573</v>
      </c>
      <c r="K6" s="5">
        <v>1545</v>
      </c>
      <c r="L6" s="5">
        <v>1545</v>
      </c>
      <c r="M6" s="5">
        <v>1546</v>
      </c>
      <c r="N6" s="5">
        <v>1547</v>
      </c>
      <c r="O6" s="30">
        <v>1546</v>
      </c>
      <c r="P6" s="16">
        <v>5.4</v>
      </c>
      <c r="Q6" s="16">
        <v>38</v>
      </c>
      <c r="R6" s="8" t="s">
        <v>5</v>
      </c>
      <c r="S6" s="11">
        <v>169</v>
      </c>
      <c r="T6" s="11">
        <v>60</v>
      </c>
      <c r="U6" s="11">
        <v>109</v>
      </c>
      <c r="V6" s="11" t="s">
        <v>5</v>
      </c>
      <c r="W6" s="11">
        <v>58</v>
      </c>
      <c r="X6" s="12">
        <v>3.0433644000000002</v>
      </c>
      <c r="Y6" s="7">
        <v>11</v>
      </c>
      <c r="Z6" s="7">
        <v>10.6</v>
      </c>
      <c r="AA6" s="13">
        <v>89</v>
      </c>
      <c r="AB6" s="13">
        <v>84</v>
      </c>
      <c r="AC6" s="8" t="s">
        <v>1019</v>
      </c>
      <c r="AD6" s="33" t="s">
        <v>455</v>
      </c>
      <c r="AE6" s="14" t="s">
        <v>397</v>
      </c>
    </row>
    <row r="7" spans="1:32" ht="110.25" x14ac:dyDescent="0.25">
      <c r="A7" s="1">
        <v>95</v>
      </c>
      <c r="B7" s="2">
        <v>45932</v>
      </c>
      <c r="C7" s="1" t="s">
        <v>18</v>
      </c>
      <c r="D7" s="1" t="s">
        <v>9</v>
      </c>
      <c r="E7" s="16">
        <v>12510001</v>
      </c>
      <c r="F7" s="16">
        <v>1240</v>
      </c>
      <c r="G7" s="16" t="s">
        <v>10</v>
      </c>
      <c r="H7" s="16" t="s">
        <v>419</v>
      </c>
      <c r="I7" s="16" t="s">
        <v>1026</v>
      </c>
      <c r="J7" s="3">
        <v>1566</v>
      </c>
      <c r="K7" s="5">
        <v>1546</v>
      </c>
      <c r="L7" s="5">
        <v>1545</v>
      </c>
      <c r="M7" s="5">
        <v>1546</v>
      </c>
      <c r="N7" s="5">
        <v>1547</v>
      </c>
      <c r="O7" s="30">
        <v>1546</v>
      </c>
      <c r="P7" s="16">
        <v>5.2</v>
      </c>
      <c r="Q7" s="16">
        <v>35</v>
      </c>
      <c r="R7" s="72">
        <v>37</v>
      </c>
      <c r="S7" s="72">
        <v>171</v>
      </c>
      <c r="T7" s="72">
        <v>60</v>
      </c>
      <c r="U7" s="72">
        <v>111</v>
      </c>
      <c r="V7" s="11" t="s">
        <v>5</v>
      </c>
      <c r="W7" s="69">
        <v>58</v>
      </c>
      <c r="X7" s="12">
        <v>2.9544736</v>
      </c>
      <c r="Y7" s="64">
        <v>9.9</v>
      </c>
      <c r="Z7" s="64">
        <v>7.9</v>
      </c>
      <c r="AA7" s="49">
        <v>93</v>
      </c>
      <c r="AB7" s="49">
        <v>74</v>
      </c>
      <c r="AC7" s="11" t="s">
        <v>6</v>
      </c>
      <c r="AD7" s="33" t="s">
        <v>455</v>
      </c>
      <c r="AE7" s="41" t="s">
        <v>1027</v>
      </c>
    </row>
    <row r="8" spans="1:32" ht="78.75" x14ac:dyDescent="0.25">
      <c r="A8" s="1">
        <v>113</v>
      </c>
      <c r="B8" s="2">
        <v>45932</v>
      </c>
      <c r="C8" s="1" t="s">
        <v>264</v>
      </c>
      <c r="D8" s="1" t="s">
        <v>691</v>
      </c>
      <c r="E8" s="16">
        <v>12510001</v>
      </c>
      <c r="F8" s="16">
        <v>1240</v>
      </c>
      <c r="G8" s="16" t="s">
        <v>10</v>
      </c>
      <c r="H8" s="16" t="s">
        <v>346</v>
      </c>
      <c r="I8" s="16" t="s">
        <v>1028</v>
      </c>
      <c r="J8" s="3">
        <v>1565</v>
      </c>
      <c r="K8" s="5">
        <v>1545</v>
      </c>
      <c r="L8" s="5">
        <v>1544</v>
      </c>
      <c r="M8" s="5">
        <v>1544</v>
      </c>
      <c r="N8" s="5">
        <v>1545</v>
      </c>
      <c r="O8" s="30">
        <v>1544.3333333333333</v>
      </c>
      <c r="P8" s="67">
        <v>4.8</v>
      </c>
      <c r="Q8" s="67">
        <v>33</v>
      </c>
      <c r="R8" s="72" t="s">
        <v>5</v>
      </c>
      <c r="S8" s="72">
        <v>165</v>
      </c>
      <c r="T8" s="72">
        <v>60</v>
      </c>
      <c r="U8" s="72">
        <v>105</v>
      </c>
      <c r="V8" s="11" t="s">
        <v>5</v>
      </c>
      <c r="W8" s="69">
        <v>58</v>
      </c>
      <c r="X8" s="12">
        <v>2.7272064</v>
      </c>
      <c r="Y8" s="31">
        <v>9.6</v>
      </c>
      <c r="Z8" s="31">
        <v>7.5</v>
      </c>
      <c r="AA8" s="32">
        <v>84</v>
      </c>
      <c r="AB8" s="32">
        <v>62</v>
      </c>
      <c r="AC8" s="11" t="s">
        <v>6</v>
      </c>
      <c r="AD8" s="33" t="s">
        <v>455</v>
      </c>
      <c r="AE8" s="14" t="s">
        <v>1029</v>
      </c>
    </row>
    <row r="9" spans="1:32" ht="63" x14ac:dyDescent="0.25">
      <c r="A9" s="1">
        <v>118</v>
      </c>
      <c r="B9" s="2">
        <v>45932</v>
      </c>
      <c r="C9" s="1" t="s">
        <v>264</v>
      </c>
      <c r="D9" s="1" t="s">
        <v>691</v>
      </c>
      <c r="E9" s="16">
        <v>12510001</v>
      </c>
      <c r="F9" s="16">
        <v>1240</v>
      </c>
      <c r="G9" s="16" t="s">
        <v>10</v>
      </c>
      <c r="H9" s="16" t="s">
        <v>159</v>
      </c>
      <c r="I9" s="16" t="s">
        <v>1030</v>
      </c>
      <c r="J9" s="3">
        <v>1568</v>
      </c>
      <c r="K9" s="5">
        <v>1551</v>
      </c>
      <c r="L9" s="5">
        <v>1551</v>
      </c>
      <c r="M9" s="5">
        <v>1552</v>
      </c>
      <c r="N9" s="5">
        <v>1553</v>
      </c>
      <c r="O9" s="30">
        <v>1552</v>
      </c>
      <c r="P9" s="67">
        <v>4.9000000000000004</v>
      </c>
      <c r="Q9" s="67">
        <v>34</v>
      </c>
      <c r="R9" s="68" t="s">
        <v>5</v>
      </c>
      <c r="S9" s="72">
        <v>161</v>
      </c>
      <c r="T9" s="72">
        <v>61</v>
      </c>
      <c r="U9" s="72">
        <v>100</v>
      </c>
      <c r="V9" s="11" t="s">
        <v>5</v>
      </c>
      <c r="W9" s="69">
        <v>58</v>
      </c>
      <c r="X9" s="12">
        <v>2.7840232</v>
      </c>
      <c r="Y9" s="31">
        <v>10.8</v>
      </c>
      <c r="Z9" s="31">
        <v>9.6</v>
      </c>
      <c r="AA9" s="32">
        <v>91</v>
      </c>
      <c r="AB9" s="32">
        <v>78</v>
      </c>
      <c r="AC9" s="11" t="s">
        <v>6</v>
      </c>
      <c r="AD9" s="33" t="s">
        <v>455</v>
      </c>
      <c r="AE9" s="14" t="s">
        <v>1031</v>
      </c>
    </row>
    <row r="10" spans="1:32" ht="47.25" x14ac:dyDescent="0.25">
      <c r="A10" s="1">
        <v>163</v>
      </c>
      <c r="B10" s="2">
        <v>45932</v>
      </c>
      <c r="C10" s="1" t="s">
        <v>0</v>
      </c>
      <c r="D10" s="1" t="s">
        <v>377</v>
      </c>
      <c r="E10" s="16">
        <v>22510001</v>
      </c>
      <c r="F10" s="16">
        <v>1240</v>
      </c>
      <c r="G10" s="16" t="s">
        <v>10</v>
      </c>
      <c r="H10" s="16" t="s">
        <v>129</v>
      </c>
      <c r="I10" s="3" t="s">
        <v>1032</v>
      </c>
      <c r="J10" s="3">
        <v>1567</v>
      </c>
      <c r="K10" s="5">
        <v>1548</v>
      </c>
      <c r="L10" s="5">
        <v>1546</v>
      </c>
      <c r="M10" s="5">
        <v>1543</v>
      </c>
      <c r="N10" s="5" t="s">
        <v>5</v>
      </c>
      <c r="O10" s="30">
        <v>1544.5</v>
      </c>
      <c r="P10" s="16">
        <v>5.4</v>
      </c>
      <c r="Q10" s="71">
        <v>38</v>
      </c>
      <c r="R10" s="72">
        <v>22</v>
      </c>
      <c r="S10" s="72">
        <v>167</v>
      </c>
      <c r="T10" s="72">
        <v>58</v>
      </c>
      <c r="U10" s="10">
        <v>109</v>
      </c>
      <c r="V10" s="11" t="s">
        <v>5</v>
      </c>
      <c r="W10" s="69">
        <v>58</v>
      </c>
      <c r="X10" s="12">
        <v>3.0681072</v>
      </c>
      <c r="Y10" s="31">
        <v>9.8000000000000007</v>
      </c>
      <c r="Z10" s="31">
        <v>10.8</v>
      </c>
      <c r="AA10" s="11">
        <v>81</v>
      </c>
      <c r="AB10" s="11">
        <v>79</v>
      </c>
      <c r="AC10" s="11" t="s">
        <v>6</v>
      </c>
      <c r="AD10" s="33" t="s">
        <v>53</v>
      </c>
      <c r="AE10" s="41" t="s">
        <v>1033</v>
      </c>
    </row>
    <row r="11" spans="1:32" ht="31.5" x14ac:dyDescent="0.25">
      <c r="A11" s="1">
        <v>166</v>
      </c>
      <c r="B11" s="2">
        <v>45933</v>
      </c>
      <c r="C11" s="1" t="s">
        <v>18</v>
      </c>
      <c r="D11" s="1" t="s">
        <v>9</v>
      </c>
      <c r="E11" s="16">
        <v>12510003</v>
      </c>
      <c r="F11" s="16">
        <v>1240</v>
      </c>
      <c r="G11" s="16" t="s">
        <v>10</v>
      </c>
      <c r="H11" s="16" t="s">
        <v>229</v>
      </c>
      <c r="I11" s="16" t="s">
        <v>1034</v>
      </c>
      <c r="J11" s="3">
        <v>1570</v>
      </c>
      <c r="K11" s="5">
        <v>1539</v>
      </c>
      <c r="L11" s="5">
        <v>1539</v>
      </c>
      <c r="M11" s="5">
        <v>1541</v>
      </c>
      <c r="N11" s="5">
        <v>1541</v>
      </c>
      <c r="O11" s="30">
        <v>1540.3333333333333</v>
      </c>
      <c r="P11" s="67">
        <v>5.4</v>
      </c>
      <c r="Q11" s="67">
        <v>31</v>
      </c>
      <c r="R11" s="72" t="s">
        <v>5</v>
      </c>
      <c r="S11" s="10">
        <v>164</v>
      </c>
      <c r="T11" s="10">
        <v>63</v>
      </c>
      <c r="U11" s="10">
        <v>101</v>
      </c>
      <c r="V11" s="11" t="s">
        <v>5</v>
      </c>
      <c r="W11" s="69">
        <v>58</v>
      </c>
      <c r="X11" s="12">
        <v>3.0681072</v>
      </c>
      <c r="Y11" s="64">
        <v>9.3000000000000007</v>
      </c>
      <c r="Z11" s="64">
        <v>8.6999999999999993</v>
      </c>
      <c r="AA11" s="11">
        <v>77</v>
      </c>
      <c r="AB11" s="11">
        <v>73</v>
      </c>
      <c r="AC11" s="11" t="s">
        <v>6</v>
      </c>
      <c r="AD11" s="33" t="s">
        <v>72</v>
      </c>
      <c r="AE11" s="41" t="s">
        <v>397</v>
      </c>
    </row>
    <row r="12" spans="1:32" ht="78.75" x14ac:dyDescent="0.25">
      <c r="A12" s="1">
        <v>179</v>
      </c>
      <c r="B12" s="2">
        <v>45933</v>
      </c>
      <c r="C12" s="1" t="s">
        <v>18</v>
      </c>
      <c r="D12" s="1" t="s">
        <v>9</v>
      </c>
      <c r="E12" s="16">
        <v>12510003</v>
      </c>
      <c r="F12" s="16">
        <v>1240</v>
      </c>
      <c r="G12" s="16" t="s">
        <v>10</v>
      </c>
      <c r="H12" s="16" t="s">
        <v>126</v>
      </c>
      <c r="I12" s="16" t="s">
        <v>1035</v>
      </c>
      <c r="J12" s="3">
        <v>1568</v>
      </c>
      <c r="K12" s="5">
        <v>1543</v>
      </c>
      <c r="L12" s="5">
        <v>1542</v>
      </c>
      <c r="M12" s="5">
        <v>1543</v>
      </c>
      <c r="N12" s="5">
        <v>1542</v>
      </c>
      <c r="O12" s="30">
        <v>1542.3333333333333</v>
      </c>
      <c r="P12" s="67">
        <v>5.5</v>
      </c>
      <c r="Q12" s="67">
        <v>30</v>
      </c>
      <c r="R12" s="72" t="s">
        <v>5</v>
      </c>
      <c r="S12" s="72">
        <v>157.30000000000001</v>
      </c>
      <c r="T12" s="72">
        <v>65.2</v>
      </c>
      <c r="U12" s="10">
        <v>92.100000000000009</v>
      </c>
      <c r="V12" s="11" t="s">
        <v>5</v>
      </c>
      <c r="W12" s="69">
        <v>58</v>
      </c>
      <c r="X12" s="12">
        <v>3.124924</v>
      </c>
      <c r="Y12" s="31">
        <v>8.9</v>
      </c>
      <c r="Z12" s="31">
        <v>8.1999999999999993</v>
      </c>
      <c r="AA12" s="32">
        <v>82</v>
      </c>
      <c r="AB12" s="32">
        <v>76</v>
      </c>
      <c r="AC12" s="11" t="s">
        <v>6</v>
      </c>
      <c r="AD12" s="33" t="s">
        <v>455</v>
      </c>
      <c r="AE12" s="14" t="s">
        <v>1036</v>
      </c>
    </row>
    <row r="13" spans="1:32" ht="141.75" x14ac:dyDescent="0.25">
      <c r="A13" s="1">
        <v>218</v>
      </c>
      <c r="B13" s="2">
        <v>45933</v>
      </c>
      <c r="C13" s="1" t="s">
        <v>264</v>
      </c>
      <c r="D13" s="1" t="s">
        <v>19</v>
      </c>
      <c r="E13" s="16">
        <v>22510002</v>
      </c>
      <c r="F13" s="16">
        <v>1250</v>
      </c>
      <c r="G13" s="16" t="s">
        <v>176</v>
      </c>
      <c r="H13" s="16" t="s">
        <v>189</v>
      </c>
      <c r="I13" s="16" t="s">
        <v>1035</v>
      </c>
      <c r="J13" s="4">
        <v>1564</v>
      </c>
      <c r="K13" s="5">
        <v>1552</v>
      </c>
      <c r="L13" s="5">
        <v>1551</v>
      </c>
      <c r="M13" s="5">
        <v>1553</v>
      </c>
      <c r="N13" s="5">
        <v>1552</v>
      </c>
      <c r="O13" s="30">
        <v>1552</v>
      </c>
      <c r="P13" s="16">
        <v>4.8</v>
      </c>
      <c r="Q13" s="16">
        <v>36</v>
      </c>
      <c r="R13" s="8">
        <v>26</v>
      </c>
      <c r="S13" s="11" t="s">
        <v>5</v>
      </c>
      <c r="T13" s="11" t="s">
        <v>5</v>
      </c>
      <c r="U13" s="10" t="e">
        <v>#VALUE!</v>
      </c>
      <c r="V13" s="11" t="s">
        <v>5</v>
      </c>
      <c r="W13" s="11">
        <v>58</v>
      </c>
      <c r="X13" s="12">
        <v>2.7491999999999996</v>
      </c>
      <c r="Y13" s="7">
        <v>9.3000000000000007</v>
      </c>
      <c r="Z13" s="7">
        <v>9.4</v>
      </c>
      <c r="AA13" s="13">
        <v>91</v>
      </c>
      <c r="AB13" s="13">
        <v>85</v>
      </c>
      <c r="AC13" s="8" t="s">
        <v>6</v>
      </c>
      <c r="AD13" s="33" t="s">
        <v>455</v>
      </c>
      <c r="AE13" s="14" t="s">
        <v>1037</v>
      </c>
    </row>
    <row r="14" spans="1:32" ht="31.5" x14ac:dyDescent="0.25">
      <c r="A14" s="1">
        <v>220</v>
      </c>
      <c r="B14" s="2">
        <v>45933</v>
      </c>
      <c r="C14" s="1" t="s">
        <v>264</v>
      </c>
      <c r="D14" s="1" t="s">
        <v>19</v>
      </c>
      <c r="E14" s="16">
        <v>22510002</v>
      </c>
      <c r="F14" s="16">
        <v>1250</v>
      </c>
      <c r="G14" s="16" t="s">
        <v>176</v>
      </c>
      <c r="H14" s="16" t="s">
        <v>70</v>
      </c>
      <c r="I14" s="16" t="s">
        <v>1038</v>
      </c>
      <c r="J14" s="4">
        <v>1563</v>
      </c>
      <c r="K14" s="5">
        <v>1542</v>
      </c>
      <c r="L14" s="5">
        <v>1537</v>
      </c>
      <c r="M14" s="5">
        <v>1536</v>
      </c>
      <c r="N14" s="5">
        <v>1535</v>
      </c>
      <c r="O14" s="30">
        <v>1536</v>
      </c>
      <c r="P14" s="16">
        <v>5</v>
      </c>
      <c r="Q14" s="16">
        <v>34</v>
      </c>
      <c r="R14" s="8" t="s">
        <v>5</v>
      </c>
      <c r="S14" s="11">
        <v>164</v>
      </c>
      <c r="T14" s="11">
        <v>69</v>
      </c>
      <c r="U14" s="10">
        <v>95</v>
      </c>
      <c r="V14" s="11">
        <v>15.6</v>
      </c>
      <c r="W14" s="11">
        <v>58</v>
      </c>
      <c r="X14" s="12">
        <v>2.86375</v>
      </c>
      <c r="Y14" s="7">
        <v>10.8</v>
      </c>
      <c r="Z14" s="7">
        <v>9.6999999999999993</v>
      </c>
      <c r="AA14" s="13">
        <v>89</v>
      </c>
      <c r="AB14" s="13">
        <v>82</v>
      </c>
      <c r="AC14" s="8" t="s">
        <v>6</v>
      </c>
      <c r="AD14" s="33" t="s">
        <v>72</v>
      </c>
      <c r="AE14" s="79" t="s">
        <v>721</v>
      </c>
    </row>
    <row r="15" spans="1:32" ht="63" x14ac:dyDescent="0.25">
      <c r="A15" s="1">
        <v>242</v>
      </c>
      <c r="B15" s="2">
        <v>45933</v>
      </c>
      <c r="C15" s="1" t="s">
        <v>0</v>
      </c>
      <c r="D15" s="1" t="s">
        <v>258</v>
      </c>
      <c r="E15" s="16">
        <v>22510002</v>
      </c>
      <c r="F15" s="16">
        <v>1260</v>
      </c>
      <c r="G15" s="16" t="s">
        <v>10</v>
      </c>
      <c r="H15" s="16" t="s">
        <v>20</v>
      </c>
      <c r="I15" s="16" t="s">
        <v>1039</v>
      </c>
      <c r="J15" s="3">
        <v>1568</v>
      </c>
      <c r="K15" s="5">
        <v>1546</v>
      </c>
      <c r="L15" s="5">
        <v>1545</v>
      </c>
      <c r="M15" s="5">
        <v>1543</v>
      </c>
      <c r="N15" s="5" t="s">
        <v>5</v>
      </c>
      <c r="O15" s="30">
        <v>1544</v>
      </c>
      <c r="P15" s="16">
        <v>5.7</v>
      </c>
      <c r="Q15" s="16">
        <v>33</v>
      </c>
      <c r="R15" s="72" t="s">
        <v>5</v>
      </c>
      <c r="S15" s="9" t="s">
        <v>5</v>
      </c>
      <c r="T15" s="9" t="s">
        <v>5</v>
      </c>
      <c r="U15" s="10" t="e">
        <v>#VALUE!</v>
      </c>
      <c r="V15" s="11" t="s">
        <v>5</v>
      </c>
      <c r="W15" s="69">
        <v>58</v>
      </c>
      <c r="X15" s="12">
        <v>3.2907924000000004</v>
      </c>
      <c r="Y15" s="31">
        <v>11.3</v>
      </c>
      <c r="Z15" s="31">
        <v>11</v>
      </c>
      <c r="AA15" s="32">
        <v>93</v>
      </c>
      <c r="AB15" s="32">
        <v>88</v>
      </c>
      <c r="AC15" s="11" t="s">
        <v>6</v>
      </c>
      <c r="AD15" s="33" t="s">
        <v>53</v>
      </c>
      <c r="AE15" s="41" t="s">
        <v>983</v>
      </c>
    </row>
    <row r="16" spans="1:32" ht="126" x14ac:dyDescent="0.25">
      <c r="A16" s="1">
        <v>257</v>
      </c>
      <c r="B16" s="2">
        <v>45934</v>
      </c>
      <c r="C16" s="1" t="s">
        <v>18</v>
      </c>
      <c r="D16" s="1" t="s">
        <v>9</v>
      </c>
      <c r="E16" s="83">
        <v>12510004</v>
      </c>
      <c r="F16" s="4">
        <v>1260</v>
      </c>
      <c r="G16" s="88" t="s">
        <v>10</v>
      </c>
      <c r="H16" s="16" t="s">
        <v>90</v>
      </c>
      <c r="I16" s="16" t="s">
        <v>1040</v>
      </c>
      <c r="J16" s="16">
        <v>1570</v>
      </c>
      <c r="K16" s="4">
        <v>1543</v>
      </c>
      <c r="L16" s="5">
        <v>1546</v>
      </c>
      <c r="M16" s="5">
        <v>1547</v>
      </c>
      <c r="N16" s="5">
        <v>1547</v>
      </c>
      <c r="O16" s="30">
        <v>1546.6666666666667</v>
      </c>
      <c r="P16" s="7">
        <v>3.8</v>
      </c>
      <c r="Q16" s="4">
        <v>46</v>
      </c>
      <c r="R16" s="72"/>
      <c r="S16" s="10">
        <v>162</v>
      </c>
      <c r="T16" s="10">
        <v>60</v>
      </c>
      <c r="U16" s="10">
        <v>102</v>
      </c>
      <c r="V16" s="11" t="s">
        <v>5</v>
      </c>
      <c r="W16" s="69">
        <v>58</v>
      </c>
      <c r="X16" s="12">
        <v>2.1938616</v>
      </c>
      <c r="Y16" s="31">
        <v>5.0999999999999996</v>
      </c>
      <c r="Z16" s="31">
        <v>5.0999999999999996</v>
      </c>
      <c r="AA16" s="11">
        <v>82</v>
      </c>
      <c r="AB16" s="11">
        <v>50</v>
      </c>
      <c r="AC16" s="11" t="s">
        <v>6</v>
      </c>
      <c r="AD16" s="33" t="s">
        <v>72</v>
      </c>
      <c r="AE16" s="41" t="s">
        <v>1041</v>
      </c>
    </row>
    <row r="17" spans="1:31" ht="47.25" x14ac:dyDescent="0.25">
      <c r="A17" s="1">
        <v>281</v>
      </c>
      <c r="B17" s="2">
        <v>45934</v>
      </c>
      <c r="C17" s="1" t="s">
        <v>264</v>
      </c>
      <c r="D17" s="1" t="s">
        <v>276</v>
      </c>
      <c r="E17" s="83">
        <v>12510005</v>
      </c>
      <c r="F17" s="4">
        <v>1260</v>
      </c>
      <c r="G17" s="88" t="s">
        <v>10</v>
      </c>
      <c r="H17" s="16" t="s">
        <v>74</v>
      </c>
      <c r="I17" s="16" t="s">
        <v>1042</v>
      </c>
      <c r="J17" s="99">
        <v>1563</v>
      </c>
      <c r="K17" s="4">
        <v>1547</v>
      </c>
      <c r="L17" s="5">
        <v>1545</v>
      </c>
      <c r="M17" s="5">
        <v>1544</v>
      </c>
      <c r="N17" s="5">
        <v>1545</v>
      </c>
      <c r="O17" s="30">
        <v>1544.6666666666667</v>
      </c>
      <c r="P17" s="7">
        <v>5.2</v>
      </c>
      <c r="Q17" s="4">
        <v>34</v>
      </c>
      <c r="R17" s="68"/>
      <c r="S17" s="10">
        <v>165</v>
      </c>
      <c r="T17" s="10">
        <v>64</v>
      </c>
      <c r="U17" s="10">
        <v>101</v>
      </c>
      <c r="V17" s="11" t="s">
        <v>5</v>
      </c>
      <c r="W17" s="16">
        <v>58</v>
      </c>
      <c r="X17" s="12">
        <v>3.0021264000000003</v>
      </c>
      <c r="Y17" s="31">
        <v>7.6</v>
      </c>
      <c r="Z17" s="31">
        <v>6.3</v>
      </c>
      <c r="AA17" s="32">
        <v>79</v>
      </c>
      <c r="AB17" s="32">
        <v>69</v>
      </c>
      <c r="AC17" s="8" t="s">
        <v>6</v>
      </c>
      <c r="AD17" s="33" t="s">
        <v>455</v>
      </c>
      <c r="AE17" s="14" t="s">
        <v>1043</v>
      </c>
    </row>
    <row r="18" spans="1:31" ht="141.75" x14ac:dyDescent="0.25">
      <c r="A18" s="1">
        <v>286</v>
      </c>
      <c r="B18" s="2">
        <v>45934</v>
      </c>
      <c r="C18" s="1" t="s">
        <v>264</v>
      </c>
      <c r="D18" s="1" t="s">
        <v>276</v>
      </c>
      <c r="E18" s="83">
        <v>12510005</v>
      </c>
      <c r="F18" s="4">
        <v>1260</v>
      </c>
      <c r="G18" s="88" t="s">
        <v>10</v>
      </c>
      <c r="H18" s="16" t="s">
        <v>20</v>
      </c>
      <c r="I18" s="16" t="s">
        <v>1044</v>
      </c>
      <c r="J18" s="4">
        <v>1562</v>
      </c>
      <c r="K18" s="4">
        <v>1544</v>
      </c>
      <c r="L18" s="5">
        <v>1542</v>
      </c>
      <c r="M18" s="5">
        <v>1544</v>
      </c>
      <c r="N18" s="5">
        <v>1543</v>
      </c>
      <c r="O18" s="30">
        <v>1543</v>
      </c>
      <c r="P18" s="7">
        <v>5.3</v>
      </c>
      <c r="Q18" s="4">
        <v>31</v>
      </c>
      <c r="R18" s="68"/>
      <c r="S18" s="10">
        <v>162.4</v>
      </c>
      <c r="T18" s="10">
        <v>60</v>
      </c>
      <c r="U18" s="10">
        <v>102.4</v>
      </c>
      <c r="V18" s="11" t="s">
        <v>5</v>
      </c>
      <c r="W18" s="16">
        <v>58</v>
      </c>
      <c r="X18" s="12">
        <v>3.0598596000000002</v>
      </c>
      <c r="Y18" s="31">
        <v>9.8000000000000007</v>
      </c>
      <c r="Z18" s="31">
        <v>8.9</v>
      </c>
      <c r="AA18" s="32">
        <v>82</v>
      </c>
      <c r="AB18" s="32">
        <v>74</v>
      </c>
      <c r="AC18" s="8" t="s">
        <v>6</v>
      </c>
      <c r="AD18" s="33" t="s">
        <v>455</v>
      </c>
      <c r="AE18" s="14" t="s">
        <v>1045</v>
      </c>
    </row>
    <row r="19" spans="1:31" ht="63" x14ac:dyDescent="0.25">
      <c r="A19" s="1">
        <v>331</v>
      </c>
      <c r="B19" s="2">
        <v>45935</v>
      </c>
      <c r="C19" s="1" t="s">
        <v>18</v>
      </c>
      <c r="D19" s="1" t="s">
        <v>19</v>
      </c>
      <c r="E19" s="83">
        <v>12510005</v>
      </c>
      <c r="F19" s="4">
        <v>1250</v>
      </c>
      <c r="G19" s="88" t="s">
        <v>10</v>
      </c>
      <c r="H19" s="16" t="s">
        <v>15</v>
      </c>
      <c r="I19" s="16" t="s">
        <v>1046</v>
      </c>
      <c r="J19" s="16">
        <v>1567</v>
      </c>
      <c r="K19" s="4">
        <v>1547</v>
      </c>
      <c r="L19" s="5">
        <v>1547</v>
      </c>
      <c r="M19" s="5">
        <v>1547</v>
      </c>
      <c r="N19" s="5">
        <v>1546</v>
      </c>
      <c r="O19" s="30">
        <v>1546.6666666666667</v>
      </c>
      <c r="P19" s="7">
        <v>5</v>
      </c>
      <c r="Q19" s="4">
        <v>35</v>
      </c>
      <c r="R19" s="8" t="s">
        <v>5</v>
      </c>
      <c r="S19" s="9">
        <v>161</v>
      </c>
      <c r="T19" s="9">
        <v>60</v>
      </c>
      <c r="U19" s="10">
        <v>101</v>
      </c>
      <c r="V19" s="11" t="s">
        <v>5</v>
      </c>
      <c r="W19" s="16">
        <v>58</v>
      </c>
      <c r="X19" s="12">
        <v>2.86375</v>
      </c>
      <c r="Y19" s="7">
        <v>10.3</v>
      </c>
      <c r="Z19" s="7">
        <v>8.1</v>
      </c>
      <c r="AA19" s="13">
        <v>80</v>
      </c>
      <c r="AB19" s="13">
        <v>63</v>
      </c>
      <c r="AC19" s="11" t="s">
        <v>6</v>
      </c>
      <c r="AD19" s="18" t="s">
        <v>455</v>
      </c>
      <c r="AE19" s="14" t="s">
        <v>983</v>
      </c>
    </row>
    <row r="20" spans="1:31" ht="78.75" x14ac:dyDescent="0.25">
      <c r="A20" s="1">
        <v>342</v>
      </c>
      <c r="B20" s="2">
        <v>45935</v>
      </c>
      <c r="C20" s="1" t="s">
        <v>18</v>
      </c>
      <c r="D20" s="1" t="s">
        <v>19</v>
      </c>
      <c r="E20" s="83">
        <v>12510005</v>
      </c>
      <c r="F20" s="4">
        <v>1210</v>
      </c>
      <c r="G20" s="88" t="s">
        <v>2</v>
      </c>
      <c r="H20" s="16" t="s">
        <v>346</v>
      </c>
      <c r="I20" s="16" t="s">
        <v>1047</v>
      </c>
      <c r="J20" s="16">
        <v>1565</v>
      </c>
      <c r="K20" s="4">
        <v>1545</v>
      </c>
      <c r="L20" s="4">
        <v>1547</v>
      </c>
      <c r="M20" s="5">
        <v>1545</v>
      </c>
      <c r="N20" s="5">
        <v>1546</v>
      </c>
      <c r="O20" s="30">
        <v>1546</v>
      </c>
      <c r="P20" s="7">
        <v>5.3</v>
      </c>
      <c r="Q20" s="4">
        <v>37</v>
      </c>
      <c r="R20" s="8">
        <v>26</v>
      </c>
      <c r="S20" s="9">
        <v>175</v>
      </c>
      <c r="T20" s="9">
        <v>60</v>
      </c>
      <c r="U20" s="10">
        <v>115</v>
      </c>
      <c r="V20" s="11" t="s">
        <v>5</v>
      </c>
      <c r="W20" s="16">
        <v>58</v>
      </c>
      <c r="X20" s="12">
        <v>2.9384366000000002</v>
      </c>
      <c r="Y20" s="7">
        <v>6.8</v>
      </c>
      <c r="Z20" s="7">
        <v>6.7</v>
      </c>
      <c r="AA20" s="13">
        <v>79</v>
      </c>
      <c r="AB20" s="13">
        <v>75</v>
      </c>
      <c r="AC20" s="11" t="s">
        <v>6</v>
      </c>
      <c r="AD20" s="18" t="s">
        <v>455</v>
      </c>
      <c r="AE20" s="14" t="s">
        <v>1048</v>
      </c>
    </row>
    <row r="21" spans="1:31" ht="63" x14ac:dyDescent="0.25">
      <c r="A21" s="1">
        <v>346</v>
      </c>
      <c r="B21" s="2">
        <v>45935</v>
      </c>
      <c r="C21" s="1" t="s">
        <v>18</v>
      </c>
      <c r="D21" s="1" t="s">
        <v>19</v>
      </c>
      <c r="E21" s="83">
        <v>22510003</v>
      </c>
      <c r="F21" s="4">
        <v>1250</v>
      </c>
      <c r="G21" s="88" t="s">
        <v>10</v>
      </c>
      <c r="H21" s="16" t="s">
        <v>182</v>
      </c>
      <c r="I21" s="16" t="s">
        <v>1049</v>
      </c>
      <c r="J21" s="4">
        <v>1565</v>
      </c>
      <c r="K21" s="4">
        <v>1540</v>
      </c>
      <c r="L21" s="4">
        <v>1542</v>
      </c>
      <c r="M21" s="5">
        <v>1544</v>
      </c>
      <c r="N21" s="5">
        <v>1542</v>
      </c>
      <c r="O21" s="30">
        <v>1542.6666666666667</v>
      </c>
      <c r="P21" s="7">
        <v>5.3</v>
      </c>
      <c r="Q21" s="4">
        <v>31</v>
      </c>
      <c r="R21" s="8" t="s">
        <v>5</v>
      </c>
      <c r="S21" s="9">
        <v>153</v>
      </c>
      <c r="T21" s="9">
        <v>63</v>
      </c>
      <c r="U21" s="10">
        <v>90</v>
      </c>
      <c r="V21" s="11">
        <v>15.4</v>
      </c>
      <c r="W21" s="16">
        <v>58</v>
      </c>
      <c r="X21" s="12">
        <v>3.0355749999999997</v>
      </c>
      <c r="Y21" s="7">
        <v>10</v>
      </c>
      <c r="Z21" s="7">
        <v>10.3</v>
      </c>
      <c r="AA21" s="13">
        <v>74</v>
      </c>
      <c r="AB21" s="13">
        <v>75</v>
      </c>
      <c r="AC21" s="11" t="s">
        <v>6</v>
      </c>
      <c r="AD21" s="18" t="s">
        <v>72</v>
      </c>
      <c r="AE21" s="14" t="s">
        <v>983</v>
      </c>
    </row>
    <row r="22" spans="1:31" ht="31.5" x14ac:dyDescent="0.25">
      <c r="A22" s="1">
        <v>352</v>
      </c>
      <c r="B22" s="2">
        <v>45935</v>
      </c>
      <c r="C22" s="1" t="s">
        <v>18</v>
      </c>
      <c r="D22" s="1" t="s">
        <v>19</v>
      </c>
      <c r="E22" s="83">
        <v>22510003</v>
      </c>
      <c r="F22" s="4">
        <v>1250</v>
      </c>
      <c r="G22" s="88" t="s">
        <v>10</v>
      </c>
      <c r="H22" s="16" t="s">
        <v>103</v>
      </c>
      <c r="I22" s="16" t="s">
        <v>1050</v>
      </c>
      <c r="J22" s="4">
        <v>1565</v>
      </c>
      <c r="K22" s="4">
        <v>1549</v>
      </c>
      <c r="L22" s="4">
        <v>1549</v>
      </c>
      <c r="M22" s="5">
        <v>1550</v>
      </c>
      <c r="N22" s="5">
        <v>1550</v>
      </c>
      <c r="O22" s="30">
        <v>1549.6666666666667</v>
      </c>
      <c r="P22" s="7">
        <v>5.4</v>
      </c>
      <c r="Q22" s="4">
        <v>31</v>
      </c>
      <c r="R22" s="8" t="s">
        <v>5</v>
      </c>
      <c r="S22" s="9">
        <v>157</v>
      </c>
      <c r="T22" s="9">
        <v>60</v>
      </c>
      <c r="U22" s="10">
        <v>97</v>
      </c>
      <c r="V22" s="11" t="s">
        <v>5</v>
      </c>
      <c r="W22" s="16">
        <v>58</v>
      </c>
      <c r="X22" s="12">
        <v>3.0928500000000003</v>
      </c>
      <c r="Y22" s="7">
        <v>10.6</v>
      </c>
      <c r="Z22" s="7">
        <v>11.5</v>
      </c>
      <c r="AA22" s="13">
        <v>76</v>
      </c>
      <c r="AB22" s="13">
        <v>83</v>
      </c>
      <c r="AC22" s="11" t="s">
        <v>6</v>
      </c>
      <c r="AD22" s="18" t="s">
        <v>53</v>
      </c>
      <c r="AE22" s="14" t="s">
        <v>480</v>
      </c>
    </row>
    <row r="23" spans="1:31" ht="157.5" x14ac:dyDescent="0.25">
      <c r="A23" s="1">
        <v>365</v>
      </c>
      <c r="B23" s="2">
        <v>45935</v>
      </c>
      <c r="C23" s="1" t="s">
        <v>264</v>
      </c>
      <c r="D23" s="1" t="s">
        <v>276</v>
      </c>
      <c r="E23" s="83">
        <v>12510006</v>
      </c>
      <c r="F23" s="4">
        <v>1350</v>
      </c>
      <c r="G23" s="88" t="s">
        <v>10</v>
      </c>
      <c r="H23" s="16" t="s">
        <v>98</v>
      </c>
      <c r="I23" s="16" t="s">
        <v>1051</v>
      </c>
      <c r="J23" s="4">
        <v>1596</v>
      </c>
      <c r="K23" s="4">
        <v>1566</v>
      </c>
      <c r="L23" s="5">
        <v>1568</v>
      </c>
      <c r="M23" s="5">
        <v>1572</v>
      </c>
      <c r="N23" s="5">
        <v>1573</v>
      </c>
      <c r="O23" s="30">
        <v>1571</v>
      </c>
      <c r="P23" s="7">
        <v>3.6</v>
      </c>
      <c r="Q23" s="4">
        <v>38</v>
      </c>
      <c r="R23" s="8">
        <v>30</v>
      </c>
      <c r="S23" s="9">
        <v>165</v>
      </c>
      <c r="T23" s="9">
        <v>63</v>
      </c>
      <c r="U23" s="10">
        <v>102</v>
      </c>
      <c r="V23" s="11" t="s">
        <v>100</v>
      </c>
      <c r="W23" s="16">
        <v>58</v>
      </c>
      <c r="X23" s="12">
        <v>2.2268520000000001</v>
      </c>
      <c r="Y23" s="7">
        <v>7.1</v>
      </c>
      <c r="Z23" s="7">
        <v>7.5</v>
      </c>
      <c r="AA23" s="13">
        <v>59</v>
      </c>
      <c r="AB23" s="13">
        <v>61</v>
      </c>
      <c r="AC23" s="11" t="s">
        <v>6</v>
      </c>
      <c r="AD23" s="18" t="s">
        <v>72</v>
      </c>
      <c r="AE23" s="14" t="s">
        <v>1052</v>
      </c>
    </row>
    <row r="24" spans="1:31" ht="31.5" x14ac:dyDescent="0.25">
      <c r="A24" s="1">
        <v>371</v>
      </c>
      <c r="B24" s="2">
        <v>45935</v>
      </c>
      <c r="C24" s="1" t="s">
        <v>264</v>
      </c>
      <c r="D24" s="1" t="s">
        <v>276</v>
      </c>
      <c r="E24" s="83">
        <v>22510003</v>
      </c>
      <c r="F24" s="4">
        <v>1230</v>
      </c>
      <c r="G24" s="88" t="s">
        <v>2</v>
      </c>
      <c r="H24" s="16" t="s">
        <v>126</v>
      </c>
      <c r="I24" s="16" t="s">
        <v>1053</v>
      </c>
      <c r="J24" s="4">
        <v>1570</v>
      </c>
      <c r="K24" s="4">
        <v>1550</v>
      </c>
      <c r="L24" s="5">
        <v>1550</v>
      </c>
      <c r="M24" s="5">
        <v>1548</v>
      </c>
      <c r="N24" s="5">
        <v>1551</v>
      </c>
      <c r="O24" s="30">
        <v>1549.6666666666667</v>
      </c>
      <c r="P24" s="7">
        <v>5.2</v>
      </c>
      <c r="Q24" s="4">
        <v>34</v>
      </c>
      <c r="R24" s="8">
        <v>33</v>
      </c>
      <c r="S24" s="8">
        <v>160</v>
      </c>
      <c r="T24" s="8">
        <v>63.08</v>
      </c>
      <c r="U24" s="10">
        <v>96.92</v>
      </c>
      <c r="V24" s="11">
        <v>14.5</v>
      </c>
      <c r="W24" s="16">
        <v>58</v>
      </c>
      <c r="X24" s="12">
        <v>2.9306472000000001</v>
      </c>
      <c r="Y24" s="7">
        <v>9.1</v>
      </c>
      <c r="Z24" s="7">
        <v>7.7</v>
      </c>
      <c r="AA24" s="13">
        <v>79</v>
      </c>
      <c r="AB24" s="13">
        <v>66</v>
      </c>
      <c r="AC24" s="11" t="s">
        <v>6</v>
      </c>
      <c r="AD24" s="18" t="s">
        <v>53</v>
      </c>
      <c r="AE24" s="14" t="s">
        <v>397</v>
      </c>
    </row>
    <row r="25" spans="1:31" ht="94.5" x14ac:dyDescent="0.25">
      <c r="A25" s="1">
        <v>376</v>
      </c>
      <c r="B25" s="2">
        <v>45935</v>
      </c>
      <c r="C25" s="1" t="s">
        <v>264</v>
      </c>
      <c r="D25" s="1" t="s">
        <v>276</v>
      </c>
      <c r="E25" s="83">
        <v>22510003</v>
      </c>
      <c r="F25" s="4">
        <v>1230</v>
      </c>
      <c r="G25" s="88" t="s">
        <v>2</v>
      </c>
      <c r="H25" s="16" t="s">
        <v>66</v>
      </c>
      <c r="I25" s="16" t="s">
        <v>1054</v>
      </c>
      <c r="J25" s="4">
        <v>1564</v>
      </c>
      <c r="K25" s="4">
        <v>1545</v>
      </c>
      <c r="L25" s="5">
        <v>1545</v>
      </c>
      <c r="M25" s="5">
        <v>1546</v>
      </c>
      <c r="N25" s="5">
        <v>1545</v>
      </c>
      <c r="O25" s="30">
        <v>1545.3333333333333</v>
      </c>
      <c r="P25" s="7">
        <v>5.4</v>
      </c>
      <c r="Q25" s="4">
        <v>32</v>
      </c>
      <c r="R25" s="8">
        <v>20</v>
      </c>
      <c r="S25" s="9">
        <v>163.19</v>
      </c>
      <c r="T25" s="9">
        <v>65</v>
      </c>
      <c r="U25" s="10">
        <v>98.19</v>
      </c>
      <c r="V25" s="11">
        <v>15</v>
      </c>
      <c r="W25" s="16">
        <v>58</v>
      </c>
      <c r="X25" s="12">
        <v>3.0433644000000002</v>
      </c>
      <c r="Y25" s="7">
        <v>9</v>
      </c>
      <c r="Z25" s="7">
        <v>8.9</v>
      </c>
      <c r="AA25" s="13">
        <v>77</v>
      </c>
      <c r="AB25" s="13">
        <v>78</v>
      </c>
      <c r="AC25" s="11" t="s">
        <v>6</v>
      </c>
      <c r="AD25" s="18" t="s">
        <v>53</v>
      </c>
      <c r="AE25" s="14" t="s">
        <v>1055</v>
      </c>
    </row>
    <row r="26" spans="1:31" ht="78.75" x14ac:dyDescent="0.25">
      <c r="A26" s="1">
        <v>378</v>
      </c>
      <c r="B26" s="2">
        <v>45935</v>
      </c>
      <c r="C26" s="1" t="s">
        <v>264</v>
      </c>
      <c r="D26" s="1" t="s">
        <v>276</v>
      </c>
      <c r="E26" s="83">
        <v>22510003</v>
      </c>
      <c r="F26" s="4">
        <v>1230</v>
      </c>
      <c r="G26" s="88" t="s">
        <v>2</v>
      </c>
      <c r="H26" s="16" t="s">
        <v>269</v>
      </c>
      <c r="I26" s="16" t="s">
        <v>1056</v>
      </c>
      <c r="J26" s="4">
        <v>1565</v>
      </c>
      <c r="K26" s="5">
        <v>1549</v>
      </c>
      <c r="L26" s="5">
        <v>1550</v>
      </c>
      <c r="M26" s="5">
        <v>1551</v>
      </c>
      <c r="N26" s="5">
        <v>1550</v>
      </c>
      <c r="O26" s="30">
        <v>1550.3333333333333</v>
      </c>
      <c r="P26" s="7">
        <v>5.4</v>
      </c>
      <c r="Q26" s="4">
        <v>40</v>
      </c>
      <c r="R26" s="8">
        <v>3</v>
      </c>
      <c r="S26" s="8">
        <v>185</v>
      </c>
      <c r="T26" s="8">
        <v>63</v>
      </c>
      <c r="U26" s="10">
        <v>122</v>
      </c>
      <c r="V26" s="11" t="s">
        <v>5</v>
      </c>
      <c r="W26" s="16">
        <v>58</v>
      </c>
      <c r="X26" s="12">
        <v>3.0433644000000002</v>
      </c>
      <c r="Y26" s="7">
        <v>9.8000000000000007</v>
      </c>
      <c r="Z26" s="7">
        <v>10.199999999999999</v>
      </c>
      <c r="AA26" s="13">
        <v>81</v>
      </c>
      <c r="AB26" s="13">
        <v>80</v>
      </c>
      <c r="AC26" s="11" t="s">
        <v>6</v>
      </c>
      <c r="AD26" s="18" t="s">
        <v>53</v>
      </c>
      <c r="AE26" s="14" t="s">
        <v>1057</v>
      </c>
    </row>
    <row r="27" spans="1:31" ht="31.5" x14ac:dyDescent="0.25">
      <c r="A27" s="1">
        <v>388</v>
      </c>
      <c r="B27" s="2">
        <v>45935</v>
      </c>
      <c r="C27" s="1" t="s">
        <v>0</v>
      </c>
      <c r="D27" s="1" t="s">
        <v>9</v>
      </c>
      <c r="E27" s="83">
        <v>22510004</v>
      </c>
      <c r="F27" s="4">
        <v>1350</v>
      </c>
      <c r="G27" s="88" t="s">
        <v>55</v>
      </c>
      <c r="H27" s="16" t="s">
        <v>86</v>
      </c>
      <c r="I27" s="16" t="s">
        <v>1058</v>
      </c>
      <c r="J27" s="4">
        <v>1565</v>
      </c>
      <c r="K27" s="5">
        <v>1558</v>
      </c>
      <c r="L27" s="5">
        <v>1556</v>
      </c>
      <c r="M27" s="5">
        <v>1548</v>
      </c>
      <c r="N27" s="5">
        <v>1549</v>
      </c>
      <c r="O27" s="30">
        <v>1551</v>
      </c>
      <c r="P27" s="7">
        <v>5.5</v>
      </c>
      <c r="Q27" s="4">
        <v>36</v>
      </c>
      <c r="R27" s="8">
        <v>10</v>
      </c>
      <c r="S27" s="9">
        <v>166.3</v>
      </c>
      <c r="T27" s="9">
        <v>66.2</v>
      </c>
      <c r="U27" s="10">
        <v>100.10000000000001</v>
      </c>
      <c r="V27" s="11" t="s">
        <v>5</v>
      </c>
      <c r="W27" s="16">
        <v>58</v>
      </c>
      <c r="X27" s="12">
        <v>3.4021349999999999</v>
      </c>
      <c r="Y27" s="7">
        <v>8.8000000000000007</v>
      </c>
      <c r="Z27" s="7">
        <v>9.1999999999999993</v>
      </c>
      <c r="AA27" s="13">
        <v>65</v>
      </c>
      <c r="AB27" s="13">
        <v>69</v>
      </c>
      <c r="AC27" s="11" t="s">
        <v>6</v>
      </c>
      <c r="AD27" s="18" t="s">
        <v>53</v>
      </c>
      <c r="AE27" s="14" t="s">
        <v>397</v>
      </c>
    </row>
    <row r="28" spans="1:31" ht="78.75" x14ac:dyDescent="0.25">
      <c r="A28" s="1">
        <v>390</v>
      </c>
      <c r="B28" s="2">
        <v>45935</v>
      </c>
      <c r="C28" s="1" t="s">
        <v>0</v>
      </c>
      <c r="D28" s="1" t="s">
        <v>9</v>
      </c>
      <c r="E28" s="83">
        <v>22510004</v>
      </c>
      <c r="F28" s="4">
        <v>1350</v>
      </c>
      <c r="G28" s="88" t="s">
        <v>55</v>
      </c>
      <c r="H28" s="16" t="s">
        <v>194</v>
      </c>
      <c r="I28" s="16" t="s">
        <v>1059</v>
      </c>
      <c r="J28" s="4">
        <v>1565</v>
      </c>
      <c r="K28" s="5">
        <v>1551</v>
      </c>
      <c r="L28" s="5">
        <v>1548</v>
      </c>
      <c r="M28" s="5">
        <v>1548</v>
      </c>
      <c r="N28" s="5">
        <v>1547</v>
      </c>
      <c r="O28" s="30">
        <v>1547.6666666666667</v>
      </c>
      <c r="P28" s="7">
        <v>5.3</v>
      </c>
      <c r="Q28" s="4">
        <v>31</v>
      </c>
      <c r="R28" s="8" t="s">
        <v>5</v>
      </c>
      <c r="S28" s="9">
        <v>164.2</v>
      </c>
      <c r="T28" s="9">
        <v>62.1</v>
      </c>
      <c r="U28" s="10">
        <v>102.1</v>
      </c>
      <c r="V28" s="11" t="s">
        <v>5</v>
      </c>
      <c r="W28" s="16">
        <v>58</v>
      </c>
      <c r="X28" s="12">
        <v>3.2784209999999998</v>
      </c>
      <c r="Y28" s="7">
        <v>7</v>
      </c>
      <c r="Z28" s="7">
        <v>7.8</v>
      </c>
      <c r="AA28" s="13">
        <v>62</v>
      </c>
      <c r="AB28" s="13">
        <v>76</v>
      </c>
      <c r="AC28" s="11" t="s">
        <v>6</v>
      </c>
      <c r="AD28" s="18" t="s">
        <v>53</v>
      </c>
      <c r="AE28" s="14" t="s">
        <v>1060</v>
      </c>
    </row>
    <row r="29" spans="1:31" ht="63" x14ac:dyDescent="0.25">
      <c r="A29" s="1">
        <v>396</v>
      </c>
      <c r="B29" s="2">
        <v>45935</v>
      </c>
      <c r="C29" s="1" t="s">
        <v>0</v>
      </c>
      <c r="D29" s="1" t="s">
        <v>9</v>
      </c>
      <c r="E29" s="83">
        <v>22510004</v>
      </c>
      <c r="F29" s="4">
        <v>1350</v>
      </c>
      <c r="G29" s="88" t="s">
        <v>55</v>
      </c>
      <c r="H29" s="16" t="s">
        <v>152</v>
      </c>
      <c r="I29" s="16" t="s">
        <v>1061</v>
      </c>
      <c r="J29" s="4">
        <v>1565</v>
      </c>
      <c r="K29" s="5">
        <v>1551</v>
      </c>
      <c r="L29" s="5">
        <v>1552</v>
      </c>
      <c r="M29" s="5">
        <v>1550</v>
      </c>
      <c r="N29" s="5">
        <v>1549</v>
      </c>
      <c r="O29" s="30">
        <v>1550.3333333333333</v>
      </c>
      <c r="P29" s="7">
        <v>4.4000000000000004</v>
      </c>
      <c r="Q29" s="4">
        <v>34</v>
      </c>
      <c r="R29" s="8">
        <v>20</v>
      </c>
      <c r="S29" s="9">
        <v>159</v>
      </c>
      <c r="T29" s="9">
        <v>60</v>
      </c>
      <c r="U29" s="10">
        <v>99</v>
      </c>
      <c r="V29" s="11" t="s">
        <v>5</v>
      </c>
      <c r="W29" s="16">
        <v>57</v>
      </c>
      <c r="X29" s="12">
        <v>2.6747820000000004</v>
      </c>
      <c r="Y29" s="7">
        <v>8</v>
      </c>
      <c r="Z29" s="7">
        <v>7</v>
      </c>
      <c r="AA29" s="13">
        <v>89</v>
      </c>
      <c r="AB29" s="13">
        <v>59</v>
      </c>
      <c r="AC29" s="11" t="s">
        <v>6</v>
      </c>
      <c r="AD29" s="18" t="s">
        <v>53</v>
      </c>
      <c r="AE29" s="14" t="s">
        <v>1062</v>
      </c>
    </row>
    <row r="30" spans="1:31" ht="78.75" x14ac:dyDescent="0.25">
      <c r="A30" s="1">
        <v>400</v>
      </c>
      <c r="B30" s="2">
        <v>45936</v>
      </c>
      <c r="C30" s="1" t="s">
        <v>18</v>
      </c>
      <c r="D30" s="1" t="s">
        <v>19</v>
      </c>
      <c r="E30" s="83">
        <v>12510007</v>
      </c>
      <c r="F30" s="4">
        <v>1335</v>
      </c>
      <c r="G30" s="88" t="s">
        <v>10</v>
      </c>
      <c r="H30" s="16" t="s">
        <v>98</v>
      </c>
      <c r="I30" s="16" t="s">
        <v>1063</v>
      </c>
      <c r="J30" s="16">
        <v>1600</v>
      </c>
      <c r="K30" s="4">
        <v>1564</v>
      </c>
      <c r="L30" s="5">
        <v>1569</v>
      </c>
      <c r="M30" s="5">
        <v>1564</v>
      </c>
      <c r="N30" s="5" t="s">
        <v>5</v>
      </c>
      <c r="O30" s="30">
        <v>1566.5</v>
      </c>
      <c r="P30" s="7">
        <v>3.5</v>
      </c>
      <c r="Q30" s="4">
        <v>38</v>
      </c>
      <c r="R30" s="8" t="s">
        <v>5</v>
      </c>
      <c r="S30" s="9">
        <v>157</v>
      </c>
      <c r="T30" s="9">
        <v>62</v>
      </c>
      <c r="U30" s="10">
        <v>95</v>
      </c>
      <c r="V30" s="11" t="s">
        <v>100</v>
      </c>
      <c r="W30" s="16">
        <v>58</v>
      </c>
      <c r="X30" s="12">
        <v>2.1409395</v>
      </c>
      <c r="Y30" s="7">
        <v>9.1</v>
      </c>
      <c r="Z30" s="7">
        <v>8.5</v>
      </c>
      <c r="AA30" s="13">
        <v>87</v>
      </c>
      <c r="AB30" s="13">
        <v>81</v>
      </c>
      <c r="AC30" s="11" t="s">
        <v>6</v>
      </c>
      <c r="AD30" s="18" t="s">
        <v>72</v>
      </c>
      <c r="AE30" s="14" t="s">
        <v>1064</v>
      </c>
    </row>
    <row r="31" spans="1:31" ht="110.25" x14ac:dyDescent="0.25">
      <c r="A31" s="1">
        <v>406</v>
      </c>
      <c r="B31" s="2">
        <v>45936</v>
      </c>
      <c r="C31" s="1" t="s">
        <v>1065</v>
      </c>
      <c r="D31" s="1" t="s">
        <v>258</v>
      </c>
      <c r="E31" s="83">
        <v>12510007</v>
      </c>
      <c r="F31" s="4">
        <v>1335</v>
      </c>
      <c r="G31" s="88" t="s">
        <v>10</v>
      </c>
      <c r="H31" s="16" t="s">
        <v>189</v>
      </c>
      <c r="I31" s="16" t="s">
        <v>1066</v>
      </c>
      <c r="J31" s="16">
        <v>1580</v>
      </c>
      <c r="K31" s="4">
        <v>1537</v>
      </c>
      <c r="L31" s="5">
        <v>1537</v>
      </c>
      <c r="M31" s="5" t="s">
        <v>5</v>
      </c>
      <c r="N31" s="5" t="s">
        <v>5</v>
      </c>
      <c r="O31" s="30">
        <v>1537</v>
      </c>
      <c r="P31" s="7">
        <v>4.9000000000000004</v>
      </c>
      <c r="Q31" s="4">
        <v>24</v>
      </c>
      <c r="R31" s="8" t="s">
        <v>5</v>
      </c>
      <c r="S31" s="9">
        <v>163</v>
      </c>
      <c r="T31" s="9">
        <v>80</v>
      </c>
      <c r="U31" s="10">
        <v>83</v>
      </c>
      <c r="V31" s="11" t="s">
        <v>5</v>
      </c>
      <c r="W31" s="16">
        <v>58</v>
      </c>
      <c r="X31" s="12">
        <v>2.9973153000000003</v>
      </c>
      <c r="Y31" s="7">
        <v>11.2</v>
      </c>
      <c r="Z31" s="7">
        <v>10.9</v>
      </c>
      <c r="AA31" s="13">
        <v>73</v>
      </c>
      <c r="AB31" s="13">
        <v>74</v>
      </c>
      <c r="AC31" s="11" t="s">
        <v>6</v>
      </c>
      <c r="AD31" s="18" t="s">
        <v>53</v>
      </c>
      <c r="AE31" s="14" t="s">
        <v>1067</v>
      </c>
    </row>
    <row r="32" spans="1:31" ht="110.25" x14ac:dyDescent="0.25">
      <c r="A32" s="1">
        <v>407</v>
      </c>
      <c r="B32" s="2">
        <v>45936</v>
      </c>
      <c r="C32" s="1" t="s">
        <v>1065</v>
      </c>
      <c r="D32" s="1" t="s">
        <v>258</v>
      </c>
      <c r="E32" s="83">
        <v>12510007</v>
      </c>
      <c r="F32" s="4">
        <v>1335</v>
      </c>
      <c r="G32" s="88" t="s">
        <v>10</v>
      </c>
      <c r="H32" s="16" t="s">
        <v>90</v>
      </c>
      <c r="I32" s="16" t="s">
        <v>1068</v>
      </c>
      <c r="J32" s="16">
        <v>1588</v>
      </c>
      <c r="K32" s="4">
        <v>1552</v>
      </c>
      <c r="L32" s="5">
        <v>1554</v>
      </c>
      <c r="M32" s="5">
        <v>1555</v>
      </c>
      <c r="N32" s="5">
        <v>1554</v>
      </c>
      <c r="O32" s="30">
        <v>1554.3333333333333</v>
      </c>
      <c r="P32" s="7">
        <v>4.7</v>
      </c>
      <c r="Q32" s="4">
        <v>30</v>
      </c>
      <c r="R32" s="8" t="s">
        <v>5</v>
      </c>
      <c r="S32" s="9">
        <v>149</v>
      </c>
      <c r="T32" s="9">
        <v>63</v>
      </c>
      <c r="U32" s="10">
        <v>86</v>
      </c>
      <c r="V32" s="11" t="s">
        <v>5</v>
      </c>
      <c r="W32" s="16">
        <v>58</v>
      </c>
      <c r="X32" s="12">
        <v>2.8749759000000004</v>
      </c>
      <c r="Y32" s="7">
        <v>10</v>
      </c>
      <c r="Z32" s="7">
        <v>9.4</v>
      </c>
      <c r="AA32" s="13">
        <v>82</v>
      </c>
      <c r="AB32" s="13">
        <v>77</v>
      </c>
      <c r="AC32" s="11" t="s">
        <v>6</v>
      </c>
      <c r="AD32" s="18" t="s">
        <v>72</v>
      </c>
      <c r="AE32" s="14" t="s">
        <v>1069</v>
      </c>
    </row>
    <row r="33" spans="1:31" ht="78.75" x14ac:dyDescent="0.25">
      <c r="A33" s="1">
        <v>408</v>
      </c>
      <c r="B33" s="2">
        <v>45936</v>
      </c>
      <c r="C33" s="1" t="s">
        <v>1065</v>
      </c>
      <c r="D33" s="1" t="s">
        <v>258</v>
      </c>
      <c r="E33" s="83">
        <v>12510007</v>
      </c>
      <c r="F33" s="4">
        <v>1335</v>
      </c>
      <c r="G33" s="88" t="s">
        <v>10</v>
      </c>
      <c r="H33" s="16" t="s">
        <v>70</v>
      </c>
      <c r="I33" s="16" t="s">
        <v>1070</v>
      </c>
      <c r="J33" s="16">
        <v>1576</v>
      </c>
      <c r="K33" s="4">
        <v>1548</v>
      </c>
      <c r="L33" s="5">
        <v>1548</v>
      </c>
      <c r="M33" s="5">
        <v>1545</v>
      </c>
      <c r="N33" s="5" t="s">
        <v>5</v>
      </c>
      <c r="O33" s="30">
        <v>1546.5</v>
      </c>
      <c r="P33" s="7">
        <v>4.4000000000000004</v>
      </c>
      <c r="Q33" s="4">
        <v>37</v>
      </c>
      <c r="R33" s="8" t="s">
        <v>5</v>
      </c>
      <c r="S33" s="9">
        <v>164</v>
      </c>
      <c r="T33" s="9">
        <v>66</v>
      </c>
      <c r="U33" s="10">
        <v>98</v>
      </c>
      <c r="V33" s="11" t="s">
        <v>5</v>
      </c>
      <c r="W33" s="16">
        <v>58</v>
      </c>
      <c r="X33" s="12">
        <v>2.6914668000000006</v>
      </c>
      <c r="Y33" s="7">
        <v>10.199999999999999</v>
      </c>
      <c r="Z33" s="7">
        <v>9.5</v>
      </c>
      <c r="AA33" s="13">
        <v>75</v>
      </c>
      <c r="AB33" s="11">
        <v>67</v>
      </c>
      <c r="AC33" s="11" t="s">
        <v>6</v>
      </c>
      <c r="AD33" s="18" t="s">
        <v>53</v>
      </c>
      <c r="AE33" s="14" t="s">
        <v>1071</v>
      </c>
    </row>
    <row r="34" spans="1:31" ht="78.75" x14ac:dyDescent="0.25">
      <c r="A34" s="1">
        <v>409</v>
      </c>
      <c r="B34" s="2">
        <v>45936</v>
      </c>
      <c r="C34" s="1" t="s">
        <v>1065</v>
      </c>
      <c r="D34" s="1" t="s">
        <v>258</v>
      </c>
      <c r="E34" s="83">
        <v>12510007</v>
      </c>
      <c r="F34" s="4">
        <v>1335</v>
      </c>
      <c r="G34" s="88" t="s">
        <v>10</v>
      </c>
      <c r="H34" s="16" t="s">
        <v>93</v>
      </c>
      <c r="I34" s="16" t="s">
        <v>1072</v>
      </c>
      <c r="J34" s="16">
        <v>1578</v>
      </c>
      <c r="K34" s="4">
        <v>1544</v>
      </c>
      <c r="L34" s="4">
        <v>1544</v>
      </c>
      <c r="M34" s="5">
        <v>1538</v>
      </c>
      <c r="N34" s="5" t="s">
        <v>5</v>
      </c>
      <c r="O34" s="30">
        <v>1541</v>
      </c>
      <c r="P34" s="7">
        <v>4.8</v>
      </c>
      <c r="Q34" s="4">
        <v>31</v>
      </c>
      <c r="R34" s="8" t="s">
        <v>5</v>
      </c>
      <c r="S34" s="9">
        <v>159</v>
      </c>
      <c r="T34" s="9">
        <v>65</v>
      </c>
      <c r="U34" s="10">
        <v>94</v>
      </c>
      <c r="V34" s="11" t="s">
        <v>5</v>
      </c>
      <c r="W34" s="16">
        <v>58</v>
      </c>
      <c r="X34" s="12">
        <v>2.9361456000000001</v>
      </c>
      <c r="Y34" s="7">
        <v>9.9</v>
      </c>
      <c r="Z34" s="7">
        <v>9.1999999999999993</v>
      </c>
      <c r="AA34" s="13">
        <v>85</v>
      </c>
      <c r="AB34" s="13">
        <v>82</v>
      </c>
      <c r="AC34" s="11" t="s">
        <v>6</v>
      </c>
      <c r="AD34" s="18" t="s">
        <v>53</v>
      </c>
      <c r="AE34" s="14" t="s">
        <v>1073</v>
      </c>
    </row>
    <row r="35" spans="1:31" ht="78.75" x14ac:dyDescent="0.25">
      <c r="A35" s="1">
        <v>410</v>
      </c>
      <c r="B35" s="2">
        <v>45936</v>
      </c>
      <c r="C35" s="1" t="s">
        <v>1065</v>
      </c>
      <c r="D35" s="1" t="s">
        <v>258</v>
      </c>
      <c r="E35" s="83">
        <v>12510007</v>
      </c>
      <c r="F35" s="4">
        <v>1335</v>
      </c>
      <c r="G35" s="88" t="s">
        <v>10</v>
      </c>
      <c r="H35" s="16" t="s">
        <v>74</v>
      </c>
      <c r="I35" s="16" t="s">
        <v>1074</v>
      </c>
      <c r="J35" s="16">
        <v>1565</v>
      </c>
      <c r="K35" s="4">
        <v>1552</v>
      </c>
      <c r="L35" s="4">
        <v>1551</v>
      </c>
      <c r="M35" s="5">
        <v>1551</v>
      </c>
      <c r="N35" s="5" t="s">
        <v>5</v>
      </c>
      <c r="O35" s="30">
        <v>1551</v>
      </c>
      <c r="P35" s="7">
        <v>5</v>
      </c>
      <c r="Q35" s="4">
        <v>32</v>
      </c>
      <c r="R35" s="8" t="s">
        <v>5</v>
      </c>
      <c r="S35" s="9">
        <v>162</v>
      </c>
      <c r="T35" s="9">
        <v>64</v>
      </c>
      <c r="U35" s="10">
        <v>98</v>
      </c>
      <c r="V35" s="11" t="s">
        <v>5</v>
      </c>
      <c r="W35" s="16">
        <v>58</v>
      </c>
      <c r="X35" s="12">
        <v>3.0584850000000001</v>
      </c>
      <c r="Y35" s="7">
        <v>7.2</v>
      </c>
      <c r="Z35" s="7">
        <v>6.8</v>
      </c>
      <c r="AA35" s="13">
        <v>87</v>
      </c>
      <c r="AB35" s="13">
        <v>80</v>
      </c>
      <c r="AC35" s="11" t="s">
        <v>6</v>
      </c>
      <c r="AD35" s="18" t="s">
        <v>53</v>
      </c>
      <c r="AE35" s="14" t="s">
        <v>1075</v>
      </c>
    </row>
    <row r="36" spans="1:31" ht="110.25" x14ac:dyDescent="0.25">
      <c r="A36" s="1">
        <v>413</v>
      </c>
      <c r="B36" s="2">
        <v>45936</v>
      </c>
      <c r="C36" s="1" t="s">
        <v>1065</v>
      </c>
      <c r="D36" s="1" t="s">
        <v>258</v>
      </c>
      <c r="E36" s="83">
        <v>12510007</v>
      </c>
      <c r="F36" s="4">
        <v>1335</v>
      </c>
      <c r="G36" s="88" t="s">
        <v>10</v>
      </c>
      <c r="H36" s="16" t="s">
        <v>182</v>
      </c>
      <c r="I36" s="16" t="s">
        <v>1076</v>
      </c>
      <c r="J36" s="16">
        <v>1573</v>
      </c>
      <c r="K36" s="4">
        <v>1548</v>
      </c>
      <c r="L36" s="4">
        <v>1548</v>
      </c>
      <c r="M36" s="5">
        <v>1550</v>
      </c>
      <c r="N36" s="5">
        <v>1550</v>
      </c>
      <c r="O36" s="30">
        <v>1549.3333333333333</v>
      </c>
      <c r="P36" s="7">
        <v>5.2</v>
      </c>
      <c r="Q36" s="4">
        <v>33</v>
      </c>
      <c r="R36" s="8">
        <v>27</v>
      </c>
      <c r="S36" s="9">
        <v>163</v>
      </c>
      <c r="T36" s="9">
        <v>60</v>
      </c>
      <c r="U36" s="10">
        <v>103</v>
      </c>
      <c r="V36" s="11" t="s">
        <v>5</v>
      </c>
      <c r="W36" s="16">
        <v>58</v>
      </c>
      <c r="X36" s="12">
        <v>3.1808244000000006</v>
      </c>
      <c r="Y36" s="7">
        <v>11.3</v>
      </c>
      <c r="Z36" s="7">
        <v>9.9</v>
      </c>
      <c r="AA36" s="13">
        <v>82</v>
      </c>
      <c r="AB36" s="13">
        <v>72</v>
      </c>
      <c r="AC36" s="11" t="s">
        <v>6</v>
      </c>
      <c r="AD36" s="18" t="s">
        <v>53</v>
      </c>
      <c r="AE36" s="14" t="s">
        <v>1077</v>
      </c>
    </row>
    <row r="37" spans="1:31" ht="47.25" x14ac:dyDescent="0.25">
      <c r="A37" s="1">
        <v>418</v>
      </c>
      <c r="B37" s="2">
        <v>45936</v>
      </c>
      <c r="C37" s="1" t="s">
        <v>1065</v>
      </c>
      <c r="D37" s="1" t="s">
        <v>258</v>
      </c>
      <c r="E37" s="83">
        <v>22510005</v>
      </c>
      <c r="F37" s="4">
        <v>1350</v>
      </c>
      <c r="G37" s="88" t="s">
        <v>10</v>
      </c>
      <c r="H37" s="16" t="s">
        <v>98</v>
      </c>
      <c r="I37" s="16" t="s">
        <v>1078</v>
      </c>
      <c r="J37" s="4">
        <v>1601</v>
      </c>
      <c r="K37" s="4">
        <v>1570</v>
      </c>
      <c r="L37" s="4">
        <v>1568</v>
      </c>
      <c r="M37" s="5">
        <v>1568</v>
      </c>
      <c r="N37" s="5" t="s">
        <v>5</v>
      </c>
      <c r="O37" s="30">
        <v>1568</v>
      </c>
      <c r="P37" s="7">
        <v>3.6</v>
      </c>
      <c r="Q37" s="4">
        <v>42</v>
      </c>
      <c r="R37" s="8" t="s">
        <v>5</v>
      </c>
      <c r="S37" s="9">
        <v>156</v>
      </c>
      <c r="T37" s="9">
        <v>60</v>
      </c>
      <c r="U37" s="10">
        <v>96</v>
      </c>
      <c r="V37" s="11" t="s">
        <v>100</v>
      </c>
      <c r="W37" s="16">
        <v>58</v>
      </c>
      <c r="X37" s="12">
        <v>2.2268520000000001</v>
      </c>
      <c r="Y37" s="7">
        <v>8.1</v>
      </c>
      <c r="Z37" s="7">
        <v>8.1</v>
      </c>
      <c r="AA37" s="13">
        <v>70</v>
      </c>
      <c r="AB37" s="13">
        <v>72</v>
      </c>
      <c r="AC37" s="11" t="s">
        <v>6</v>
      </c>
      <c r="AD37" s="18" t="s">
        <v>72</v>
      </c>
      <c r="AE37" s="14" t="s">
        <v>1079</v>
      </c>
    </row>
    <row r="38" spans="1:31" ht="157.5" x14ac:dyDescent="0.25">
      <c r="A38" s="1">
        <v>445</v>
      </c>
      <c r="B38" s="2">
        <v>45936</v>
      </c>
      <c r="C38" s="1" t="s">
        <v>0</v>
      </c>
      <c r="D38" s="1" t="s">
        <v>1</v>
      </c>
      <c r="E38" s="83">
        <v>22510006</v>
      </c>
      <c r="F38" s="4">
        <v>1350</v>
      </c>
      <c r="G38" s="88" t="s">
        <v>10</v>
      </c>
      <c r="H38" s="16" t="s">
        <v>122</v>
      </c>
      <c r="I38" s="16" t="s">
        <v>1080</v>
      </c>
      <c r="J38" s="4">
        <v>1569</v>
      </c>
      <c r="K38" s="4">
        <v>1547</v>
      </c>
      <c r="L38" s="5">
        <v>1546</v>
      </c>
      <c r="M38" s="5">
        <v>1544</v>
      </c>
      <c r="N38" s="5">
        <v>1540</v>
      </c>
      <c r="O38" s="30">
        <v>1543.3333333333333</v>
      </c>
      <c r="P38" s="7">
        <v>4.5999999999999996</v>
      </c>
      <c r="Q38" s="4">
        <v>28</v>
      </c>
      <c r="R38" s="8" t="s">
        <v>5</v>
      </c>
      <c r="S38" s="8" t="s">
        <v>5</v>
      </c>
      <c r="T38" s="8" t="s">
        <v>5</v>
      </c>
      <c r="U38" s="8" t="s">
        <v>5</v>
      </c>
      <c r="V38" s="11" t="s">
        <v>5</v>
      </c>
      <c r="W38" s="16">
        <v>57</v>
      </c>
      <c r="X38" s="12">
        <v>2.7963629999999999</v>
      </c>
      <c r="Y38" s="7">
        <v>7.9</v>
      </c>
      <c r="Z38" s="7">
        <v>9.1999999999999993</v>
      </c>
      <c r="AA38" s="13">
        <v>80</v>
      </c>
      <c r="AB38" s="13">
        <v>91</v>
      </c>
      <c r="AC38" s="11" t="s">
        <v>6</v>
      </c>
      <c r="AD38" s="18" t="s">
        <v>53</v>
      </c>
      <c r="AE38" s="14" t="s">
        <v>1081</v>
      </c>
    </row>
    <row r="39" spans="1:31" ht="110.25" x14ac:dyDescent="0.25">
      <c r="A39" s="1">
        <v>454</v>
      </c>
      <c r="B39" s="2">
        <v>45937</v>
      </c>
      <c r="C39" s="1" t="s">
        <v>18</v>
      </c>
      <c r="D39" s="1" t="s">
        <v>19</v>
      </c>
      <c r="E39" s="83">
        <v>12510007</v>
      </c>
      <c r="F39" s="4">
        <v>1350</v>
      </c>
      <c r="G39" s="88" t="s">
        <v>10</v>
      </c>
      <c r="H39" s="16" t="s">
        <v>303</v>
      </c>
      <c r="I39" s="16" t="s">
        <v>1082</v>
      </c>
      <c r="J39" s="16">
        <v>1566</v>
      </c>
      <c r="K39" s="4">
        <v>1547</v>
      </c>
      <c r="L39" s="5">
        <v>1547</v>
      </c>
      <c r="M39" s="5">
        <v>1546</v>
      </c>
      <c r="N39" s="5">
        <v>1545</v>
      </c>
      <c r="O39" s="30">
        <v>1546</v>
      </c>
      <c r="P39" s="7">
        <v>5</v>
      </c>
      <c r="Q39" s="4">
        <v>29</v>
      </c>
      <c r="R39" s="8" t="s">
        <v>5</v>
      </c>
      <c r="S39" s="9">
        <v>158</v>
      </c>
      <c r="T39" s="9">
        <v>62</v>
      </c>
      <c r="U39" s="10">
        <v>96</v>
      </c>
      <c r="V39" s="11" t="s">
        <v>5</v>
      </c>
      <c r="W39" s="16">
        <v>57</v>
      </c>
      <c r="X39" s="12">
        <v>3.0395250000000003</v>
      </c>
      <c r="Y39" s="7">
        <v>11.3</v>
      </c>
      <c r="Z39" s="7">
        <v>10.8</v>
      </c>
      <c r="AA39" s="13">
        <v>83</v>
      </c>
      <c r="AB39" s="13">
        <v>82</v>
      </c>
      <c r="AC39" s="11" t="s">
        <v>6</v>
      </c>
      <c r="AD39" s="18" t="s">
        <v>53</v>
      </c>
      <c r="AE39" s="14" t="s">
        <v>1083</v>
      </c>
    </row>
    <row r="40" spans="1:31" ht="189" x14ac:dyDescent="0.25">
      <c r="A40" s="1">
        <v>491</v>
      </c>
      <c r="B40" s="2">
        <v>45939</v>
      </c>
      <c r="C40" s="1" t="s">
        <v>264</v>
      </c>
      <c r="D40" s="1" t="s">
        <v>258</v>
      </c>
      <c r="E40" s="83">
        <v>12510008</v>
      </c>
      <c r="F40" s="4">
        <v>1230</v>
      </c>
      <c r="G40" s="88" t="s">
        <v>10</v>
      </c>
      <c r="H40" s="16" t="s">
        <v>86</v>
      </c>
      <c r="I40" s="16" t="s">
        <v>1084</v>
      </c>
      <c r="J40" s="4">
        <v>1569</v>
      </c>
      <c r="K40" s="4">
        <v>1543</v>
      </c>
      <c r="L40" s="5">
        <v>1542</v>
      </c>
      <c r="M40" s="5">
        <v>1541</v>
      </c>
      <c r="N40" s="5">
        <v>1540</v>
      </c>
      <c r="O40" s="30">
        <v>1541</v>
      </c>
      <c r="P40" s="7">
        <v>4.5</v>
      </c>
      <c r="Q40" s="4">
        <v>29</v>
      </c>
      <c r="R40" s="8">
        <v>27</v>
      </c>
      <c r="S40" s="9">
        <v>156.5</v>
      </c>
      <c r="T40" s="9">
        <v>80.3</v>
      </c>
      <c r="U40" s="10">
        <v>76.2</v>
      </c>
      <c r="V40" s="11" t="s">
        <v>5</v>
      </c>
      <c r="W40" s="16">
        <v>58</v>
      </c>
      <c r="X40" s="12">
        <v>2.5361370000000001</v>
      </c>
      <c r="Y40" s="7">
        <v>8.1999999999999993</v>
      </c>
      <c r="Z40" s="7">
        <v>7.7</v>
      </c>
      <c r="AA40" s="13">
        <v>67</v>
      </c>
      <c r="AB40" s="13">
        <v>62</v>
      </c>
      <c r="AC40" s="11" t="s">
        <v>6</v>
      </c>
      <c r="AD40" s="18" t="s">
        <v>53</v>
      </c>
      <c r="AE40" s="14" t="s">
        <v>1085</v>
      </c>
    </row>
    <row r="41" spans="1:31" ht="63" x14ac:dyDescent="0.25">
      <c r="A41" s="1">
        <v>507</v>
      </c>
      <c r="B41" s="2">
        <v>45937</v>
      </c>
      <c r="C41" s="1" t="s">
        <v>0</v>
      </c>
      <c r="D41" s="1" t="s">
        <v>9</v>
      </c>
      <c r="E41" s="83">
        <v>12510008</v>
      </c>
      <c r="F41" s="4">
        <v>1230</v>
      </c>
      <c r="G41" s="88" t="s">
        <v>10</v>
      </c>
      <c r="H41" s="16" t="s">
        <v>90</v>
      </c>
      <c r="I41" s="83" t="s">
        <v>1086</v>
      </c>
      <c r="J41" s="100">
        <v>1568</v>
      </c>
      <c r="K41" s="101">
        <v>1555</v>
      </c>
      <c r="L41" s="101">
        <v>1555</v>
      </c>
      <c r="M41" s="101">
        <v>1550</v>
      </c>
      <c r="N41" s="101">
        <v>1550</v>
      </c>
      <c r="O41" s="30">
        <v>1551.6666666666667</v>
      </c>
      <c r="P41" s="7">
        <v>5</v>
      </c>
      <c r="Q41" s="4">
        <v>31</v>
      </c>
      <c r="R41" s="8" t="s">
        <v>5</v>
      </c>
      <c r="S41" s="9">
        <v>144.36000000000001</v>
      </c>
      <c r="T41" s="9">
        <v>60</v>
      </c>
      <c r="U41" s="10">
        <v>84.360000000000014</v>
      </c>
      <c r="V41" s="11" t="s">
        <v>5</v>
      </c>
      <c r="W41" s="16">
        <v>58</v>
      </c>
      <c r="X41" s="12">
        <v>2.81793</v>
      </c>
      <c r="Y41" s="7">
        <v>6.8</v>
      </c>
      <c r="Z41" s="7">
        <v>6.4</v>
      </c>
      <c r="AA41" s="13">
        <v>64</v>
      </c>
      <c r="AB41" s="13">
        <v>83</v>
      </c>
      <c r="AC41" s="11" t="s">
        <v>6</v>
      </c>
      <c r="AD41" s="18" t="s">
        <v>53</v>
      </c>
      <c r="AE41" s="14" t="s">
        <v>1087</v>
      </c>
    </row>
    <row r="42" spans="1:31" ht="110.25" x14ac:dyDescent="0.25">
      <c r="A42" s="1">
        <v>523</v>
      </c>
      <c r="B42" s="2">
        <v>45937</v>
      </c>
      <c r="C42" s="1" t="s">
        <v>0</v>
      </c>
      <c r="D42" s="1" t="s">
        <v>9</v>
      </c>
      <c r="E42" s="83">
        <v>22510007</v>
      </c>
      <c r="F42" s="4">
        <v>1230</v>
      </c>
      <c r="G42" s="88" t="s">
        <v>10</v>
      </c>
      <c r="H42" s="16" t="s">
        <v>189</v>
      </c>
      <c r="I42" s="16" t="s">
        <v>1088</v>
      </c>
      <c r="J42" s="4">
        <v>1565</v>
      </c>
      <c r="K42" s="4">
        <v>1551</v>
      </c>
      <c r="L42" s="5">
        <v>1549</v>
      </c>
      <c r="M42" s="5">
        <v>1549</v>
      </c>
      <c r="N42" s="5" t="s">
        <v>5</v>
      </c>
      <c r="O42" s="30">
        <v>1549</v>
      </c>
      <c r="P42" s="7">
        <v>4.3</v>
      </c>
      <c r="Q42" s="4">
        <v>38</v>
      </c>
      <c r="R42" s="8">
        <v>32</v>
      </c>
      <c r="S42" s="8">
        <v>166.61</v>
      </c>
      <c r="T42" s="8">
        <v>63.21</v>
      </c>
      <c r="U42" s="10">
        <v>103.4</v>
      </c>
      <c r="V42" s="11" t="s">
        <v>5</v>
      </c>
      <c r="W42" s="16">
        <v>58</v>
      </c>
      <c r="X42" s="12">
        <v>2.4234198</v>
      </c>
      <c r="Y42" s="7">
        <v>7.8</v>
      </c>
      <c r="Z42" s="7">
        <v>8</v>
      </c>
      <c r="AA42" s="13">
        <v>83</v>
      </c>
      <c r="AB42" s="13">
        <v>85</v>
      </c>
      <c r="AC42" s="11" t="s">
        <v>6</v>
      </c>
      <c r="AD42" s="18" t="s">
        <v>53</v>
      </c>
      <c r="AE42" s="14" t="s">
        <v>1089</v>
      </c>
    </row>
    <row r="43" spans="1:31" ht="94.5" x14ac:dyDescent="0.25">
      <c r="A43" s="1">
        <v>535</v>
      </c>
      <c r="B43" s="2">
        <v>45938</v>
      </c>
      <c r="C43" s="1" t="s">
        <v>18</v>
      </c>
      <c r="D43" s="1" t="s">
        <v>1</v>
      </c>
      <c r="E43" s="83">
        <v>12510008</v>
      </c>
      <c r="F43" s="4">
        <v>1230</v>
      </c>
      <c r="G43" s="88" t="s">
        <v>10</v>
      </c>
      <c r="H43" s="16" t="s">
        <v>148</v>
      </c>
      <c r="I43" s="4" t="s">
        <v>1090</v>
      </c>
      <c r="J43" s="16">
        <v>1570</v>
      </c>
      <c r="K43" s="4">
        <v>1549</v>
      </c>
      <c r="L43" s="5">
        <v>1548</v>
      </c>
      <c r="M43" s="5">
        <v>1548</v>
      </c>
      <c r="N43" s="5">
        <v>1547</v>
      </c>
      <c r="O43" s="30">
        <v>1547.6666666666667</v>
      </c>
      <c r="P43" s="7">
        <v>5</v>
      </c>
      <c r="Q43" s="4">
        <v>35</v>
      </c>
      <c r="R43" s="8">
        <v>22</v>
      </c>
      <c r="S43" s="9">
        <v>163</v>
      </c>
      <c r="T43" s="9">
        <v>65</v>
      </c>
      <c r="U43" s="10">
        <v>98</v>
      </c>
      <c r="V43" s="11" t="s">
        <v>5</v>
      </c>
      <c r="W43" s="16">
        <v>58</v>
      </c>
      <c r="X43" s="12">
        <v>2.81793</v>
      </c>
      <c r="Y43" s="7">
        <v>8.1</v>
      </c>
      <c r="Z43" s="7">
        <v>8.1</v>
      </c>
      <c r="AA43" s="13">
        <v>70</v>
      </c>
      <c r="AB43" s="13">
        <v>67</v>
      </c>
      <c r="AC43" s="11" t="s">
        <v>6</v>
      </c>
      <c r="AD43" s="18" t="s">
        <v>53</v>
      </c>
      <c r="AE43" s="14" t="s">
        <v>1091</v>
      </c>
    </row>
    <row r="44" spans="1:31" ht="31.5" x14ac:dyDescent="0.25">
      <c r="A44" s="1">
        <v>537</v>
      </c>
      <c r="B44" s="2">
        <v>45938</v>
      </c>
      <c r="C44" s="1" t="s">
        <v>18</v>
      </c>
      <c r="D44" s="1" t="s">
        <v>1</v>
      </c>
      <c r="E44" s="83">
        <v>12510008</v>
      </c>
      <c r="F44" s="4">
        <v>1230</v>
      </c>
      <c r="G44" s="88" t="s">
        <v>10</v>
      </c>
      <c r="H44" s="16" t="s">
        <v>80</v>
      </c>
      <c r="I44" s="16" t="s">
        <v>1092</v>
      </c>
      <c r="J44" s="16">
        <v>1569</v>
      </c>
      <c r="K44" s="4">
        <v>1544</v>
      </c>
      <c r="L44" s="5">
        <v>1544</v>
      </c>
      <c r="M44" s="5">
        <v>1542</v>
      </c>
      <c r="N44" s="5">
        <v>1542</v>
      </c>
      <c r="O44" s="30">
        <v>1542.6666666666667</v>
      </c>
      <c r="P44" s="7">
        <v>4.5</v>
      </c>
      <c r="Q44" s="4">
        <v>41</v>
      </c>
      <c r="R44" s="8" t="s">
        <v>5</v>
      </c>
      <c r="S44" s="9">
        <v>168</v>
      </c>
      <c r="T44" s="9">
        <v>61</v>
      </c>
      <c r="U44" s="10">
        <v>107</v>
      </c>
      <c r="V44" s="11" t="s">
        <v>5</v>
      </c>
      <c r="W44" s="16">
        <v>58</v>
      </c>
      <c r="X44" s="12">
        <v>2.5361370000000001</v>
      </c>
      <c r="Y44" s="7">
        <v>9</v>
      </c>
      <c r="Z44" s="7">
        <v>8</v>
      </c>
      <c r="AA44" s="13">
        <v>72</v>
      </c>
      <c r="AB44" s="13">
        <v>65</v>
      </c>
      <c r="AC44" s="11" t="s">
        <v>6</v>
      </c>
      <c r="AD44" s="18" t="s">
        <v>53</v>
      </c>
      <c r="AE44" s="14" t="s">
        <v>721</v>
      </c>
    </row>
    <row r="45" spans="1:31" ht="110.25" x14ac:dyDescent="0.25">
      <c r="A45" s="1">
        <v>562</v>
      </c>
      <c r="B45" s="2">
        <v>45938</v>
      </c>
      <c r="C45" s="1" t="s">
        <v>264</v>
      </c>
      <c r="D45" s="1" t="s">
        <v>258</v>
      </c>
      <c r="E45" s="1">
        <v>12510008</v>
      </c>
      <c r="F45" s="4">
        <v>1230</v>
      </c>
      <c r="G45" s="88" t="s">
        <v>10</v>
      </c>
      <c r="H45" s="16" t="s">
        <v>416</v>
      </c>
      <c r="I45" s="4" t="s">
        <v>1093</v>
      </c>
      <c r="J45" s="99">
        <v>1571</v>
      </c>
      <c r="K45" s="4">
        <v>1548</v>
      </c>
      <c r="L45" s="5">
        <v>1546</v>
      </c>
      <c r="M45" s="5">
        <v>1544</v>
      </c>
      <c r="N45" s="5">
        <v>1541</v>
      </c>
      <c r="O45" s="30">
        <v>1543.6666666666667</v>
      </c>
      <c r="P45" s="7">
        <v>4.7</v>
      </c>
      <c r="Q45" s="4">
        <v>42</v>
      </c>
      <c r="R45" s="8" t="s">
        <v>5</v>
      </c>
      <c r="S45" s="9">
        <v>178.4</v>
      </c>
      <c r="T45" s="9">
        <v>62.3</v>
      </c>
      <c r="U45" s="10">
        <v>116.10000000000001</v>
      </c>
      <c r="V45" s="11" t="s">
        <v>5</v>
      </c>
      <c r="W45" s="16">
        <v>58</v>
      </c>
      <c r="X45" s="12">
        <v>2.6488542000000002</v>
      </c>
      <c r="Y45" s="7">
        <v>8.6999999999999993</v>
      </c>
      <c r="Z45" s="7">
        <v>7.9</v>
      </c>
      <c r="AA45" s="13">
        <v>77</v>
      </c>
      <c r="AB45" s="13">
        <v>71</v>
      </c>
      <c r="AC45" s="11" t="s">
        <v>6</v>
      </c>
      <c r="AD45" s="18" t="s">
        <v>53</v>
      </c>
      <c r="AE45" s="14" t="s">
        <v>1094</v>
      </c>
    </row>
    <row r="46" spans="1:31" ht="63" x14ac:dyDescent="0.25">
      <c r="A46" s="1">
        <v>567</v>
      </c>
      <c r="B46" s="2">
        <v>45938</v>
      </c>
      <c r="C46" s="1" t="s">
        <v>264</v>
      </c>
      <c r="D46" s="1" t="s">
        <v>258</v>
      </c>
      <c r="E46" s="1">
        <v>12510008</v>
      </c>
      <c r="F46" s="4">
        <v>1250</v>
      </c>
      <c r="G46" s="88" t="s">
        <v>1095</v>
      </c>
      <c r="H46" s="16" t="s">
        <v>59</v>
      </c>
      <c r="I46" s="4" t="s">
        <v>1096</v>
      </c>
      <c r="J46" s="4">
        <v>1568</v>
      </c>
      <c r="K46" s="4">
        <v>1543</v>
      </c>
      <c r="L46" s="5">
        <v>1542</v>
      </c>
      <c r="M46" s="5">
        <v>1541</v>
      </c>
      <c r="N46" s="5">
        <v>1540</v>
      </c>
      <c r="O46" s="30">
        <v>1541</v>
      </c>
      <c r="P46" s="7">
        <v>4.8</v>
      </c>
      <c r="Q46" s="4">
        <v>37</v>
      </c>
      <c r="R46" s="8">
        <v>20</v>
      </c>
      <c r="S46" s="8">
        <v>168.1</v>
      </c>
      <c r="T46" s="8">
        <v>63</v>
      </c>
      <c r="U46" s="10">
        <v>105.1</v>
      </c>
      <c r="V46" s="11" t="s">
        <v>5</v>
      </c>
      <c r="W46" s="16">
        <v>58</v>
      </c>
      <c r="X46" s="12">
        <v>2.7491999999999996</v>
      </c>
      <c r="Y46" s="7">
        <v>8.6</v>
      </c>
      <c r="Z46" s="7">
        <v>7.8</v>
      </c>
      <c r="AA46" s="13">
        <v>67</v>
      </c>
      <c r="AB46" s="13">
        <v>61</v>
      </c>
      <c r="AC46" s="11" t="s">
        <v>6</v>
      </c>
      <c r="AD46" s="18" t="s">
        <v>72</v>
      </c>
      <c r="AE46" s="14" t="s">
        <v>1097</v>
      </c>
    </row>
    <row r="47" spans="1:31" ht="78.75" x14ac:dyDescent="0.25">
      <c r="A47" s="1">
        <v>570</v>
      </c>
      <c r="B47" s="2">
        <v>45938</v>
      </c>
      <c r="C47" s="1" t="s">
        <v>264</v>
      </c>
      <c r="D47" s="1" t="s">
        <v>258</v>
      </c>
      <c r="E47" s="1">
        <v>12510008</v>
      </c>
      <c r="F47" s="4">
        <v>1250</v>
      </c>
      <c r="G47" s="88" t="s">
        <v>1098</v>
      </c>
      <c r="H47" s="16" t="s">
        <v>240</v>
      </c>
      <c r="I47" s="16" t="s">
        <v>1099</v>
      </c>
      <c r="J47" s="4">
        <v>1568</v>
      </c>
      <c r="K47" s="4">
        <v>1541</v>
      </c>
      <c r="L47" s="5">
        <v>1538</v>
      </c>
      <c r="M47" s="5">
        <v>1538</v>
      </c>
      <c r="N47" s="5">
        <v>1538</v>
      </c>
      <c r="O47" s="30">
        <v>1538</v>
      </c>
      <c r="P47" s="7">
        <v>4.8</v>
      </c>
      <c r="Q47" s="4">
        <v>38</v>
      </c>
      <c r="R47" s="8" t="s">
        <v>5</v>
      </c>
      <c r="S47" s="9">
        <v>167</v>
      </c>
      <c r="T47" s="9">
        <v>60</v>
      </c>
      <c r="U47" s="10">
        <v>107</v>
      </c>
      <c r="V47" s="11" t="s">
        <v>5</v>
      </c>
      <c r="W47" s="16">
        <v>58</v>
      </c>
      <c r="X47" s="12">
        <v>2.7491999999999996</v>
      </c>
      <c r="Y47" s="7">
        <v>8.4</v>
      </c>
      <c r="Z47" s="7">
        <v>7.7</v>
      </c>
      <c r="AA47" s="13">
        <v>66</v>
      </c>
      <c r="AB47" s="13">
        <v>60</v>
      </c>
      <c r="AC47" s="11" t="s">
        <v>6</v>
      </c>
      <c r="AD47" s="18" t="s">
        <v>72</v>
      </c>
      <c r="AE47" s="14" t="s">
        <v>1100</v>
      </c>
    </row>
    <row r="48" spans="1:31" ht="63" x14ac:dyDescent="0.25">
      <c r="A48" s="1">
        <v>582</v>
      </c>
      <c r="B48" s="2">
        <v>45938</v>
      </c>
      <c r="C48" s="1" t="s">
        <v>264</v>
      </c>
      <c r="D48" s="1" t="s">
        <v>258</v>
      </c>
      <c r="E48" s="83">
        <v>22510007</v>
      </c>
      <c r="F48" s="4">
        <v>1250</v>
      </c>
      <c r="G48" s="88" t="s">
        <v>1095</v>
      </c>
      <c r="H48" s="16" t="s">
        <v>303</v>
      </c>
      <c r="I48" s="16" t="s">
        <v>1101</v>
      </c>
      <c r="J48" s="4">
        <v>1571</v>
      </c>
      <c r="K48" s="5">
        <v>156</v>
      </c>
      <c r="L48" s="5">
        <v>1544</v>
      </c>
      <c r="M48" s="5">
        <v>1544</v>
      </c>
      <c r="N48" s="5">
        <v>1544</v>
      </c>
      <c r="O48" s="30">
        <v>1544</v>
      </c>
      <c r="P48" s="7">
        <v>5</v>
      </c>
      <c r="Q48" s="4">
        <v>32</v>
      </c>
      <c r="R48" s="8" t="s">
        <v>5</v>
      </c>
      <c r="S48" s="8">
        <v>163</v>
      </c>
      <c r="T48" s="8">
        <v>59</v>
      </c>
      <c r="U48" s="10" t="s">
        <v>5</v>
      </c>
      <c r="V48" s="11" t="s">
        <v>5</v>
      </c>
      <c r="W48" s="16">
        <v>58</v>
      </c>
      <c r="X48" s="12">
        <v>2.86375</v>
      </c>
      <c r="Y48" s="7">
        <v>10.3</v>
      </c>
      <c r="Z48" s="7">
        <v>10.8</v>
      </c>
      <c r="AA48" s="13">
        <v>94</v>
      </c>
      <c r="AB48" s="13">
        <v>96</v>
      </c>
      <c r="AC48" s="11" t="s">
        <v>6</v>
      </c>
      <c r="AD48" s="18" t="s">
        <v>72</v>
      </c>
      <c r="AE48" s="14" t="s">
        <v>1102</v>
      </c>
    </row>
    <row r="49" spans="1:31" ht="126" x14ac:dyDescent="0.25">
      <c r="A49" s="1">
        <v>598</v>
      </c>
      <c r="B49" s="2">
        <v>45938</v>
      </c>
      <c r="C49" s="1" t="s">
        <v>0</v>
      </c>
      <c r="D49" s="1" t="s">
        <v>9</v>
      </c>
      <c r="E49" s="83">
        <v>22510007</v>
      </c>
      <c r="F49" s="4">
        <v>1250</v>
      </c>
      <c r="G49" s="88" t="s">
        <v>222</v>
      </c>
      <c r="H49" s="16" t="s">
        <v>59</v>
      </c>
      <c r="I49" s="16" t="s">
        <v>1103</v>
      </c>
      <c r="J49" s="4">
        <v>1566</v>
      </c>
      <c r="K49" s="5">
        <v>1546</v>
      </c>
      <c r="L49" s="5">
        <v>1544</v>
      </c>
      <c r="M49" s="5">
        <v>1544</v>
      </c>
      <c r="N49" s="5">
        <v>1540</v>
      </c>
      <c r="O49" s="30">
        <v>1542.6666666666667</v>
      </c>
      <c r="P49" s="7">
        <v>5.2</v>
      </c>
      <c r="Q49" s="4">
        <v>30</v>
      </c>
      <c r="R49" s="8">
        <v>32</v>
      </c>
      <c r="S49" s="9" t="s">
        <v>5</v>
      </c>
      <c r="T49" s="9" t="s">
        <v>5</v>
      </c>
      <c r="U49" s="10" t="e">
        <v>#VALUE!</v>
      </c>
      <c r="V49" s="11" t="s">
        <v>5</v>
      </c>
      <c r="W49" s="16">
        <v>58</v>
      </c>
      <c r="X49" s="12">
        <v>2.9782999999999999</v>
      </c>
      <c r="Y49" s="7">
        <v>10.4</v>
      </c>
      <c r="Z49" s="7">
        <v>10.9</v>
      </c>
      <c r="AA49" s="13">
        <v>88</v>
      </c>
      <c r="AB49" s="13">
        <v>91</v>
      </c>
      <c r="AC49" s="11" t="s">
        <v>6</v>
      </c>
      <c r="AD49" s="18" t="s">
        <v>72</v>
      </c>
      <c r="AE49" s="14" t="s">
        <v>1104</v>
      </c>
    </row>
    <row r="50" spans="1:31" ht="31.5" x14ac:dyDescent="0.25">
      <c r="A50" s="1">
        <v>642</v>
      </c>
      <c r="B50" s="2">
        <v>45939</v>
      </c>
      <c r="C50" s="1" t="s">
        <v>264</v>
      </c>
      <c r="D50" s="1" t="s">
        <v>377</v>
      </c>
      <c r="E50" s="1">
        <v>12510009</v>
      </c>
      <c r="F50" s="4">
        <v>1250</v>
      </c>
      <c r="G50" s="88" t="s">
        <v>10</v>
      </c>
      <c r="H50" s="16" t="s">
        <v>80</v>
      </c>
      <c r="I50" s="4" t="s">
        <v>1105</v>
      </c>
      <c r="J50" s="99">
        <v>1566</v>
      </c>
      <c r="K50" s="4">
        <v>1542</v>
      </c>
      <c r="L50" s="5">
        <v>1544</v>
      </c>
      <c r="M50" s="5">
        <v>1545</v>
      </c>
      <c r="N50" s="5">
        <v>1542</v>
      </c>
      <c r="O50" s="30">
        <v>1543.6666666666667</v>
      </c>
      <c r="P50" s="7">
        <v>5.5</v>
      </c>
      <c r="Q50" s="4">
        <v>34</v>
      </c>
      <c r="R50" s="8"/>
      <c r="S50" s="9">
        <v>167</v>
      </c>
      <c r="T50" s="9">
        <v>60</v>
      </c>
      <c r="U50" s="10">
        <v>107</v>
      </c>
      <c r="V50" s="11" t="s">
        <v>5</v>
      </c>
      <c r="W50" s="16">
        <v>58</v>
      </c>
      <c r="X50" s="12">
        <v>3.1501250000000001</v>
      </c>
      <c r="Y50" s="7">
        <v>8.8000000000000007</v>
      </c>
      <c r="Z50" s="7">
        <v>9.1999999999999993</v>
      </c>
      <c r="AA50" s="13">
        <v>84</v>
      </c>
      <c r="AB50" s="13">
        <v>89</v>
      </c>
      <c r="AC50" s="11" t="s">
        <v>6</v>
      </c>
      <c r="AD50" s="18" t="s">
        <v>455</v>
      </c>
      <c r="AE50" s="14" t="s">
        <v>1106</v>
      </c>
    </row>
    <row r="51" spans="1:31" ht="63" x14ac:dyDescent="0.25">
      <c r="A51" s="1">
        <v>643</v>
      </c>
      <c r="B51" s="2">
        <v>45939</v>
      </c>
      <c r="C51" s="1" t="s">
        <v>264</v>
      </c>
      <c r="D51" s="1" t="s">
        <v>377</v>
      </c>
      <c r="E51" s="1">
        <v>12510009</v>
      </c>
      <c r="F51" s="4">
        <v>1250</v>
      </c>
      <c r="G51" s="88" t="s">
        <v>10</v>
      </c>
      <c r="H51" s="16" t="s">
        <v>126</v>
      </c>
      <c r="I51" s="4" t="s">
        <v>1107</v>
      </c>
      <c r="J51" s="99">
        <v>1566</v>
      </c>
      <c r="K51" s="4">
        <v>1545</v>
      </c>
      <c r="L51" s="5">
        <v>1545</v>
      </c>
      <c r="M51" s="5">
        <v>1546</v>
      </c>
      <c r="N51" s="5">
        <v>1542</v>
      </c>
      <c r="O51" s="30">
        <v>1544.3333333333333</v>
      </c>
      <c r="P51" s="7">
        <v>5.2</v>
      </c>
      <c r="Q51" s="4">
        <v>31</v>
      </c>
      <c r="R51" s="8"/>
      <c r="S51" s="9">
        <v>158</v>
      </c>
      <c r="T51" s="9">
        <v>60</v>
      </c>
      <c r="U51" s="10">
        <v>98</v>
      </c>
      <c r="V51" s="11" t="s">
        <v>5</v>
      </c>
      <c r="W51" s="16">
        <v>58</v>
      </c>
      <c r="X51" s="12">
        <v>2.9782999999999999</v>
      </c>
      <c r="Y51" s="7">
        <v>9.9</v>
      </c>
      <c r="Z51" s="7">
        <v>10.7</v>
      </c>
      <c r="AA51" s="13">
        <v>85</v>
      </c>
      <c r="AB51" s="13">
        <v>88</v>
      </c>
      <c r="AC51" s="11" t="s">
        <v>6</v>
      </c>
      <c r="AD51" s="18" t="s">
        <v>455</v>
      </c>
      <c r="AE51" s="14" t="s">
        <v>1108</v>
      </c>
    </row>
    <row r="52" spans="1:31" ht="31.5" x14ac:dyDescent="0.25">
      <c r="A52" s="1">
        <v>645</v>
      </c>
      <c r="B52" s="2">
        <v>45939</v>
      </c>
      <c r="C52" s="1" t="s">
        <v>264</v>
      </c>
      <c r="D52" s="1" t="s">
        <v>377</v>
      </c>
      <c r="E52" s="1">
        <v>12510009</v>
      </c>
      <c r="F52" s="4">
        <v>1250</v>
      </c>
      <c r="G52" s="88" t="s">
        <v>10</v>
      </c>
      <c r="H52" s="16" t="s">
        <v>371</v>
      </c>
      <c r="I52" s="4" t="s">
        <v>1109</v>
      </c>
      <c r="J52" s="4">
        <v>1567</v>
      </c>
      <c r="K52" s="4">
        <v>1543</v>
      </c>
      <c r="L52" s="5">
        <v>1544</v>
      </c>
      <c r="M52" s="5">
        <v>1543</v>
      </c>
      <c r="N52" s="5">
        <v>1543</v>
      </c>
      <c r="O52" s="5">
        <v>1552</v>
      </c>
      <c r="P52" s="7">
        <v>5.3</v>
      </c>
      <c r="Q52" s="4">
        <v>33</v>
      </c>
      <c r="R52" s="8"/>
      <c r="S52" s="9">
        <v>157</v>
      </c>
      <c r="T52" s="9">
        <v>62</v>
      </c>
      <c r="U52" s="10">
        <v>95</v>
      </c>
      <c r="V52" s="11" t="s">
        <v>5</v>
      </c>
      <c r="W52" s="16">
        <v>58</v>
      </c>
      <c r="X52" s="12">
        <v>3.0355749999999997</v>
      </c>
      <c r="Y52" s="7">
        <v>10.4</v>
      </c>
      <c r="Z52" s="7">
        <v>10.9</v>
      </c>
      <c r="AA52" s="13">
        <v>84</v>
      </c>
      <c r="AB52" s="13">
        <v>94</v>
      </c>
      <c r="AC52" s="11" t="s">
        <v>6</v>
      </c>
      <c r="AD52" s="18" t="s">
        <v>455</v>
      </c>
      <c r="AE52" s="14" t="s">
        <v>1106</v>
      </c>
    </row>
    <row r="53" spans="1:31" ht="47.25" x14ac:dyDescent="0.25">
      <c r="A53" s="1">
        <v>650</v>
      </c>
      <c r="B53" s="2">
        <v>45939</v>
      </c>
      <c r="C53" s="1" t="s">
        <v>264</v>
      </c>
      <c r="D53" s="1" t="s">
        <v>377</v>
      </c>
      <c r="E53" s="1">
        <v>12510009</v>
      </c>
      <c r="F53" s="4">
        <v>1250</v>
      </c>
      <c r="G53" s="88" t="s">
        <v>10</v>
      </c>
      <c r="H53" s="16" t="s">
        <v>269</v>
      </c>
      <c r="I53" s="16" t="s">
        <v>1110</v>
      </c>
      <c r="J53" s="4">
        <v>1570</v>
      </c>
      <c r="K53" s="4">
        <v>1540</v>
      </c>
      <c r="L53" s="5">
        <v>1542</v>
      </c>
      <c r="M53" s="5">
        <v>1538</v>
      </c>
      <c r="N53" s="5">
        <v>1536</v>
      </c>
      <c r="O53" s="30">
        <v>1538.6666666666667</v>
      </c>
      <c r="P53" s="7">
        <v>5.5</v>
      </c>
      <c r="Q53" s="4">
        <v>27</v>
      </c>
      <c r="R53" s="8"/>
      <c r="S53" s="9">
        <v>151</v>
      </c>
      <c r="T53" s="9">
        <v>64</v>
      </c>
      <c r="U53" s="10">
        <v>87</v>
      </c>
      <c r="V53" s="11" t="s">
        <v>5</v>
      </c>
      <c r="W53" s="16">
        <v>58</v>
      </c>
      <c r="X53" s="12">
        <v>3.1501250000000001</v>
      </c>
      <c r="Y53" s="14">
        <v>10.5</v>
      </c>
      <c r="Z53" s="7">
        <v>11.4</v>
      </c>
      <c r="AA53" s="13">
        <v>82</v>
      </c>
      <c r="AB53" s="13">
        <v>88</v>
      </c>
      <c r="AC53" s="11" t="s">
        <v>6</v>
      </c>
      <c r="AD53" s="18" t="s">
        <v>455</v>
      </c>
      <c r="AE53" s="14" t="s">
        <v>1111</v>
      </c>
    </row>
    <row r="54" spans="1:31" ht="31.5" x14ac:dyDescent="0.25">
      <c r="A54" s="1">
        <v>668</v>
      </c>
      <c r="B54" s="2">
        <v>45939</v>
      </c>
      <c r="C54" s="1" t="s">
        <v>0</v>
      </c>
      <c r="D54" s="1" t="s">
        <v>9</v>
      </c>
      <c r="E54" s="83">
        <v>12510009</v>
      </c>
      <c r="F54" s="4">
        <v>1250</v>
      </c>
      <c r="G54" s="88" t="s">
        <v>10</v>
      </c>
      <c r="H54" s="16" t="s">
        <v>416</v>
      </c>
      <c r="I54" s="16" t="s">
        <v>1112</v>
      </c>
      <c r="J54" s="1">
        <v>1565</v>
      </c>
      <c r="K54" s="5">
        <v>1544</v>
      </c>
      <c r="L54" s="5">
        <v>1544</v>
      </c>
      <c r="M54" s="5">
        <v>1544</v>
      </c>
      <c r="N54" s="5">
        <v>1542</v>
      </c>
      <c r="O54" s="30">
        <v>1543.3333333333333</v>
      </c>
      <c r="P54" s="7">
        <v>5.6</v>
      </c>
      <c r="Q54" s="4">
        <v>33</v>
      </c>
      <c r="R54" s="8">
        <v>35</v>
      </c>
      <c r="S54" s="9">
        <v>166</v>
      </c>
      <c r="T54" s="9">
        <v>62</v>
      </c>
      <c r="U54" s="10">
        <v>104</v>
      </c>
      <c r="V54" s="11" t="s">
        <v>5</v>
      </c>
      <c r="W54" s="16">
        <v>58</v>
      </c>
      <c r="X54" s="12">
        <v>3.2073999999999998</v>
      </c>
      <c r="Y54" s="7">
        <v>11.3</v>
      </c>
      <c r="Z54" s="7">
        <v>11.1</v>
      </c>
      <c r="AA54" s="13">
        <v>77</v>
      </c>
      <c r="AB54" s="13">
        <v>84</v>
      </c>
      <c r="AC54" s="11" t="s">
        <v>6</v>
      </c>
      <c r="AD54" s="18" t="s">
        <v>455</v>
      </c>
      <c r="AE54" s="14" t="s">
        <v>480</v>
      </c>
    </row>
    <row r="55" spans="1:31" ht="31.5" x14ac:dyDescent="0.25">
      <c r="A55" s="1">
        <v>700</v>
      </c>
      <c r="B55" s="2">
        <v>45940</v>
      </c>
      <c r="C55" s="1" t="s">
        <v>18</v>
      </c>
      <c r="D55" s="1" t="s">
        <v>1</v>
      </c>
      <c r="E55" s="83">
        <v>12510009</v>
      </c>
      <c r="F55" s="4">
        <v>1250</v>
      </c>
      <c r="G55" s="88" t="s">
        <v>176</v>
      </c>
      <c r="H55" s="16" t="s">
        <v>162</v>
      </c>
      <c r="I55" s="1" t="s">
        <v>1113</v>
      </c>
      <c r="J55" s="16">
        <v>1565</v>
      </c>
      <c r="K55" s="4">
        <v>1539</v>
      </c>
      <c r="L55" s="5">
        <v>1541</v>
      </c>
      <c r="M55" s="5">
        <v>1542</v>
      </c>
      <c r="N55" s="5">
        <v>1542</v>
      </c>
      <c r="O55" s="30">
        <v>1541.6666666666667</v>
      </c>
      <c r="P55" s="7">
        <v>5.4</v>
      </c>
      <c r="Q55" s="4">
        <v>31</v>
      </c>
      <c r="R55" s="8" t="s">
        <v>5</v>
      </c>
      <c r="S55" s="8">
        <v>158</v>
      </c>
      <c r="T55" s="8">
        <v>60</v>
      </c>
      <c r="U55" s="10">
        <v>98</v>
      </c>
      <c r="V55" s="11" t="s">
        <v>5</v>
      </c>
      <c r="W55" s="16">
        <v>58</v>
      </c>
      <c r="X55" s="12">
        <v>3.0928500000000003</v>
      </c>
      <c r="Y55" s="7">
        <v>10.7</v>
      </c>
      <c r="Z55" s="7">
        <v>10</v>
      </c>
      <c r="AA55" s="13">
        <v>78</v>
      </c>
      <c r="AB55" s="13">
        <v>71</v>
      </c>
      <c r="AC55" s="11" t="s">
        <v>6</v>
      </c>
      <c r="AD55" s="18" t="s">
        <v>455</v>
      </c>
      <c r="AE55" s="14" t="s">
        <v>397</v>
      </c>
    </row>
    <row r="56" spans="1:31" ht="31.5" x14ac:dyDescent="0.25">
      <c r="A56" s="1">
        <v>711</v>
      </c>
      <c r="B56" s="2">
        <v>45940</v>
      </c>
      <c r="C56" s="1" t="s">
        <v>18</v>
      </c>
      <c r="D56" s="1" t="s">
        <v>1</v>
      </c>
      <c r="E56" s="83">
        <v>12510010</v>
      </c>
      <c r="F56" s="4">
        <v>1270</v>
      </c>
      <c r="G56" s="88" t="s">
        <v>10</v>
      </c>
      <c r="H56" s="16" t="s">
        <v>74</v>
      </c>
      <c r="I56" s="4" t="s">
        <v>1114</v>
      </c>
      <c r="J56" s="16">
        <v>1567</v>
      </c>
      <c r="K56" s="4">
        <v>1548</v>
      </c>
      <c r="L56" s="4">
        <v>1548</v>
      </c>
      <c r="M56" s="5">
        <v>1548</v>
      </c>
      <c r="N56" s="5">
        <v>1548</v>
      </c>
      <c r="O56" s="30">
        <v>1548</v>
      </c>
      <c r="P56" s="7">
        <v>5.3</v>
      </c>
      <c r="Q56" s="4">
        <v>33</v>
      </c>
      <c r="R56" s="8" t="s">
        <v>5</v>
      </c>
      <c r="S56" s="9">
        <v>169</v>
      </c>
      <c r="T56" s="9">
        <v>65</v>
      </c>
      <c r="U56" s="10">
        <v>104</v>
      </c>
      <c r="V56" s="11" t="s">
        <v>5</v>
      </c>
      <c r="W56" s="16">
        <v>58</v>
      </c>
      <c r="X56" s="12">
        <v>3.0841442000000003</v>
      </c>
      <c r="Y56" s="7">
        <v>8.6999999999999993</v>
      </c>
      <c r="Z56" s="7">
        <v>8.1999999999999993</v>
      </c>
      <c r="AA56" s="13">
        <v>85</v>
      </c>
      <c r="AB56" s="13">
        <v>85</v>
      </c>
      <c r="AC56" s="11" t="s">
        <v>6</v>
      </c>
      <c r="AD56" s="18" t="s">
        <v>455</v>
      </c>
      <c r="AE56" s="14" t="s">
        <v>1115</v>
      </c>
    </row>
    <row r="57" spans="1:31" ht="78.75" x14ac:dyDescent="0.25">
      <c r="A57" s="1">
        <v>755</v>
      </c>
      <c r="B57" s="2">
        <v>45940</v>
      </c>
      <c r="C57" s="1" t="s">
        <v>0</v>
      </c>
      <c r="D57" s="1" t="s">
        <v>9</v>
      </c>
      <c r="E57" s="1">
        <v>12510010</v>
      </c>
      <c r="F57" s="4">
        <v>1250</v>
      </c>
      <c r="G57" s="88" t="s">
        <v>55</v>
      </c>
      <c r="H57" s="16" t="s">
        <v>126</v>
      </c>
      <c r="I57" s="16" t="s">
        <v>1116</v>
      </c>
      <c r="J57" s="1">
        <v>1565</v>
      </c>
      <c r="K57" s="5">
        <v>1540</v>
      </c>
      <c r="L57" s="5">
        <v>1542</v>
      </c>
      <c r="M57" s="5">
        <v>1542</v>
      </c>
      <c r="N57" s="5">
        <v>1543</v>
      </c>
      <c r="O57" s="30">
        <v>1542.3333333333333</v>
      </c>
      <c r="P57" s="7">
        <v>4</v>
      </c>
      <c r="Q57" s="4">
        <v>37</v>
      </c>
      <c r="R57" s="8" t="s">
        <v>5</v>
      </c>
      <c r="S57" s="9">
        <v>155</v>
      </c>
      <c r="T57" s="9">
        <v>60</v>
      </c>
      <c r="U57" s="10">
        <v>95</v>
      </c>
      <c r="V57" s="11" t="s">
        <v>5</v>
      </c>
      <c r="W57" s="16">
        <v>58</v>
      </c>
      <c r="X57" s="12">
        <v>2.2909999999999999</v>
      </c>
      <c r="Y57" s="7">
        <v>8.1999999999999993</v>
      </c>
      <c r="Z57" s="7">
        <v>8.4</v>
      </c>
      <c r="AA57" s="13">
        <v>86</v>
      </c>
      <c r="AB57" s="13">
        <v>88</v>
      </c>
      <c r="AC57" s="11" t="s">
        <v>6</v>
      </c>
      <c r="AD57" s="18" t="s">
        <v>455</v>
      </c>
      <c r="AE57" s="14" t="s">
        <v>1117</v>
      </c>
    </row>
    <row r="58" spans="1:31" ht="157.5" x14ac:dyDescent="0.25">
      <c r="A58" s="1">
        <v>838</v>
      </c>
      <c r="B58" s="2">
        <v>45941</v>
      </c>
      <c r="C58" s="1" t="s">
        <v>0</v>
      </c>
      <c r="D58" s="1" t="s">
        <v>265</v>
      </c>
      <c r="E58" s="4">
        <v>12510011</v>
      </c>
      <c r="F58" s="4">
        <v>1240</v>
      </c>
      <c r="G58" s="16" t="s">
        <v>10</v>
      </c>
      <c r="H58" s="16" t="s">
        <v>182</v>
      </c>
      <c r="I58" s="83" t="s">
        <v>1118</v>
      </c>
      <c r="J58" s="100">
        <v>1575</v>
      </c>
      <c r="K58" s="101">
        <v>1555</v>
      </c>
      <c r="L58" s="101">
        <v>1558</v>
      </c>
      <c r="M58" s="101">
        <v>1558</v>
      </c>
      <c r="N58" s="101">
        <v>1551</v>
      </c>
      <c r="O58" s="30">
        <v>1555.6666666666667</v>
      </c>
      <c r="P58" s="7">
        <v>5</v>
      </c>
      <c r="Q58" s="4">
        <v>36</v>
      </c>
      <c r="R58" s="8"/>
      <c r="S58" s="8">
        <v>160</v>
      </c>
      <c r="T58" s="8">
        <v>62</v>
      </c>
      <c r="U58" s="10">
        <v>98</v>
      </c>
      <c r="V58" s="11" t="s">
        <v>5</v>
      </c>
      <c r="W58" s="16">
        <v>58</v>
      </c>
      <c r="X58" s="12">
        <v>2.84084</v>
      </c>
      <c r="Y58" s="7">
        <v>7.3</v>
      </c>
      <c r="Z58" s="7">
        <v>6.6</v>
      </c>
      <c r="AA58" s="13">
        <v>73</v>
      </c>
      <c r="AB58" s="13">
        <v>68</v>
      </c>
      <c r="AC58" s="11" t="s">
        <v>6</v>
      </c>
      <c r="AD58" s="102" t="s">
        <v>455</v>
      </c>
      <c r="AE58" s="103" t="s">
        <v>1119</v>
      </c>
    </row>
    <row r="59" spans="1:31" ht="90" x14ac:dyDescent="0.25">
      <c r="A59" s="1">
        <v>852</v>
      </c>
      <c r="B59" s="2">
        <v>45941</v>
      </c>
      <c r="C59" s="1" t="s">
        <v>0</v>
      </c>
      <c r="D59" s="1" t="s">
        <v>265</v>
      </c>
      <c r="E59" s="1">
        <v>22510010</v>
      </c>
      <c r="F59" s="4">
        <v>1240</v>
      </c>
      <c r="G59" s="16" t="s">
        <v>10</v>
      </c>
      <c r="H59" s="16" t="s">
        <v>152</v>
      </c>
      <c r="I59" s="16" t="s">
        <v>1120</v>
      </c>
      <c r="J59" s="4">
        <v>1568</v>
      </c>
      <c r="K59" s="5">
        <v>1542</v>
      </c>
      <c r="L59" s="5">
        <v>1539</v>
      </c>
      <c r="M59" s="5">
        <v>1537</v>
      </c>
      <c r="N59" s="5">
        <v>1535</v>
      </c>
      <c r="O59" s="30">
        <v>1537</v>
      </c>
      <c r="P59" s="7">
        <v>5.4</v>
      </c>
      <c r="Q59" s="4">
        <v>28</v>
      </c>
      <c r="R59" s="8">
        <v>37</v>
      </c>
      <c r="S59" s="9">
        <v>160.5</v>
      </c>
      <c r="T59" s="9">
        <v>70</v>
      </c>
      <c r="U59" s="9">
        <v>90.5</v>
      </c>
      <c r="V59" s="11">
        <v>14.6</v>
      </c>
      <c r="W59" s="16">
        <v>58</v>
      </c>
      <c r="X59" s="12">
        <v>3.0681072</v>
      </c>
      <c r="Y59" s="7">
        <v>10.9</v>
      </c>
      <c r="Z59" s="7">
        <v>10.5</v>
      </c>
      <c r="AA59" s="13">
        <v>84</v>
      </c>
      <c r="AB59" s="13">
        <v>83</v>
      </c>
      <c r="AC59" s="11" t="s">
        <v>6</v>
      </c>
      <c r="AD59" s="18" t="s">
        <v>53</v>
      </c>
      <c r="AE59" s="33" t="s">
        <v>1121</v>
      </c>
    </row>
    <row r="60" spans="1:31" ht="63" x14ac:dyDescent="0.25">
      <c r="A60" s="1">
        <v>877</v>
      </c>
      <c r="B60" s="2">
        <v>45942</v>
      </c>
      <c r="C60" s="1" t="s">
        <v>18</v>
      </c>
      <c r="D60" s="1" t="s">
        <v>19</v>
      </c>
      <c r="E60" s="83">
        <v>22510010</v>
      </c>
      <c r="F60" s="4">
        <v>1240</v>
      </c>
      <c r="G60" s="88" t="s">
        <v>10</v>
      </c>
      <c r="H60" s="16" t="s">
        <v>83</v>
      </c>
      <c r="I60" s="7" t="s">
        <v>1122</v>
      </c>
      <c r="J60" s="4">
        <v>1568</v>
      </c>
      <c r="K60" s="4">
        <v>1547</v>
      </c>
      <c r="L60" s="4">
        <v>1546</v>
      </c>
      <c r="M60" s="5">
        <v>1546</v>
      </c>
      <c r="N60" s="5">
        <v>1547</v>
      </c>
      <c r="O60" s="30">
        <v>1546.3333333333333</v>
      </c>
      <c r="P60" s="7">
        <v>5</v>
      </c>
      <c r="Q60" s="4">
        <v>38</v>
      </c>
      <c r="R60" s="8" t="s">
        <v>5</v>
      </c>
      <c r="S60" s="9">
        <v>170</v>
      </c>
      <c r="T60" s="9">
        <v>62</v>
      </c>
      <c r="U60" s="9">
        <v>108</v>
      </c>
      <c r="V60" s="11" t="s">
        <v>5</v>
      </c>
      <c r="W60" s="16">
        <v>58</v>
      </c>
      <c r="X60" s="12">
        <v>2.84084</v>
      </c>
      <c r="Y60" s="7">
        <v>10.7</v>
      </c>
      <c r="Z60" s="7">
        <v>10</v>
      </c>
      <c r="AA60" s="13">
        <v>94</v>
      </c>
      <c r="AB60" s="13">
        <v>87</v>
      </c>
      <c r="AC60" s="11" t="s">
        <v>6</v>
      </c>
      <c r="AD60" s="18" t="s">
        <v>53</v>
      </c>
      <c r="AE60" s="14" t="s">
        <v>757</v>
      </c>
    </row>
    <row r="61" spans="1:31" ht="94.5" x14ac:dyDescent="0.25">
      <c r="A61" s="1">
        <v>878</v>
      </c>
      <c r="B61" s="2">
        <v>45942</v>
      </c>
      <c r="C61" s="1" t="s">
        <v>18</v>
      </c>
      <c r="D61" s="1" t="s">
        <v>19</v>
      </c>
      <c r="E61" s="83">
        <v>22510010</v>
      </c>
      <c r="F61" s="4">
        <v>1240</v>
      </c>
      <c r="G61" s="88" t="s">
        <v>10</v>
      </c>
      <c r="H61" s="16" t="s">
        <v>113</v>
      </c>
      <c r="I61" s="4" t="s">
        <v>1123</v>
      </c>
      <c r="J61" s="4">
        <v>1566</v>
      </c>
      <c r="K61" s="4">
        <v>1544</v>
      </c>
      <c r="L61" s="4">
        <v>1542</v>
      </c>
      <c r="M61" s="5">
        <v>1542</v>
      </c>
      <c r="N61" s="5">
        <v>1538</v>
      </c>
      <c r="O61" s="30">
        <v>1540.6666666666667</v>
      </c>
      <c r="P61" s="7">
        <v>5.2</v>
      </c>
      <c r="Q61" s="4">
        <v>39</v>
      </c>
      <c r="R61" s="8" t="s">
        <v>5</v>
      </c>
      <c r="S61" s="9">
        <v>167</v>
      </c>
      <c r="T61" s="9">
        <v>60</v>
      </c>
      <c r="U61" s="9">
        <v>107</v>
      </c>
      <c r="V61" s="11" t="s">
        <v>5</v>
      </c>
      <c r="W61" s="16">
        <v>58</v>
      </c>
      <c r="X61" s="12">
        <v>2.9544736</v>
      </c>
      <c r="Y61" s="7">
        <v>10.7</v>
      </c>
      <c r="Z61" s="7">
        <v>9</v>
      </c>
      <c r="AA61" s="13">
        <v>84</v>
      </c>
      <c r="AB61" s="13">
        <v>78</v>
      </c>
      <c r="AC61" s="11" t="s">
        <v>6</v>
      </c>
      <c r="AD61" s="18" t="s">
        <v>53</v>
      </c>
      <c r="AE61" s="14" t="s">
        <v>1124</v>
      </c>
    </row>
    <row r="62" spans="1:31" ht="63" x14ac:dyDescent="0.25">
      <c r="A62" s="1">
        <v>884</v>
      </c>
      <c r="B62" s="2">
        <v>45942</v>
      </c>
      <c r="C62" s="1" t="s">
        <v>18</v>
      </c>
      <c r="D62" s="1" t="s">
        <v>19</v>
      </c>
      <c r="E62" s="83">
        <v>22510010</v>
      </c>
      <c r="F62" s="4">
        <v>1240</v>
      </c>
      <c r="G62" s="88" t="s">
        <v>10</v>
      </c>
      <c r="H62" s="16" t="s">
        <v>371</v>
      </c>
      <c r="I62" s="16" t="s">
        <v>1125</v>
      </c>
      <c r="J62" s="4">
        <v>1566</v>
      </c>
      <c r="K62" s="4">
        <v>1539</v>
      </c>
      <c r="L62" s="4">
        <v>1538</v>
      </c>
      <c r="M62" s="5">
        <v>1538</v>
      </c>
      <c r="N62" s="5">
        <v>1536</v>
      </c>
      <c r="O62" s="30">
        <v>1537.3333333333333</v>
      </c>
      <c r="P62" s="7">
        <v>4.8</v>
      </c>
      <c r="Q62" s="4">
        <v>35</v>
      </c>
      <c r="R62" s="8" t="s">
        <v>5</v>
      </c>
      <c r="S62" s="9">
        <v>154</v>
      </c>
      <c r="T62" s="9">
        <v>65</v>
      </c>
      <c r="U62" s="9">
        <v>89</v>
      </c>
      <c r="V62" s="11" t="s">
        <v>5</v>
      </c>
      <c r="W62" s="16">
        <v>58</v>
      </c>
      <c r="X62" s="12">
        <v>2.7272064</v>
      </c>
      <c r="Y62" s="7">
        <v>10</v>
      </c>
      <c r="Z62" s="7">
        <v>9.3000000000000007</v>
      </c>
      <c r="AA62" s="13">
        <v>80</v>
      </c>
      <c r="AB62" s="13">
        <v>86</v>
      </c>
      <c r="AC62" s="11" t="s">
        <v>6</v>
      </c>
      <c r="AD62" s="18" t="s">
        <v>72</v>
      </c>
      <c r="AE62" s="14" t="s">
        <v>1126</v>
      </c>
    </row>
    <row r="63" spans="1:31" ht="63" x14ac:dyDescent="0.25">
      <c r="A63" s="1">
        <v>906</v>
      </c>
      <c r="B63" s="2">
        <v>45942</v>
      </c>
      <c r="C63" s="1" t="s">
        <v>264</v>
      </c>
      <c r="D63" s="1" t="s">
        <v>258</v>
      </c>
      <c r="E63" s="83">
        <v>22510010</v>
      </c>
      <c r="F63" s="4">
        <v>1240</v>
      </c>
      <c r="G63" s="88" t="s">
        <v>10</v>
      </c>
      <c r="H63" s="16" t="s">
        <v>416</v>
      </c>
      <c r="I63" s="16" t="s">
        <v>1127</v>
      </c>
      <c r="J63" s="4">
        <v>1566</v>
      </c>
      <c r="K63" s="4">
        <v>1546</v>
      </c>
      <c r="L63" s="5">
        <v>1547</v>
      </c>
      <c r="M63" s="5">
        <v>1545</v>
      </c>
      <c r="N63" s="5">
        <v>1544</v>
      </c>
      <c r="O63" s="30">
        <v>1545.3333333333333</v>
      </c>
      <c r="P63" s="7">
        <v>4</v>
      </c>
      <c r="Q63" s="4">
        <v>40</v>
      </c>
      <c r="R63" s="8">
        <v>21</v>
      </c>
      <c r="S63" s="8">
        <v>160</v>
      </c>
      <c r="T63" s="8">
        <v>60</v>
      </c>
      <c r="U63" s="9">
        <v>100</v>
      </c>
      <c r="V63" s="11" t="s">
        <v>5</v>
      </c>
      <c r="W63" s="16">
        <v>58</v>
      </c>
      <c r="X63" s="12">
        <v>2.272672</v>
      </c>
      <c r="Y63" s="7">
        <v>9</v>
      </c>
      <c r="Z63" s="7">
        <v>8.6</v>
      </c>
      <c r="AA63" s="13">
        <v>86</v>
      </c>
      <c r="AB63" s="13">
        <v>84</v>
      </c>
      <c r="AC63" s="11" t="s">
        <v>6</v>
      </c>
      <c r="AD63" s="18" t="s">
        <v>53</v>
      </c>
      <c r="AE63" s="14" t="s">
        <v>1128</v>
      </c>
    </row>
    <row r="64" spans="1:31" ht="31.5" x14ac:dyDescent="0.25">
      <c r="A64" s="1">
        <v>924</v>
      </c>
      <c r="B64" s="2">
        <v>45942</v>
      </c>
      <c r="C64" s="1" t="s">
        <v>0</v>
      </c>
      <c r="D64" s="1" t="s">
        <v>265</v>
      </c>
      <c r="E64" s="4">
        <v>12510012</v>
      </c>
      <c r="F64" s="4">
        <v>1250</v>
      </c>
      <c r="G64" s="16" t="s">
        <v>1095</v>
      </c>
      <c r="H64" s="16" t="s">
        <v>138</v>
      </c>
      <c r="I64" s="16" t="s">
        <v>1129</v>
      </c>
      <c r="J64" s="4">
        <v>1568</v>
      </c>
      <c r="K64" s="5">
        <v>1545</v>
      </c>
      <c r="L64" s="5">
        <v>1544</v>
      </c>
      <c r="M64" s="5">
        <v>1544</v>
      </c>
      <c r="N64" s="5">
        <v>1544</v>
      </c>
      <c r="O64" s="30">
        <v>1544</v>
      </c>
      <c r="P64" s="7">
        <v>5.5</v>
      </c>
      <c r="Q64" s="4">
        <v>27</v>
      </c>
      <c r="R64" s="8" t="s">
        <v>5</v>
      </c>
      <c r="S64" s="9">
        <v>156</v>
      </c>
      <c r="T64" s="9">
        <v>63</v>
      </c>
      <c r="U64" s="10">
        <v>93</v>
      </c>
      <c r="V64" s="11" t="s">
        <v>5</v>
      </c>
      <c r="W64" s="16">
        <v>58</v>
      </c>
      <c r="X64" s="12">
        <v>3.1501250000000001</v>
      </c>
      <c r="Y64" s="7">
        <v>9.1999999999999993</v>
      </c>
      <c r="Z64" s="7">
        <v>10.4</v>
      </c>
      <c r="AA64" s="13">
        <v>78</v>
      </c>
      <c r="AB64" s="13">
        <v>90</v>
      </c>
      <c r="AC64" s="11" t="s">
        <v>6</v>
      </c>
      <c r="AD64" s="18" t="s">
        <v>72</v>
      </c>
      <c r="AE64" s="14" t="s">
        <v>706</v>
      </c>
    </row>
    <row r="65" spans="1:31" ht="110.25" x14ac:dyDescent="0.25">
      <c r="A65" s="1">
        <v>938</v>
      </c>
      <c r="B65" s="2">
        <v>45942</v>
      </c>
      <c r="C65" s="1" t="s">
        <v>0</v>
      </c>
      <c r="D65" s="1" t="s">
        <v>265</v>
      </c>
      <c r="E65" s="4">
        <v>22510011</v>
      </c>
      <c r="F65" s="4">
        <v>1250</v>
      </c>
      <c r="G65" s="16" t="s">
        <v>1095</v>
      </c>
      <c r="H65" s="16" t="s">
        <v>315</v>
      </c>
      <c r="I65" s="16" t="s">
        <v>1130</v>
      </c>
      <c r="J65" s="4">
        <v>1570</v>
      </c>
      <c r="K65" s="4">
        <v>1544</v>
      </c>
      <c r="L65" s="5">
        <v>1546</v>
      </c>
      <c r="M65" s="5">
        <v>1542</v>
      </c>
      <c r="N65" s="5" t="s">
        <v>5</v>
      </c>
      <c r="O65" s="30">
        <v>1544</v>
      </c>
      <c r="P65" s="7">
        <v>4.0999999999999996</v>
      </c>
      <c r="Q65" s="4">
        <v>37</v>
      </c>
      <c r="R65" s="8">
        <v>21</v>
      </c>
      <c r="S65" s="8" t="s">
        <v>5</v>
      </c>
      <c r="T65" s="8" t="s">
        <v>5</v>
      </c>
      <c r="U65" s="9" t="e">
        <v>#VALUE!</v>
      </c>
      <c r="V65" s="8">
        <v>14</v>
      </c>
      <c r="W65" s="16">
        <v>58</v>
      </c>
      <c r="X65" s="12">
        <v>2.3482749999999997</v>
      </c>
      <c r="Y65" s="7">
        <v>10</v>
      </c>
      <c r="Z65" s="7">
        <v>8.1999999999999993</v>
      </c>
      <c r="AA65" s="13">
        <v>89</v>
      </c>
      <c r="AB65" s="13">
        <v>98</v>
      </c>
      <c r="AC65" s="11" t="s">
        <v>6</v>
      </c>
      <c r="AD65" s="40" t="s">
        <v>72</v>
      </c>
      <c r="AE65" s="14" t="s">
        <v>1131</v>
      </c>
    </row>
    <row r="66" spans="1:31" ht="110.25" x14ac:dyDescent="0.25">
      <c r="A66" s="1">
        <v>978</v>
      </c>
      <c r="B66" s="2">
        <v>45943</v>
      </c>
      <c r="C66" s="1" t="s">
        <v>264</v>
      </c>
      <c r="D66" s="1" t="s">
        <v>1</v>
      </c>
      <c r="E66" s="83">
        <v>22510013</v>
      </c>
      <c r="F66" s="4">
        <v>1250</v>
      </c>
      <c r="G66" s="4" t="s">
        <v>225</v>
      </c>
      <c r="H66" s="16" t="s">
        <v>152</v>
      </c>
      <c r="I66" s="4" t="s">
        <v>1132</v>
      </c>
      <c r="J66" s="4">
        <v>1580</v>
      </c>
      <c r="K66" s="4">
        <v>1550</v>
      </c>
      <c r="L66" s="5">
        <v>1550</v>
      </c>
      <c r="M66" s="5">
        <v>1549</v>
      </c>
      <c r="N66" s="5" t="s">
        <v>5</v>
      </c>
      <c r="O66" s="30">
        <v>1549.5</v>
      </c>
      <c r="P66" s="7">
        <v>4.7</v>
      </c>
      <c r="Q66" s="4">
        <v>35</v>
      </c>
      <c r="R66" s="8">
        <v>29</v>
      </c>
      <c r="S66" s="9">
        <v>160</v>
      </c>
      <c r="T66" s="9">
        <v>57</v>
      </c>
      <c r="U66" s="10">
        <v>103</v>
      </c>
      <c r="V66" s="11" t="s">
        <v>5</v>
      </c>
      <c r="W66" s="16">
        <v>58</v>
      </c>
      <c r="X66" s="12">
        <v>2.6919249999999999</v>
      </c>
      <c r="Y66" s="7">
        <v>8.5</v>
      </c>
      <c r="Z66" s="7">
        <v>10.199999999999999</v>
      </c>
      <c r="AA66" s="13">
        <v>73</v>
      </c>
      <c r="AB66" s="13">
        <v>90</v>
      </c>
      <c r="AC66" s="11" t="s">
        <v>6</v>
      </c>
      <c r="AD66" s="18" t="s">
        <v>53</v>
      </c>
      <c r="AE66" s="14" t="s">
        <v>1133</v>
      </c>
    </row>
    <row r="67" spans="1:31" ht="94.5" x14ac:dyDescent="0.25">
      <c r="A67" s="1">
        <v>1010</v>
      </c>
      <c r="B67" s="2">
        <v>45944</v>
      </c>
      <c r="C67" s="1" t="s">
        <v>18</v>
      </c>
      <c r="D67" s="1" t="s">
        <v>19</v>
      </c>
      <c r="E67" s="83">
        <v>12510013</v>
      </c>
      <c r="F67" s="4">
        <v>1250</v>
      </c>
      <c r="G67" s="4" t="s">
        <v>225</v>
      </c>
      <c r="H67" s="88" t="s">
        <v>371</v>
      </c>
      <c r="I67" s="2" t="s">
        <v>1134</v>
      </c>
      <c r="J67" s="16">
        <v>1574</v>
      </c>
      <c r="K67" s="4">
        <v>1548</v>
      </c>
      <c r="L67" s="5">
        <v>1545</v>
      </c>
      <c r="M67" s="5">
        <v>1546</v>
      </c>
      <c r="N67" s="5">
        <v>1547</v>
      </c>
      <c r="O67" s="30">
        <v>1546</v>
      </c>
      <c r="P67" s="7">
        <v>4.2</v>
      </c>
      <c r="Q67" s="4">
        <v>41</v>
      </c>
      <c r="R67" s="8"/>
      <c r="S67" s="9">
        <v>167</v>
      </c>
      <c r="T67" s="9">
        <v>65</v>
      </c>
      <c r="U67" s="10">
        <v>102</v>
      </c>
      <c r="V67" s="11" t="s">
        <v>5</v>
      </c>
      <c r="W67" s="16">
        <v>58</v>
      </c>
      <c r="X67" s="12">
        <v>2.4055499999999999</v>
      </c>
      <c r="Y67" s="7">
        <v>9</v>
      </c>
      <c r="Z67" s="7">
        <v>9.9</v>
      </c>
      <c r="AA67" s="13">
        <v>81</v>
      </c>
      <c r="AB67" s="13">
        <v>89</v>
      </c>
      <c r="AC67" s="11" t="s">
        <v>6</v>
      </c>
      <c r="AD67" s="18" t="s">
        <v>455</v>
      </c>
      <c r="AE67" s="14" t="s">
        <v>1135</v>
      </c>
    </row>
    <row r="68" spans="1:31" ht="63" x14ac:dyDescent="0.25">
      <c r="A68" s="1">
        <v>1096</v>
      </c>
      <c r="B68" s="2">
        <v>45945</v>
      </c>
      <c r="C68" s="1" t="s">
        <v>264</v>
      </c>
      <c r="D68" s="1" t="s">
        <v>1</v>
      </c>
      <c r="E68" s="83">
        <v>12510015</v>
      </c>
      <c r="F68" s="4">
        <v>1240</v>
      </c>
      <c r="G68" s="4" t="s">
        <v>10</v>
      </c>
      <c r="H68" s="88" t="s">
        <v>110</v>
      </c>
      <c r="I68" s="13" t="s">
        <v>1136</v>
      </c>
      <c r="J68" s="4">
        <v>1572</v>
      </c>
      <c r="K68" s="4">
        <v>1550</v>
      </c>
      <c r="L68" s="4">
        <v>1552</v>
      </c>
      <c r="M68" s="5">
        <v>1554</v>
      </c>
      <c r="N68" s="5">
        <v>1553</v>
      </c>
      <c r="O68" s="30">
        <v>1553</v>
      </c>
      <c r="P68" s="7">
        <v>4.4000000000000004</v>
      </c>
      <c r="Q68" s="4">
        <v>39</v>
      </c>
      <c r="R68" s="8" t="s">
        <v>5</v>
      </c>
      <c r="S68" s="9">
        <v>162</v>
      </c>
      <c r="T68" s="8">
        <v>60</v>
      </c>
      <c r="U68" s="9">
        <v>102</v>
      </c>
      <c r="V68" s="11" t="s">
        <v>5</v>
      </c>
      <c r="W68" s="16">
        <v>58</v>
      </c>
      <c r="X68" s="12">
        <v>2.4999392</v>
      </c>
      <c r="Y68" s="7">
        <v>9.3000000000000007</v>
      </c>
      <c r="Z68" s="7">
        <v>10.199999999999999</v>
      </c>
      <c r="AA68" s="13">
        <v>81</v>
      </c>
      <c r="AB68" s="13">
        <v>89</v>
      </c>
      <c r="AC68" s="11" t="s">
        <v>6</v>
      </c>
      <c r="AD68" s="18" t="s">
        <v>455</v>
      </c>
      <c r="AE68" s="14" t="s">
        <v>1137</v>
      </c>
    </row>
    <row r="69" spans="1:31" ht="78.75" x14ac:dyDescent="0.25">
      <c r="A69" s="1">
        <v>1120</v>
      </c>
      <c r="B69" s="2">
        <v>45945</v>
      </c>
      <c r="C69" s="1" t="s">
        <v>0</v>
      </c>
      <c r="D69" s="1" t="s">
        <v>265</v>
      </c>
      <c r="E69" s="83">
        <v>12510015</v>
      </c>
      <c r="F69" s="4">
        <v>1240</v>
      </c>
      <c r="G69" s="4" t="s">
        <v>10</v>
      </c>
      <c r="H69" s="16" t="s">
        <v>66</v>
      </c>
      <c r="I69" s="16" t="s">
        <v>1138</v>
      </c>
      <c r="J69" s="4">
        <v>1576</v>
      </c>
      <c r="K69" s="4">
        <v>1553</v>
      </c>
      <c r="L69" s="5">
        <v>1553</v>
      </c>
      <c r="M69" s="5">
        <v>1550</v>
      </c>
      <c r="N69" s="5">
        <v>1550</v>
      </c>
      <c r="O69" s="30">
        <v>1551</v>
      </c>
      <c r="P69" s="7">
        <v>4.5</v>
      </c>
      <c r="Q69" s="4">
        <v>40</v>
      </c>
      <c r="R69" s="8" t="s">
        <v>5</v>
      </c>
      <c r="S69" s="8">
        <v>166</v>
      </c>
      <c r="T69" s="8">
        <v>64</v>
      </c>
      <c r="U69" s="9">
        <v>102</v>
      </c>
      <c r="V69" s="11" t="s">
        <v>5</v>
      </c>
      <c r="W69" s="16">
        <v>56</v>
      </c>
      <c r="X69" s="12">
        <v>2.4685920000000001</v>
      </c>
      <c r="Y69" s="7">
        <v>8.6999999999999993</v>
      </c>
      <c r="Z69" s="7">
        <v>9.1999999999999993</v>
      </c>
      <c r="AA69" s="13">
        <v>79</v>
      </c>
      <c r="AB69" s="13">
        <v>84</v>
      </c>
      <c r="AC69" s="11" t="s">
        <v>6</v>
      </c>
      <c r="AD69" s="18" t="s">
        <v>72</v>
      </c>
      <c r="AE69" s="14" t="s">
        <v>1139</v>
      </c>
    </row>
    <row r="70" spans="1:31" ht="126" x14ac:dyDescent="0.25">
      <c r="A70" s="1">
        <v>1127</v>
      </c>
      <c r="B70" s="2">
        <v>45945</v>
      </c>
      <c r="C70" s="1" t="s">
        <v>0</v>
      </c>
      <c r="D70" s="1" t="s">
        <v>265</v>
      </c>
      <c r="E70" s="83">
        <v>12510015</v>
      </c>
      <c r="F70" s="4">
        <v>1240</v>
      </c>
      <c r="G70" s="4" t="s">
        <v>10</v>
      </c>
      <c r="H70" s="16" t="s">
        <v>419</v>
      </c>
      <c r="I70" s="83" t="s">
        <v>1140</v>
      </c>
      <c r="J70" s="100">
        <v>1580</v>
      </c>
      <c r="K70" s="101">
        <v>1546</v>
      </c>
      <c r="L70" s="101">
        <v>1546</v>
      </c>
      <c r="M70" s="101">
        <v>1546</v>
      </c>
      <c r="N70" s="101">
        <v>1546</v>
      </c>
      <c r="O70" s="30">
        <v>1546</v>
      </c>
      <c r="P70" s="7">
        <v>4.5</v>
      </c>
      <c r="Q70" s="4">
        <v>37</v>
      </c>
      <c r="R70" s="8" t="s">
        <v>5</v>
      </c>
      <c r="S70" s="8">
        <v>165</v>
      </c>
      <c r="T70" s="8">
        <v>60</v>
      </c>
      <c r="U70" s="10">
        <v>105</v>
      </c>
      <c r="V70" s="11" t="s">
        <v>5</v>
      </c>
      <c r="W70" s="16">
        <v>58</v>
      </c>
      <c r="X70" s="12">
        <v>2.556756</v>
      </c>
      <c r="Y70" s="7">
        <v>7.2</v>
      </c>
      <c r="Z70" s="7">
        <v>7.4</v>
      </c>
      <c r="AA70" s="13">
        <v>76</v>
      </c>
      <c r="AB70" s="13">
        <v>80</v>
      </c>
      <c r="AC70" s="11" t="s">
        <v>6</v>
      </c>
      <c r="AD70" s="18" t="s">
        <v>455</v>
      </c>
      <c r="AE70" s="103" t="s">
        <v>1141</v>
      </c>
    </row>
    <row r="71" spans="1:31" ht="63" x14ac:dyDescent="0.25">
      <c r="A71" s="1">
        <v>1139</v>
      </c>
      <c r="B71" s="2">
        <v>45945</v>
      </c>
      <c r="C71" s="1" t="s">
        <v>0</v>
      </c>
      <c r="D71" s="1" t="s">
        <v>265</v>
      </c>
      <c r="E71" s="83">
        <v>22510016</v>
      </c>
      <c r="F71" s="4">
        <v>1240</v>
      </c>
      <c r="G71" s="4" t="s">
        <v>10</v>
      </c>
      <c r="H71" s="16" t="s">
        <v>269</v>
      </c>
      <c r="I71" s="16" t="s">
        <v>1142</v>
      </c>
      <c r="J71" s="4">
        <v>1570</v>
      </c>
      <c r="K71" s="5">
        <v>1548</v>
      </c>
      <c r="L71" s="5">
        <v>1552</v>
      </c>
      <c r="M71" s="5">
        <v>1552</v>
      </c>
      <c r="N71" s="5">
        <v>1551</v>
      </c>
      <c r="O71" s="30">
        <v>1551.6666666666667</v>
      </c>
      <c r="P71" s="7">
        <v>5</v>
      </c>
      <c r="Q71" s="4">
        <v>36</v>
      </c>
      <c r="R71" s="8" t="s">
        <v>5</v>
      </c>
      <c r="S71" s="8" t="s">
        <v>5</v>
      </c>
      <c r="T71" s="8" t="s">
        <v>5</v>
      </c>
      <c r="U71" s="8" t="s">
        <v>5</v>
      </c>
      <c r="V71" s="11" t="s">
        <v>5</v>
      </c>
      <c r="W71" s="16">
        <v>58</v>
      </c>
      <c r="X71" s="12">
        <v>2.84084</v>
      </c>
      <c r="Y71" s="7">
        <v>10.9</v>
      </c>
      <c r="Z71" s="7">
        <v>10.6</v>
      </c>
      <c r="AA71" s="13">
        <v>86</v>
      </c>
      <c r="AB71" s="13">
        <v>87</v>
      </c>
      <c r="AC71" s="11" t="s">
        <v>6</v>
      </c>
      <c r="AD71" s="40" t="s">
        <v>53</v>
      </c>
      <c r="AE71" s="103" t="s">
        <v>1143</v>
      </c>
    </row>
    <row r="72" spans="1:31" ht="110.25" x14ac:dyDescent="0.25">
      <c r="A72" s="1">
        <v>1141</v>
      </c>
      <c r="B72" s="2">
        <v>45945</v>
      </c>
      <c r="C72" s="1" t="s">
        <v>0</v>
      </c>
      <c r="D72" s="1" t="s">
        <v>265</v>
      </c>
      <c r="E72" s="83">
        <v>22510016</v>
      </c>
      <c r="F72" s="4">
        <v>1240</v>
      </c>
      <c r="G72" s="4" t="s">
        <v>10</v>
      </c>
      <c r="H72" s="16" t="s">
        <v>277</v>
      </c>
      <c r="I72" s="16" t="s">
        <v>1144</v>
      </c>
      <c r="J72" s="4">
        <v>1575</v>
      </c>
      <c r="K72" s="5">
        <v>1551</v>
      </c>
      <c r="L72" s="5">
        <v>1552</v>
      </c>
      <c r="M72" s="5">
        <v>1552</v>
      </c>
      <c r="N72" s="5">
        <v>1552</v>
      </c>
      <c r="O72" s="30">
        <v>1552</v>
      </c>
      <c r="P72" s="7">
        <v>4.2</v>
      </c>
      <c r="Q72" s="4">
        <v>40</v>
      </c>
      <c r="R72" s="8">
        <v>2</v>
      </c>
      <c r="S72" s="8" t="s">
        <v>5</v>
      </c>
      <c r="T72" s="8" t="s">
        <v>5</v>
      </c>
      <c r="U72" s="8" t="s">
        <v>5</v>
      </c>
      <c r="V72" s="11" t="s">
        <v>5</v>
      </c>
      <c r="W72" s="16">
        <v>58</v>
      </c>
      <c r="X72" s="12">
        <v>2.3863056</v>
      </c>
      <c r="Y72" s="7">
        <v>9.1</v>
      </c>
      <c r="Z72" s="7">
        <v>8.9</v>
      </c>
      <c r="AA72" s="13">
        <v>86</v>
      </c>
      <c r="AB72" s="13">
        <v>82</v>
      </c>
      <c r="AC72" s="11" t="s">
        <v>6</v>
      </c>
      <c r="AD72" s="40" t="s">
        <v>53</v>
      </c>
      <c r="AE72" s="14" t="s">
        <v>1145</v>
      </c>
    </row>
    <row r="73" spans="1:31" ht="78.75" x14ac:dyDescent="0.25">
      <c r="A73" s="1">
        <v>1242</v>
      </c>
      <c r="B73" s="2">
        <v>45947</v>
      </c>
      <c r="C73" s="1" t="s">
        <v>264</v>
      </c>
      <c r="D73" s="1" t="s">
        <v>1</v>
      </c>
      <c r="E73" s="83">
        <v>22510018</v>
      </c>
      <c r="F73" s="4">
        <v>1250</v>
      </c>
      <c r="G73" s="4" t="s">
        <v>1095</v>
      </c>
      <c r="H73" s="88" t="s">
        <v>90</v>
      </c>
      <c r="I73" s="4" t="s">
        <v>1146</v>
      </c>
      <c r="J73" s="4">
        <v>1578</v>
      </c>
      <c r="K73" s="4">
        <v>1549</v>
      </c>
      <c r="L73" s="5">
        <v>1548</v>
      </c>
      <c r="M73" s="5">
        <v>1548</v>
      </c>
      <c r="N73" s="5">
        <v>1544</v>
      </c>
      <c r="O73" s="30">
        <v>1546.6666666666667</v>
      </c>
      <c r="P73" s="7">
        <v>5.2</v>
      </c>
      <c r="Q73" s="4">
        <v>32</v>
      </c>
      <c r="R73" s="8"/>
      <c r="S73" s="8">
        <v>176</v>
      </c>
      <c r="T73" s="8">
        <v>73</v>
      </c>
      <c r="U73" s="10">
        <v>103</v>
      </c>
      <c r="V73" s="11" t="s">
        <v>5</v>
      </c>
      <c r="W73" s="16">
        <v>58</v>
      </c>
      <c r="X73" s="12">
        <v>2.9782999999999999</v>
      </c>
      <c r="Y73" s="7">
        <v>8.3000000000000007</v>
      </c>
      <c r="Z73" s="7">
        <v>9.3000000000000007</v>
      </c>
      <c r="AA73" s="13">
        <v>75</v>
      </c>
      <c r="AB73" s="13">
        <v>86</v>
      </c>
      <c r="AC73" s="11" t="s">
        <v>6</v>
      </c>
      <c r="AD73" s="18" t="s">
        <v>1147</v>
      </c>
      <c r="AE73" s="14" t="s">
        <v>1148</v>
      </c>
    </row>
    <row r="74" spans="1:31" ht="31.5" x14ac:dyDescent="0.25">
      <c r="A74" s="1">
        <v>1246</v>
      </c>
      <c r="B74" s="2">
        <v>45947</v>
      </c>
      <c r="C74" s="1" t="s">
        <v>0</v>
      </c>
      <c r="D74" s="1" t="s">
        <v>19</v>
      </c>
      <c r="E74" s="83">
        <v>12510017</v>
      </c>
      <c r="F74" s="4">
        <v>1250</v>
      </c>
      <c r="G74" s="4" t="s">
        <v>1149</v>
      </c>
      <c r="H74" s="88" t="s">
        <v>155</v>
      </c>
      <c r="I74" s="16" t="s">
        <v>1150</v>
      </c>
      <c r="J74" s="4">
        <v>1570</v>
      </c>
      <c r="K74" s="4">
        <v>1546</v>
      </c>
      <c r="L74" s="5">
        <v>1584</v>
      </c>
      <c r="M74" s="5">
        <v>1547</v>
      </c>
      <c r="N74" s="5">
        <v>1547</v>
      </c>
      <c r="O74" s="30">
        <v>1559.3333333333333</v>
      </c>
      <c r="P74" s="7">
        <v>5.5</v>
      </c>
      <c r="Q74" s="4">
        <v>33</v>
      </c>
      <c r="R74" s="8"/>
      <c r="S74" s="9">
        <v>158</v>
      </c>
      <c r="T74" s="9">
        <v>59</v>
      </c>
      <c r="U74" s="10">
        <v>99</v>
      </c>
      <c r="V74" s="11" t="s">
        <v>5</v>
      </c>
      <c r="W74" s="16">
        <v>58</v>
      </c>
      <c r="X74" s="12">
        <v>3.1501250000000001</v>
      </c>
      <c r="Y74" s="14">
        <v>7.1</v>
      </c>
      <c r="Z74" s="7">
        <v>6.6</v>
      </c>
      <c r="AA74" s="13">
        <v>83</v>
      </c>
      <c r="AB74" s="13">
        <v>74</v>
      </c>
      <c r="AC74" s="11" t="s">
        <v>6</v>
      </c>
      <c r="AD74" s="18" t="s">
        <v>1147</v>
      </c>
      <c r="AE74" s="14" t="s">
        <v>706</v>
      </c>
    </row>
    <row r="75" spans="1:31" ht="31.5" x14ac:dyDescent="0.25">
      <c r="A75" s="1">
        <v>1259</v>
      </c>
      <c r="B75" s="2">
        <v>45947</v>
      </c>
      <c r="C75" s="1" t="s">
        <v>0</v>
      </c>
      <c r="D75" s="1" t="s">
        <v>19</v>
      </c>
      <c r="E75" s="83">
        <v>22510018</v>
      </c>
      <c r="F75" s="4">
        <v>1250</v>
      </c>
      <c r="G75" s="4" t="s">
        <v>1151</v>
      </c>
      <c r="H75" s="88" t="s">
        <v>152</v>
      </c>
      <c r="I75" s="16" t="s">
        <v>1152</v>
      </c>
      <c r="J75" s="4">
        <v>1569</v>
      </c>
      <c r="K75" s="5">
        <v>1542</v>
      </c>
      <c r="L75" s="5">
        <v>1545</v>
      </c>
      <c r="M75" s="5">
        <v>1538</v>
      </c>
      <c r="N75" s="5">
        <v>1540</v>
      </c>
      <c r="O75" s="30">
        <v>1541</v>
      </c>
      <c r="P75" s="7">
        <v>5.5</v>
      </c>
      <c r="Q75" s="4">
        <v>29</v>
      </c>
      <c r="R75" s="8" t="s">
        <v>5</v>
      </c>
      <c r="S75" s="8" t="s">
        <v>5</v>
      </c>
      <c r="T75" s="8" t="s">
        <v>5</v>
      </c>
      <c r="U75" s="8" t="s">
        <v>5</v>
      </c>
      <c r="V75" s="11" t="s">
        <v>5</v>
      </c>
      <c r="W75" s="16">
        <v>58</v>
      </c>
      <c r="X75" s="12">
        <v>3.1501250000000001</v>
      </c>
      <c r="Y75" s="7">
        <v>8.6999999999999993</v>
      </c>
      <c r="Z75" s="7">
        <v>8.1</v>
      </c>
      <c r="AA75" s="13">
        <v>87</v>
      </c>
      <c r="AB75" s="13">
        <v>92</v>
      </c>
      <c r="AC75" s="11" t="s">
        <v>6</v>
      </c>
      <c r="AD75" s="40" t="s">
        <v>1147</v>
      </c>
      <c r="AE75" s="14" t="s">
        <v>706</v>
      </c>
    </row>
    <row r="76" spans="1:31" ht="30" x14ac:dyDescent="0.25">
      <c r="A76" s="1">
        <v>1342</v>
      </c>
      <c r="B76" s="2">
        <v>45948</v>
      </c>
      <c r="C76" s="1" t="s">
        <v>0</v>
      </c>
      <c r="D76" s="1" t="s">
        <v>19</v>
      </c>
      <c r="E76" s="83">
        <v>22510019</v>
      </c>
      <c r="F76" s="4">
        <v>1260</v>
      </c>
      <c r="G76" s="4" t="s">
        <v>10</v>
      </c>
      <c r="H76" s="88" t="s">
        <v>98</v>
      </c>
      <c r="I76" s="16" t="s">
        <v>1153</v>
      </c>
      <c r="J76" s="4">
        <v>1600</v>
      </c>
      <c r="K76" s="5">
        <v>1574</v>
      </c>
      <c r="L76" s="5">
        <v>1569</v>
      </c>
      <c r="M76" s="5">
        <v>1568</v>
      </c>
      <c r="N76" s="5">
        <v>1564</v>
      </c>
      <c r="O76" s="30">
        <v>1567</v>
      </c>
      <c r="P76" s="7">
        <v>3.4</v>
      </c>
      <c r="Q76" s="4">
        <v>47</v>
      </c>
      <c r="R76" s="8" t="s">
        <v>5</v>
      </c>
      <c r="S76" s="8" t="s">
        <v>5</v>
      </c>
      <c r="T76" s="8" t="s">
        <v>5</v>
      </c>
      <c r="U76" s="8" t="s">
        <v>5</v>
      </c>
      <c r="V76" s="11" t="s">
        <v>100</v>
      </c>
      <c r="W76" s="16">
        <v>58</v>
      </c>
      <c r="X76" s="12">
        <v>1.9629288000000003</v>
      </c>
      <c r="Y76" s="7">
        <v>8.5</v>
      </c>
      <c r="Z76" s="7">
        <v>7.6</v>
      </c>
      <c r="AA76" s="13">
        <v>82</v>
      </c>
      <c r="AB76" s="13">
        <v>76</v>
      </c>
      <c r="AC76" s="11" t="s">
        <v>6</v>
      </c>
      <c r="AD76" s="40" t="s">
        <v>72</v>
      </c>
      <c r="AE76" s="33" t="s">
        <v>397</v>
      </c>
    </row>
    <row r="77" spans="1:31" ht="60" x14ac:dyDescent="0.25">
      <c r="A77" s="1">
        <v>1343</v>
      </c>
      <c r="B77" s="2">
        <v>45948</v>
      </c>
      <c r="C77" s="1" t="s">
        <v>0</v>
      </c>
      <c r="D77" s="1" t="s">
        <v>19</v>
      </c>
      <c r="E77" s="83">
        <v>22510019</v>
      </c>
      <c r="F77" s="4">
        <v>1260</v>
      </c>
      <c r="G77" s="4" t="s">
        <v>10</v>
      </c>
      <c r="H77" s="88" t="s">
        <v>86</v>
      </c>
      <c r="I77" s="16" t="s">
        <v>1154</v>
      </c>
      <c r="J77" s="4">
        <v>1567</v>
      </c>
      <c r="K77" s="5">
        <v>1545</v>
      </c>
      <c r="L77" s="5">
        <v>1544</v>
      </c>
      <c r="M77" s="5">
        <v>1544</v>
      </c>
      <c r="N77" s="5">
        <v>1544</v>
      </c>
      <c r="O77" s="30">
        <v>1544</v>
      </c>
      <c r="P77" s="7">
        <v>4.8</v>
      </c>
      <c r="Q77" s="4">
        <v>41</v>
      </c>
      <c r="R77" s="8">
        <v>33</v>
      </c>
      <c r="S77" s="8">
        <v>179</v>
      </c>
      <c r="T77" s="8">
        <v>60</v>
      </c>
      <c r="U77" s="8" t="s">
        <v>5</v>
      </c>
      <c r="V77" s="11" t="s">
        <v>5</v>
      </c>
      <c r="W77" s="16">
        <v>58</v>
      </c>
      <c r="X77" s="12">
        <v>2.7711936000000001</v>
      </c>
      <c r="Y77" s="7">
        <v>9.1999999999999993</v>
      </c>
      <c r="Z77" s="7">
        <v>9</v>
      </c>
      <c r="AA77" s="13">
        <v>75</v>
      </c>
      <c r="AB77" s="13">
        <v>70</v>
      </c>
      <c r="AC77" s="11" t="s">
        <v>6</v>
      </c>
      <c r="AD77" s="18" t="s">
        <v>53</v>
      </c>
      <c r="AE77" s="33" t="s">
        <v>1155</v>
      </c>
    </row>
    <row r="78" spans="1:31" ht="31.5" x14ac:dyDescent="0.25">
      <c r="A78" s="1">
        <v>1346</v>
      </c>
      <c r="B78" s="2">
        <v>45948</v>
      </c>
      <c r="C78" s="1" t="s">
        <v>0</v>
      </c>
      <c r="D78" s="1" t="s">
        <v>19</v>
      </c>
      <c r="E78" s="83">
        <v>22510019</v>
      </c>
      <c r="F78" s="4">
        <v>1260</v>
      </c>
      <c r="G78" s="4" t="s">
        <v>10</v>
      </c>
      <c r="H78" s="88" t="s">
        <v>189</v>
      </c>
      <c r="I78" s="16" t="s">
        <v>1156</v>
      </c>
      <c r="J78" s="4">
        <v>1565</v>
      </c>
      <c r="K78" s="5">
        <v>1545</v>
      </c>
      <c r="L78" s="5">
        <v>1541</v>
      </c>
      <c r="M78" s="5">
        <v>1541</v>
      </c>
      <c r="N78" s="5">
        <v>1541</v>
      </c>
      <c r="O78" s="30">
        <v>1541</v>
      </c>
      <c r="P78" s="7">
        <v>5</v>
      </c>
      <c r="Q78" s="4">
        <v>34</v>
      </c>
      <c r="R78" s="8" t="s">
        <v>5</v>
      </c>
      <c r="S78" s="9" t="s">
        <v>5</v>
      </c>
      <c r="T78" s="9" t="s">
        <v>5</v>
      </c>
      <c r="U78" s="9" t="s">
        <v>5</v>
      </c>
      <c r="V78" s="11" t="s">
        <v>5</v>
      </c>
      <c r="W78" s="16">
        <v>58</v>
      </c>
      <c r="X78" s="12">
        <v>2.8866600000000004</v>
      </c>
      <c r="Y78" s="7">
        <v>9.3000000000000007</v>
      </c>
      <c r="Z78" s="7">
        <v>9.1</v>
      </c>
      <c r="AA78" s="13">
        <v>86</v>
      </c>
      <c r="AB78" s="13">
        <v>79</v>
      </c>
      <c r="AC78" s="11" t="s">
        <v>6</v>
      </c>
      <c r="AD78" s="18" t="s">
        <v>53</v>
      </c>
      <c r="AE78" s="14" t="s">
        <v>397</v>
      </c>
    </row>
    <row r="79" spans="1:31" ht="63" x14ac:dyDescent="0.25">
      <c r="A79" s="1">
        <v>1414</v>
      </c>
      <c r="B79" s="2">
        <v>45949</v>
      </c>
      <c r="C79" s="1" t="s">
        <v>0</v>
      </c>
      <c r="D79" s="1" t="s">
        <v>19</v>
      </c>
      <c r="E79" s="83">
        <v>12510019</v>
      </c>
      <c r="F79" s="4">
        <v>1235</v>
      </c>
      <c r="G79" s="4" t="s">
        <v>10</v>
      </c>
      <c r="H79" s="88" t="s">
        <v>261</v>
      </c>
      <c r="I79" s="16" t="s">
        <v>1157</v>
      </c>
      <c r="J79" s="4">
        <v>1564</v>
      </c>
      <c r="K79" s="5">
        <v>1542</v>
      </c>
      <c r="L79" s="5">
        <v>1543</v>
      </c>
      <c r="M79" s="5">
        <v>1544</v>
      </c>
      <c r="N79" s="5">
        <v>1543</v>
      </c>
      <c r="O79" s="30">
        <v>1543.3333333333333</v>
      </c>
      <c r="P79" s="7">
        <v>4.2</v>
      </c>
      <c r="Q79" s="4">
        <v>41</v>
      </c>
      <c r="R79" s="8">
        <v>2</v>
      </c>
      <c r="S79" s="8">
        <v>156</v>
      </c>
      <c r="T79" s="8">
        <v>60</v>
      </c>
      <c r="U79" s="10">
        <v>96</v>
      </c>
      <c r="V79" s="11" t="s">
        <v>5</v>
      </c>
      <c r="W79" s="16">
        <v>56</v>
      </c>
      <c r="X79" s="12">
        <v>2.2947288000000001</v>
      </c>
      <c r="Y79" s="7">
        <v>8.9</v>
      </c>
      <c r="Z79" s="7">
        <v>8.8000000000000007</v>
      </c>
      <c r="AA79" s="13">
        <v>79</v>
      </c>
      <c r="AB79" s="13">
        <v>80</v>
      </c>
      <c r="AC79" s="11" t="s">
        <v>6</v>
      </c>
      <c r="AD79" s="40" t="s">
        <v>455</v>
      </c>
      <c r="AE79" s="14" t="s">
        <v>1158</v>
      </c>
    </row>
    <row r="80" spans="1:31" ht="78.75" x14ac:dyDescent="0.25">
      <c r="A80" s="1">
        <v>1418</v>
      </c>
      <c r="B80" s="2">
        <v>45949</v>
      </c>
      <c r="C80" s="1" t="s">
        <v>0</v>
      </c>
      <c r="D80" s="1" t="s">
        <v>19</v>
      </c>
      <c r="E80" s="83">
        <v>12510019</v>
      </c>
      <c r="F80" s="4">
        <v>1235</v>
      </c>
      <c r="G80" s="4" t="s">
        <v>1159</v>
      </c>
      <c r="H80" s="88" t="s">
        <v>155</v>
      </c>
      <c r="I80" s="16" t="s">
        <v>1160</v>
      </c>
      <c r="J80" s="4">
        <v>1566</v>
      </c>
      <c r="K80" s="5">
        <v>1539</v>
      </c>
      <c r="L80" s="5">
        <v>1539</v>
      </c>
      <c r="M80" s="5">
        <v>1539</v>
      </c>
      <c r="N80" s="5">
        <v>1540</v>
      </c>
      <c r="O80" s="30">
        <v>1539.3333333333333</v>
      </c>
      <c r="P80" s="7">
        <v>4.8</v>
      </c>
      <c r="Q80" s="4">
        <v>28</v>
      </c>
      <c r="R80" s="8" t="s">
        <v>5</v>
      </c>
      <c r="S80" s="8">
        <v>154</v>
      </c>
      <c r="T80" s="8">
        <v>60</v>
      </c>
      <c r="U80" s="10">
        <v>94</v>
      </c>
      <c r="V80" s="11" t="s">
        <v>5</v>
      </c>
      <c r="W80" s="16">
        <v>58</v>
      </c>
      <c r="X80" s="12">
        <v>2.7162096000000004</v>
      </c>
      <c r="Y80" s="7">
        <v>7.7</v>
      </c>
      <c r="Z80" s="7">
        <v>7.4</v>
      </c>
      <c r="AA80" s="13">
        <v>78</v>
      </c>
      <c r="AB80" s="13">
        <v>75</v>
      </c>
      <c r="AC80" s="11" t="s">
        <v>6</v>
      </c>
      <c r="AD80" s="40" t="s">
        <v>455</v>
      </c>
      <c r="AE80" s="103" t="s">
        <v>1161</v>
      </c>
    </row>
    <row r="81" spans="1:31" ht="63" x14ac:dyDescent="0.25">
      <c r="A81" s="1">
        <v>1433</v>
      </c>
      <c r="B81" s="2">
        <v>45950</v>
      </c>
      <c r="C81" s="1" t="s">
        <v>18</v>
      </c>
      <c r="D81" s="1" t="s">
        <v>276</v>
      </c>
      <c r="E81" s="83">
        <v>12510019</v>
      </c>
      <c r="F81" s="4">
        <v>1235</v>
      </c>
      <c r="G81" s="4" t="s">
        <v>55</v>
      </c>
      <c r="H81" s="88" t="s">
        <v>80</v>
      </c>
      <c r="I81" s="1" t="s">
        <v>1162</v>
      </c>
      <c r="J81" s="16">
        <v>1568</v>
      </c>
      <c r="K81" s="4">
        <v>1541</v>
      </c>
      <c r="L81" s="5">
        <v>1545</v>
      </c>
      <c r="M81" s="5">
        <v>1545</v>
      </c>
      <c r="N81" s="5">
        <v>1545</v>
      </c>
      <c r="O81" s="30">
        <v>1545</v>
      </c>
      <c r="P81" s="7">
        <v>5.2</v>
      </c>
      <c r="Q81" s="4">
        <v>40</v>
      </c>
      <c r="R81" s="8">
        <v>4</v>
      </c>
      <c r="S81" s="9">
        <v>166</v>
      </c>
      <c r="T81" s="9">
        <v>60</v>
      </c>
      <c r="U81" s="10">
        <v>106</v>
      </c>
      <c r="V81" s="11" t="s">
        <v>5</v>
      </c>
      <c r="W81" s="16">
        <v>58</v>
      </c>
      <c r="X81" s="12">
        <v>2.9425604000000005</v>
      </c>
      <c r="Y81" s="7">
        <v>9.5</v>
      </c>
      <c r="Z81" s="7">
        <v>9</v>
      </c>
      <c r="AA81" s="13">
        <v>91</v>
      </c>
      <c r="AB81" s="13">
        <v>86</v>
      </c>
      <c r="AC81" s="11" t="s">
        <v>6</v>
      </c>
      <c r="AD81" s="18" t="s">
        <v>455</v>
      </c>
      <c r="AE81" s="14" t="s">
        <v>757</v>
      </c>
    </row>
    <row r="82" spans="1:31" ht="126" x14ac:dyDescent="0.25">
      <c r="A82" s="1">
        <v>1434</v>
      </c>
      <c r="B82" s="2">
        <v>45950</v>
      </c>
      <c r="C82" s="1" t="s">
        <v>18</v>
      </c>
      <c r="D82" s="1" t="s">
        <v>276</v>
      </c>
      <c r="E82" s="83">
        <v>12510019</v>
      </c>
      <c r="F82" s="4">
        <v>1235</v>
      </c>
      <c r="G82" s="4" t="s">
        <v>55</v>
      </c>
      <c r="H82" s="88" t="s">
        <v>126</v>
      </c>
      <c r="I82" s="1" t="s">
        <v>1163</v>
      </c>
      <c r="J82" s="16">
        <v>1566</v>
      </c>
      <c r="K82" s="4">
        <v>1547</v>
      </c>
      <c r="L82" s="4">
        <v>1547</v>
      </c>
      <c r="M82" s="4">
        <v>1545</v>
      </c>
      <c r="N82" s="4">
        <v>1547</v>
      </c>
      <c r="O82" s="30">
        <v>1546.3333333333333</v>
      </c>
      <c r="P82" s="7">
        <v>4.2</v>
      </c>
      <c r="Q82" s="4">
        <v>50</v>
      </c>
      <c r="R82" s="8"/>
      <c r="S82" s="9">
        <v>171.1</v>
      </c>
      <c r="T82" s="9">
        <v>63.1</v>
      </c>
      <c r="U82" s="10">
        <v>108</v>
      </c>
      <c r="V82" s="11" t="s">
        <v>5</v>
      </c>
      <c r="W82" s="16">
        <v>58</v>
      </c>
      <c r="X82" s="12">
        <v>2.3766834000000006</v>
      </c>
      <c r="Y82" s="7">
        <v>9.3000000000000007</v>
      </c>
      <c r="Z82" s="7">
        <v>9.1999999999999993</v>
      </c>
      <c r="AA82" s="13">
        <v>86</v>
      </c>
      <c r="AB82" s="13">
        <v>85</v>
      </c>
      <c r="AC82" s="11" t="s">
        <v>6</v>
      </c>
      <c r="AD82" s="18" t="s">
        <v>455</v>
      </c>
      <c r="AE82" s="14" t="s">
        <v>1164</v>
      </c>
    </row>
    <row r="83" spans="1:31" ht="31.5" x14ac:dyDescent="0.25">
      <c r="A83" s="1">
        <v>1441</v>
      </c>
      <c r="B83" s="2">
        <v>45950</v>
      </c>
      <c r="C83" s="1" t="s">
        <v>18</v>
      </c>
      <c r="D83" s="1" t="s">
        <v>276</v>
      </c>
      <c r="E83" s="83">
        <v>12510019</v>
      </c>
      <c r="F83" s="4">
        <v>1235</v>
      </c>
      <c r="G83" s="4" t="s">
        <v>55</v>
      </c>
      <c r="H83" s="88" t="s">
        <v>269</v>
      </c>
      <c r="I83" s="16" t="s">
        <v>1165</v>
      </c>
      <c r="J83" s="16">
        <v>1564</v>
      </c>
      <c r="K83" s="4">
        <v>1547</v>
      </c>
      <c r="L83" s="5">
        <v>1545</v>
      </c>
      <c r="M83" s="5">
        <v>1546</v>
      </c>
      <c r="N83" s="5">
        <v>1544</v>
      </c>
      <c r="O83" s="30">
        <v>1545</v>
      </c>
      <c r="P83" s="7">
        <v>5.2</v>
      </c>
      <c r="Q83" s="4">
        <v>34</v>
      </c>
      <c r="R83" s="8"/>
      <c r="S83" s="9">
        <v>159</v>
      </c>
      <c r="T83" s="9">
        <v>60</v>
      </c>
      <c r="U83" s="10">
        <v>99</v>
      </c>
      <c r="V83" s="11" t="s">
        <v>5</v>
      </c>
      <c r="W83" s="16">
        <v>58</v>
      </c>
      <c r="X83" s="12">
        <v>2.9425604000000005</v>
      </c>
      <c r="Y83" s="7">
        <v>7.7</v>
      </c>
      <c r="Z83" s="7">
        <v>8.9</v>
      </c>
      <c r="AA83" s="13">
        <v>83</v>
      </c>
      <c r="AB83" s="11">
        <v>84</v>
      </c>
      <c r="AC83" s="11" t="s">
        <v>6</v>
      </c>
      <c r="AD83" s="18" t="s">
        <v>455</v>
      </c>
      <c r="AE83" s="14" t="s">
        <v>721</v>
      </c>
    </row>
    <row r="84" spans="1:31" ht="31.5" x14ac:dyDescent="0.25">
      <c r="A84" s="1">
        <v>1442</v>
      </c>
      <c r="B84" s="2">
        <v>45950</v>
      </c>
      <c r="C84" s="1" t="s">
        <v>18</v>
      </c>
      <c r="D84" s="1" t="s">
        <v>276</v>
      </c>
      <c r="E84" s="83">
        <v>12510019</v>
      </c>
      <c r="F84" s="4">
        <v>1235</v>
      </c>
      <c r="G84" s="4" t="s">
        <v>55</v>
      </c>
      <c r="H84" s="88" t="s">
        <v>129</v>
      </c>
      <c r="I84" s="4" t="s">
        <v>1166</v>
      </c>
      <c r="J84" s="16">
        <v>1569</v>
      </c>
      <c r="K84" s="4">
        <v>1541</v>
      </c>
      <c r="L84" s="4">
        <v>1543</v>
      </c>
      <c r="M84" s="5">
        <v>1545</v>
      </c>
      <c r="N84" s="5">
        <v>1544</v>
      </c>
      <c r="O84" s="30">
        <v>1544</v>
      </c>
      <c r="P84" s="7">
        <v>5.4</v>
      </c>
      <c r="Q84" s="4">
        <v>41</v>
      </c>
      <c r="R84" s="8"/>
      <c r="S84" s="9">
        <v>168</v>
      </c>
      <c r="T84" s="9">
        <v>58</v>
      </c>
      <c r="U84" s="10">
        <v>110</v>
      </c>
      <c r="V84" s="11" t="s">
        <v>5</v>
      </c>
      <c r="W84" s="16">
        <v>58</v>
      </c>
      <c r="X84" s="12">
        <v>3.0557358000000008</v>
      </c>
      <c r="Y84" s="7">
        <v>10</v>
      </c>
      <c r="Z84" s="7">
        <v>10.8</v>
      </c>
      <c r="AA84" s="13">
        <v>84</v>
      </c>
      <c r="AB84" s="13">
        <v>87</v>
      </c>
      <c r="AC84" s="11" t="s">
        <v>6</v>
      </c>
      <c r="AD84" s="18" t="s">
        <v>455</v>
      </c>
      <c r="AE84" s="14" t="s">
        <v>397</v>
      </c>
    </row>
    <row r="85" spans="1:31" ht="47.25" x14ac:dyDescent="0.25">
      <c r="A85" s="1">
        <v>1455</v>
      </c>
      <c r="B85" s="2">
        <v>45950</v>
      </c>
      <c r="C85" s="1" t="s">
        <v>264</v>
      </c>
      <c r="D85" s="1" t="s">
        <v>265</v>
      </c>
      <c r="E85" s="83">
        <v>12510019</v>
      </c>
      <c r="F85" s="4">
        <v>1235</v>
      </c>
      <c r="G85" s="4" t="s">
        <v>10</v>
      </c>
      <c r="H85" s="88" t="s">
        <v>138</v>
      </c>
      <c r="I85" s="10" t="s">
        <v>1167</v>
      </c>
      <c r="J85" s="4">
        <v>1569</v>
      </c>
      <c r="K85" s="4">
        <v>1552</v>
      </c>
      <c r="L85" s="4">
        <v>1552</v>
      </c>
      <c r="M85" s="5">
        <v>1551</v>
      </c>
      <c r="N85" s="5">
        <v>1551</v>
      </c>
      <c r="O85" s="30">
        <v>1551.3333333333333</v>
      </c>
      <c r="P85" s="7">
        <v>5.2</v>
      </c>
      <c r="Q85" s="4">
        <v>28</v>
      </c>
      <c r="R85" s="8"/>
      <c r="S85" s="8">
        <v>151</v>
      </c>
      <c r="T85" s="8">
        <v>61</v>
      </c>
      <c r="U85" s="9">
        <v>90</v>
      </c>
      <c r="V85" s="11" t="s">
        <v>5</v>
      </c>
      <c r="W85" s="16">
        <v>58</v>
      </c>
      <c r="X85" s="12">
        <v>2.9425604000000005</v>
      </c>
      <c r="Y85" s="7">
        <v>9.6</v>
      </c>
      <c r="Z85" s="7">
        <v>10.1</v>
      </c>
      <c r="AA85" s="13">
        <v>87</v>
      </c>
      <c r="AB85" s="13">
        <v>90</v>
      </c>
      <c r="AC85" s="11" t="s">
        <v>6</v>
      </c>
      <c r="AD85" s="18" t="s">
        <v>455</v>
      </c>
      <c r="AE85" s="14" t="s">
        <v>614</v>
      </c>
    </row>
    <row r="86" spans="1:31" ht="63" x14ac:dyDescent="0.25">
      <c r="A86" s="1">
        <v>1456</v>
      </c>
      <c r="B86" s="2">
        <v>45950</v>
      </c>
      <c r="C86" s="1" t="s">
        <v>264</v>
      </c>
      <c r="D86" s="1" t="s">
        <v>265</v>
      </c>
      <c r="E86" s="83">
        <v>12510019</v>
      </c>
      <c r="F86" s="4">
        <v>1235</v>
      </c>
      <c r="G86" s="4" t="s">
        <v>1159</v>
      </c>
      <c r="H86" s="88" t="s">
        <v>59</v>
      </c>
      <c r="I86" s="11" t="s">
        <v>1168</v>
      </c>
      <c r="J86" s="4">
        <v>1565</v>
      </c>
      <c r="K86" s="4">
        <v>1545</v>
      </c>
      <c r="L86" s="4">
        <v>1542</v>
      </c>
      <c r="M86" s="5">
        <v>1541</v>
      </c>
      <c r="N86" s="5">
        <v>1540</v>
      </c>
      <c r="O86" s="30">
        <v>1541</v>
      </c>
      <c r="P86" s="7">
        <v>5</v>
      </c>
      <c r="Q86" s="4">
        <v>37</v>
      </c>
      <c r="R86" s="8"/>
      <c r="S86" s="9">
        <v>169</v>
      </c>
      <c r="T86" s="9">
        <v>65</v>
      </c>
      <c r="U86" s="9">
        <v>104</v>
      </c>
      <c r="V86" s="11" t="s">
        <v>5</v>
      </c>
      <c r="W86" s="16">
        <v>58</v>
      </c>
      <c r="X86" s="12">
        <v>2.8293850000000003</v>
      </c>
      <c r="Y86" s="7">
        <v>10.1</v>
      </c>
      <c r="Z86" s="7">
        <v>10.1</v>
      </c>
      <c r="AA86" s="13">
        <v>88</v>
      </c>
      <c r="AB86" s="13">
        <v>87</v>
      </c>
      <c r="AC86" s="11" t="s">
        <v>6</v>
      </c>
      <c r="AD86" s="18" t="s">
        <v>455</v>
      </c>
      <c r="AE86" s="14" t="s">
        <v>1169</v>
      </c>
    </row>
    <row r="87" spans="1:31" ht="157.5" x14ac:dyDescent="0.25">
      <c r="A87" s="1">
        <v>1458</v>
      </c>
      <c r="B87" s="2">
        <v>45950</v>
      </c>
      <c r="C87" s="1" t="s">
        <v>264</v>
      </c>
      <c r="D87" s="1" t="s">
        <v>265</v>
      </c>
      <c r="E87" s="83">
        <v>12510019</v>
      </c>
      <c r="F87" s="4">
        <v>1235</v>
      </c>
      <c r="G87" s="4" t="s">
        <v>10</v>
      </c>
      <c r="H87" s="88" t="s">
        <v>346</v>
      </c>
      <c r="I87" s="12" t="s">
        <v>1170</v>
      </c>
      <c r="J87" s="4">
        <v>1570</v>
      </c>
      <c r="K87" s="4">
        <v>1543</v>
      </c>
      <c r="L87" s="4">
        <v>1540</v>
      </c>
      <c r="M87" s="5">
        <v>1536</v>
      </c>
      <c r="N87" s="5">
        <v>1534</v>
      </c>
      <c r="O87" s="30">
        <v>1536.6666666666667</v>
      </c>
      <c r="P87" s="7">
        <v>4.5999999999999996</v>
      </c>
      <c r="Q87" s="4">
        <v>31</v>
      </c>
      <c r="R87" s="8"/>
      <c r="S87" s="9">
        <v>157</v>
      </c>
      <c r="T87" s="9">
        <v>70</v>
      </c>
      <c r="U87" s="10">
        <v>87</v>
      </c>
      <c r="V87" s="11" t="s">
        <v>5</v>
      </c>
      <c r="W87" s="16">
        <v>58</v>
      </c>
      <c r="X87" s="12">
        <v>2.6030342000000002</v>
      </c>
      <c r="Y87" s="7">
        <v>8.8000000000000007</v>
      </c>
      <c r="Z87" s="7">
        <v>6.1</v>
      </c>
      <c r="AA87" s="13">
        <v>72</v>
      </c>
      <c r="AB87" s="13">
        <v>72</v>
      </c>
      <c r="AC87" s="11" t="s">
        <v>6</v>
      </c>
      <c r="AD87" s="40" t="s">
        <v>885</v>
      </c>
      <c r="AE87" s="14" t="s">
        <v>1171</v>
      </c>
    </row>
    <row r="88" spans="1:31" ht="78.75" x14ac:dyDescent="0.25">
      <c r="A88" s="1">
        <v>1463</v>
      </c>
      <c r="B88" s="2">
        <v>45950</v>
      </c>
      <c r="C88" s="1" t="s">
        <v>264</v>
      </c>
      <c r="D88" s="1" t="s">
        <v>265</v>
      </c>
      <c r="E88" s="83">
        <v>12510019</v>
      </c>
      <c r="F88" s="4">
        <v>1235</v>
      </c>
      <c r="G88" s="4" t="s">
        <v>10</v>
      </c>
      <c r="H88" s="88" t="s">
        <v>159</v>
      </c>
      <c r="I88" s="4" t="s">
        <v>1172</v>
      </c>
      <c r="J88" s="99">
        <v>1571</v>
      </c>
      <c r="K88" s="4">
        <v>1551</v>
      </c>
      <c r="L88" s="4">
        <v>1549</v>
      </c>
      <c r="M88" s="5">
        <v>1548</v>
      </c>
      <c r="N88" s="5">
        <v>1545</v>
      </c>
      <c r="O88" s="30">
        <v>1547.3333333333333</v>
      </c>
      <c r="P88" s="7">
        <v>4.5</v>
      </c>
      <c r="Q88" s="4">
        <v>40</v>
      </c>
      <c r="R88" s="8"/>
      <c r="S88" s="9">
        <v>167</v>
      </c>
      <c r="T88" s="9">
        <v>60</v>
      </c>
      <c r="U88" s="10">
        <v>107</v>
      </c>
      <c r="V88" s="11" t="s">
        <v>5</v>
      </c>
      <c r="W88" s="16">
        <v>58</v>
      </c>
      <c r="X88" s="12">
        <v>2.5464465000000005</v>
      </c>
      <c r="Y88" s="7">
        <v>9.6999999999999993</v>
      </c>
      <c r="Z88" s="7">
        <v>9.5</v>
      </c>
      <c r="AA88" s="13">
        <v>84</v>
      </c>
      <c r="AB88" s="13">
        <v>83</v>
      </c>
      <c r="AC88" s="11" t="s">
        <v>6</v>
      </c>
      <c r="AD88" s="18" t="s">
        <v>72</v>
      </c>
      <c r="AE88" s="14" t="s">
        <v>1173</v>
      </c>
    </row>
    <row r="89" spans="1:31" ht="47.25" x14ac:dyDescent="0.25">
      <c r="A89" s="1">
        <v>1464</v>
      </c>
      <c r="B89" s="2">
        <v>45950</v>
      </c>
      <c r="C89" s="1" t="s">
        <v>264</v>
      </c>
      <c r="D89" s="1" t="s">
        <v>265</v>
      </c>
      <c r="E89" s="83">
        <v>12510019</v>
      </c>
      <c r="F89" s="4">
        <v>1235</v>
      </c>
      <c r="G89" s="4" t="s">
        <v>10</v>
      </c>
      <c r="H89" s="88" t="s">
        <v>373</v>
      </c>
      <c r="I89" s="4" t="s">
        <v>1174</v>
      </c>
      <c r="J89" s="99">
        <v>1576</v>
      </c>
      <c r="K89" s="4">
        <v>1549</v>
      </c>
      <c r="L89" s="5">
        <v>1547</v>
      </c>
      <c r="M89" s="5">
        <v>1545</v>
      </c>
      <c r="N89" s="5">
        <v>1542</v>
      </c>
      <c r="O89" s="30">
        <v>1544.6666666666667</v>
      </c>
      <c r="P89" s="7">
        <v>4</v>
      </c>
      <c r="Q89" s="4">
        <v>39</v>
      </c>
      <c r="R89" s="8"/>
      <c r="S89" s="9">
        <v>160</v>
      </c>
      <c r="T89" s="9">
        <v>65</v>
      </c>
      <c r="U89" s="10">
        <v>95</v>
      </c>
      <c r="V89" s="11" t="s">
        <v>5</v>
      </c>
      <c r="W89" s="16">
        <v>58</v>
      </c>
      <c r="X89" s="12">
        <v>2.2635080000000003</v>
      </c>
      <c r="Y89" s="7">
        <v>8.8000000000000007</v>
      </c>
      <c r="Z89" s="7">
        <v>8.1</v>
      </c>
      <c r="AA89" s="13">
        <v>78</v>
      </c>
      <c r="AB89" s="13">
        <v>77</v>
      </c>
      <c r="AC89" s="11" t="s">
        <v>6</v>
      </c>
      <c r="AD89" s="18" t="s">
        <v>72</v>
      </c>
      <c r="AE89" s="14" t="s">
        <v>1175</v>
      </c>
    </row>
    <row r="90" spans="1:31" ht="63" x14ac:dyDescent="0.25">
      <c r="A90" s="1">
        <v>1475</v>
      </c>
      <c r="B90" s="2">
        <v>45950</v>
      </c>
      <c r="C90" s="1" t="s">
        <v>264</v>
      </c>
      <c r="D90" s="1" t="s">
        <v>265</v>
      </c>
      <c r="E90" s="83">
        <v>22510021</v>
      </c>
      <c r="F90" s="4">
        <v>1240</v>
      </c>
      <c r="G90" s="4" t="s">
        <v>1159</v>
      </c>
      <c r="H90" s="88" t="s">
        <v>182</v>
      </c>
      <c r="I90" s="88" t="s">
        <v>1176</v>
      </c>
      <c r="J90" s="4">
        <v>1570</v>
      </c>
      <c r="K90" s="4">
        <v>1543</v>
      </c>
      <c r="L90" s="5">
        <v>1552</v>
      </c>
      <c r="M90" s="5">
        <v>1548</v>
      </c>
      <c r="N90" s="5">
        <v>1550</v>
      </c>
      <c r="O90" s="30">
        <v>1550</v>
      </c>
      <c r="P90" s="7">
        <v>5.2</v>
      </c>
      <c r="Q90" s="4">
        <v>36</v>
      </c>
      <c r="R90" s="8">
        <v>2</v>
      </c>
      <c r="S90" s="8">
        <v>169</v>
      </c>
      <c r="T90" s="8">
        <v>59</v>
      </c>
      <c r="U90" s="10">
        <v>110</v>
      </c>
      <c r="V90" s="11">
        <v>15.5</v>
      </c>
      <c r="W90" s="16">
        <v>58</v>
      </c>
      <c r="X90" s="12">
        <v>2.9544736</v>
      </c>
      <c r="Y90" s="7">
        <v>11.8</v>
      </c>
      <c r="Z90" s="7">
        <v>10.5</v>
      </c>
      <c r="AA90" s="13">
        <v>97</v>
      </c>
      <c r="AB90" s="13">
        <v>87</v>
      </c>
      <c r="AC90" s="11" t="s">
        <v>6</v>
      </c>
      <c r="AD90" s="18" t="s">
        <v>53</v>
      </c>
      <c r="AE90" s="14" t="s">
        <v>1177</v>
      </c>
    </row>
    <row r="91" spans="1:31" ht="110.25" x14ac:dyDescent="0.25">
      <c r="A91" s="1">
        <v>1485</v>
      </c>
      <c r="B91" s="2">
        <v>45950</v>
      </c>
      <c r="C91" s="1" t="s">
        <v>0</v>
      </c>
      <c r="D91" s="1" t="s">
        <v>19</v>
      </c>
      <c r="E91" s="83">
        <v>12510020</v>
      </c>
      <c r="F91" s="4">
        <v>1230</v>
      </c>
      <c r="G91" s="4" t="s">
        <v>55</v>
      </c>
      <c r="H91" s="88" t="s">
        <v>77</v>
      </c>
      <c r="I91" s="16" t="s">
        <v>1178</v>
      </c>
      <c r="J91" s="4">
        <v>1568</v>
      </c>
      <c r="K91" s="5">
        <v>1541</v>
      </c>
      <c r="L91" s="5">
        <v>1544</v>
      </c>
      <c r="M91" s="5">
        <v>1547</v>
      </c>
      <c r="N91" s="5">
        <v>1545</v>
      </c>
      <c r="O91" s="30">
        <v>1545.3333333333333</v>
      </c>
      <c r="P91" s="7">
        <v>4.8</v>
      </c>
      <c r="Q91" s="4">
        <v>43</v>
      </c>
      <c r="R91" s="8"/>
      <c r="S91" s="8">
        <v>167</v>
      </c>
      <c r="T91" s="8">
        <v>61</v>
      </c>
      <c r="U91" s="10">
        <v>106</v>
      </c>
      <c r="V91" s="11" t="s">
        <v>5</v>
      </c>
      <c r="W91" s="16">
        <v>58</v>
      </c>
      <c r="X91" s="12">
        <v>2.7052128</v>
      </c>
      <c r="Y91" s="7">
        <v>9.6999999999999993</v>
      </c>
      <c r="Z91" s="7">
        <v>9.3000000000000007</v>
      </c>
      <c r="AA91" s="13">
        <v>88</v>
      </c>
      <c r="AB91" s="13">
        <v>85</v>
      </c>
      <c r="AC91" s="11" t="s">
        <v>6</v>
      </c>
      <c r="AD91" s="18" t="s">
        <v>455</v>
      </c>
      <c r="AE91" s="14" t="s">
        <v>1179</v>
      </c>
    </row>
    <row r="92" spans="1:31" ht="63" x14ac:dyDescent="0.25">
      <c r="A92" s="1">
        <v>1515</v>
      </c>
      <c r="B92" s="2">
        <v>45951</v>
      </c>
      <c r="C92" s="1" t="s">
        <v>18</v>
      </c>
      <c r="D92" s="1" t="s">
        <v>1</v>
      </c>
      <c r="E92" s="83">
        <v>12510020</v>
      </c>
      <c r="F92" s="4">
        <v>1230</v>
      </c>
      <c r="G92" s="4" t="s">
        <v>10</v>
      </c>
      <c r="H92" s="88" t="s">
        <v>110</v>
      </c>
      <c r="I92" s="16" t="s">
        <v>1180</v>
      </c>
      <c r="J92" s="16">
        <v>1570</v>
      </c>
      <c r="K92" s="4">
        <v>1550</v>
      </c>
      <c r="L92" s="5">
        <v>1547</v>
      </c>
      <c r="M92" s="5">
        <v>1544</v>
      </c>
      <c r="N92" s="5">
        <v>1544</v>
      </c>
      <c r="O92" s="30">
        <v>1545</v>
      </c>
      <c r="P92" s="7">
        <v>5.3</v>
      </c>
      <c r="Q92" s="4">
        <v>34</v>
      </c>
      <c r="R92" s="8" t="s">
        <v>5</v>
      </c>
      <c r="S92" s="9">
        <v>169.3</v>
      </c>
      <c r="T92" s="9">
        <v>62.2</v>
      </c>
      <c r="U92" s="10">
        <v>107.10000000000001</v>
      </c>
      <c r="V92" s="11" t="s">
        <v>5</v>
      </c>
      <c r="W92" s="16">
        <v>58</v>
      </c>
      <c r="X92" s="12">
        <v>2.9870057999999999</v>
      </c>
      <c r="Y92" s="7">
        <v>9.4</v>
      </c>
      <c r="Z92" s="7">
        <v>9.5</v>
      </c>
      <c r="AA92" s="13">
        <v>81</v>
      </c>
      <c r="AB92" s="11">
        <v>82</v>
      </c>
      <c r="AC92" s="11" t="s">
        <v>6</v>
      </c>
      <c r="AD92" s="18" t="s">
        <v>455</v>
      </c>
      <c r="AE92" s="14" t="s">
        <v>907</v>
      </c>
    </row>
    <row r="93" spans="1:31" ht="31.5" x14ac:dyDescent="0.25">
      <c r="A93" s="1">
        <v>1523</v>
      </c>
      <c r="B93" s="2">
        <v>45951</v>
      </c>
      <c r="C93" s="1" t="s">
        <v>18</v>
      </c>
      <c r="D93" s="1" t="s">
        <v>1</v>
      </c>
      <c r="E93" s="83">
        <v>22510021</v>
      </c>
      <c r="F93" s="4">
        <v>1230</v>
      </c>
      <c r="G93" s="4" t="s">
        <v>10</v>
      </c>
      <c r="H93" s="88" t="s">
        <v>129</v>
      </c>
      <c r="I93" s="4" t="s">
        <v>1181</v>
      </c>
      <c r="J93" s="4">
        <v>1565</v>
      </c>
      <c r="K93" s="4">
        <v>1548</v>
      </c>
      <c r="L93" s="4">
        <v>1547</v>
      </c>
      <c r="M93" s="4">
        <v>1546</v>
      </c>
      <c r="N93" s="4">
        <v>1547</v>
      </c>
      <c r="O93" s="30">
        <v>1546.6666666666667</v>
      </c>
      <c r="P93" s="4">
        <v>5</v>
      </c>
      <c r="Q93" s="4">
        <v>40</v>
      </c>
      <c r="R93" s="4"/>
      <c r="S93" s="4" t="s">
        <v>5</v>
      </c>
      <c r="T93" s="4" t="s">
        <v>5</v>
      </c>
      <c r="U93" s="4" t="s">
        <v>5</v>
      </c>
      <c r="V93" s="11" t="s">
        <v>5</v>
      </c>
      <c r="W93" s="16">
        <v>58</v>
      </c>
      <c r="X93" s="12" t="s">
        <v>5</v>
      </c>
      <c r="Y93" s="7">
        <v>10.3</v>
      </c>
      <c r="Z93" s="7">
        <v>10</v>
      </c>
      <c r="AA93" s="7">
        <v>88</v>
      </c>
      <c r="AB93" s="7">
        <v>97</v>
      </c>
      <c r="AC93" s="11" t="s">
        <v>6</v>
      </c>
      <c r="AD93" s="18" t="s">
        <v>53</v>
      </c>
      <c r="AE93" s="14" t="s">
        <v>721</v>
      </c>
    </row>
    <row r="94" spans="1:31" ht="78.75" x14ac:dyDescent="0.25">
      <c r="A94" s="1">
        <v>1528</v>
      </c>
      <c r="B94" s="2">
        <v>45951</v>
      </c>
      <c r="C94" s="1" t="s">
        <v>18</v>
      </c>
      <c r="D94" s="1" t="s">
        <v>1</v>
      </c>
      <c r="E94" s="83">
        <v>22510021</v>
      </c>
      <c r="F94" s="4">
        <v>1230</v>
      </c>
      <c r="G94" s="4" t="s">
        <v>10</v>
      </c>
      <c r="H94" s="88" t="s">
        <v>3</v>
      </c>
      <c r="I94" s="9" t="s">
        <v>1182</v>
      </c>
      <c r="J94" s="4">
        <v>1567</v>
      </c>
      <c r="K94" s="4">
        <v>1544</v>
      </c>
      <c r="L94" s="4">
        <v>1544</v>
      </c>
      <c r="M94" s="5">
        <v>1549</v>
      </c>
      <c r="N94" s="5">
        <v>1549</v>
      </c>
      <c r="O94" s="30">
        <v>1547.3333333333333</v>
      </c>
      <c r="P94" s="7">
        <v>5.4</v>
      </c>
      <c r="Q94" s="4">
        <v>37</v>
      </c>
      <c r="R94" s="8" t="s">
        <v>5</v>
      </c>
      <c r="S94" s="9" t="s">
        <v>5</v>
      </c>
      <c r="T94" s="9"/>
      <c r="U94" s="9" t="e">
        <v>#VALUE!</v>
      </c>
      <c r="V94" s="11">
        <v>17.3</v>
      </c>
      <c r="W94" s="16">
        <v>58</v>
      </c>
      <c r="X94" s="12">
        <v>3.0433644000000002</v>
      </c>
      <c r="Y94" s="7">
        <v>10.3</v>
      </c>
      <c r="Z94" s="7">
        <v>9.8000000000000007</v>
      </c>
      <c r="AA94" s="13">
        <v>94</v>
      </c>
      <c r="AB94" s="13">
        <v>82</v>
      </c>
      <c r="AC94" s="11" t="s">
        <v>6</v>
      </c>
      <c r="AD94" s="18" t="s">
        <v>53</v>
      </c>
      <c r="AE94" s="14" t="s">
        <v>1183</v>
      </c>
    </row>
    <row r="95" spans="1:31" ht="63" x14ac:dyDescent="0.25">
      <c r="A95" s="1">
        <v>1537</v>
      </c>
      <c r="B95" s="2">
        <v>45951</v>
      </c>
      <c r="C95" s="1" t="s">
        <v>264</v>
      </c>
      <c r="D95" s="1" t="s">
        <v>265</v>
      </c>
      <c r="E95" s="83">
        <v>12510020</v>
      </c>
      <c r="F95" s="4">
        <v>1230</v>
      </c>
      <c r="G95" s="4" t="s">
        <v>10</v>
      </c>
      <c r="H95" s="88" t="s">
        <v>331</v>
      </c>
      <c r="I95" s="4" t="s">
        <v>1184</v>
      </c>
      <c r="J95" s="99">
        <v>1567</v>
      </c>
      <c r="K95" s="4">
        <v>1548</v>
      </c>
      <c r="L95" s="4">
        <v>1548</v>
      </c>
      <c r="M95" s="5">
        <v>1548</v>
      </c>
      <c r="N95" s="5">
        <v>1548</v>
      </c>
      <c r="O95" s="30">
        <v>1548</v>
      </c>
      <c r="P95" s="7">
        <v>5.5</v>
      </c>
      <c r="Q95" s="4">
        <v>32</v>
      </c>
      <c r="R95" s="8" t="s">
        <v>5</v>
      </c>
      <c r="S95" s="9">
        <v>166</v>
      </c>
      <c r="T95" s="9">
        <v>61</v>
      </c>
      <c r="U95" s="10">
        <v>105</v>
      </c>
      <c r="V95" s="11" t="s">
        <v>5</v>
      </c>
      <c r="W95" s="16">
        <v>58</v>
      </c>
      <c r="X95" s="12">
        <v>3.099723</v>
      </c>
      <c r="Y95" s="7">
        <v>8.8000000000000007</v>
      </c>
      <c r="Z95" s="7">
        <v>8.4</v>
      </c>
      <c r="AA95" s="13">
        <v>84</v>
      </c>
      <c r="AB95" s="13">
        <v>77</v>
      </c>
      <c r="AC95" s="11" t="s">
        <v>6</v>
      </c>
      <c r="AD95" s="18" t="s">
        <v>455</v>
      </c>
      <c r="AE95" s="14" t="s">
        <v>1185</v>
      </c>
    </row>
    <row r="96" spans="1:31" ht="63" x14ac:dyDescent="0.25">
      <c r="A96" s="1">
        <v>1546</v>
      </c>
      <c r="B96" s="2">
        <v>45951</v>
      </c>
      <c r="C96" s="1" t="s">
        <v>264</v>
      </c>
      <c r="D96" s="1" t="s">
        <v>265</v>
      </c>
      <c r="E96" s="83">
        <v>12510020</v>
      </c>
      <c r="F96" s="4">
        <v>1230</v>
      </c>
      <c r="G96" s="4" t="s">
        <v>10</v>
      </c>
      <c r="H96" s="88" t="s">
        <v>416</v>
      </c>
      <c r="I96" s="16" t="s">
        <v>1186</v>
      </c>
      <c r="J96" s="4">
        <v>1568</v>
      </c>
      <c r="K96" s="4">
        <v>1545</v>
      </c>
      <c r="L96" s="5">
        <v>1543</v>
      </c>
      <c r="M96" s="5">
        <v>1541</v>
      </c>
      <c r="N96" s="5">
        <v>1541</v>
      </c>
      <c r="O96" s="30">
        <v>1541.6666666666667</v>
      </c>
      <c r="P96" s="7">
        <v>5</v>
      </c>
      <c r="Q96" s="4">
        <v>40</v>
      </c>
      <c r="R96" s="8" t="s">
        <v>5</v>
      </c>
      <c r="S96" s="9">
        <v>170</v>
      </c>
      <c r="T96" s="9">
        <v>58</v>
      </c>
      <c r="U96" s="10">
        <v>112</v>
      </c>
      <c r="V96" s="11" t="s">
        <v>5</v>
      </c>
      <c r="W96" s="16">
        <v>58</v>
      </c>
      <c r="X96" s="12">
        <v>2.81793</v>
      </c>
      <c r="Y96" s="7">
        <v>9.9</v>
      </c>
      <c r="Z96" s="7">
        <v>9.6999999999999993</v>
      </c>
      <c r="AA96" s="13">
        <v>83</v>
      </c>
      <c r="AB96" s="13">
        <v>83</v>
      </c>
      <c r="AC96" s="11" t="s">
        <v>6</v>
      </c>
      <c r="AD96" s="18" t="s">
        <v>455</v>
      </c>
      <c r="AE96" s="14" t="s">
        <v>1062</v>
      </c>
    </row>
    <row r="97" spans="1:31" ht="63" x14ac:dyDescent="0.25">
      <c r="A97" s="1">
        <v>1551</v>
      </c>
      <c r="B97" s="2">
        <v>45951</v>
      </c>
      <c r="C97" s="1" t="s">
        <v>264</v>
      </c>
      <c r="D97" s="1" t="s">
        <v>265</v>
      </c>
      <c r="E97" s="83">
        <v>22510021</v>
      </c>
      <c r="F97" s="4">
        <v>1230</v>
      </c>
      <c r="G97" s="4" t="s">
        <v>10</v>
      </c>
      <c r="H97" s="88" t="s">
        <v>159</v>
      </c>
      <c r="I97" s="16" t="s">
        <v>1187</v>
      </c>
      <c r="J97" s="4">
        <v>1564</v>
      </c>
      <c r="K97" s="4">
        <v>1544</v>
      </c>
      <c r="L97" s="5">
        <v>1544</v>
      </c>
      <c r="M97" s="5">
        <v>1538</v>
      </c>
      <c r="N97" s="5" t="s">
        <v>5</v>
      </c>
      <c r="O97" s="30">
        <v>1541</v>
      </c>
      <c r="P97" s="7">
        <v>4.5999999999999996</v>
      </c>
      <c r="Q97" s="4">
        <v>36</v>
      </c>
      <c r="R97" s="8" t="s">
        <v>5</v>
      </c>
      <c r="S97" s="8">
        <v>160.1</v>
      </c>
      <c r="T97" s="8">
        <v>60</v>
      </c>
      <c r="U97" s="10">
        <v>100.1</v>
      </c>
      <c r="V97" s="11">
        <v>13.7</v>
      </c>
      <c r="W97" s="16">
        <v>58</v>
      </c>
      <c r="X97" s="12">
        <v>2.5924955999999999</v>
      </c>
      <c r="Y97" s="7">
        <v>10.1</v>
      </c>
      <c r="Z97" s="7">
        <v>10.199999999999999</v>
      </c>
      <c r="AA97" s="13">
        <v>80</v>
      </c>
      <c r="AB97" s="13">
        <v>82</v>
      </c>
      <c r="AC97" s="11" t="s">
        <v>6</v>
      </c>
      <c r="AD97" s="18" t="s">
        <v>53</v>
      </c>
      <c r="AE97" s="14" t="s">
        <v>1188</v>
      </c>
    </row>
    <row r="98" spans="1:31" ht="31.5" x14ac:dyDescent="0.25">
      <c r="A98" s="1">
        <v>1552</v>
      </c>
      <c r="B98" s="2">
        <v>45951</v>
      </c>
      <c r="C98" s="1" t="s">
        <v>264</v>
      </c>
      <c r="D98" s="1" t="s">
        <v>265</v>
      </c>
      <c r="E98" s="83">
        <v>22510021</v>
      </c>
      <c r="F98" s="4">
        <v>1230</v>
      </c>
      <c r="G98" s="4" t="s">
        <v>10</v>
      </c>
      <c r="H98" s="88" t="s">
        <v>373</v>
      </c>
      <c r="I98" s="16" t="s">
        <v>1189</v>
      </c>
      <c r="J98" s="4">
        <v>1566</v>
      </c>
      <c r="K98" s="4">
        <v>1542</v>
      </c>
      <c r="L98" s="5">
        <v>1542</v>
      </c>
      <c r="M98" s="5">
        <v>1546</v>
      </c>
      <c r="N98" s="5">
        <v>1542</v>
      </c>
      <c r="O98" s="30">
        <v>1543.3333333333333</v>
      </c>
      <c r="P98" s="7">
        <v>5.3</v>
      </c>
      <c r="Q98" s="4">
        <v>38</v>
      </c>
      <c r="R98" s="8" t="s">
        <v>5</v>
      </c>
      <c r="S98" s="8" t="s">
        <v>5</v>
      </c>
      <c r="T98" s="8" t="s">
        <v>5</v>
      </c>
      <c r="U98" s="10" t="e">
        <v>#VALUE!</v>
      </c>
      <c r="V98" s="11">
        <v>17.899999999999999</v>
      </c>
      <c r="W98" s="16">
        <v>58</v>
      </c>
      <c r="X98" s="12">
        <v>2.9870057999999999</v>
      </c>
      <c r="Y98" s="7">
        <v>10.7</v>
      </c>
      <c r="Z98" s="7">
        <v>9.1999999999999993</v>
      </c>
      <c r="AA98" s="13">
        <v>88</v>
      </c>
      <c r="AB98" s="13">
        <v>75</v>
      </c>
      <c r="AC98" s="11" t="s">
        <v>6</v>
      </c>
      <c r="AD98" s="18" t="s">
        <v>53</v>
      </c>
      <c r="AE98" s="14" t="s">
        <v>480</v>
      </c>
    </row>
    <row r="99" spans="1:31" ht="63" x14ac:dyDescent="0.25">
      <c r="A99" s="1">
        <v>1555</v>
      </c>
      <c r="B99" s="2">
        <v>45951</v>
      </c>
      <c r="C99" s="1" t="s">
        <v>264</v>
      </c>
      <c r="D99" s="1" t="s">
        <v>265</v>
      </c>
      <c r="E99" s="83">
        <v>22510021</v>
      </c>
      <c r="F99" s="4">
        <v>1230</v>
      </c>
      <c r="G99" s="4" t="s">
        <v>10</v>
      </c>
      <c r="H99" s="88" t="s">
        <v>296</v>
      </c>
      <c r="I99" s="16" t="s">
        <v>1190</v>
      </c>
      <c r="J99" s="4">
        <v>1568</v>
      </c>
      <c r="K99" s="4">
        <v>1550</v>
      </c>
      <c r="L99" s="5">
        <v>1550</v>
      </c>
      <c r="M99" s="5">
        <v>1552</v>
      </c>
      <c r="N99" s="5" t="s">
        <v>5</v>
      </c>
      <c r="O99" s="30">
        <v>1551</v>
      </c>
      <c r="P99" s="7">
        <v>5.5</v>
      </c>
      <c r="Q99" s="4">
        <v>28</v>
      </c>
      <c r="R99" s="8" t="s">
        <v>5</v>
      </c>
      <c r="S99" s="8">
        <v>161</v>
      </c>
      <c r="T99" s="8">
        <v>60</v>
      </c>
      <c r="U99" s="10">
        <v>101</v>
      </c>
      <c r="V99" s="11">
        <v>14.8</v>
      </c>
      <c r="W99" s="16">
        <v>58</v>
      </c>
      <c r="X99" s="12">
        <v>3.099723</v>
      </c>
      <c r="Y99" s="7">
        <v>10.7</v>
      </c>
      <c r="Z99" s="7">
        <v>10.199999999999999</v>
      </c>
      <c r="AA99" s="13">
        <v>89</v>
      </c>
      <c r="AB99" s="13">
        <v>86</v>
      </c>
      <c r="AC99" s="11" t="s">
        <v>6</v>
      </c>
      <c r="AD99" s="18" t="s">
        <v>53</v>
      </c>
      <c r="AE99" s="14" t="s">
        <v>1191</v>
      </c>
    </row>
    <row r="100" spans="1:31" ht="78.75" x14ac:dyDescent="0.25">
      <c r="A100" s="1">
        <v>1559</v>
      </c>
      <c r="B100" s="2">
        <v>45951</v>
      </c>
      <c r="C100" s="1" t="s">
        <v>0</v>
      </c>
      <c r="D100" s="1" t="s">
        <v>19</v>
      </c>
      <c r="E100" s="83">
        <v>12510020</v>
      </c>
      <c r="F100" s="4">
        <v>1230</v>
      </c>
      <c r="G100" s="4" t="s">
        <v>10</v>
      </c>
      <c r="H100" s="88" t="s">
        <v>3</v>
      </c>
      <c r="I100" s="16" t="s">
        <v>1192</v>
      </c>
      <c r="J100" s="4">
        <v>1575</v>
      </c>
      <c r="K100" s="4">
        <v>1550</v>
      </c>
      <c r="L100" s="5">
        <v>1551</v>
      </c>
      <c r="M100" s="5">
        <v>1550</v>
      </c>
      <c r="N100" s="5" t="s">
        <v>5</v>
      </c>
      <c r="O100" s="30">
        <v>1550.5</v>
      </c>
      <c r="P100" s="7">
        <v>4.8</v>
      </c>
      <c r="Q100" s="4">
        <v>37</v>
      </c>
      <c r="R100" s="8" t="s">
        <v>5</v>
      </c>
      <c r="S100" s="8">
        <v>160.19999999999999</v>
      </c>
      <c r="T100" s="8">
        <v>63.8</v>
      </c>
      <c r="U100" s="10">
        <v>96.399999999999991</v>
      </c>
      <c r="V100" s="11" t="s">
        <v>5</v>
      </c>
      <c r="W100" s="16">
        <v>58</v>
      </c>
      <c r="X100" s="12">
        <v>2.7052128</v>
      </c>
      <c r="Y100" s="7">
        <v>7.6</v>
      </c>
      <c r="Z100" s="7">
        <v>7.2</v>
      </c>
      <c r="AA100" s="13">
        <v>83</v>
      </c>
      <c r="AB100" s="13">
        <v>81</v>
      </c>
      <c r="AC100" s="11" t="s">
        <v>6</v>
      </c>
      <c r="AD100" s="18" t="s">
        <v>455</v>
      </c>
      <c r="AE100" s="14" t="s">
        <v>1193</v>
      </c>
    </row>
    <row r="101" spans="1:31" ht="31.5" x14ac:dyDescent="0.25">
      <c r="A101" s="1">
        <v>1587</v>
      </c>
      <c r="B101" s="2">
        <v>45952</v>
      </c>
      <c r="C101" s="1" t="s">
        <v>18</v>
      </c>
      <c r="D101" s="1" t="s">
        <v>1</v>
      </c>
      <c r="E101" s="83">
        <v>22510023</v>
      </c>
      <c r="F101" s="4">
        <v>1250</v>
      </c>
      <c r="G101" s="4" t="s">
        <v>1194</v>
      </c>
      <c r="H101" s="88" t="s">
        <v>189</v>
      </c>
      <c r="I101" s="7" t="s">
        <v>1195</v>
      </c>
      <c r="J101" s="4">
        <v>1571</v>
      </c>
      <c r="K101" s="4">
        <v>1553</v>
      </c>
      <c r="L101" s="4">
        <v>1553</v>
      </c>
      <c r="M101" s="5">
        <v>1547</v>
      </c>
      <c r="N101" s="5">
        <v>1547</v>
      </c>
      <c r="O101" s="30">
        <v>1549</v>
      </c>
      <c r="P101" s="7">
        <v>4.8</v>
      </c>
      <c r="Q101" s="4">
        <v>30</v>
      </c>
      <c r="R101" s="8">
        <v>8</v>
      </c>
      <c r="S101" s="9">
        <v>146</v>
      </c>
      <c r="T101" s="9">
        <v>58</v>
      </c>
      <c r="U101" s="9">
        <v>88</v>
      </c>
      <c r="V101" s="11" t="s">
        <v>5</v>
      </c>
      <c r="W101" s="16">
        <v>58</v>
      </c>
      <c r="X101" s="12">
        <v>2.7491999999999996</v>
      </c>
      <c r="Y101" s="7">
        <v>8.6999999999999993</v>
      </c>
      <c r="Z101" s="7">
        <v>8.1999999999999993</v>
      </c>
      <c r="AA101" s="13">
        <v>79</v>
      </c>
      <c r="AB101" s="13">
        <v>74</v>
      </c>
      <c r="AC101" s="11" t="s">
        <v>6</v>
      </c>
      <c r="AD101" s="18" t="s">
        <v>455</v>
      </c>
      <c r="AE101" s="14" t="s">
        <v>721</v>
      </c>
    </row>
    <row r="102" spans="1:31" ht="31.5" x14ac:dyDescent="0.25">
      <c r="A102" s="1">
        <v>1609</v>
      </c>
      <c r="B102" s="2">
        <v>45952</v>
      </c>
      <c r="C102" s="1" t="s">
        <v>264</v>
      </c>
      <c r="D102" s="1" t="s">
        <v>265</v>
      </c>
      <c r="E102" s="83">
        <v>22510023</v>
      </c>
      <c r="F102" s="4">
        <v>1250</v>
      </c>
      <c r="G102" s="4" t="s">
        <v>10</v>
      </c>
      <c r="H102" s="88" t="s">
        <v>229</v>
      </c>
      <c r="I102" s="16" t="s">
        <v>1196</v>
      </c>
      <c r="J102" s="4">
        <v>1564</v>
      </c>
      <c r="K102" s="4">
        <v>1542</v>
      </c>
      <c r="L102" s="5">
        <v>1545</v>
      </c>
      <c r="M102" s="5">
        <v>1546</v>
      </c>
      <c r="N102" s="5" t="s">
        <v>5</v>
      </c>
      <c r="O102" s="30">
        <v>1545.5</v>
      </c>
      <c r="P102" s="7">
        <v>5.6</v>
      </c>
      <c r="Q102" s="4">
        <v>27</v>
      </c>
      <c r="R102" s="8">
        <v>20</v>
      </c>
      <c r="S102" s="9">
        <v>156</v>
      </c>
      <c r="T102" s="9">
        <v>60</v>
      </c>
      <c r="U102" s="10">
        <v>96</v>
      </c>
      <c r="V102" s="11">
        <v>14</v>
      </c>
      <c r="W102" s="16">
        <v>58</v>
      </c>
      <c r="X102" s="12">
        <v>3.2073999999999998</v>
      </c>
      <c r="Y102" s="14">
        <v>8.4</v>
      </c>
      <c r="Z102" s="7">
        <v>8.6999999999999993</v>
      </c>
      <c r="AA102" s="13">
        <v>79</v>
      </c>
      <c r="AB102" s="13">
        <v>79</v>
      </c>
      <c r="AC102" s="11" t="s">
        <v>6</v>
      </c>
      <c r="AD102" s="18" t="s">
        <v>53</v>
      </c>
      <c r="AE102" s="14" t="s">
        <v>706</v>
      </c>
    </row>
    <row r="103" spans="1:31" ht="126" x14ac:dyDescent="0.25">
      <c r="A103" s="1">
        <v>1633</v>
      </c>
      <c r="B103" s="2">
        <v>45952</v>
      </c>
      <c r="C103" s="1" t="s">
        <v>0</v>
      </c>
      <c r="D103" s="1" t="s">
        <v>19</v>
      </c>
      <c r="E103" s="83">
        <v>22510023</v>
      </c>
      <c r="F103" s="4">
        <v>1240</v>
      </c>
      <c r="G103" s="4" t="s">
        <v>10</v>
      </c>
      <c r="H103" s="88" t="s">
        <v>113</v>
      </c>
      <c r="I103" s="16" t="s">
        <v>1197</v>
      </c>
      <c r="J103" s="4">
        <v>1572</v>
      </c>
      <c r="K103" s="5">
        <v>1545</v>
      </c>
      <c r="L103" s="5">
        <v>1545</v>
      </c>
      <c r="M103" s="5">
        <v>1542</v>
      </c>
      <c r="N103" s="5" t="s">
        <v>5</v>
      </c>
      <c r="O103" s="30">
        <v>1543.5</v>
      </c>
      <c r="P103" s="7">
        <v>4.9000000000000004</v>
      </c>
      <c r="Q103" s="4">
        <v>31</v>
      </c>
      <c r="R103" s="8">
        <v>8</v>
      </c>
      <c r="S103" s="8" t="s">
        <v>5</v>
      </c>
      <c r="T103" s="8" t="s">
        <v>5</v>
      </c>
      <c r="U103" s="9" t="e">
        <v>#VALUE!</v>
      </c>
      <c r="V103" s="11">
        <v>15.4</v>
      </c>
      <c r="W103" s="16">
        <v>58</v>
      </c>
      <c r="X103" s="12">
        <v>2.7840232</v>
      </c>
      <c r="Y103" s="7">
        <v>10.5</v>
      </c>
      <c r="Z103" s="7">
        <v>10.8</v>
      </c>
      <c r="AA103" s="13">
        <v>82</v>
      </c>
      <c r="AB103" s="13">
        <v>82</v>
      </c>
      <c r="AC103" s="11" t="s">
        <v>6</v>
      </c>
      <c r="AD103" s="18" t="s">
        <v>455</v>
      </c>
      <c r="AE103" s="103" t="s">
        <v>1198</v>
      </c>
    </row>
    <row r="104" spans="1:31" ht="63" x14ac:dyDescent="0.25">
      <c r="A104" s="1">
        <v>1761</v>
      </c>
      <c r="B104" s="2">
        <v>45954</v>
      </c>
      <c r="C104" s="1" t="s">
        <v>264</v>
      </c>
      <c r="D104" s="1" t="s">
        <v>19</v>
      </c>
      <c r="E104" s="83">
        <v>22510025</v>
      </c>
      <c r="F104" s="4">
        <v>1250</v>
      </c>
      <c r="G104" s="4" t="s">
        <v>55</v>
      </c>
      <c r="H104" s="88" t="s">
        <v>194</v>
      </c>
      <c r="I104" s="4" t="s">
        <v>1199</v>
      </c>
      <c r="J104" s="4">
        <v>1580</v>
      </c>
      <c r="K104" s="4">
        <v>1550</v>
      </c>
      <c r="L104" s="5">
        <v>1550</v>
      </c>
      <c r="M104" s="5">
        <v>1551</v>
      </c>
      <c r="N104" s="5">
        <v>1553</v>
      </c>
      <c r="O104" s="30">
        <v>1551</v>
      </c>
      <c r="P104" s="7">
        <v>5.2</v>
      </c>
      <c r="Q104" s="4">
        <v>36</v>
      </c>
      <c r="R104" s="8" t="s">
        <v>5</v>
      </c>
      <c r="S104" s="9">
        <v>159</v>
      </c>
      <c r="T104" s="9">
        <v>60</v>
      </c>
      <c r="U104" s="10">
        <v>99</v>
      </c>
      <c r="V104" s="11" t="s">
        <v>5</v>
      </c>
      <c r="W104" s="16">
        <v>56</v>
      </c>
      <c r="X104" s="12">
        <v>2.8756000000000004</v>
      </c>
      <c r="Y104" s="7">
        <v>9.3000000000000007</v>
      </c>
      <c r="Z104" s="7">
        <v>8.9</v>
      </c>
      <c r="AA104" s="13">
        <v>77</v>
      </c>
      <c r="AB104" s="13">
        <v>79</v>
      </c>
      <c r="AC104" s="11" t="s">
        <v>6</v>
      </c>
      <c r="AD104" s="40" t="s">
        <v>72</v>
      </c>
      <c r="AE104" s="14" t="s">
        <v>1200</v>
      </c>
    </row>
    <row r="105" spans="1:31" ht="110.25" x14ac:dyDescent="0.25">
      <c r="A105" s="1">
        <v>1817</v>
      </c>
      <c r="B105" s="2">
        <v>45955</v>
      </c>
      <c r="C105" s="1" t="s">
        <v>18</v>
      </c>
      <c r="D105" s="1" t="s">
        <v>9</v>
      </c>
      <c r="E105" s="83">
        <v>22510025</v>
      </c>
      <c r="F105" s="4">
        <v>1230</v>
      </c>
      <c r="G105" s="4" t="s">
        <v>10</v>
      </c>
      <c r="H105" s="88" t="s">
        <v>416</v>
      </c>
      <c r="I105" s="4" t="s">
        <v>1201</v>
      </c>
      <c r="J105" s="4">
        <v>1576</v>
      </c>
      <c r="K105" s="4">
        <v>1549</v>
      </c>
      <c r="L105" s="4">
        <v>1549</v>
      </c>
      <c r="M105" s="4">
        <v>1551</v>
      </c>
      <c r="N105" s="4">
        <v>1549</v>
      </c>
      <c r="O105" s="30">
        <v>1549.5</v>
      </c>
      <c r="P105" s="4">
        <v>4</v>
      </c>
      <c r="Q105" s="4">
        <v>50</v>
      </c>
      <c r="R105" s="8" t="s">
        <v>5</v>
      </c>
      <c r="S105" s="8">
        <v>170</v>
      </c>
      <c r="T105" s="8">
        <v>60</v>
      </c>
      <c r="U105" s="10">
        <v>110</v>
      </c>
      <c r="V105" s="11" t="s">
        <v>5</v>
      </c>
      <c r="W105" s="16">
        <v>58</v>
      </c>
      <c r="X105" s="12">
        <v>2.2543440000000001</v>
      </c>
      <c r="Y105" s="7">
        <v>9.1</v>
      </c>
      <c r="Z105" s="7">
        <v>9.6999999999999993</v>
      </c>
      <c r="AA105" s="7">
        <v>83</v>
      </c>
      <c r="AB105" s="7">
        <v>85</v>
      </c>
      <c r="AC105" s="11" t="s">
        <v>6</v>
      </c>
      <c r="AD105" s="18" t="s">
        <v>53</v>
      </c>
      <c r="AE105" s="14" t="s">
        <v>1202</v>
      </c>
    </row>
    <row r="106" spans="1:31" ht="31.5" x14ac:dyDescent="0.25">
      <c r="A106" s="1">
        <v>1866</v>
      </c>
      <c r="B106" s="2">
        <v>45955</v>
      </c>
      <c r="C106" s="1" t="s">
        <v>0</v>
      </c>
      <c r="D106" s="1" t="s">
        <v>276</v>
      </c>
      <c r="E106" s="83">
        <v>22510027</v>
      </c>
      <c r="F106" s="4">
        <v>1240</v>
      </c>
      <c r="G106" s="4" t="s">
        <v>10</v>
      </c>
      <c r="H106" s="88" t="s">
        <v>70</v>
      </c>
      <c r="I106" s="16" t="s">
        <v>1203</v>
      </c>
      <c r="J106" s="4">
        <v>1547</v>
      </c>
      <c r="K106" s="5">
        <v>1547</v>
      </c>
      <c r="L106" s="5">
        <v>1544</v>
      </c>
      <c r="M106" s="5">
        <v>1543</v>
      </c>
      <c r="N106" s="5" t="s">
        <v>5</v>
      </c>
      <c r="O106" s="30">
        <v>1544.6666666666667</v>
      </c>
      <c r="P106" s="7">
        <v>4.8</v>
      </c>
      <c r="Q106" s="4">
        <v>37</v>
      </c>
      <c r="R106" s="8" t="s">
        <v>5</v>
      </c>
      <c r="S106" s="8" t="s">
        <v>5</v>
      </c>
      <c r="T106" s="8" t="s">
        <v>5</v>
      </c>
      <c r="U106" s="9" t="s">
        <v>5</v>
      </c>
      <c r="V106" s="11" t="s">
        <v>5</v>
      </c>
      <c r="W106" s="16">
        <v>58</v>
      </c>
      <c r="X106" s="12">
        <v>2.7272064</v>
      </c>
      <c r="Y106" s="7">
        <v>9.4</v>
      </c>
      <c r="Z106" s="7">
        <v>10.8</v>
      </c>
      <c r="AA106" s="13">
        <v>89</v>
      </c>
      <c r="AB106" s="13">
        <v>91</v>
      </c>
      <c r="AC106" s="11" t="s">
        <v>6</v>
      </c>
      <c r="AD106" s="18" t="s">
        <v>53</v>
      </c>
      <c r="AE106" s="14" t="s">
        <v>721</v>
      </c>
    </row>
    <row r="107" spans="1:31" ht="78.75" x14ac:dyDescent="0.25">
      <c r="A107" s="1">
        <v>1911</v>
      </c>
      <c r="B107" s="2">
        <v>45956</v>
      </c>
      <c r="C107" s="1" t="s">
        <v>264</v>
      </c>
      <c r="D107" s="1" t="s">
        <v>1</v>
      </c>
      <c r="E107" s="83">
        <v>22510027</v>
      </c>
      <c r="F107" s="4">
        <v>1250</v>
      </c>
      <c r="G107" s="4" t="s">
        <v>10</v>
      </c>
      <c r="H107" s="88" t="s">
        <v>331</v>
      </c>
      <c r="I107" s="88" t="s">
        <v>1204</v>
      </c>
      <c r="J107" s="4">
        <v>1570</v>
      </c>
      <c r="K107" s="4">
        <v>1550</v>
      </c>
      <c r="L107" s="5">
        <v>1550</v>
      </c>
      <c r="M107" s="5">
        <v>1550</v>
      </c>
      <c r="N107" s="5">
        <v>1550</v>
      </c>
      <c r="O107" s="30">
        <v>1550</v>
      </c>
      <c r="P107" s="7">
        <v>4.5</v>
      </c>
      <c r="Q107" s="4">
        <v>38</v>
      </c>
      <c r="R107" s="8">
        <v>25</v>
      </c>
      <c r="S107" s="11" t="s">
        <v>5</v>
      </c>
      <c r="T107" s="11" t="s">
        <v>5</v>
      </c>
      <c r="U107" s="9" t="s">
        <v>5</v>
      </c>
      <c r="V107" s="11" t="s">
        <v>5</v>
      </c>
      <c r="W107" s="11">
        <v>58</v>
      </c>
      <c r="X107" s="12">
        <v>2.577375</v>
      </c>
      <c r="Y107" s="7">
        <v>10</v>
      </c>
      <c r="Z107" s="7">
        <v>10.1</v>
      </c>
      <c r="AA107" s="13">
        <v>92</v>
      </c>
      <c r="AB107" s="13">
        <v>90</v>
      </c>
      <c r="AC107" s="11" t="s">
        <v>6</v>
      </c>
      <c r="AD107" s="40" t="s">
        <v>53</v>
      </c>
      <c r="AE107" s="14" t="s">
        <v>1205</v>
      </c>
    </row>
    <row r="108" spans="1:31" ht="204.75" x14ac:dyDescent="0.25">
      <c r="A108" s="1">
        <v>1981</v>
      </c>
      <c r="B108" s="2">
        <v>45957</v>
      </c>
      <c r="C108" s="1" t="s">
        <v>264</v>
      </c>
      <c r="D108" s="1" t="s">
        <v>1</v>
      </c>
      <c r="E108" s="83">
        <v>22510029</v>
      </c>
      <c r="F108" s="4">
        <v>1260</v>
      </c>
      <c r="G108" s="4" t="s">
        <v>10</v>
      </c>
      <c r="H108" s="88" t="s">
        <v>70</v>
      </c>
      <c r="I108" s="4" t="s">
        <v>1206</v>
      </c>
      <c r="J108" s="4">
        <v>1571</v>
      </c>
      <c r="K108" s="4">
        <v>1546</v>
      </c>
      <c r="L108" s="5">
        <v>1546</v>
      </c>
      <c r="M108" s="5">
        <v>1546</v>
      </c>
      <c r="N108" s="5">
        <v>1546</v>
      </c>
      <c r="O108" s="30">
        <v>1546</v>
      </c>
      <c r="P108" s="7">
        <v>4.5999999999999996</v>
      </c>
      <c r="Q108" s="4">
        <v>35</v>
      </c>
      <c r="R108" s="8">
        <v>33</v>
      </c>
      <c r="S108" s="9">
        <v>147</v>
      </c>
      <c r="T108" s="9">
        <v>62</v>
      </c>
      <c r="U108" s="10">
        <v>85</v>
      </c>
      <c r="V108" s="11" t="s">
        <v>5</v>
      </c>
      <c r="W108" s="11">
        <v>58</v>
      </c>
      <c r="X108" s="12">
        <v>2.6557272000000003</v>
      </c>
      <c r="Y108" s="7">
        <v>9.8000000000000007</v>
      </c>
      <c r="Z108" s="7">
        <v>8.6</v>
      </c>
      <c r="AA108" s="13">
        <v>92</v>
      </c>
      <c r="AB108" s="13">
        <v>80</v>
      </c>
      <c r="AC108" s="11" t="s">
        <v>6</v>
      </c>
      <c r="AD108" s="18" t="s">
        <v>53</v>
      </c>
      <c r="AE108" s="14" t="s">
        <v>1207</v>
      </c>
    </row>
    <row r="109" spans="1:31" ht="157.5" x14ac:dyDescent="0.25">
      <c r="A109" s="1">
        <v>1985</v>
      </c>
      <c r="B109" s="2">
        <v>45957</v>
      </c>
      <c r="C109" s="1" t="s">
        <v>264</v>
      </c>
      <c r="D109" s="1" t="s">
        <v>1</v>
      </c>
      <c r="E109" s="83">
        <v>22510029</v>
      </c>
      <c r="F109" s="4">
        <v>1260</v>
      </c>
      <c r="G109" s="4" t="s">
        <v>10</v>
      </c>
      <c r="H109" s="88" t="s">
        <v>122</v>
      </c>
      <c r="I109" s="16" t="s">
        <v>1208</v>
      </c>
      <c r="J109" s="4">
        <v>1567</v>
      </c>
      <c r="K109" s="4">
        <v>1554</v>
      </c>
      <c r="L109" s="5">
        <v>1554</v>
      </c>
      <c r="M109" s="5">
        <v>1553</v>
      </c>
      <c r="N109" s="5">
        <v>1553</v>
      </c>
      <c r="O109" s="30">
        <v>1553.5</v>
      </c>
      <c r="P109" s="7">
        <v>4.4000000000000004</v>
      </c>
      <c r="Q109" s="4">
        <v>32</v>
      </c>
      <c r="R109" s="8"/>
      <c r="S109" s="9">
        <v>156</v>
      </c>
      <c r="T109" s="9">
        <v>64</v>
      </c>
      <c r="U109" s="10">
        <v>92</v>
      </c>
      <c r="V109" s="11" t="s">
        <v>5</v>
      </c>
      <c r="W109" s="11">
        <v>58</v>
      </c>
      <c r="X109" s="12">
        <v>2.5402608000000004</v>
      </c>
      <c r="Y109" s="7">
        <v>11.2</v>
      </c>
      <c r="Z109" s="7">
        <v>10</v>
      </c>
      <c r="AA109" s="13">
        <v>91</v>
      </c>
      <c r="AB109" s="13">
        <v>82</v>
      </c>
      <c r="AC109" s="11" t="s">
        <v>6</v>
      </c>
      <c r="AD109" s="18" t="s">
        <v>53</v>
      </c>
      <c r="AE109" s="14" t="s">
        <v>1209</v>
      </c>
    </row>
    <row r="110" spans="1:31" ht="63" x14ac:dyDescent="0.25">
      <c r="A110" s="1">
        <v>2008</v>
      </c>
      <c r="B110" s="2">
        <v>45957</v>
      </c>
      <c r="C110" s="1" t="s">
        <v>0</v>
      </c>
      <c r="D110" s="1" t="s">
        <v>276</v>
      </c>
      <c r="E110" s="83">
        <v>22510029</v>
      </c>
      <c r="F110" s="4">
        <v>1230</v>
      </c>
      <c r="G110" s="4" t="s">
        <v>10</v>
      </c>
      <c r="H110" s="88" t="s">
        <v>83</v>
      </c>
      <c r="I110" s="16" t="s">
        <v>1210</v>
      </c>
      <c r="J110" s="4">
        <v>1577</v>
      </c>
      <c r="K110" s="5">
        <v>1544</v>
      </c>
      <c r="L110" s="5">
        <v>1545</v>
      </c>
      <c r="M110" s="5">
        <v>1545</v>
      </c>
      <c r="N110" s="5" t="s">
        <v>5</v>
      </c>
      <c r="O110" s="30">
        <v>1544.6666666666667</v>
      </c>
      <c r="P110" s="7">
        <v>4.2</v>
      </c>
      <c r="Q110" s="4">
        <v>42</v>
      </c>
      <c r="R110" s="8" t="s">
        <v>5</v>
      </c>
      <c r="S110" s="8">
        <v>160</v>
      </c>
      <c r="T110" s="8">
        <v>60</v>
      </c>
      <c r="U110" s="10">
        <v>100</v>
      </c>
      <c r="V110" s="11" t="s">
        <v>5</v>
      </c>
      <c r="W110" s="11">
        <v>58</v>
      </c>
      <c r="X110" s="12">
        <v>2.3670612000000002</v>
      </c>
      <c r="Y110" s="7">
        <v>10.3</v>
      </c>
      <c r="Z110" s="7">
        <v>9</v>
      </c>
      <c r="AA110" s="13">
        <v>98</v>
      </c>
      <c r="AB110" s="13">
        <v>88</v>
      </c>
      <c r="AC110" s="11" t="s">
        <v>6</v>
      </c>
      <c r="AD110" s="40" t="s">
        <v>53</v>
      </c>
      <c r="AE110" s="14" t="s">
        <v>1211</v>
      </c>
    </row>
    <row r="111" spans="1:31" ht="31.5" x14ac:dyDescent="0.25">
      <c r="A111" s="1">
        <v>2061</v>
      </c>
      <c r="B111" s="2">
        <v>45958</v>
      </c>
      <c r="C111" s="1" t="s">
        <v>264</v>
      </c>
      <c r="D111" s="1" t="s">
        <v>1</v>
      </c>
      <c r="E111" s="16">
        <v>22510030</v>
      </c>
      <c r="F111" s="4">
        <v>1250</v>
      </c>
      <c r="G111" s="88" t="s">
        <v>10</v>
      </c>
      <c r="H111" s="16" t="s">
        <v>98</v>
      </c>
      <c r="I111" s="16" t="s">
        <v>1212</v>
      </c>
      <c r="J111" s="4">
        <v>1595</v>
      </c>
      <c r="K111" s="5">
        <v>1576</v>
      </c>
      <c r="L111" s="5">
        <v>1578</v>
      </c>
      <c r="M111" s="5">
        <v>1579</v>
      </c>
      <c r="N111" s="5" t="s">
        <v>5</v>
      </c>
      <c r="O111" s="30">
        <v>1577.6666666666667</v>
      </c>
      <c r="P111" s="7">
        <v>3.4</v>
      </c>
      <c r="Q111" s="4">
        <v>47</v>
      </c>
      <c r="R111" s="8" t="s">
        <v>5</v>
      </c>
      <c r="S111" s="9">
        <v>153.6</v>
      </c>
      <c r="T111" s="9">
        <v>56</v>
      </c>
      <c r="U111" s="10">
        <v>97.6</v>
      </c>
      <c r="V111" s="11" t="s">
        <v>100</v>
      </c>
      <c r="W111" s="16">
        <v>58</v>
      </c>
      <c r="X111" s="12">
        <v>1.9473499999999999</v>
      </c>
      <c r="Y111" s="7">
        <v>6</v>
      </c>
      <c r="Z111" s="7">
        <v>7</v>
      </c>
      <c r="AA111" s="13">
        <v>69</v>
      </c>
      <c r="AB111" s="13">
        <v>73</v>
      </c>
      <c r="AC111" s="11" t="s">
        <v>6</v>
      </c>
      <c r="AD111" s="33" t="s">
        <v>53</v>
      </c>
      <c r="AE111" s="14" t="s">
        <v>418</v>
      </c>
    </row>
    <row r="112" spans="1:31" ht="31.5" x14ac:dyDescent="0.25">
      <c r="A112" s="1">
        <v>2062</v>
      </c>
      <c r="B112" s="2">
        <v>45958</v>
      </c>
      <c r="C112" s="1" t="s">
        <v>264</v>
      </c>
      <c r="D112" s="1" t="s">
        <v>1</v>
      </c>
      <c r="E112" s="16">
        <v>22510030</v>
      </c>
      <c r="F112" s="4">
        <v>1250</v>
      </c>
      <c r="G112" s="88" t="s">
        <v>222</v>
      </c>
      <c r="H112" s="16" t="s">
        <v>86</v>
      </c>
      <c r="I112" s="16" t="s">
        <v>1213</v>
      </c>
      <c r="J112" s="4">
        <v>1568</v>
      </c>
      <c r="K112" s="5">
        <v>1543</v>
      </c>
      <c r="L112" s="5">
        <v>1541</v>
      </c>
      <c r="M112" s="5">
        <v>1540</v>
      </c>
      <c r="N112" s="5" t="s">
        <v>5</v>
      </c>
      <c r="O112" s="30">
        <v>1541.3333333333333</v>
      </c>
      <c r="P112" s="7">
        <v>4.0999999999999996</v>
      </c>
      <c r="Q112" s="4">
        <v>40</v>
      </c>
      <c r="R112" s="8">
        <v>37</v>
      </c>
      <c r="S112" s="9">
        <v>161</v>
      </c>
      <c r="T112" s="9">
        <v>59</v>
      </c>
      <c r="U112" s="10">
        <v>102</v>
      </c>
      <c r="V112" s="11" t="s">
        <v>5</v>
      </c>
      <c r="W112" s="16">
        <v>58</v>
      </c>
      <c r="X112" s="12">
        <v>2.3482749999999997</v>
      </c>
      <c r="Y112" s="7">
        <v>7.2</v>
      </c>
      <c r="Z112" s="7">
        <v>7.9</v>
      </c>
      <c r="AA112" s="13">
        <v>63</v>
      </c>
      <c r="AB112" s="13">
        <v>69</v>
      </c>
      <c r="AC112" s="11" t="s">
        <v>6</v>
      </c>
      <c r="AD112" s="33" t="s">
        <v>53</v>
      </c>
      <c r="AE112" s="14" t="s">
        <v>1214</v>
      </c>
    </row>
    <row r="113" spans="1:31" ht="31.5" x14ac:dyDescent="0.25">
      <c r="A113" s="1">
        <v>2064</v>
      </c>
      <c r="B113" s="2">
        <v>45958</v>
      </c>
      <c r="C113" s="1" t="s">
        <v>264</v>
      </c>
      <c r="D113" s="1" t="s">
        <v>1</v>
      </c>
      <c r="E113" s="16">
        <v>22510030</v>
      </c>
      <c r="F113" s="4">
        <v>1250</v>
      </c>
      <c r="G113" s="88" t="s">
        <v>222</v>
      </c>
      <c r="H113" s="16" t="s">
        <v>194</v>
      </c>
      <c r="I113" s="16" t="s">
        <v>1215</v>
      </c>
      <c r="J113" s="4">
        <v>1566</v>
      </c>
      <c r="K113" s="5">
        <v>1542</v>
      </c>
      <c r="L113" s="5">
        <v>1541</v>
      </c>
      <c r="M113" s="5">
        <v>1540</v>
      </c>
      <c r="N113" s="5">
        <v>1539</v>
      </c>
      <c r="O113" s="30">
        <v>1540.5</v>
      </c>
      <c r="P113" s="7">
        <v>4.8</v>
      </c>
      <c r="Q113" s="4">
        <v>36</v>
      </c>
      <c r="R113" s="8">
        <v>6</v>
      </c>
      <c r="S113" s="9">
        <v>165</v>
      </c>
      <c r="T113" s="9">
        <v>60</v>
      </c>
      <c r="U113" s="10">
        <v>105</v>
      </c>
      <c r="V113" s="11"/>
      <c r="W113" s="16">
        <v>58</v>
      </c>
      <c r="X113" s="12">
        <v>2.7491999999999996</v>
      </c>
      <c r="Y113" s="7">
        <v>4.8</v>
      </c>
      <c r="Z113" s="7">
        <v>7.6</v>
      </c>
      <c r="AA113" s="13">
        <v>69</v>
      </c>
      <c r="AB113" s="13">
        <v>62</v>
      </c>
      <c r="AC113" s="11" t="s">
        <v>6</v>
      </c>
      <c r="AD113" s="33" t="s">
        <v>72</v>
      </c>
      <c r="AE113" s="14" t="s">
        <v>1216</v>
      </c>
    </row>
    <row r="114" spans="1:31" ht="78.75" x14ac:dyDescent="0.25">
      <c r="A114" s="1">
        <v>2081</v>
      </c>
      <c r="B114" s="2">
        <v>45958</v>
      </c>
      <c r="C114" s="1" t="s">
        <v>0</v>
      </c>
      <c r="D114" s="1" t="s">
        <v>276</v>
      </c>
      <c r="E114" s="83">
        <v>22510030</v>
      </c>
      <c r="F114" s="4">
        <v>1250</v>
      </c>
      <c r="G114" s="88" t="s">
        <v>225</v>
      </c>
      <c r="H114" s="16" t="s">
        <v>70</v>
      </c>
      <c r="I114" s="16" t="s">
        <v>1217</v>
      </c>
      <c r="J114" s="4">
        <v>1565</v>
      </c>
      <c r="K114" s="5">
        <v>1545</v>
      </c>
      <c r="L114" s="5">
        <v>1543</v>
      </c>
      <c r="M114" s="5">
        <v>1542</v>
      </c>
      <c r="N114" s="5">
        <v>1540</v>
      </c>
      <c r="O114" s="30">
        <v>1542.5</v>
      </c>
      <c r="P114" s="7">
        <v>5</v>
      </c>
      <c r="Q114" s="4">
        <v>36</v>
      </c>
      <c r="R114" s="8" t="s">
        <v>5</v>
      </c>
      <c r="S114" s="9">
        <v>164</v>
      </c>
      <c r="T114" s="9">
        <v>60</v>
      </c>
      <c r="U114" s="10">
        <v>104</v>
      </c>
      <c r="V114" s="11">
        <v>15.6</v>
      </c>
      <c r="W114" s="16">
        <v>56</v>
      </c>
      <c r="X114" s="12">
        <v>2.7650000000000001</v>
      </c>
      <c r="Y114" s="7">
        <v>8.1999999999999993</v>
      </c>
      <c r="Z114" s="7">
        <v>8.1999999999999993</v>
      </c>
      <c r="AA114" s="13">
        <v>65</v>
      </c>
      <c r="AB114" s="13">
        <v>67</v>
      </c>
      <c r="AC114" s="11" t="s">
        <v>6</v>
      </c>
      <c r="AD114" s="94" t="s">
        <v>72</v>
      </c>
      <c r="AE114" s="14" t="s">
        <v>1218</v>
      </c>
    </row>
    <row r="115" spans="1:31" ht="63" x14ac:dyDescent="0.25">
      <c r="A115" s="1">
        <v>2084</v>
      </c>
      <c r="B115" s="2">
        <v>45958</v>
      </c>
      <c r="C115" s="1" t="s">
        <v>0</v>
      </c>
      <c r="D115" s="1" t="s">
        <v>276</v>
      </c>
      <c r="E115" s="83">
        <v>22510030</v>
      </c>
      <c r="F115" s="4">
        <v>1250</v>
      </c>
      <c r="G115" s="88" t="s">
        <v>225</v>
      </c>
      <c r="H115" s="16" t="s">
        <v>152</v>
      </c>
      <c r="I115" s="16" t="s">
        <v>1219</v>
      </c>
      <c r="J115" s="4">
        <v>1567</v>
      </c>
      <c r="K115" s="5">
        <v>1550</v>
      </c>
      <c r="L115" s="5">
        <v>1551</v>
      </c>
      <c r="M115" s="5">
        <v>1549</v>
      </c>
      <c r="N115" s="5">
        <v>1547</v>
      </c>
      <c r="O115" s="30">
        <v>1549.25</v>
      </c>
      <c r="P115" s="7">
        <v>5.0999999999999996</v>
      </c>
      <c r="Q115" s="4">
        <v>36</v>
      </c>
      <c r="R115" s="8" t="s">
        <v>5</v>
      </c>
      <c r="S115" s="9">
        <v>163</v>
      </c>
      <c r="T115" s="9">
        <v>60</v>
      </c>
      <c r="U115" s="10">
        <v>103</v>
      </c>
      <c r="V115" s="11">
        <v>14</v>
      </c>
      <c r="W115" s="16">
        <v>56</v>
      </c>
      <c r="X115" s="12">
        <v>2.8203</v>
      </c>
      <c r="Y115" s="7">
        <v>8.4</v>
      </c>
      <c r="Z115" s="7">
        <v>7.8</v>
      </c>
      <c r="AA115" s="13">
        <v>77</v>
      </c>
      <c r="AB115" s="11">
        <v>70</v>
      </c>
      <c r="AC115" s="11" t="s">
        <v>6</v>
      </c>
      <c r="AD115" s="94" t="s">
        <v>72</v>
      </c>
      <c r="AE115" s="14" t="s">
        <v>1062</v>
      </c>
    </row>
    <row r="116" spans="1:31" ht="94.5" x14ac:dyDescent="0.25">
      <c r="A116" s="1">
        <v>2108</v>
      </c>
      <c r="B116" s="2">
        <v>45959</v>
      </c>
      <c r="C116" s="1" t="s">
        <v>18</v>
      </c>
      <c r="D116" s="1" t="s">
        <v>265</v>
      </c>
      <c r="E116" s="83">
        <v>22510030</v>
      </c>
      <c r="F116" s="4">
        <v>1250</v>
      </c>
      <c r="G116" s="4" t="s">
        <v>225</v>
      </c>
      <c r="H116" s="88" t="s">
        <v>261</v>
      </c>
      <c r="I116" s="4" t="s">
        <v>1220</v>
      </c>
      <c r="J116" s="16">
        <v>1570</v>
      </c>
      <c r="K116" s="4">
        <v>1546</v>
      </c>
      <c r="L116" s="4">
        <v>1546</v>
      </c>
      <c r="M116" s="4">
        <v>1544</v>
      </c>
      <c r="N116" s="4">
        <v>1540</v>
      </c>
      <c r="O116" s="30">
        <v>1544</v>
      </c>
      <c r="P116" s="7">
        <v>4.7</v>
      </c>
      <c r="Q116" s="4">
        <v>38</v>
      </c>
      <c r="R116" s="8" t="s">
        <v>5</v>
      </c>
      <c r="S116" s="9" t="s">
        <v>5</v>
      </c>
      <c r="T116" s="9" t="s">
        <v>5</v>
      </c>
      <c r="U116" s="10" t="e">
        <v>#VALUE!</v>
      </c>
      <c r="V116" s="11" t="s">
        <v>5</v>
      </c>
      <c r="W116" s="11">
        <v>56</v>
      </c>
      <c r="X116" s="12">
        <v>2.5991000000000004</v>
      </c>
      <c r="Y116" s="7">
        <v>9.1999999999999993</v>
      </c>
      <c r="Z116" s="7">
        <v>8.5</v>
      </c>
      <c r="AA116" s="7">
        <v>81</v>
      </c>
      <c r="AB116" s="7">
        <v>78</v>
      </c>
      <c r="AC116" s="11" t="s">
        <v>6</v>
      </c>
      <c r="AD116" s="18" t="s">
        <v>53</v>
      </c>
      <c r="AE116" s="14" t="s">
        <v>1221</v>
      </c>
    </row>
    <row r="117" spans="1:31" ht="94.5" x14ac:dyDescent="0.25">
      <c r="A117" s="1">
        <v>2109</v>
      </c>
      <c r="B117" s="2">
        <v>45959</v>
      </c>
      <c r="C117" s="1" t="s">
        <v>18</v>
      </c>
      <c r="D117" s="1" t="s">
        <v>265</v>
      </c>
      <c r="E117" s="83">
        <v>22510030</v>
      </c>
      <c r="F117" s="4">
        <v>1250</v>
      </c>
      <c r="G117" s="4" t="s">
        <v>1095</v>
      </c>
      <c r="H117" s="88" t="s">
        <v>83</v>
      </c>
      <c r="I117" s="4" t="s">
        <v>1222</v>
      </c>
      <c r="J117" s="4">
        <v>1569</v>
      </c>
      <c r="K117" s="4">
        <v>1543</v>
      </c>
      <c r="L117" s="4">
        <v>1546</v>
      </c>
      <c r="M117" s="4">
        <v>1544</v>
      </c>
      <c r="N117" s="4">
        <v>1542</v>
      </c>
      <c r="O117" s="30">
        <v>1543.75</v>
      </c>
      <c r="P117" s="4">
        <v>4.5</v>
      </c>
      <c r="Q117" s="4">
        <v>35</v>
      </c>
      <c r="R117" s="8" t="s">
        <v>5</v>
      </c>
      <c r="S117" s="8">
        <v>152</v>
      </c>
      <c r="T117" s="8">
        <v>61</v>
      </c>
      <c r="U117" s="10">
        <v>91</v>
      </c>
      <c r="V117" s="11" t="s">
        <v>5</v>
      </c>
      <c r="W117" s="11">
        <v>58</v>
      </c>
      <c r="X117" s="12">
        <v>2.577375</v>
      </c>
      <c r="Y117" s="7">
        <v>9.1999999999999993</v>
      </c>
      <c r="Z117" s="7">
        <v>9</v>
      </c>
      <c r="AA117" s="7">
        <v>76</v>
      </c>
      <c r="AB117" s="7">
        <v>73</v>
      </c>
      <c r="AC117" s="11" t="s">
        <v>6</v>
      </c>
      <c r="AD117" s="18" t="s">
        <v>72</v>
      </c>
      <c r="AE117" s="14" t="s">
        <v>1223</v>
      </c>
    </row>
    <row r="118" spans="1:31" ht="31.5" x14ac:dyDescent="0.25">
      <c r="A118" s="1">
        <v>2117</v>
      </c>
      <c r="B118" s="2">
        <v>45959</v>
      </c>
      <c r="C118" s="1" t="s">
        <v>18</v>
      </c>
      <c r="D118" s="1" t="s">
        <v>265</v>
      </c>
      <c r="E118" s="83">
        <v>22510030</v>
      </c>
      <c r="F118" s="4">
        <v>1250</v>
      </c>
      <c r="G118" s="4" t="s">
        <v>10</v>
      </c>
      <c r="H118" s="88" t="s">
        <v>11</v>
      </c>
      <c r="I118" s="16" t="s">
        <v>1224</v>
      </c>
      <c r="J118" s="4">
        <v>1575</v>
      </c>
      <c r="K118" s="4">
        <v>1545</v>
      </c>
      <c r="L118" s="4">
        <v>1545</v>
      </c>
      <c r="M118" s="5">
        <v>1543</v>
      </c>
      <c r="N118" s="5"/>
      <c r="O118" s="30">
        <v>1544.3333333333333</v>
      </c>
      <c r="P118" s="7">
        <v>4.5</v>
      </c>
      <c r="Q118" s="4">
        <v>36</v>
      </c>
      <c r="R118" s="8" t="s">
        <v>5</v>
      </c>
      <c r="S118" s="9">
        <v>158</v>
      </c>
      <c r="T118" s="9">
        <v>68</v>
      </c>
      <c r="U118" s="10">
        <v>90</v>
      </c>
      <c r="V118" s="11" t="s">
        <v>5</v>
      </c>
      <c r="W118" s="11">
        <v>58</v>
      </c>
      <c r="X118" s="12">
        <v>2.577375</v>
      </c>
      <c r="Y118" s="7">
        <v>8.6999999999999993</v>
      </c>
      <c r="Z118" s="7">
        <v>8.1999999999999993</v>
      </c>
      <c r="AA118" s="13">
        <v>77</v>
      </c>
      <c r="AB118" s="13">
        <v>73</v>
      </c>
      <c r="AC118" s="11" t="s">
        <v>6</v>
      </c>
      <c r="AD118" s="18" t="s">
        <v>72</v>
      </c>
      <c r="AE118" s="14" t="s">
        <v>1225</v>
      </c>
    </row>
    <row r="119" spans="1:31" ht="126" x14ac:dyDescent="0.25">
      <c r="A119" s="1">
        <v>2118</v>
      </c>
      <c r="B119" s="2">
        <v>45959</v>
      </c>
      <c r="C119" s="1" t="s">
        <v>18</v>
      </c>
      <c r="D119" s="1" t="s">
        <v>265</v>
      </c>
      <c r="E119" s="83">
        <v>22510030</v>
      </c>
      <c r="F119" s="4">
        <v>1250</v>
      </c>
      <c r="G119" s="4" t="s">
        <v>10</v>
      </c>
      <c r="H119" s="88" t="s">
        <v>164</v>
      </c>
      <c r="I119" s="12" t="s">
        <v>1226</v>
      </c>
      <c r="J119" s="4">
        <v>1572</v>
      </c>
      <c r="K119" s="4">
        <v>1540</v>
      </c>
      <c r="L119" s="4">
        <v>1540</v>
      </c>
      <c r="M119" s="5" t="s">
        <v>5</v>
      </c>
      <c r="N119" s="5"/>
      <c r="O119" s="30">
        <v>1540</v>
      </c>
      <c r="P119" s="7">
        <v>3.7</v>
      </c>
      <c r="Q119" s="4"/>
      <c r="R119" s="8" t="s">
        <v>5</v>
      </c>
      <c r="S119" s="9">
        <v>164</v>
      </c>
      <c r="T119" s="9">
        <v>134</v>
      </c>
      <c r="U119" s="10">
        <v>30</v>
      </c>
      <c r="V119" s="11" t="s">
        <v>5</v>
      </c>
      <c r="W119" s="11">
        <v>58</v>
      </c>
      <c r="X119" s="12">
        <v>2.1191750000000003</v>
      </c>
      <c r="Y119" s="7">
        <v>9</v>
      </c>
      <c r="Z119" s="7">
        <v>8.5</v>
      </c>
      <c r="AA119" s="13">
        <v>81</v>
      </c>
      <c r="AB119" s="13">
        <v>75</v>
      </c>
      <c r="AC119" s="11" t="s">
        <v>6</v>
      </c>
      <c r="AD119" s="18" t="s">
        <v>72</v>
      </c>
      <c r="AE119" s="14" t="s">
        <v>1227</v>
      </c>
    </row>
    <row r="120" spans="1:31" ht="78.75" x14ac:dyDescent="0.25">
      <c r="A120" s="1">
        <v>2133</v>
      </c>
      <c r="B120" s="2">
        <v>45959</v>
      </c>
      <c r="C120" s="1" t="s">
        <v>264</v>
      </c>
      <c r="D120" s="1" t="s">
        <v>1</v>
      </c>
      <c r="E120" s="83">
        <v>22510030</v>
      </c>
      <c r="F120" s="4">
        <v>1250</v>
      </c>
      <c r="G120" s="4" t="s">
        <v>10</v>
      </c>
      <c r="H120" s="88" t="s">
        <v>66</v>
      </c>
      <c r="I120" s="16" t="s">
        <v>1228</v>
      </c>
      <c r="J120" s="4">
        <v>1573</v>
      </c>
      <c r="K120" s="4">
        <v>1552</v>
      </c>
      <c r="L120" s="5">
        <v>1553</v>
      </c>
      <c r="M120" s="5">
        <v>1553</v>
      </c>
      <c r="N120" s="5">
        <v>1553</v>
      </c>
      <c r="O120" s="30">
        <v>1552.75</v>
      </c>
      <c r="P120" s="7">
        <v>3.7</v>
      </c>
      <c r="Q120" s="4">
        <v>50</v>
      </c>
      <c r="R120" s="8" t="s">
        <v>5</v>
      </c>
      <c r="S120" s="9">
        <v>163.19999999999999</v>
      </c>
      <c r="T120" s="9">
        <v>61</v>
      </c>
      <c r="U120" s="10">
        <v>102.19999999999999</v>
      </c>
      <c r="V120" s="11" t="s">
        <v>5</v>
      </c>
      <c r="W120" s="11">
        <v>58</v>
      </c>
      <c r="X120" s="12">
        <v>2.1191750000000003</v>
      </c>
      <c r="Y120" s="14">
        <v>6.2</v>
      </c>
      <c r="Z120" s="7">
        <v>6.5</v>
      </c>
      <c r="AA120" s="13">
        <v>80</v>
      </c>
      <c r="AB120" s="13">
        <v>75</v>
      </c>
      <c r="AC120" s="11" t="s">
        <v>6</v>
      </c>
      <c r="AD120" s="18" t="s">
        <v>72</v>
      </c>
      <c r="AE120" s="14" t="s">
        <v>1229</v>
      </c>
    </row>
    <row r="121" spans="1:31" ht="47.25" x14ac:dyDescent="0.25">
      <c r="A121" s="1">
        <v>2134</v>
      </c>
      <c r="B121" s="2">
        <v>45959</v>
      </c>
      <c r="C121" s="1" t="s">
        <v>264</v>
      </c>
      <c r="D121" s="1" t="s">
        <v>1</v>
      </c>
      <c r="E121" s="83">
        <v>22510031</v>
      </c>
      <c r="F121" s="4">
        <v>1250</v>
      </c>
      <c r="G121" s="4" t="s">
        <v>10</v>
      </c>
      <c r="H121" s="88" t="s">
        <v>98</v>
      </c>
      <c r="I121" s="88" t="s">
        <v>1230</v>
      </c>
      <c r="J121" s="4">
        <v>1595</v>
      </c>
      <c r="K121" s="4">
        <v>1573</v>
      </c>
      <c r="L121" s="5">
        <v>1574</v>
      </c>
      <c r="M121" s="5">
        <v>1576</v>
      </c>
      <c r="N121" s="5">
        <v>1578</v>
      </c>
      <c r="O121" s="30">
        <v>1575.25</v>
      </c>
      <c r="P121" s="7">
        <v>3.4</v>
      </c>
      <c r="Q121" s="4">
        <v>42</v>
      </c>
      <c r="R121" s="8" t="s">
        <v>5</v>
      </c>
      <c r="S121" s="9">
        <v>150.1</v>
      </c>
      <c r="T121" s="9">
        <v>58</v>
      </c>
      <c r="U121" s="10">
        <v>92.1</v>
      </c>
      <c r="V121" s="11" t="s">
        <v>100</v>
      </c>
      <c r="W121" s="11">
        <v>58</v>
      </c>
      <c r="X121" s="12">
        <v>1.9473499999999999</v>
      </c>
      <c r="Y121" s="7">
        <v>5.4</v>
      </c>
      <c r="Z121" s="7">
        <v>6.3</v>
      </c>
      <c r="AA121" s="13">
        <v>61</v>
      </c>
      <c r="AB121" s="13">
        <v>63</v>
      </c>
      <c r="AC121" s="11" t="s">
        <v>6</v>
      </c>
      <c r="AD121" s="18" t="s">
        <v>72</v>
      </c>
      <c r="AE121" s="14" t="s">
        <v>1231</v>
      </c>
    </row>
    <row r="122" spans="1:31" ht="63" x14ac:dyDescent="0.25">
      <c r="A122" s="1">
        <v>2136</v>
      </c>
      <c r="B122" s="2">
        <v>45959</v>
      </c>
      <c r="C122" s="1" t="s">
        <v>264</v>
      </c>
      <c r="D122" s="1" t="s">
        <v>1</v>
      </c>
      <c r="E122" s="83">
        <v>22510031</v>
      </c>
      <c r="F122" s="4">
        <v>1250</v>
      </c>
      <c r="G122" s="4" t="s">
        <v>10</v>
      </c>
      <c r="H122" s="88" t="s">
        <v>77</v>
      </c>
      <c r="I122" s="88" t="s">
        <v>1232</v>
      </c>
      <c r="J122" s="4">
        <v>1568</v>
      </c>
      <c r="K122" s="4">
        <v>1549</v>
      </c>
      <c r="L122" s="5">
        <v>1549</v>
      </c>
      <c r="M122" s="5">
        <v>1548</v>
      </c>
      <c r="N122" s="5">
        <v>1548</v>
      </c>
      <c r="O122" s="30">
        <v>1548.5</v>
      </c>
      <c r="P122" s="7">
        <v>4.7</v>
      </c>
      <c r="Q122" s="4">
        <v>38</v>
      </c>
      <c r="R122" s="8" t="s">
        <v>5</v>
      </c>
      <c r="S122" s="8" t="s">
        <v>5</v>
      </c>
      <c r="T122" s="8" t="s">
        <v>5</v>
      </c>
      <c r="U122" s="10" t="e">
        <v>#VALUE!</v>
      </c>
      <c r="V122" s="11" t="s">
        <v>5</v>
      </c>
      <c r="W122" s="11">
        <v>58</v>
      </c>
      <c r="X122" s="12">
        <v>2.6919249999999999</v>
      </c>
      <c r="Y122" s="7">
        <v>9.6999999999999993</v>
      </c>
      <c r="Z122" s="7">
        <v>8.1</v>
      </c>
      <c r="AA122" s="13">
        <v>63</v>
      </c>
      <c r="AB122" s="13">
        <v>73</v>
      </c>
      <c r="AC122" s="11" t="s">
        <v>6</v>
      </c>
      <c r="AD122" s="18" t="s">
        <v>53</v>
      </c>
      <c r="AE122" s="14" t="s">
        <v>1211</v>
      </c>
    </row>
    <row r="123" spans="1:31" ht="47.25" x14ac:dyDescent="0.25">
      <c r="A123" s="1">
        <v>2162</v>
      </c>
      <c r="B123" s="2">
        <v>45959</v>
      </c>
      <c r="C123" s="1" t="s">
        <v>0</v>
      </c>
      <c r="D123" s="1" t="s">
        <v>9</v>
      </c>
      <c r="E123" s="83">
        <v>22510031</v>
      </c>
      <c r="F123" s="4">
        <v>1250</v>
      </c>
      <c r="G123" s="4" t="s">
        <v>10</v>
      </c>
      <c r="H123" s="88" t="s">
        <v>315</v>
      </c>
      <c r="I123" s="16" t="s">
        <v>1233</v>
      </c>
      <c r="J123" s="4">
        <v>1561</v>
      </c>
      <c r="K123" s="5">
        <v>1549</v>
      </c>
      <c r="L123" s="5">
        <v>1549</v>
      </c>
      <c r="M123" s="5">
        <v>1547</v>
      </c>
      <c r="N123" s="8">
        <v>1547</v>
      </c>
      <c r="O123" s="30">
        <v>1548</v>
      </c>
      <c r="P123" s="7">
        <v>4.4000000000000004</v>
      </c>
      <c r="Q123" s="4">
        <v>40</v>
      </c>
      <c r="R123" s="8" t="s">
        <v>5</v>
      </c>
      <c r="S123" s="8">
        <v>155</v>
      </c>
      <c r="T123" s="8">
        <v>60</v>
      </c>
      <c r="U123" s="10">
        <v>95</v>
      </c>
      <c r="V123" s="11" t="s">
        <v>5</v>
      </c>
      <c r="W123" s="11">
        <v>58</v>
      </c>
      <c r="X123" s="12">
        <v>2.5201000000000002</v>
      </c>
      <c r="Y123" s="7">
        <v>5.9</v>
      </c>
      <c r="Z123" s="7">
        <v>7.8</v>
      </c>
      <c r="AA123" s="13">
        <v>55</v>
      </c>
      <c r="AB123" s="13">
        <v>70</v>
      </c>
      <c r="AC123" s="11" t="s">
        <v>6</v>
      </c>
      <c r="AD123" s="18" t="s">
        <v>72</v>
      </c>
      <c r="AE123" s="14" t="s">
        <v>1234</v>
      </c>
    </row>
    <row r="124" spans="1:31" ht="63" x14ac:dyDescent="0.25">
      <c r="A124" s="1">
        <v>2163</v>
      </c>
      <c r="B124" s="2">
        <v>45959</v>
      </c>
      <c r="C124" s="1" t="s">
        <v>0</v>
      </c>
      <c r="D124" s="1" t="s">
        <v>9</v>
      </c>
      <c r="E124" s="83">
        <v>22510031</v>
      </c>
      <c r="F124" s="4">
        <v>1250</v>
      </c>
      <c r="G124" s="4" t="s">
        <v>10</v>
      </c>
      <c r="H124" s="88" t="s">
        <v>120</v>
      </c>
      <c r="I124" s="16" t="s">
        <v>1235</v>
      </c>
      <c r="J124" s="4">
        <v>1570</v>
      </c>
      <c r="K124" s="5">
        <v>1545</v>
      </c>
      <c r="L124" s="5">
        <v>1543</v>
      </c>
      <c r="M124" s="5">
        <v>1543</v>
      </c>
      <c r="N124" s="8" t="s">
        <v>5</v>
      </c>
      <c r="O124" s="30">
        <v>1543.6666666666667</v>
      </c>
      <c r="P124" s="7">
        <v>4.2</v>
      </c>
      <c r="Q124" s="4">
        <v>40</v>
      </c>
      <c r="R124" s="8" t="s">
        <v>5</v>
      </c>
      <c r="S124" s="8">
        <v>167</v>
      </c>
      <c r="T124" s="8">
        <v>62</v>
      </c>
      <c r="U124" s="10">
        <v>105</v>
      </c>
      <c r="V124" s="11" t="s">
        <v>5</v>
      </c>
      <c r="W124" s="11">
        <v>58</v>
      </c>
      <c r="X124" s="12">
        <v>2.4055499999999999</v>
      </c>
      <c r="Y124" s="7">
        <v>5.6</v>
      </c>
      <c r="Z124" s="7">
        <v>7.9</v>
      </c>
      <c r="AA124" s="13">
        <v>53</v>
      </c>
      <c r="AB124" s="13">
        <v>75</v>
      </c>
      <c r="AC124" s="11" t="s">
        <v>6</v>
      </c>
      <c r="AD124" s="18" t="s">
        <v>53</v>
      </c>
      <c r="AE124" s="14" t="s">
        <v>1236</v>
      </c>
    </row>
    <row r="125" spans="1:31" ht="94.5" x14ac:dyDescent="0.25">
      <c r="A125" s="1">
        <v>2165</v>
      </c>
      <c r="B125" s="2">
        <v>45959</v>
      </c>
      <c r="C125" s="1" t="s">
        <v>0</v>
      </c>
      <c r="D125" s="1" t="s">
        <v>9</v>
      </c>
      <c r="E125" s="83">
        <v>22510031</v>
      </c>
      <c r="F125" s="4">
        <v>1250</v>
      </c>
      <c r="G125" s="4" t="s">
        <v>10</v>
      </c>
      <c r="H125" s="88" t="s">
        <v>110</v>
      </c>
      <c r="I125" s="69" t="s">
        <v>1237</v>
      </c>
      <c r="J125" s="104">
        <v>1572</v>
      </c>
      <c r="K125" s="105">
        <v>1546</v>
      </c>
      <c r="L125" s="105">
        <v>1546</v>
      </c>
      <c r="M125" s="105">
        <v>1546</v>
      </c>
      <c r="N125" s="8">
        <v>1545</v>
      </c>
      <c r="O125" s="106">
        <v>1545.75</v>
      </c>
      <c r="P125" s="107">
        <v>4.5</v>
      </c>
      <c r="Q125" s="104">
        <v>45</v>
      </c>
      <c r="R125" s="8" t="s">
        <v>5</v>
      </c>
      <c r="S125" s="8">
        <v>165</v>
      </c>
      <c r="T125" s="8">
        <v>60</v>
      </c>
      <c r="U125" s="10">
        <v>105</v>
      </c>
      <c r="V125" s="11" t="s">
        <v>5</v>
      </c>
      <c r="W125" s="11">
        <v>58</v>
      </c>
      <c r="X125" s="108">
        <v>2.577375</v>
      </c>
      <c r="Y125" s="107">
        <v>5.7</v>
      </c>
      <c r="Z125" s="107">
        <v>7.7</v>
      </c>
      <c r="AA125" s="109">
        <v>54</v>
      </c>
      <c r="AB125" s="110">
        <v>74</v>
      </c>
      <c r="AC125" s="75" t="s">
        <v>6</v>
      </c>
      <c r="AD125" s="102" t="s">
        <v>53</v>
      </c>
      <c r="AE125" s="14" t="s">
        <v>1238</v>
      </c>
    </row>
    <row r="126" spans="1:31" ht="63" x14ac:dyDescent="0.25">
      <c r="A126" s="1">
        <v>2176</v>
      </c>
      <c r="B126" s="2">
        <v>45960</v>
      </c>
      <c r="C126" s="1" t="s">
        <v>18</v>
      </c>
      <c r="D126" s="1" t="s">
        <v>265</v>
      </c>
      <c r="E126" s="83">
        <v>12510029</v>
      </c>
      <c r="F126" s="4">
        <v>1250</v>
      </c>
      <c r="G126" s="4" t="s">
        <v>10</v>
      </c>
      <c r="H126" s="88" t="s">
        <v>189</v>
      </c>
      <c r="I126" s="4" t="s">
        <v>1239</v>
      </c>
      <c r="J126" s="16">
        <v>1570</v>
      </c>
      <c r="K126" s="4">
        <v>1554</v>
      </c>
      <c r="L126" s="4">
        <v>1554</v>
      </c>
      <c r="M126" s="5">
        <v>1552</v>
      </c>
      <c r="N126" s="5">
        <v>1550</v>
      </c>
      <c r="O126" s="30">
        <v>1552.5</v>
      </c>
      <c r="P126" s="7">
        <v>5.0999999999999996</v>
      </c>
      <c r="Q126" s="4">
        <v>35</v>
      </c>
      <c r="R126" s="8"/>
      <c r="S126" s="9">
        <v>169</v>
      </c>
      <c r="T126" s="9">
        <v>58</v>
      </c>
      <c r="U126" s="10">
        <v>111</v>
      </c>
      <c r="V126" s="11" t="s">
        <v>5</v>
      </c>
      <c r="W126" s="11">
        <v>56</v>
      </c>
      <c r="X126" s="12">
        <v>2.8203</v>
      </c>
      <c r="Y126" s="7">
        <v>8.5</v>
      </c>
      <c r="Z126" s="7">
        <v>10.199999999999999</v>
      </c>
      <c r="AA126" s="13">
        <v>91</v>
      </c>
      <c r="AB126" s="11">
        <v>95</v>
      </c>
      <c r="AC126" s="11" t="s">
        <v>6</v>
      </c>
      <c r="AD126" s="11" t="s">
        <v>455</v>
      </c>
      <c r="AE126" s="14" t="s">
        <v>1240</v>
      </c>
    </row>
    <row r="127" spans="1:31" ht="31.5" x14ac:dyDescent="0.25">
      <c r="A127" s="1">
        <v>2177</v>
      </c>
      <c r="B127" s="2">
        <v>45960</v>
      </c>
      <c r="C127" s="1" t="s">
        <v>18</v>
      </c>
      <c r="D127" s="1" t="s">
        <v>265</v>
      </c>
      <c r="E127" s="83">
        <v>22510032</v>
      </c>
      <c r="F127" s="4">
        <v>1250</v>
      </c>
      <c r="G127" s="4" t="s">
        <v>10</v>
      </c>
      <c r="H127" s="88" t="s">
        <v>98</v>
      </c>
      <c r="I127" s="4" t="s">
        <v>1241</v>
      </c>
      <c r="J127" s="16">
        <v>1595</v>
      </c>
      <c r="K127" s="4">
        <v>1576</v>
      </c>
      <c r="L127" s="4">
        <v>1571</v>
      </c>
      <c r="M127" s="5">
        <v>1573</v>
      </c>
      <c r="N127" s="5">
        <v>1574</v>
      </c>
      <c r="O127" s="30">
        <v>1573.5</v>
      </c>
      <c r="P127" s="7">
        <v>3.4</v>
      </c>
      <c r="Q127" s="4">
        <v>52</v>
      </c>
      <c r="R127" s="8" t="s">
        <v>5</v>
      </c>
      <c r="S127" s="9">
        <v>173</v>
      </c>
      <c r="T127" s="9">
        <v>59</v>
      </c>
      <c r="U127" s="10">
        <v>114</v>
      </c>
      <c r="V127" s="11" t="s">
        <v>100</v>
      </c>
      <c r="W127" s="11">
        <v>58</v>
      </c>
      <c r="X127" s="12">
        <v>1.9473499999999999</v>
      </c>
      <c r="Y127" s="7">
        <v>8.3000000000000007</v>
      </c>
      <c r="Z127" s="7">
        <v>6.8</v>
      </c>
      <c r="AA127" s="13">
        <v>87</v>
      </c>
      <c r="AB127" s="13">
        <v>72</v>
      </c>
      <c r="AC127" s="11" t="s">
        <v>6</v>
      </c>
      <c r="AD127" s="11" t="s">
        <v>72</v>
      </c>
      <c r="AE127" s="14" t="s">
        <v>721</v>
      </c>
    </row>
    <row r="128" spans="1:31" ht="78.75" x14ac:dyDescent="0.25">
      <c r="A128" s="1">
        <v>2197</v>
      </c>
      <c r="B128" s="2">
        <v>45960</v>
      </c>
      <c r="C128" s="1" t="s">
        <v>264</v>
      </c>
      <c r="D128" s="1" t="s">
        <v>1</v>
      </c>
      <c r="E128" s="83">
        <v>22510033</v>
      </c>
      <c r="F128" s="4">
        <v>1250</v>
      </c>
      <c r="G128" s="4" t="s">
        <v>10</v>
      </c>
      <c r="H128" s="88" t="s">
        <v>90</v>
      </c>
      <c r="I128" s="13" t="s">
        <v>1242</v>
      </c>
      <c r="J128" s="99">
        <v>1575</v>
      </c>
      <c r="K128" s="4">
        <v>1557</v>
      </c>
      <c r="L128" s="4">
        <v>1559</v>
      </c>
      <c r="M128" s="5">
        <v>1560</v>
      </c>
      <c r="N128" s="5" t="s">
        <v>5</v>
      </c>
      <c r="O128" s="30">
        <v>1558.6666666666667</v>
      </c>
      <c r="P128" s="7">
        <v>3.7</v>
      </c>
      <c r="Q128" s="4">
        <v>36</v>
      </c>
      <c r="R128" s="8">
        <v>28</v>
      </c>
      <c r="S128" s="9">
        <v>177.6</v>
      </c>
      <c r="T128" s="9">
        <v>85.48</v>
      </c>
      <c r="U128" s="10">
        <v>92.11999999999999</v>
      </c>
      <c r="V128" s="11" t="s">
        <v>5</v>
      </c>
      <c r="W128" s="11">
        <v>58</v>
      </c>
      <c r="X128" s="12">
        <v>2.1191750000000003</v>
      </c>
      <c r="Y128" s="7">
        <v>9.5</v>
      </c>
      <c r="Z128" s="7">
        <v>8.6999999999999993</v>
      </c>
      <c r="AA128" s="13">
        <v>87</v>
      </c>
      <c r="AB128" s="13">
        <v>78</v>
      </c>
      <c r="AC128" s="11" t="s">
        <v>6</v>
      </c>
      <c r="AD128" s="18" t="s">
        <v>72</v>
      </c>
      <c r="AE128" s="14" t="s">
        <v>1243</v>
      </c>
    </row>
    <row r="129" spans="1:31" ht="63" x14ac:dyDescent="0.25">
      <c r="A129" s="1">
        <v>2198</v>
      </c>
      <c r="B129" s="2">
        <v>45960</v>
      </c>
      <c r="C129" s="1" t="s">
        <v>264</v>
      </c>
      <c r="D129" s="1" t="s">
        <v>1</v>
      </c>
      <c r="E129" s="83">
        <v>22510033</v>
      </c>
      <c r="F129" s="4">
        <v>1250</v>
      </c>
      <c r="G129" s="4" t="s">
        <v>10</v>
      </c>
      <c r="H129" s="88" t="s">
        <v>70</v>
      </c>
      <c r="I129" s="4" t="s">
        <v>1244</v>
      </c>
      <c r="J129" s="99">
        <v>1567</v>
      </c>
      <c r="K129" s="4">
        <v>1553</v>
      </c>
      <c r="L129" s="4">
        <v>1552</v>
      </c>
      <c r="M129" s="5">
        <v>1550</v>
      </c>
      <c r="N129" s="5" t="s">
        <v>5</v>
      </c>
      <c r="O129" s="30">
        <v>1551.6666666666667</v>
      </c>
      <c r="P129" s="7">
        <v>4.8</v>
      </c>
      <c r="Q129" s="4">
        <v>45</v>
      </c>
      <c r="R129" s="8" t="s">
        <v>5</v>
      </c>
      <c r="S129" s="9">
        <v>172.12</v>
      </c>
      <c r="T129" s="9">
        <v>63.48</v>
      </c>
      <c r="U129" s="10">
        <v>108.64000000000001</v>
      </c>
      <c r="V129" s="11">
        <v>18.2</v>
      </c>
      <c r="W129" s="11">
        <v>58</v>
      </c>
      <c r="X129" s="12">
        <v>2.7491999999999996</v>
      </c>
      <c r="Y129" s="7">
        <v>9.1</v>
      </c>
      <c r="Z129" s="7">
        <v>9.1999999999999993</v>
      </c>
      <c r="AA129" s="13">
        <v>77</v>
      </c>
      <c r="AB129" s="13">
        <v>81</v>
      </c>
      <c r="AC129" s="11" t="s">
        <v>6</v>
      </c>
      <c r="AD129" s="18" t="s">
        <v>53</v>
      </c>
      <c r="AE129" s="14" t="s">
        <v>983</v>
      </c>
    </row>
    <row r="130" spans="1:31" ht="94.5" x14ac:dyDescent="0.25">
      <c r="A130" s="1">
        <v>2201</v>
      </c>
      <c r="B130" s="2">
        <v>45960</v>
      </c>
      <c r="C130" s="1" t="s">
        <v>264</v>
      </c>
      <c r="D130" s="1" t="s">
        <v>1</v>
      </c>
      <c r="E130" s="83">
        <v>22510033</v>
      </c>
      <c r="F130" s="4">
        <v>1250</v>
      </c>
      <c r="G130" s="4" t="s">
        <v>10</v>
      </c>
      <c r="H130" s="88" t="s">
        <v>152</v>
      </c>
      <c r="I130" s="4" t="s">
        <v>1245</v>
      </c>
      <c r="J130" s="99">
        <v>1572</v>
      </c>
      <c r="K130" s="4">
        <v>1548</v>
      </c>
      <c r="L130" s="5">
        <v>1548</v>
      </c>
      <c r="M130" s="5">
        <v>1548</v>
      </c>
      <c r="N130" s="5" t="s">
        <v>5</v>
      </c>
      <c r="O130" s="30">
        <v>1548</v>
      </c>
      <c r="P130" s="7">
        <v>5</v>
      </c>
      <c r="Q130" s="4">
        <v>39</v>
      </c>
      <c r="R130" s="8">
        <v>20</v>
      </c>
      <c r="S130" s="9">
        <v>169.33</v>
      </c>
      <c r="T130" s="9">
        <v>62</v>
      </c>
      <c r="U130" s="10">
        <v>107.33000000000001</v>
      </c>
      <c r="V130" s="11">
        <v>15.3</v>
      </c>
      <c r="W130" s="11">
        <v>58</v>
      </c>
      <c r="X130" s="12">
        <v>2.86375</v>
      </c>
      <c r="Y130" s="7">
        <v>10.6</v>
      </c>
      <c r="Z130" s="7">
        <v>10.6</v>
      </c>
      <c r="AA130" s="13">
        <v>89</v>
      </c>
      <c r="AB130" s="13">
        <v>89</v>
      </c>
      <c r="AC130" s="11" t="s">
        <v>6</v>
      </c>
      <c r="AD130" s="18" t="s">
        <v>53</v>
      </c>
      <c r="AE130" s="14" t="s">
        <v>1246</v>
      </c>
    </row>
    <row r="131" spans="1:31" ht="94.5" x14ac:dyDescent="0.25">
      <c r="A131" s="1">
        <v>2241</v>
      </c>
      <c r="B131" s="2">
        <v>45961</v>
      </c>
      <c r="C131" s="1" t="s">
        <v>18</v>
      </c>
      <c r="D131" s="1" t="s">
        <v>691</v>
      </c>
      <c r="E131" s="83">
        <v>12510030</v>
      </c>
      <c r="F131" s="4">
        <v>1252</v>
      </c>
      <c r="G131" s="4" t="s">
        <v>55</v>
      </c>
      <c r="H131" s="88" t="s">
        <v>182</v>
      </c>
      <c r="I131" s="4" t="s">
        <v>1247</v>
      </c>
      <c r="J131" s="16">
        <v>1568</v>
      </c>
      <c r="K131" s="4">
        <v>1547</v>
      </c>
      <c r="L131" s="4">
        <v>1547</v>
      </c>
      <c r="M131" s="5">
        <v>1547</v>
      </c>
      <c r="N131" s="5">
        <v>1540</v>
      </c>
      <c r="O131" s="30">
        <v>1545.25</v>
      </c>
      <c r="P131" s="7">
        <v>5.4</v>
      </c>
      <c r="Q131" s="4">
        <v>34</v>
      </c>
      <c r="R131" s="8"/>
      <c r="S131" s="9">
        <v>161</v>
      </c>
      <c r="T131" s="9">
        <v>60</v>
      </c>
      <c r="U131" s="10">
        <v>101</v>
      </c>
      <c r="V131" s="11" t="s">
        <v>1248</v>
      </c>
      <c r="W131" s="11">
        <v>58</v>
      </c>
      <c r="X131" s="12">
        <v>3.0977985600000002</v>
      </c>
      <c r="Y131" s="7">
        <v>9.5</v>
      </c>
      <c r="Z131" s="7">
        <v>9.8000000000000007</v>
      </c>
      <c r="AA131" s="13">
        <v>82</v>
      </c>
      <c r="AB131" s="13">
        <v>80</v>
      </c>
      <c r="AC131" s="11" t="s">
        <v>6</v>
      </c>
      <c r="AD131" s="11" t="s">
        <v>455</v>
      </c>
      <c r="AE131" s="14" t="s">
        <v>1249</v>
      </c>
    </row>
    <row r="132" spans="1:31" ht="63" x14ac:dyDescent="0.25">
      <c r="A132" s="1">
        <v>2244</v>
      </c>
      <c r="B132" s="2">
        <v>45961</v>
      </c>
      <c r="C132" s="1" t="s">
        <v>18</v>
      </c>
      <c r="D132" s="1" t="s">
        <v>691</v>
      </c>
      <c r="E132" s="83">
        <v>22510035</v>
      </c>
      <c r="F132" s="4">
        <v>1252</v>
      </c>
      <c r="G132" s="4" t="s">
        <v>10</v>
      </c>
      <c r="H132" s="88" t="s">
        <v>86</v>
      </c>
      <c r="I132" s="4" t="s">
        <v>1250</v>
      </c>
      <c r="J132" s="16">
        <v>1568</v>
      </c>
      <c r="K132" s="4">
        <v>1555</v>
      </c>
      <c r="L132" s="4">
        <v>1546</v>
      </c>
      <c r="M132" s="5">
        <v>1540</v>
      </c>
      <c r="N132" s="5">
        <v>1540</v>
      </c>
      <c r="O132" s="30">
        <v>1545.25</v>
      </c>
      <c r="P132" s="7">
        <v>5.0999999999999996</v>
      </c>
      <c r="Q132" s="4">
        <v>37</v>
      </c>
      <c r="R132" s="8">
        <v>26</v>
      </c>
      <c r="S132" s="9">
        <v>161</v>
      </c>
      <c r="T132" s="9">
        <v>64</v>
      </c>
      <c r="U132" s="10">
        <v>97</v>
      </c>
      <c r="V132" s="11" t="s">
        <v>1248</v>
      </c>
      <c r="W132" s="11">
        <v>58</v>
      </c>
      <c r="X132" s="12">
        <v>2.9256986399999998</v>
      </c>
      <c r="Y132" s="7">
        <v>8.6</v>
      </c>
      <c r="Z132" s="7">
        <v>8.4</v>
      </c>
      <c r="AA132" s="13">
        <v>74</v>
      </c>
      <c r="AB132" s="13">
        <v>82</v>
      </c>
      <c r="AC132" s="11" t="s">
        <v>6</v>
      </c>
      <c r="AD132" s="18" t="s">
        <v>53</v>
      </c>
      <c r="AE132" s="14" t="s">
        <v>1251</v>
      </c>
    </row>
    <row r="133" spans="1:31" ht="78.75" x14ac:dyDescent="0.25">
      <c r="A133" s="1">
        <v>2251</v>
      </c>
      <c r="B133" s="2">
        <v>45961</v>
      </c>
      <c r="C133" s="1" t="s">
        <v>18</v>
      </c>
      <c r="D133" s="1" t="s">
        <v>691</v>
      </c>
      <c r="E133" s="83">
        <v>22510035</v>
      </c>
      <c r="F133" s="4">
        <v>1252</v>
      </c>
      <c r="G133" s="4" t="s">
        <v>10</v>
      </c>
      <c r="H133" s="88" t="s">
        <v>74</v>
      </c>
      <c r="I133" s="9" t="s">
        <v>1252</v>
      </c>
      <c r="J133" s="4">
        <v>1572</v>
      </c>
      <c r="K133" s="4">
        <v>1548</v>
      </c>
      <c r="L133" s="4">
        <v>1551</v>
      </c>
      <c r="M133" s="5">
        <v>1548</v>
      </c>
      <c r="N133" s="5">
        <v>1549</v>
      </c>
      <c r="O133" s="30">
        <v>1549</v>
      </c>
      <c r="P133" s="7">
        <v>4.0999999999999996</v>
      </c>
      <c r="Q133" s="4">
        <v>33</v>
      </c>
      <c r="R133" s="8">
        <v>32</v>
      </c>
      <c r="S133" s="8"/>
      <c r="T133" s="8"/>
      <c r="U133" s="10">
        <v>0</v>
      </c>
      <c r="V133" s="11" t="s">
        <v>1248</v>
      </c>
      <c r="W133" s="11">
        <v>58</v>
      </c>
      <c r="X133" s="12">
        <v>2.3520322399999998</v>
      </c>
      <c r="Y133" s="7">
        <v>9.1</v>
      </c>
      <c r="Z133" s="7">
        <v>8.3000000000000007</v>
      </c>
      <c r="AA133" s="13">
        <v>78</v>
      </c>
      <c r="AB133" s="13">
        <v>75</v>
      </c>
      <c r="AC133" s="11" t="s">
        <v>6</v>
      </c>
      <c r="AD133" s="18" t="s">
        <v>72</v>
      </c>
      <c r="AE133" s="14" t="s">
        <v>1253</v>
      </c>
    </row>
    <row r="134" spans="1:31" ht="63" x14ac:dyDescent="0.25">
      <c r="A134" s="1">
        <v>2252</v>
      </c>
      <c r="B134" s="2">
        <v>45961</v>
      </c>
      <c r="C134" s="1" t="s">
        <v>18</v>
      </c>
      <c r="D134" s="1" t="s">
        <v>691</v>
      </c>
      <c r="E134" s="83">
        <v>22510035</v>
      </c>
      <c r="F134" s="4">
        <v>1252</v>
      </c>
      <c r="G134" s="4" t="s">
        <v>55</v>
      </c>
      <c r="H134" s="88" t="s">
        <v>152</v>
      </c>
      <c r="I134" s="9" t="s">
        <v>1254</v>
      </c>
      <c r="J134" s="4">
        <v>1573</v>
      </c>
      <c r="K134" s="4">
        <v>1548</v>
      </c>
      <c r="L134" s="4">
        <v>1558</v>
      </c>
      <c r="M134" s="5">
        <v>1556</v>
      </c>
      <c r="N134" s="5"/>
      <c r="O134" s="30">
        <v>1554</v>
      </c>
      <c r="P134" s="7">
        <v>4.5</v>
      </c>
      <c r="Q134" s="4">
        <v>43</v>
      </c>
      <c r="R134" s="8"/>
      <c r="S134" s="9">
        <v>163</v>
      </c>
      <c r="T134" s="9">
        <v>61</v>
      </c>
      <c r="U134" s="10">
        <v>102</v>
      </c>
      <c r="V134" s="11" t="s">
        <v>1248</v>
      </c>
      <c r="W134" s="11">
        <v>58</v>
      </c>
      <c r="X134" s="12">
        <v>2.5814988000000003</v>
      </c>
      <c r="Y134" s="7">
        <v>9.1</v>
      </c>
      <c r="Z134" s="7">
        <v>9.3000000000000007</v>
      </c>
      <c r="AA134" s="13">
        <v>84</v>
      </c>
      <c r="AB134" s="13">
        <v>76</v>
      </c>
      <c r="AC134" s="11" t="s">
        <v>6</v>
      </c>
      <c r="AD134" s="18" t="s">
        <v>53</v>
      </c>
      <c r="AE134" s="14" t="s">
        <v>1255</v>
      </c>
    </row>
    <row r="135" spans="1:31" ht="78.75" x14ac:dyDescent="0.25">
      <c r="A135" s="1">
        <v>2256</v>
      </c>
      <c r="B135" s="2">
        <v>45961</v>
      </c>
      <c r="C135" s="1" t="s">
        <v>264</v>
      </c>
      <c r="D135" s="1" t="s">
        <v>1</v>
      </c>
      <c r="E135" s="83">
        <v>12510030</v>
      </c>
      <c r="F135" s="4">
        <v>1255</v>
      </c>
      <c r="G135" s="4" t="s">
        <v>55</v>
      </c>
      <c r="H135" s="88" t="s">
        <v>132</v>
      </c>
      <c r="I135" s="12" t="s">
        <v>1256</v>
      </c>
      <c r="J135" s="4">
        <v>1570</v>
      </c>
      <c r="K135" s="4">
        <v>1550</v>
      </c>
      <c r="L135" s="4">
        <v>1550</v>
      </c>
      <c r="M135" s="5">
        <v>1548</v>
      </c>
      <c r="N135" s="5"/>
      <c r="O135" s="30">
        <v>1549.3333333333333</v>
      </c>
      <c r="P135" s="7">
        <v>4.9000000000000004</v>
      </c>
      <c r="Q135" s="4">
        <v>33</v>
      </c>
      <c r="R135" s="8"/>
      <c r="S135" s="9">
        <v>157</v>
      </c>
      <c r="T135" s="9">
        <v>62</v>
      </c>
      <c r="U135" s="10">
        <v>95</v>
      </c>
      <c r="V135" s="11" t="s">
        <v>1248</v>
      </c>
      <c r="W135" s="11">
        <v>58</v>
      </c>
      <c r="X135" s="12">
        <v>2.8177009000000002</v>
      </c>
      <c r="Y135" s="7">
        <v>6.5</v>
      </c>
      <c r="Z135" s="7">
        <v>7.6</v>
      </c>
      <c r="AA135" s="13">
        <v>91</v>
      </c>
      <c r="AB135" s="13">
        <v>91</v>
      </c>
      <c r="AC135" s="11" t="s">
        <v>6</v>
      </c>
      <c r="AD135" s="18" t="s">
        <v>455</v>
      </c>
      <c r="AE135" s="14" t="s">
        <v>1257</v>
      </c>
    </row>
    <row r="136" spans="1:31" ht="47.25" x14ac:dyDescent="0.25">
      <c r="A136" s="1">
        <v>2258</v>
      </c>
      <c r="B136" s="2">
        <v>45961</v>
      </c>
      <c r="C136" s="1" t="s">
        <v>264</v>
      </c>
      <c r="D136" s="1" t="s">
        <v>1</v>
      </c>
      <c r="E136" s="83">
        <v>12510030</v>
      </c>
      <c r="F136" s="4">
        <v>1255</v>
      </c>
      <c r="G136" s="4" t="s">
        <v>55</v>
      </c>
      <c r="H136" s="88" t="s">
        <v>120</v>
      </c>
      <c r="I136" s="7" t="s">
        <v>1258</v>
      </c>
      <c r="J136" s="4">
        <v>1575</v>
      </c>
      <c r="K136" s="4">
        <v>1543</v>
      </c>
      <c r="L136" s="4">
        <v>1543</v>
      </c>
      <c r="M136" s="4">
        <v>1540</v>
      </c>
      <c r="N136" s="5">
        <v>1538</v>
      </c>
      <c r="O136" s="30">
        <v>1541</v>
      </c>
      <c r="P136" s="7">
        <v>4.2</v>
      </c>
      <c r="Q136" s="4">
        <v>40</v>
      </c>
      <c r="R136" s="8">
        <v>39</v>
      </c>
      <c r="S136" s="9">
        <v>160</v>
      </c>
      <c r="T136" s="9">
        <v>62</v>
      </c>
      <c r="U136" s="10">
        <v>98</v>
      </c>
      <c r="V136" s="11" t="s">
        <v>1248</v>
      </c>
      <c r="W136" s="11">
        <v>58</v>
      </c>
      <c r="X136" s="12">
        <v>2.4151722000000002</v>
      </c>
      <c r="Y136" s="7">
        <v>8.6</v>
      </c>
      <c r="Z136" s="7">
        <v>9.6</v>
      </c>
      <c r="AA136" s="13">
        <v>91</v>
      </c>
      <c r="AB136" s="13">
        <v>86</v>
      </c>
      <c r="AC136" s="11" t="s">
        <v>6</v>
      </c>
      <c r="AD136" s="18" t="s">
        <v>455</v>
      </c>
      <c r="AE136" s="14" t="s">
        <v>1259</v>
      </c>
    </row>
    <row r="137" spans="1:31" ht="47.25" x14ac:dyDescent="0.25">
      <c r="A137" s="1">
        <v>2259</v>
      </c>
      <c r="B137" s="2">
        <v>45961</v>
      </c>
      <c r="C137" s="1" t="s">
        <v>264</v>
      </c>
      <c r="D137" s="1" t="s">
        <v>1</v>
      </c>
      <c r="E137" s="83">
        <v>12510030</v>
      </c>
      <c r="F137" s="4">
        <v>1255</v>
      </c>
      <c r="G137" s="4" t="s">
        <v>55</v>
      </c>
      <c r="H137" s="88" t="s">
        <v>103</v>
      </c>
      <c r="I137" s="13" t="s">
        <v>1260</v>
      </c>
      <c r="J137" s="4">
        <v>1570</v>
      </c>
      <c r="K137" s="4">
        <v>1544</v>
      </c>
      <c r="L137" s="4">
        <v>1543</v>
      </c>
      <c r="M137" s="5">
        <v>1540</v>
      </c>
      <c r="N137" s="5">
        <v>1540</v>
      </c>
      <c r="O137" s="30">
        <v>1541.75</v>
      </c>
      <c r="P137" s="7">
        <v>5.0999999999999996</v>
      </c>
      <c r="Q137" s="4">
        <v>35</v>
      </c>
      <c r="R137" s="8"/>
      <c r="S137" s="9">
        <v>163</v>
      </c>
      <c r="T137" s="8">
        <v>60</v>
      </c>
      <c r="U137" s="10">
        <v>103</v>
      </c>
      <c r="V137" s="11" t="s">
        <v>1248</v>
      </c>
      <c r="W137" s="11">
        <v>58</v>
      </c>
      <c r="X137" s="12">
        <v>2.9327090999999998</v>
      </c>
      <c r="Y137" s="7">
        <v>10.7</v>
      </c>
      <c r="Z137" s="7">
        <v>11.9</v>
      </c>
      <c r="AA137" s="13">
        <v>85</v>
      </c>
      <c r="AB137" s="13">
        <v>91</v>
      </c>
      <c r="AC137" s="11" t="s">
        <v>6</v>
      </c>
      <c r="AD137" s="18" t="s">
        <v>455</v>
      </c>
      <c r="AE137" s="14" t="s">
        <v>1261</v>
      </c>
    </row>
    <row r="138" spans="1:31" ht="47.25" x14ac:dyDescent="0.25">
      <c r="A138" s="1">
        <v>2260</v>
      </c>
      <c r="B138" s="2">
        <v>45961</v>
      </c>
      <c r="C138" s="1" t="s">
        <v>264</v>
      </c>
      <c r="D138" s="1" t="s">
        <v>1</v>
      </c>
      <c r="E138" s="83">
        <v>12510030</v>
      </c>
      <c r="F138" s="4">
        <v>1255</v>
      </c>
      <c r="G138" s="4" t="s">
        <v>55</v>
      </c>
      <c r="H138" s="88" t="s">
        <v>110</v>
      </c>
      <c r="I138" s="13" t="s">
        <v>1262</v>
      </c>
      <c r="J138" s="99">
        <v>1576</v>
      </c>
      <c r="K138" s="4">
        <v>1550</v>
      </c>
      <c r="L138" s="4">
        <v>1550</v>
      </c>
      <c r="M138" s="5">
        <v>1545</v>
      </c>
      <c r="N138" s="5">
        <v>1542</v>
      </c>
      <c r="O138" s="30">
        <v>1546.75</v>
      </c>
      <c r="P138" s="7">
        <v>4.7</v>
      </c>
      <c r="Q138" s="4">
        <v>35</v>
      </c>
      <c r="R138" s="8"/>
      <c r="S138" s="9">
        <v>163</v>
      </c>
      <c r="T138" s="9">
        <v>62</v>
      </c>
      <c r="U138" s="10">
        <v>101</v>
      </c>
      <c r="V138" s="11" t="s">
        <v>1248</v>
      </c>
      <c r="W138" s="11">
        <v>58</v>
      </c>
      <c r="X138" s="12">
        <v>2.7026927000000001</v>
      </c>
      <c r="Y138" s="7">
        <v>8.1</v>
      </c>
      <c r="Z138" s="7">
        <v>10.1</v>
      </c>
      <c r="AA138" s="13">
        <v>91</v>
      </c>
      <c r="AB138" s="13">
        <v>92</v>
      </c>
      <c r="AC138" s="11" t="s">
        <v>6</v>
      </c>
      <c r="AD138" s="18" t="s">
        <v>455</v>
      </c>
      <c r="AE138" s="14" t="s">
        <v>1263</v>
      </c>
    </row>
    <row r="139" spans="1:31" ht="47.25" x14ac:dyDescent="0.25">
      <c r="A139" s="1">
        <v>2261</v>
      </c>
      <c r="B139" s="2">
        <v>45961</v>
      </c>
      <c r="C139" s="1" t="s">
        <v>264</v>
      </c>
      <c r="D139" s="1" t="s">
        <v>1</v>
      </c>
      <c r="E139" s="83">
        <v>12510030</v>
      </c>
      <c r="F139" s="4">
        <v>1255</v>
      </c>
      <c r="G139" s="4" t="s">
        <v>10</v>
      </c>
      <c r="H139" s="88" t="s">
        <v>261</v>
      </c>
      <c r="I139" s="4" t="s">
        <v>1264</v>
      </c>
      <c r="J139" s="99">
        <v>1570</v>
      </c>
      <c r="K139" s="4">
        <v>1545</v>
      </c>
      <c r="L139" s="4">
        <v>1544</v>
      </c>
      <c r="M139" s="5">
        <v>1542</v>
      </c>
      <c r="N139" s="5">
        <v>1542</v>
      </c>
      <c r="O139" s="30">
        <v>1543.25</v>
      </c>
      <c r="P139" s="7">
        <v>5</v>
      </c>
      <c r="Q139" s="4">
        <v>40</v>
      </c>
      <c r="R139" s="8"/>
      <c r="S139" s="9">
        <v>161</v>
      </c>
      <c r="T139" s="9">
        <v>55</v>
      </c>
      <c r="U139" s="10">
        <v>106</v>
      </c>
      <c r="V139" s="11" t="s">
        <v>1248</v>
      </c>
      <c r="W139" s="11">
        <v>58</v>
      </c>
      <c r="X139" s="12">
        <v>2.8752050000000002</v>
      </c>
      <c r="Y139" s="7">
        <v>6.7</v>
      </c>
      <c r="Z139" s="7">
        <v>7.8</v>
      </c>
      <c r="AA139" s="13">
        <v>66</v>
      </c>
      <c r="AB139" s="13">
        <v>90</v>
      </c>
      <c r="AC139" s="11" t="s">
        <v>6</v>
      </c>
      <c r="AD139" s="18" t="s">
        <v>455</v>
      </c>
      <c r="AE139" s="14" t="s">
        <v>1265</v>
      </c>
    </row>
    <row r="140" spans="1:31" ht="47.25" x14ac:dyDescent="0.25">
      <c r="A140" s="1">
        <v>2262</v>
      </c>
      <c r="B140" s="2">
        <v>45961</v>
      </c>
      <c r="C140" s="1" t="s">
        <v>264</v>
      </c>
      <c r="D140" s="1" t="s">
        <v>1</v>
      </c>
      <c r="E140" s="83">
        <v>12510030</v>
      </c>
      <c r="F140" s="4">
        <v>1255</v>
      </c>
      <c r="G140" s="4" t="s">
        <v>55</v>
      </c>
      <c r="H140" s="88" t="s">
        <v>83</v>
      </c>
      <c r="I140" s="4" t="s">
        <v>1266</v>
      </c>
      <c r="J140" s="99">
        <v>1572</v>
      </c>
      <c r="K140" s="4">
        <v>1543</v>
      </c>
      <c r="L140" s="5">
        <v>1543</v>
      </c>
      <c r="M140" s="5">
        <v>1544</v>
      </c>
      <c r="N140" s="5"/>
      <c r="O140" s="30">
        <v>1543.3333333333333</v>
      </c>
      <c r="P140" s="7">
        <v>4.9000000000000004</v>
      </c>
      <c r="Q140" s="4">
        <v>38</v>
      </c>
      <c r="R140" s="8"/>
      <c r="S140" s="9">
        <v>159</v>
      </c>
      <c r="T140" s="9">
        <v>61</v>
      </c>
      <c r="U140" s="10">
        <v>98</v>
      </c>
      <c r="V140" s="11" t="s">
        <v>1248</v>
      </c>
      <c r="W140" s="11">
        <v>58</v>
      </c>
      <c r="X140" s="12">
        <v>2.8177009000000002</v>
      </c>
      <c r="Y140" s="7">
        <v>7.9</v>
      </c>
      <c r="Z140" s="7">
        <v>10.3</v>
      </c>
      <c r="AA140" s="13">
        <v>76</v>
      </c>
      <c r="AB140" s="13">
        <v>91</v>
      </c>
      <c r="AC140" s="11" t="s">
        <v>6</v>
      </c>
      <c r="AD140" s="18" t="s">
        <v>455</v>
      </c>
      <c r="AE140" s="14" t="s">
        <v>1267</v>
      </c>
    </row>
    <row r="141" spans="1:31" ht="63" x14ac:dyDescent="0.25">
      <c r="A141" s="1">
        <v>2263</v>
      </c>
      <c r="B141" s="2">
        <v>45961</v>
      </c>
      <c r="C141" s="1" t="s">
        <v>264</v>
      </c>
      <c r="D141" s="1" t="s">
        <v>1</v>
      </c>
      <c r="E141" s="83">
        <v>12510030</v>
      </c>
      <c r="F141" s="4">
        <v>1255</v>
      </c>
      <c r="G141" s="4" t="s">
        <v>55</v>
      </c>
      <c r="H141" s="88" t="s">
        <v>113</v>
      </c>
      <c r="I141" s="4" t="s">
        <v>1268</v>
      </c>
      <c r="J141" s="99">
        <v>1574</v>
      </c>
      <c r="K141" s="4">
        <v>1544</v>
      </c>
      <c r="L141" s="5">
        <v>1544</v>
      </c>
      <c r="M141" s="5"/>
      <c r="N141" s="5"/>
      <c r="O141" s="30">
        <v>1544</v>
      </c>
      <c r="P141" s="7">
        <v>4.7</v>
      </c>
      <c r="Q141" s="4">
        <v>24</v>
      </c>
      <c r="R141" s="8"/>
      <c r="S141" s="9">
        <v>163</v>
      </c>
      <c r="T141" s="9">
        <v>90</v>
      </c>
      <c r="U141" s="10">
        <v>73</v>
      </c>
      <c r="V141" s="11" t="s">
        <v>1248</v>
      </c>
      <c r="W141" s="11">
        <v>58</v>
      </c>
      <c r="X141" s="12">
        <v>2.7026927000000001</v>
      </c>
      <c r="Y141" s="7">
        <v>7.7</v>
      </c>
      <c r="Z141" s="7">
        <v>10.7</v>
      </c>
      <c r="AA141" s="13">
        <v>86</v>
      </c>
      <c r="AB141" s="13">
        <v>88</v>
      </c>
      <c r="AC141" s="11" t="s">
        <v>6</v>
      </c>
      <c r="AD141" s="18" t="s">
        <v>455</v>
      </c>
      <c r="AE141" s="14" t="s">
        <v>1269</v>
      </c>
    </row>
    <row r="142" spans="1:31" ht="47.25" x14ac:dyDescent="0.25">
      <c r="A142" s="1">
        <v>2274</v>
      </c>
      <c r="B142" s="2">
        <v>45961</v>
      </c>
      <c r="C142" s="1" t="s">
        <v>264</v>
      </c>
      <c r="D142" s="1" t="s">
        <v>1</v>
      </c>
      <c r="E142" s="83">
        <v>22510035</v>
      </c>
      <c r="F142" s="4">
        <v>1252</v>
      </c>
      <c r="G142" s="4" t="s">
        <v>10</v>
      </c>
      <c r="H142" s="88" t="s">
        <v>148</v>
      </c>
      <c r="I142" s="88" t="s">
        <v>1270</v>
      </c>
      <c r="J142" s="4">
        <v>1570</v>
      </c>
      <c r="K142" s="4">
        <v>1551</v>
      </c>
      <c r="L142" s="5">
        <v>1550</v>
      </c>
      <c r="M142" s="5">
        <v>1546</v>
      </c>
      <c r="N142" s="5"/>
      <c r="O142" s="30">
        <v>1549</v>
      </c>
      <c r="P142" s="7">
        <v>4.5</v>
      </c>
      <c r="Q142" s="4">
        <v>36</v>
      </c>
      <c r="R142" s="8">
        <v>20</v>
      </c>
      <c r="S142" s="8">
        <v>166</v>
      </c>
      <c r="T142" s="8">
        <v>63</v>
      </c>
      <c r="U142" s="10">
        <v>103</v>
      </c>
      <c r="V142" s="11" t="s">
        <v>1248</v>
      </c>
      <c r="W142" s="11">
        <v>58</v>
      </c>
      <c r="X142" s="12">
        <v>2.5814988000000003</v>
      </c>
      <c r="Y142" s="7">
        <v>6.2</v>
      </c>
      <c r="Z142" s="7">
        <v>5.9</v>
      </c>
      <c r="AA142" s="13">
        <v>85</v>
      </c>
      <c r="AB142" s="13">
        <v>79</v>
      </c>
      <c r="AC142" s="11" t="s">
        <v>6</v>
      </c>
      <c r="AD142" s="18" t="s">
        <v>53</v>
      </c>
      <c r="AE142" s="14" t="s">
        <v>1271</v>
      </c>
    </row>
    <row r="143" spans="1:31" ht="63" x14ac:dyDescent="0.25">
      <c r="A143" s="1">
        <v>2297</v>
      </c>
      <c r="B143" s="2">
        <v>45961</v>
      </c>
      <c r="C143" s="1" t="s">
        <v>0</v>
      </c>
      <c r="D143" s="1" t="s">
        <v>9</v>
      </c>
      <c r="E143" s="83">
        <v>22510035</v>
      </c>
      <c r="F143" s="4">
        <v>1230</v>
      </c>
      <c r="G143" s="4" t="s">
        <v>10</v>
      </c>
      <c r="H143" s="88" t="s">
        <v>269</v>
      </c>
      <c r="I143" s="16" t="s">
        <v>1272</v>
      </c>
      <c r="J143" s="4">
        <v>1566</v>
      </c>
      <c r="K143" s="5">
        <v>1548</v>
      </c>
      <c r="L143" s="5">
        <v>1547</v>
      </c>
      <c r="M143" s="5">
        <v>1547</v>
      </c>
      <c r="N143" s="5">
        <v>1548</v>
      </c>
      <c r="O143" s="30">
        <v>1547.5</v>
      </c>
      <c r="P143" s="7">
        <v>4.9000000000000004</v>
      </c>
      <c r="Q143" s="4">
        <v>39</v>
      </c>
      <c r="R143" s="8">
        <v>39</v>
      </c>
      <c r="S143" s="8"/>
      <c r="T143" s="8"/>
      <c r="U143" s="10">
        <v>0</v>
      </c>
      <c r="V143" s="11" t="s">
        <v>1248</v>
      </c>
      <c r="W143" s="11">
        <v>58</v>
      </c>
      <c r="X143" s="12">
        <v>2.7615714000000002</v>
      </c>
      <c r="Y143" s="14">
        <v>8.9</v>
      </c>
      <c r="Z143" s="7">
        <v>9.4</v>
      </c>
      <c r="AA143" s="13">
        <v>79</v>
      </c>
      <c r="AB143" s="13">
        <v>82</v>
      </c>
      <c r="AC143" s="11" t="s">
        <v>6</v>
      </c>
      <c r="AD143" s="18" t="s">
        <v>53</v>
      </c>
      <c r="AE143" s="14" t="s">
        <v>1273</v>
      </c>
    </row>
    <row r="144" spans="1:31" ht="31.5" x14ac:dyDescent="0.25">
      <c r="A144" s="1">
        <v>2300</v>
      </c>
      <c r="B144" s="2">
        <v>45961</v>
      </c>
      <c r="C144" s="1" t="s">
        <v>0</v>
      </c>
      <c r="D144" s="1" t="s">
        <v>9</v>
      </c>
      <c r="E144" s="83">
        <v>22510035</v>
      </c>
      <c r="F144" s="4">
        <v>1230</v>
      </c>
      <c r="G144" s="4" t="s">
        <v>10</v>
      </c>
      <c r="H144" s="88" t="s">
        <v>416</v>
      </c>
      <c r="I144" s="16" t="s">
        <v>1274</v>
      </c>
      <c r="J144" s="4">
        <v>1567</v>
      </c>
      <c r="K144" s="5">
        <v>1548</v>
      </c>
      <c r="L144" s="5">
        <v>1547</v>
      </c>
      <c r="M144" s="5">
        <v>1546</v>
      </c>
      <c r="N144" s="8">
        <v>1545</v>
      </c>
      <c r="O144" s="30">
        <v>1546.5</v>
      </c>
      <c r="P144" s="7">
        <v>5.0999999999999996</v>
      </c>
      <c r="Q144" s="4">
        <v>37</v>
      </c>
      <c r="R144" s="8">
        <v>20</v>
      </c>
      <c r="S144" s="8">
        <v>168</v>
      </c>
      <c r="T144" s="8">
        <v>60</v>
      </c>
      <c r="U144" s="10">
        <v>108</v>
      </c>
      <c r="V144" s="11" t="s">
        <v>1248</v>
      </c>
      <c r="W144" s="11">
        <v>58</v>
      </c>
      <c r="X144" s="12">
        <v>2.8742885999999999</v>
      </c>
      <c r="Y144" s="7">
        <v>8.4</v>
      </c>
      <c r="Z144" s="7">
        <v>8.4</v>
      </c>
      <c r="AA144" s="13">
        <v>97</v>
      </c>
      <c r="AB144" s="13">
        <v>94</v>
      </c>
      <c r="AC144" s="11" t="s">
        <v>6</v>
      </c>
      <c r="AD144" s="18" t="s">
        <v>53</v>
      </c>
      <c r="AE144" s="14" t="s">
        <v>1275</v>
      </c>
    </row>
  </sheetData>
  <mergeCells count="26">
    <mergeCell ref="AE1:AE2"/>
    <mergeCell ref="AF1:AF2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K3:O6">
    <cfRule type="cellIs" dxfId="390" priority="87" stopIfTrue="1" operator="greaterThanOrEqual">
      <formula>1565</formula>
    </cfRule>
    <cfRule type="cellIs" dxfId="391" priority="88" stopIfTrue="1" operator="lessThanOrEqual">
      <formula>1545</formula>
    </cfRule>
  </conditionalFormatting>
  <conditionalFormatting sqref="K7:O9">
    <cfRule type="cellIs" dxfId="388" priority="85" stopIfTrue="1" operator="greaterThanOrEqual">
      <formula>1565</formula>
    </cfRule>
    <cfRule type="cellIs" dxfId="389" priority="86" stopIfTrue="1" operator="lessThanOrEqual">
      <formula>1545</formula>
    </cfRule>
  </conditionalFormatting>
  <conditionalFormatting sqref="K10:O14">
    <cfRule type="cellIs" dxfId="387" priority="83" stopIfTrue="1" operator="greaterThanOrEqual">
      <formula>1565</formula>
    </cfRule>
    <cfRule type="cellIs" dxfId="386" priority="84" stopIfTrue="1" operator="lessThanOrEqual">
      <formula>1545</formula>
    </cfRule>
  </conditionalFormatting>
  <conditionalFormatting sqref="K15:O15">
    <cfRule type="cellIs" dxfId="385" priority="81" stopIfTrue="1" operator="greaterThanOrEqual">
      <formula>1565</formula>
    </cfRule>
    <cfRule type="cellIs" dxfId="384" priority="82" stopIfTrue="1" operator="lessThanOrEqual">
      <formula>1545</formula>
    </cfRule>
  </conditionalFormatting>
  <conditionalFormatting sqref="K16:O18">
    <cfRule type="cellIs" dxfId="382" priority="79" stopIfTrue="1" operator="greaterThanOrEqual">
      <formula>1565</formula>
    </cfRule>
    <cfRule type="cellIs" dxfId="383" priority="80" stopIfTrue="1" operator="lessThanOrEqual">
      <formula>1545</formula>
    </cfRule>
  </conditionalFormatting>
  <conditionalFormatting sqref="O27:O29 K19:O26">
    <cfRule type="cellIs" dxfId="380" priority="77" stopIfTrue="1" operator="greaterThanOrEqual">
      <formula>1565</formula>
    </cfRule>
    <cfRule type="cellIs" dxfId="381" priority="78" stopIfTrue="1" operator="lessThanOrEqual">
      <formula>1545</formula>
    </cfRule>
  </conditionalFormatting>
  <conditionalFormatting sqref="K27:N29">
    <cfRule type="cellIs" dxfId="379" priority="75" stopIfTrue="1" operator="greaterThanOrEqual">
      <formula>1565</formula>
    </cfRule>
    <cfRule type="cellIs" dxfId="378" priority="76" stopIfTrue="1" operator="lessThanOrEqual">
      <formula>1545</formula>
    </cfRule>
  </conditionalFormatting>
  <conditionalFormatting sqref="K30:O38">
    <cfRule type="cellIs" dxfId="377" priority="73" stopIfTrue="1" operator="greaterThanOrEqual">
      <formula>1565</formula>
    </cfRule>
    <cfRule type="cellIs" dxfId="376" priority="74" stopIfTrue="1" operator="lessThanOrEqual">
      <formula>1545</formula>
    </cfRule>
  </conditionalFormatting>
  <conditionalFormatting sqref="L42:N42 O41:O42 K39:O40">
    <cfRule type="cellIs" dxfId="375" priority="71" stopIfTrue="1" operator="greaterThanOrEqual">
      <formula>1565</formula>
    </cfRule>
    <cfRule type="cellIs" dxfId="374" priority="72" stopIfTrue="1" operator="lessThanOrEqual">
      <formula>1545</formula>
    </cfRule>
  </conditionalFormatting>
  <conditionalFormatting sqref="K41:N41">
    <cfRule type="cellIs" dxfId="373" priority="69" stopIfTrue="1" operator="greaterThanOrEqual">
      <formula>1565</formula>
    </cfRule>
    <cfRule type="cellIs" dxfId="372" priority="70" stopIfTrue="1" operator="lessThanOrEqual">
      <formula>1545</formula>
    </cfRule>
  </conditionalFormatting>
  <conditionalFormatting sqref="O49 K43:O48">
    <cfRule type="cellIs" dxfId="370" priority="67" stopIfTrue="1" operator="greaterThanOrEqual">
      <formula>1565</formula>
    </cfRule>
    <cfRule type="cellIs" dxfId="371" priority="68" stopIfTrue="1" operator="lessThanOrEqual">
      <formula>1545</formula>
    </cfRule>
  </conditionalFormatting>
  <conditionalFormatting sqref="K49:N49">
    <cfRule type="cellIs" dxfId="369" priority="65" stopIfTrue="1" operator="greaterThanOrEqual">
      <formula>1565</formula>
    </cfRule>
    <cfRule type="cellIs" dxfId="368" priority="66" stopIfTrue="1" operator="lessThanOrEqual">
      <formula>1545</formula>
    </cfRule>
  </conditionalFormatting>
  <conditionalFormatting sqref="O54 K50:O53">
    <cfRule type="cellIs" dxfId="367" priority="63" stopIfTrue="1" operator="greaterThanOrEqual">
      <formula>1565</formula>
    </cfRule>
    <cfRule type="cellIs" dxfId="366" priority="64" stopIfTrue="1" operator="lessThanOrEqual">
      <formula>1545</formula>
    </cfRule>
  </conditionalFormatting>
  <conditionalFormatting sqref="K54:N54">
    <cfRule type="cellIs" dxfId="364" priority="61" stopIfTrue="1" operator="greaterThanOrEqual">
      <formula>1565</formula>
    </cfRule>
    <cfRule type="cellIs" dxfId="365" priority="62" stopIfTrue="1" operator="lessThanOrEqual">
      <formula>1545</formula>
    </cfRule>
  </conditionalFormatting>
  <conditionalFormatting sqref="O57 K55:O56">
    <cfRule type="cellIs" dxfId="363" priority="59" stopIfTrue="1" operator="greaterThanOrEqual">
      <formula>1565</formula>
    </cfRule>
    <cfRule type="cellIs" dxfId="362" priority="60" stopIfTrue="1" operator="lessThanOrEqual">
      <formula>1545</formula>
    </cfRule>
  </conditionalFormatting>
  <conditionalFormatting sqref="K57:N57">
    <cfRule type="cellIs" dxfId="360" priority="57" stopIfTrue="1" operator="greaterThanOrEqual">
      <formula>1565</formula>
    </cfRule>
    <cfRule type="cellIs" dxfId="361" priority="58" stopIfTrue="1" operator="lessThanOrEqual">
      <formula>1545</formula>
    </cfRule>
  </conditionalFormatting>
  <conditionalFormatting sqref="K58:N59">
    <cfRule type="cellIs" dxfId="359" priority="53" stopIfTrue="1" operator="greaterThanOrEqual">
      <formula>1565</formula>
    </cfRule>
    <cfRule type="cellIs" dxfId="358" priority="54" stopIfTrue="1" operator="lessThanOrEqual">
      <formula>1545</formula>
    </cfRule>
  </conditionalFormatting>
  <conditionalFormatting sqref="O58:O59">
    <cfRule type="cellIs" dxfId="357" priority="55" stopIfTrue="1" operator="greaterThanOrEqual">
      <formula>1565</formula>
    </cfRule>
    <cfRule type="cellIs" dxfId="356" priority="56" stopIfTrue="1" operator="lessThanOrEqual">
      <formula>1545</formula>
    </cfRule>
  </conditionalFormatting>
  <conditionalFormatting sqref="L65:N65 O64:O65 K60:O63">
    <cfRule type="cellIs" dxfId="355" priority="51" stopIfTrue="1" operator="greaterThanOrEqual">
      <formula>1565</formula>
    </cfRule>
    <cfRule type="cellIs" dxfId="354" priority="52" stopIfTrue="1" operator="lessThanOrEqual">
      <formula>1545</formula>
    </cfRule>
  </conditionalFormatting>
  <conditionalFormatting sqref="K64:N64">
    <cfRule type="cellIs" dxfId="352" priority="49" stopIfTrue="1" operator="greaterThanOrEqual">
      <formula>1565</formula>
    </cfRule>
    <cfRule type="cellIs" dxfId="353" priority="50" stopIfTrue="1" operator="lessThanOrEqual">
      <formula>1545</formula>
    </cfRule>
  </conditionalFormatting>
  <conditionalFormatting sqref="K66:O66">
    <cfRule type="cellIs" dxfId="351" priority="47" stopIfTrue="1" operator="greaterThanOrEqual">
      <formula>1565</formula>
    </cfRule>
    <cfRule type="cellIs" dxfId="350" priority="48" stopIfTrue="1" operator="lessThanOrEqual">
      <formula>1545</formula>
    </cfRule>
  </conditionalFormatting>
  <conditionalFormatting sqref="K67:O67">
    <cfRule type="cellIs" dxfId="348" priority="45" stopIfTrue="1" operator="greaterThanOrEqual">
      <formula>1565</formula>
    </cfRule>
    <cfRule type="cellIs" dxfId="349" priority="46" stopIfTrue="1" operator="lessThanOrEqual">
      <formula>1545</formula>
    </cfRule>
  </conditionalFormatting>
  <conditionalFormatting sqref="K68:O69">
    <cfRule type="cellIs" dxfId="347" priority="43" stopIfTrue="1" operator="greaterThanOrEqual">
      <formula>1565</formula>
    </cfRule>
    <cfRule type="cellIs" dxfId="346" priority="44" stopIfTrue="1" operator="lessThanOrEqual">
      <formula>1545</formula>
    </cfRule>
  </conditionalFormatting>
  <conditionalFormatting sqref="K70:O72">
    <cfRule type="cellIs" dxfId="345" priority="41" stopIfTrue="1" operator="greaterThanOrEqual">
      <formula>1565</formula>
    </cfRule>
    <cfRule type="cellIs" dxfId="344" priority="42" stopIfTrue="1" operator="lessThanOrEqual">
      <formula>1545</formula>
    </cfRule>
  </conditionalFormatting>
  <conditionalFormatting sqref="K73:O75">
    <cfRule type="cellIs" dxfId="343" priority="39" stopIfTrue="1" operator="greaterThanOrEqual">
      <formula>1565</formula>
    </cfRule>
    <cfRule type="cellIs" dxfId="342" priority="40" stopIfTrue="1" operator="lessThanOrEqual">
      <formula>1545</formula>
    </cfRule>
  </conditionalFormatting>
  <conditionalFormatting sqref="K76:N77">
    <cfRule type="cellIs" dxfId="340" priority="35" stopIfTrue="1" operator="greaterThanOrEqual">
      <formula>1565</formula>
    </cfRule>
    <cfRule type="cellIs" dxfId="341" priority="36" stopIfTrue="1" operator="lessThanOrEqual">
      <formula>1545</formula>
    </cfRule>
  </conditionalFormatting>
  <conditionalFormatting sqref="K78:N78 O76:O78">
    <cfRule type="cellIs" dxfId="339" priority="37" stopIfTrue="1" operator="greaterThanOrEqual">
      <formula>1565</formula>
    </cfRule>
    <cfRule type="cellIs" dxfId="338" priority="38" stopIfTrue="1" operator="lessThanOrEqual">
      <formula>1545</formula>
    </cfRule>
  </conditionalFormatting>
  <conditionalFormatting sqref="K79:N80">
    <cfRule type="cellIs" dxfId="336" priority="31" stopIfTrue="1" operator="greaterThanOrEqual">
      <formula>1565</formula>
    </cfRule>
    <cfRule type="cellIs" dxfId="337" priority="32" stopIfTrue="1" operator="lessThanOrEqual">
      <formula>1545</formula>
    </cfRule>
  </conditionalFormatting>
  <conditionalFormatting sqref="O79:O80">
    <cfRule type="cellIs" dxfId="334" priority="33" stopIfTrue="1" operator="greaterThanOrEqual">
      <formula>1565</formula>
    </cfRule>
    <cfRule type="cellIs" dxfId="335" priority="34" stopIfTrue="1" operator="lessThanOrEqual">
      <formula>1545</formula>
    </cfRule>
  </conditionalFormatting>
  <conditionalFormatting sqref="K81:O91">
    <cfRule type="cellIs" dxfId="333" priority="29" stopIfTrue="1" operator="greaterThanOrEqual">
      <formula>1565</formula>
    </cfRule>
    <cfRule type="cellIs" dxfId="332" priority="30" stopIfTrue="1" operator="lessThanOrEqual">
      <formula>1545</formula>
    </cfRule>
  </conditionalFormatting>
  <conditionalFormatting sqref="K94:O100 K93:U93 K92:O92">
    <cfRule type="cellIs" dxfId="331" priority="27" stopIfTrue="1" operator="greaterThanOrEqual">
      <formula>1565</formula>
    </cfRule>
    <cfRule type="cellIs" dxfId="330" priority="28" stopIfTrue="1" operator="lessThanOrEqual">
      <formula>1545</formula>
    </cfRule>
  </conditionalFormatting>
  <conditionalFormatting sqref="K101:N102">
    <cfRule type="cellIs" dxfId="329" priority="25" stopIfTrue="1" operator="greaterThanOrEqual">
      <formula>1565</formula>
    </cfRule>
    <cfRule type="cellIs" dxfId="328" priority="26" stopIfTrue="1" operator="lessThanOrEqual">
      <formula>1545</formula>
    </cfRule>
  </conditionalFormatting>
  <conditionalFormatting sqref="K104:N104 O101:O104">
    <cfRule type="cellIs" dxfId="326" priority="23" stopIfTrue="1" operator="greaterThanOrEqual">
      <formula>1565</formula>
    </cfRule>
    <cfRule type="cellIs" dxfId="327" priority="24" stopIfTrue="1" operator="lessThanOrEqual">
      <formula>1545</formula>
    </cfRule>
  </conditionalFormatting>
  <conditionalFormatting sqref="K103:N103">
    <cfRule type="cellIs" dxfId="325" priority="21" stopIfTrue="1" operator="greaterThanOrEqual">
      <formula>1565</formula>
    </cfRule>
    <cfRule type="cellIs" dxfId="324" priority="22" stopIfTrue="1" operator="lessThanOrEqual">
      <formula>1545</formula>
    </cfRule>
  </conditionalFormatting>
  <conditionalFormatting sqref="K105:O106">
    <cfRule type="cellIs" dxfId="322" priority="17" stopIfTrue="1" operator="greaterThanOrEqual">
      <formula>1565</formula>
    </cfRule>
    <cfRule type="cellIs" dxfId="323" priority="18" stopIfTrue="1" operator="lessThanOrEqual">
      <formula>1545</formula>
    </cfRule>
  </conditionalFormatting>
  <conditionalFormatting sqref="P105:Q105">
    <cfRule type="cellIs" dxfId="320" priority="19" stopIfTrue="1" operator="greaterThanOrEqual">
      <formula>1565</formula>
    </cfRule>
    <cfRule type="cellIs" dxfId="321" priority="20" stopIfTrue="1" operator="lessThanOrEqual">
      <formula>1545</formula>
    </cfRule>
  </conditionalFormatting>
  <conditionalFormatting sqref="K107:N107">
    <cfRule type="cellIs" dxfId="319" priority="15" stopIfTrue="1" operator="greaterThanOrEqual">
      <formula>1565</formula>
    </cfRule>
    <cfRule type="cellIs" dxfId="318" priority="16" stopIfTrue="1" operator="lessThanOrEqual">
      <formula>1545</formula>
    </cfRule>
  </conditionalFormatting>
  <conditionalFormatting sqref="K108:N110 O107:O110">
    <cfRule type="cellIs" dxfId="317" priority="13" stopIfTrue="1" operator="greaterThanOrEqual">
      <formula>1565</formula>
    </cfRule>
    <cfRule type="cellIs" dxfId="316" priority="14" stopIfTrue="1" operator="lessThanOrEqual">
      <formula>1545</formula>
    </cfRule>
  </conditionalFormatting>
  <conditionalFormatting sqref="K111:O115">
    <cfRule type="cellIs" dxfId="314" priority="11" stopIfTrue="1" operator="greaterThanOrEqual">
      <formula>1565</formula>
    </cfRule>
    <cfRule type="cellIs" dxfId="315" priority="12" stopIfTrue="1" operator="lessThanOrEqual">
      <formula>1545</formula>
    </cfRule>
  </conditionalFormatting>
  <conditionalFormatting sqref="K116:N122 P117:Q117">
    <cfRule type="cellIs" dxfId="313" priority="9" stopIfTrue="1" operator="greaterThanOrEqual">
      <formula>1565</formula>
    </cfRule>
    <cfRule type="cellIs" dxfId="312" priority="10" stopIfTrue="1" operator="lessThanOrEqual">
      <formula>1545</formula>
    </cfRule>
  </conditionalFormatting>
  <conditionalFormatting sqref="K126:N130 O116:O130">
    <cfRule type="cellIs" dxfId="311" priority="7" stopIfTrue="1" operator="greaterThanOrEqual">
      <formula>1565</formula>
    </cfRule>
    <cfRule type="cellIs" dxfId="310" priority="8" stopIfTrue="1" operator="lessThanOrEqual">
      <formula>1545</formula>
    </cfRule>
  </conditionalFormatting>
  <conditionalFormatting sqref="K123:M125">
    <cfRule type="cellIs" dxfId="308" priority="5" stopIfTrue="1" operator="greaterThanOrEqual">
      <formula>1565</formula>
    </cfRule>
    <cfRule type="cellIs" dxfId="309" priority="6" stopIfTrue="1" operator="lessThanOrEqual">
      <formula>1545</formula>
    </cfRule>
  </conditionalFormatting>
  <conditionalFormatting sqref="O144 N142:O143 K131:O141">
    <cfRule type="cellIs" dxfId="307" priority="3" stopIfTrue="1" operator="greaterThanOrEqual">
      <formula>1565</formula>
    </cfRule>
    <cfRule type="cellIs" dxfId="306" priority="4" stopIfTrue="1" operator="lessThanOrEqual">
      <formula>1545</formula>
    </cfRule>
  </conditionalFormatting>
  <conditionalFormatting sqref="K142:M144">
    <cfRule type="cellIs" dxfId="304" priority="1" stopIfTrue="1" operator="greaterThanOrEqual">
      <formula>1565</formula>
    </cfRule>
    <cfRule type="cellIs" dxfId="305" priority="2" stopIfTrue="1" operator="lessThanOrEqual">
      <formula>1545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0DEC-253A-4251-960F-B3772F4E4740}">
  <dimension ref="A1:AF126"/>
  <sheetViews>
    <sheetView workbookViewId="0">
      <selection activeCell="G18" sqref="G18"/>
    </sheetView>
  </sheetViews>
  <sheetFormatPr defaultColWidth="9.140625" defaultRowHeight="15" x14ac:dyDescent="0.25"/>
  <cols>
    <col min="1" max="1" width="14.85546875" customWidth="1"/>
    <col min="2" max="2" width="27.42578125" customWidth="1"/>
    <col min="3" max="3" width="7.285156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0" customHeight="1" x14ac:dyDescent="0.2">
      <c r="A1" s="20" t="s">
        <v>1276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0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/>
      <c r="AA2" s="25"/>
      <c r="AB2" s="26"/>
      <c r="AC2" s="26"/>
      <c r="AD2" s="20"/>
      <c r="AE2" s="20"/>
      <c r="AF2" s="24"/>
    </row>
    <row r="3" spans="1:32" s="60" customFormat="1" ht="30" customHeight="1" x14ac:dyDescent="0.2">
      <c r="A3" s="20"/>
      <c r="B3" s="21"/>
      <c r="C3" s="21"/>
      <c r="D3" s="2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  <c r="S3" s="20"/>
      <c r="T3" s="20"/>
      <c r="U3" s="20"/>
      <c r="V3" s="20"/>
      <c r="W3" s="20"/>
      <c r="X3" s="20"/>
      <c r="Y3" s="20"/>
      <c r="Z3" s="25" t="s">
        <v>50</v>
      </c>
      <c r="AA3" s="25" t="s">
        <v>51</v>
      </c>
      <c r="AB3" s="26" t="s">
        <v>50</v>
      </c>
      <c r="AC3" s="26" t="s">
        <v>51</v>
      </c>
      <c r="AD3" s="20"/>
      <c r="AE3" s="20"/>
      <c r="AF3" s="24"/>
    </row>
    <row r="4" spans="1:32" s="60" customFormat="1" ht="30" customHeight="1" x14ac:dyDescent="0.2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90" t="s">
        <v>780</v>
      </c>
      <c r="M4" s="90" t="s">
        <v>781</v>
      </c>
      <c r="N4" s="90" t="s">
        <v>782</v>
      </c>
      <c r="O4" s="90" t="s">
        <v>783</v>
      </c>
      <c r="P4" s="91" t="s">
        <v>784</v>
      </c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3"/>
    </row>
    <row r="5" spans="1:32" ht="15.75" x14ac:dyDescent="0.25">
      <c r="A5" s="1">
        <v>12</v>
      </c>
      <c r="B5" s="2">
        <v>45962</v>
      </c>
      <c r="C5" s="1" t="s">
        <v>18</v>
      </c>
      <c r="D5" s="1" t="s">
        <v>19</v>
      </c>
      <c r="E5" s="1">
        <v>1</v>
      </c>
      <c r="F5" s="83">
        <v>12510032</v>
      </c>
      <c r="G5" s="4">
        <v>1230</v>
      </c>
      <c r="H5" s="88" t="s">
        <v>10</v>
      </c>
      <c r="I5" s="16" t="s">
        <v>148</v>
      </c>
      <c r="J5" s="16" t="s">
        <v>1277</v>
      </c>
      <c r="K5" s="16">
        <v>1568</v>
      </c>
      <c r="L5" s="4">
        <v>1545</v>
      </c>
      <c r="M5" s="4">
        <v>1547</v>
      </c>
      <c r="N5" s="5">
        <v>1547</v>
      </c>
      <c r="O5" s="5" t="s">
        <v>5</v>
      </c>
      <c r="P5" s="30">
        <v>1547</v>
      </c>
      <c r="Q5" s="7">
        <v>5</v>
      </c>
      <c r="R5" s="4">
        <v>36</v>
      </c>
      <c r="S5" s="8">
        <v>20</v>
      </c>
      <c r="T5" s="9">
        <v>156</v>
      </c>
      <c r="U5" s="9">
        <v>58</v>
      </c>
      <c r="V5" s="10">
        <v>98</v>
      </c>
      <c r="W5" s="11" t="s">
        <v>5</v>
      </c>
      <c r="X5" s="16">
        <v>58</v>
      </c>
      <c r="Y5" s="12">
        <v>2.81793</v>
      </c>
      <c r="Z5" s="7">
        <v>10.9</v>
      </c>
      <c r="AA5" s="7">
        <v>11.3</v>
      </c>
      <c r="AB5" s="13">
        <v>94</v>
      </c>
      <c r="AC5" s="13">
        <v>98</v>
      </c>
      <c r="AD5" s="11" t="s">
        <v>6</v>
      </c>
      <c r="AE5" s="18" t="s">
        <v>455</v>
      </c>
      <c r="AF5" s="14" t="s">
        <v>444</v>
      </c>
    </row>
    <row r="6" spans="1:32" ht="15.75" x14ac:dyDescent="0.25">
      <c r="A6" s="1">
        <v>19</v>
      </c>
      <c r="B6" s="2">
        <v>45962</v>
      </c>
      <c r="C6" s="1" t="s">
        <v>18</v>
      </c>
      <c r="D6" s="1" t="s">
        <v>19</v>
      </c>
      <c r="E6" s="1">
        <v>2</v>
      </c>
      <c r="F6" s="83">
        <v>22510035</v>
      </c>
      <c r="G6" s="4">
        <v>1230</v>
      </c>
      <c r="H6" s="88" t="s">
        <v>10</v>
      </c>
      <c r="I6" s="16" t="s">
        <v>346</v>
      </c>
      <c r="J6" s="16" t="s">
        <v>1278</v>
      </c>
      <c r="K6" s="4">
        <v>1568</v>
      </c>
      <c r="L6" s="4">
        <v>1544</v>
      </c>
      <c r="M6" s="4">
        <v>1544</v>
      </c>
      <c r="N6" s="5">
        <v>1545</v>
      </c>
      <c r="O6" s="5">
        <v>1547</v>
      </c>
      <c r="P6" s="30">
        <v>1545.3333333333333</v>
      </c>
      <c r="Q6" s="7">
        <v>5.5</v>
      </c>
      <c r="R6" s="4">
        <v>37</v>
      </c>
      <c r="S6" s="8">
        <v>26</v>
      </c>
      <c r="T6" s="9" t="s">
        <v>5</v>
      </c>
      <c r="U6" s="9"/>
      <c r="V6" s="9" t="s">
        <v>5</v>
      </c>
      <c r="W6" s="9"/>
      <c r="X6" s="16">
        <v>58</v>
      </c>
      <c r="Y6" s="12">
        <v>3.099723</v>
      </c>
      <c r="Z6" s="7">
        <v>9.6999999999999993</v>
      </c>
      <c r="AA6" s="7">
        <v>10.7</v>
      </c>
      <c r="AB6" s="13">
        <v>86</v>
      </c>
      <c r="AC6" s="13">
        <v>88</v>
      </c>
      <c r="AD6" s="11" t="s">
        <v>6</v>
      </c>
      <c r="AE6" s="18" t="s">
        <v>53</v>
      </c>
      <c r="AF6" s="14" t="s">
        <v>397</v>
      </c>
    </row>
    <row r="7" spans="1:32" ht="15.75" x14ac:dyDescent="0.25">
      <c r="A7" s="1">
        <v>26</v>
      </c>
      <c r="B7" s="2">
        <v>45962</v>
      </c>
      <c r="C7" s="1" t="s">
        <v>18</v>
      </c>
      <c r="D7" s="1" t="s">
        <v>19</v>
      </c>
      <c r="E7" s="1">
        <v>2</v>
      </c>
      <c r="F7" s="83">
        <v>22510035</v>
      </c>
      <c r="G7" s="4">
        <v>1230</v>
      </c>
      <c r="H7" s="88" t="s">
        <v>10</v>
      </c>
      <c r="I7" s="16" t="s">
        <v>90</v>
      </c>
      <c r="J7" s="16" t="s">
        <v>1279</v>
      </c>
      <c r="K7" s="4">
        <v>1570</v>
      </c>
      <c r="L7" s="4">
        <v>1556</v>
      </c>
      <c r="M7" s="4">
        <v>1556</v>
      </c>
      <c r="N7" s="4">
        <v>1556</v>
      </c>
      <c r="O7" s="5" t="s">
        <v>5</v>
      </c>
      <c r="P7" s="30">
        <v>1556</v>
      </c>
      <c r="Q7" s="7">
        <v>5.0999999999999996</v>
      </c>
      <c r="R7" s="4">
        <v>36</v>
      </c>
      <c r="S7" s="8" t="s">
        <v>5</v>
      </c>
      <c r="T7" s="9">
        <v>158</v>
      </c>
      <c r="U7" s="9">
        <v>61</v>
      </c>
      <c r="V7" s="9" t="s">
        <v>5</v>
      </c>
      <c r="W7" s="11" t="s">
        <v>5</v>
      </c>
      <c r="X7" s="16">
        <v>58</v>
      </c>
      <c r="Y7" s="12">
        <v>2.8742885999999999</v>
      </c>
      <c r="Z7" s="7">
        <v>9.3000000000000007</v>
      </c>
      <c r="AA7" s="7">
        <v>9.6</v>
      </c>
      <c r="AB7" s="13">
        <v>76</v>
      </c>
      <c r="AC7" s="13">
        <v>79</v>
      </c>
      <c r="AD7" s="11" t="s">
        <v>6</v>
      </c>
      <c r="AE7" s="18" t="s">
        <v>53</v>
      </c>
      <c r="AF7" s="14" t="s">
        <v>418</v>
      </c>
    </row>
    <row r="8" spans="1:32" ht="15.75" x14ac:dyDescent="0.25">
      <c r="A8" s="1">
        <v>40</v>
      </c>
      <c r="B8" s="2">
        <v>45962</v>
      </c>
      <c r="C8" s="1" t="s">
        <v>264</v>
      </c>
      <c r="D8" s="1" t="s">
        <v>1</v>
      </c>
      <c r="E8" s="1">
        <v>1</v>
      </c>
      <c r="F8" s="83">
        <v>12510032</v>
      </c>
      <c r="G8" s="4">
        <v>1230</v>
      </c>
      <c r="H8" s="88" t="s">
        <v>10</v>
      </c>
      <c r="I8" s="16" t="s">
        <v>138</v>
      </c>
      <c r="J8" s="16" t="s">
        <v>1280</v>
      </c>
      <c r="K8" s="4">
        <v>1572</v>
      </c>
      <c r="L8" s="4">
        <v>1546</v>
      </c>
      <c r="M8" s="5">
        <v>1547</v>
      </c>
      <c r="N8" s="5">
        <v>1547</v>
      </c>
      <c r="O8" s="5">
        <v>1548</v>
      </c>
      <c r="P8" s="30">
        <v>1547.3333333333333</v>
      </c>
      <c r="Q8" s="7">
        <v>5.4</v>
      </c>
      <c r="R8" s="4">
        <v>35</v>
      </c>
      <c r="S8" s="8">
        <v>23</v>
      </c>
      <c r="T8" s="9">
        <v>162</v>
      </c>
      <c r="U8" s="9">
        <v>59</v>
      </c>
      <c r="V8" s="10">
        <v>103</v>
      </c>
      <c r="W8" s="11" t="s">
        <v>5</v>
      </c>
      <c r="X8" s="16">
        <v>58</v>
      </c>
      <c r="Y8" s="12">
        <v>3.0433644000000002</v>
      </c>
      <c r="Z8" s="7">
        <v>11.3</v>
      </c>
      <c r="AA8" s="7">
        <v>11.4</v>
      </c>
      <c r="AB8" s="13">
        <v>89</v>
      </c>
      <c r="AC8" s="13">
        <v>92</v>
      </c>
      <c r="AD8" s="11" t="s">
        <v>6</v>
      </c>
      <c r="AE8" s="18" t="s">
        <v>455</v>
      </c>
      <c r="AF8" s="14" t="s">
        <v>418</v>
      </c>
    </row>
    <row r="9" spans="1:32" ht="31.5" x14ac:dyDescent="0.25">
      <c r="A9" s="1">
        <v>72</v>
      </c>
      <c r="B9" s="2">
        <v>45962</v>
      </c>
      <c r="C9" s="1" t="s">
        <v>0</v>
      </c>
      <c r="D9" s="1" t="s">
        <v>9</v>
      </c>
      <c r="E9" s="1">
        <v>2</v>
      </c>
      <c r="F9" s="83">
        <v>22511001</v>
      </c>
      <c r="G9" s="4">
        <v>1260</v>
      </c>
      <c r="H9" s="88" t="s">
        <v>10</v>
      </c>
      <c r="I9" s="16" t="s">
        <v>155</v>
      </c>
      <c r="J9" s="16" t="s">
        <v>1281</v>
      </c>
      <c r="K9" s="4">
        <v>1568</v>
      </c>
      <c r="L9" s="4">
        <v>1547</v>
      </c>
      <c r="M9" s="5">
        <v>1547</v>
      </c>
      <c r="N9" s="5">
        <v>1550</v>
      </c>
      <c r="O9" s="5">
        <v>1551</v>
      </c>
      <c r="P9" s="30">
        <v>1549.3333333333333</v>
      </c>
      <c r="Q9" s="7">
        <v>5.5</v>
      </c>
      <c r="R9" s="4">
        <v>31</v>
      </c>
      <c r="S9" s="8">
        <v>20</v>
      </c>
      <c r="T9" s="9">
        <v>159.5</v>
      </c>
      <c r="U9" s="9">
        <v>61.6</v>
      </c>
      <c r="V9" s="10">
        <v>97.9</v>
      </c>
      <c r="W9" s="11" t="s">
        <v>5</v>
      </c>
      <c r="X9" s="16">
        <v>58</v>
      </c>
      <c r="Y9" s="12">
        <v>3.1753260000000005</v>
      </c>
      <c r="Z9" s="7">
        <v>7.8</v>
      </c>
      <c r="AA9" s="7">
        <v>9.3000000000000007</v>
      </c>
      <c r="AB9" s="13">
        <v>86</v>
      </c>
      <c r="AC9" s="13">
        <v>88</v>
      </c>
      <c r="AD9" s="11" t="s">
        <v>6</v>
      </c>
      <c r="AE9" s="18" t="s">
        <v>53</v>
      </c>
      <c r="AF9" s="14" t="s">
        <v>1282</v>
      </c>
    </row>
    <row r="10" spans="1:32" ht="31.5" x14ac:dyDescent="0.25">
      <c r="A10" s="1">
        <v>80</v>
      </c>
      <c r="B10" s="2">
        <v>45962</v>
      </c>
      <c r="C10" s="1" t="s">
        <v>0</v>
      </c>
      <c r="D10" s="1" t="s">
        <v>9</v>
      </c>
      <c r="E10" s="1">
        <v>2</v>
      </c>
      <c r="F10" s="83">
        <v>22511001</v>
      </c>
      <c r="G10" s="4">
        <v>1260</v>
      </c>
      <c r="H10" s="88" t="s">
        <v>1283</v>
      </c>
      <c r="I10" s="16" t="s">
        <v>15</v>
      </c>
      <c r="J10" s="16" t="s">
        <v>1284</v>
      </c>
      <c r="K10" s="4">
        <v>1568</v>
      </c>
      <c r="L10" s="5">
        <v>1548</v>
      </c>
      <c r="M10" s="5">
        <v>1548</v>
      </c>
      <c r="N10" s="5">
        <v>1548</v>
      </c>
      <c r="O10" s="5" t="s">
        <v>5</v>
      </c>
      <c r="P10" s="30">
        <v>1548</v>
      </c>
      <c r="Q10" s="7">
        <v>4.2</v>
      </c>
      <c r="R10" s="4">
        <v>39</v>
      </c>
      <c r="S10" s="8" t="s">
        <v>5</v>
      </c>
      <c r="T10" s="9">
        <v>164.9</v>
      </c>
      <c r="U10" s="9">
        <v>60.3</v>
      </c>
      <c r="V10" s="10">
        <v>104.60000000000001</v>
      </c>
      <c r="W10" s="11" t="s">
        <v>5</v>
      </c>
      <c r="X10" s="16">
        <v>58</v>
      </c>
      <c r="Y10" s="12">
        <v>2.4247944000000006</v>
      </c>
      <c r="Z10" s="7">
        <v>9.1</v>
      </c>
      <c r="AA10" s="7">
        <v>10.1</v>
      </c>
      <c r="AB10" s="13">
        <v>7.6</v>
      </c>
      <c r="AC10" s="13">
        <v>80</v>
      </c>
      <c r="AD10" s="11" t="s">
        <v>6</v>
      </c>
      <c r="AE10" s="18" t="s">
        <v>72</v>
      </c>
      <c r="AF10" s="14" t="s">
        <v>1285</v>
      </c>
    </row>
    <row r="11" spans="1:32" ht="31.5" x14ac:dyDescent="0.25">
      <c r="A11" s="1">
        <v>107</v>
      </c>
      <c r="B11" s="2">
        <v>45963</v>
      </c>
      <c r="C11" s="1" t="s">
        <v>18</v>
      </c>
      <c r="D11" s="1" t="s">
        <v>19</v>
      </c>
      <c r="E11" s="1">
        <v>2</v>
      </c>
      <c r="F11" s="83">
        <v>22511001</v>
      </c>
      <c r="G11" s="4">
        <v>1260</v>
      </c>
      <c r="H11" s="88" t="s">
        <v>10</v>
      </c>
      <c r="I11" s="16" t="s">
        <v>458</v>
      </c>
      <c r="J11" s="16" t="s">
        <v>1286</v>
      </c>
      <c r="K11" s="4">
        <v>1571</v>
      </c>
      <c r="L11" s="4">
        <v>1548</v>
      </c>
      <c r="M11" s="4">
        <v>1548</v>
      </c>
      <c r="N11" s="5">
        <v>1547</v>
      </c>
      <c r="O11" s="5">
        <v>1546</v>
      </c>
      <c r="P11" s="30">
        <v>1547</v>
      </c>
      <c r="Q11" s="7">
        <v>4.5</v>
      </c>
      <c r="R11" s="4">
        <v>4</v>
      </c>
      <c r="S11" s="8" t="s">
        <v>5</v>
      </c>
      <c r="T11" s="9">
        <v>161</v>
      </c>
      <c r="U11" s="9">
        <v>63</v>
      </c>
      <c r="V11" s="10">
        <v>98</v>
      </c>
      <c r="W11" s="11" t="s">
        <v>5</v>
      </c>
      <c r="X11" s="16">
        <v>58</v>
      </c>
      <c r="Y11" s="12">
        <v>2.5979940000000004</v>
      </c>
      <c r="Z11" s="7">
        <v>9.1999999999999993</v>
      </c>
      <c r="AA11" s="7">
        <v>9.6999999999999993</v>
      </c>
      <c r="AB11" s="13">
        <v>82</v>
      </c>
      <c r="AC11" s="13">
        <v>82</v>
      </c>
      <c r="AD11" s="11" t="s">
        <v>6</v>
      </c>
      <c r="AE11" s="18" t="s">
        <v>72</v>
      </c>
      <c r="AF11" s="14" t="s">
        <v>1287</v>
      </c>
    </row>
    <row r="12" spans="1:32" ht="47.25" x14ac:dyDescent="0.25">
      <c r="A12" s="1">
        <v>113</v>
      </c>
      <c r="B12" s="2">
        <v>45963</v>
      </c>
      <c r="C12" s="1" t="s">
        <v>264</v>
      </c>
      <c r="D12" s="1" t="s">
        <v>9</v>
      </c>
      <c r="E12" s="1">
        <v>1</v>
      </c>
      <c r="F12" s="83">
        <v>12511001</v>
      </c>
      <c r="G12" s="4">
        <v>1250</v>
      </c>
      <c r="H12" s="88" t="s">
        <v>1098</v>
      </c>
      <c r="I12" s="16" t="s">
        <v>315</v>
      </c>
      <c r="J12" s="16" t="s">
        <v>1288</v>
      </c>
      <c r="K12" s="99">
        <v>1566</v>
      </c>
      <c r="L12" s="4">
        <v>1547</v>
      </c>
      <c r="M12" s="5">
        <v>1546</v>
      </c>
      <c r="N12" s="5">
        <v>1546</v>
      </c>
      <c r="O12" s="5" t="s">
        <v>5</v>
      </c>
      <c r="P12" s="30">
        <v>1546</v>
      </c>
      <c r="Q12" s="7">
        <v>4</v>
      </c>
      <c r="R12" s="4">
        <v>43</v>
      </c>
      <c r="S12" s="8">
        <v>21</v>
      </c>
      <c r="T12" s="9">
        <v>168</v>
      </c>
      <c r="U12" s="9">
        <v>61</v>
      </c>
      <c r="V12" s="10">
        <v>107</v>
      </c>
      <c r="W12" s="11" t="s">
        <v>5</v>
      </c>
      <c r="X12" s="16">
        <v>58</v>
      </c>
      <c r="Y12" s="12">
        <v>2.2909999999999999</v>
      </c>
      <c r="Z12" s="7">
        <v>5.5</v>
      </c>
      <c r="AA12" s="7">
        <v>5.2</v>
      </c>
      <c r="AB12" s="13">
        <v>68</v>
      </c>
      <c r="AC12" s="13">
        <v>66</v>
      </c>
      <c r="AD12" s="11" t="s">
        <v>6</v>
      </c>
      <c r="AE12" s="18" t="s">
        <v>72</v>
      </c>
      <c r="AF12" s="14" t="s">
        <v>1289</v>
      </c>
    </row>
    <row r="13" spans="1:32" ht="15.75" x14ac:dyDescent="0.25">
      <c r="A13" s="1">
        <v>129</v>
      </c>
      <c r="B13" s="2">
        <v>45963</v>
      </c>
      <c r="C13" s="1" t="s">
        <v>264</v>
      </c>
      <c r="D13" s="1" t="s">
        <v>9</v>
      </c>
      <c r="E13" s="1">
        <v>2</v>
      </c>
      <c r="F13" s="83">
        <v>22511002</v>
      </c>
      <c r="G13" s="4">
        <v>1260</v>
      </c>
      <c r="H13" s="88" t="s">
        <v>1290</v>
      </c>
      <c r="I13" s="16" t="s">
        <v>70</v>
      </c>
      <c r="J13" s="16" t="s">
        <v>1291</v>
      </c>
      <c r="K13" s="4">
        <v>1565</v>
      </c>
      <c r="L13" s="4">
        <v>1541</v>
      </c>
      <c r="M13" s="5">
        <v>1540</v>
      </c>
      <c r="N13" s="5">
        <v>1535</v>
      </c>
      <c r="O13" s="5">
        <v>1532</v>
      </c>
      <c r="P13" s="30">
        <v>1535.6666666666667</v>
      </c>
      <c r="Q13" s="7">
        <v>5.3</v>
      </c>
      <c r="R13" s="4">
        <v>30</v>
      </c>
      <c r="S13" s="8" t="s">
        <v>5</v>
      </c>
      <c r="T13" s="8">
        <v>160</v>
      </c>
      <c r="U13" s="8">
        <v>60</v>
      </c>
      <c r="V13" s="8" t="s">
        <v>5</v>
      </c>
      <c r="W13" s="11" t="s">
        <v>5</v>
      </c>
      <c r="X13" s="16">
        <v>58</v>
      </c>
      <c r="Y13" s="12">
        <v>3.0598596000000002</v>
      </c>
      <c r="Z13" s="7">
        <v>8.9</v>
      </c>
      <c r="AA13" s="7">
        <v>9.9</v>
      </c>
      <c r="AB13" s="13">
        <v>78</v>
      </c>
      <c r="AC13" s="13">
        <v>86</v>
      </c>
      <c r="AD13" s="11" t="s">
        <v>6</v>
      </c>
      <c r="AE13" s="40" t="s">
        <v>53</v>
      </c>
      <c r="AF13" s="14" t="s">
        <v>480</v>
      </c>
    </row>
    <row r="14" spans="1:32" ht="15.75" x14ac:dyDescent="0.25">
      <c r="A14" s="1">
        <v>130</v>
      </c>
      <c r="B14" s="2">
        <v>45963</v>
      </c>
      <c r="C14" s="1" t="s">
        <v>264</v>
      </c>
      <c r="D14" s="1" t="s">
        <v>9</v>
      </c>
      <c r="E14" s="1">
        <v>2</v>
      </c>
      <c r="F14" s="83">
        <v>22511002</v>
      </c>
      <c r="G14" s="4">
        <v>1260</v>
      </c>
      <c r="H14" s="88" t="s">
        <v>1290</v>
      </c>
      <c r="I14" s="16" t="s">
        <v>93</v>
      </c>
      <c r="J14" s="16" t="s">
        <v>1292</v>
      </c>
      <c r="K14" s="4">
        <v>1569</v>
      </c>
      <c r="L14" s="4">
        <v>1539</v>
      </c>
      <c r="M14" s="5">
        <v>1540</v>
      </c>
      <c r="N14" s="5">
        <v>1540</v>
      </c>
      <c r="O14" s="5">
        <v>1540</v>
      </c>
      <c r="P14" s="30">
        <v>1540</v>
      </c>
      <c r="Q14" s="7">
        <v>5.4</v>
      </c>
      <c r="R14" s="4">
        <v>39</v>
      </c>
      <c r="S14" s="8" t="s">
        <v>5</v>
      </c>
      <c r="T14" s="8" t="s">
        <v>5</v>
      </c>
      <c r="U14" s="8" t="s">
        <v>5</v>
      </c>
      <c r="V14" s="8" t="s">
        <v>5</v>
      </c>
      <c r="W14" s="11" t="s">
        <v>5</v>
      </c>
      <c r="X14" s="16">
        <v>58</v>
      </c>
      <c r="Y14" s="12">
        <v>3.1175928000000006</v>
      </c>
      <c r="Z14" s="7">
        <v>9.5</v>
      </c>
      <c r="AA14" s="7">
        <v>10.5</v>
      </c>
      <c r="AB14" s="13">
        <v>74</v>
      </c>
      <c r="AC14" s="13">
        <v>80</v>
      </c>
      <c r="AD14" s="11" t="s">
        <v>6</v>
      </c>
      <c r="AE14" s="40" t="s">
        <v>53</v>
      </c>
      <c r="AF14" s="14" t="s">
        <v>1293</v>
      </c>
    </row>
    <row r="15" spans="1:32" ht="15.75" x14ac:dyDescent="0.25">
      <c r="A15" s="1">
        <v>131</v>
      </c>
      <c r="B15" s="2">
        <v>45963</v>
      </c>
      <c r="C15" s="1" t="s">
        <v>264</v>
      </c>
      <c r="D15" s="1" t="s">
        <v>9</v>
      </c>
      <c r="E15" s="1">
        <v>2</v>
      </c>
      <c r="F15" s="83">
        <v>22511002</v>
      </c>
      <c r="G15" s="4">
        <v>1260</v>
      </c>
      <c r="H15" s="88" t="s">
        <v>1290</v>
      </c>
      <c r="I15" s="16" t="s">
        <v>74</v>
      </c>
      <c r="J15" s="16" t="s">
        <v>1294</v>
      </c>
      <c r="K15" s="4">
        <v>1570</v>
      </c>
      <c r="L15" s="4">
        <v>1542</v>
      </c>
      <c r="M15" s="5">
        <v>1543</v>
      </c>
      <c r="N15" s="5">
        <v>1543</v>
      </c>
      <c r="O15" s="5">
        <v>1541</v>
      </c>
      <c r="P15" s="30">
        <v>1542.3333333333333</v>
      </c>
      <c r="Q15" s="7">
        <v>5.6</v>
      </c>
      <c r="R15" s="4">
        <v>30</v>
      </c>
      <c r="S15" s="8" t="s">
        <v>5</v>
      </c>
      <c r="T15" s="8">
        <v>166.4</v>
      </c>
      <c r="U15" s="8">
        <v>63.2</v>
      </c>
      <c r="V15" s="10">
        <v>103.2</v>
      </c>
      <c r="W15" s="11" t="s">
        <v>5</v>
      </c>
      <c r="X15" s="16">
        <v>58</v>
      </c>
      <c r="Y15" s="12">
        <v>3.2330592</v>
      </c>
      <c r="Z15" s="7">
        <v>9.5</v>
      </c>
      <c r="AA15" s="7">
        <v>10.1</v>
      </c>
      <c r="AB15" s="13">
        <v>74</v>
      </c>
      <c r="AC15" s="13">
        <v>83</v>
      </c>
      <c r="AD15" s="11" t="s">
        <v>6</v>
      </c>
      <c r="AE15" s="40" t="s">
        <v>53</v>
      </c>
      <c r="AF15" s="14" t="s">
        <v>480</v>
      </c>
    </row>
    <row r="16" spans="1:32" ht="31.5" x14ac:dyDescent="0.25">
      <c r="A16" s="1">
        <v>133</v>
      </c>
      <c r="B16" s="2">
        <v>45963</v>
      </c>
      <c r="C16" s="1" t="s">
        <v>264</v>
      </c>
      <c r="D16" s="1" t="s">
        <v>9</v>
      </c>
      <c r="E16" s="1">
        <v>2</v>
      </c>
      <c r="F16" s="83">
        <v>22511002</v>
      </c>
      <c r="G16" s="4">
        <v>1260</v>
      </c>
      <c r="H16" s="88" t="s">
        <v>1295</v>
      </c>
      <c r="I16" s="16" t="s">
        <v>122</v>
      </c>
      <c r="J16" s="16" t="s">
        <v>1296</v>
      </c>
      <c r="K16" s="4">
        <v>1570</v>
      </c>
      <c r="L16" s="4">
        <v>1545</v>
      </c>
      <c r="M16" s="5">
        <v>1545</v>
      </c>
      <c r="N16" s="5">
        <v>1544</v>
      </c>
      <c r="O16" s="5" t="s">
        <v>5</v>
      </c>
      <c r="P16" s="30">
        <v>1544.5</v>
      </c>
      <c r="Q16" s="7">
        <v>4.3</v>
      </c>
      <c r="R16" s="4">
        <v>43</v>
      </c>
      <c r="S16" s="8" t="s">
        <v>5</v>
      </c>
      <c r="T16" s="9" t="s">
        <v>5</v>
      </c>
      <c r="U16" s="9" t="s">
        <v>5</v>
      </c>
      <c r="V16" s="10" t="e">
        <v>#VALUE!</v>
      </c>
      <c r="W16" s="11" t="s">
        <v>5</v>
      </c>
      <c r="X16" s="16">
        <v>58</v>
      </c>
      <c r="Y16" s="12">
        <v>2.4825276000000001</v>
      </c>
      <c r="Z16" s="7">
        <v>7.1</v>
      </c>
      <c r="AA16" s="7">
        <v>9</v>
      </c>
      <c r="AB16" s="13">
        <v>54</v>
      </c>
      <c r="AC16" s="13">
        <v>70</v>
      </c>
      <c r="AD16" s="11" t="s">
        <v>6</v>
      </c>
      <c r="AE16" s="40" t="s">
        <v>72</v>
      </c>
      <c r="AF16" s="14" t="s">
        <v>1297</v>
      </c>
    </row>
    <row r="17" spans="1:32" ht="15.75" x14ac:dyDescent="0.25">
      <c r="A17" s="1">
        <v>152</v>
      </c>
      <c r="B17" s="2">
        <v>45963</v>
      </c>
      <c r="C17" s="1" t="s">
        <v>0</v>
      </c>
      <c r="D17" s="1" t="s">
        <v>265</v>
      </c>
      <c r="E17" s="1">
        <v>2</v>
      </c>
      <c r="F17" s="83">
        <v>22511002</v>
      </c>
      <c r="G17" s="4">
        <v>1260</v>
      </c>
      <c r="H17" s="88" t="s">
        <v>1298</v>
      </c>
      <c r="I17" s="16" t="s">
        <v>103</v>
      </c>
      <c r="J17" s="16" t="s">
        <v>1299</v>
      </c>
      <c r="K17" s="4">
        <v>1571</v>
      </c>
      <c r="L17" s="5">
        <v>1539</v>
      </c>
      <c r="M17" s="5">
        <v>1542</v>
      </c>
      <c r="N17" s="5">
        <v>1542</v>
      </c>
      <c r="O17" s="5">
        <v>1542</v>
      </c>
      <c r="P17" s="30">
        <v>1542</v>
      </c>
      <c r="Q17" s="7">
        <v>4.8</v>
      </c>
      <c r="R17" s="4">
        <v>39</v>
      </c>
      <c r="S17" s="8" t="s">
        <v>5</v>
      </c>
      <c r="T17" s="9">
        <v>172</v>
      </c>
      <c r="U17" s="9">
        <v>62</v>
      </c>
      <c r="V17" s="10">
        <v>110</v>
      </c>
      <c r="W17" s="11" t="s">
        <v>5</v>
      </c>
      <c r="X17" s="16">
        <v>58</v>
      </c>
      <c r="Y17" s="12">
        <v>2.7711936000000001</v>
      </c>
      <c r="Z17" s="7">
        <v>8</v>
      </c>
      <c r="AA17" s="7">
        <v>9.4</v>
      </c>
      <c r="AB17" s="13">
        <v>62</v>
      </c>
      <c r="AC17" s="13">
        <v>73</v>
      </c>
      <c r="AD17" s="11" t="s">
        <v>6</v>
      </c>
      <c r="AE17" s="40" t="s">
        <v>72</v>
      </c>
      <c r="AF17" s="14" t="s">
        <v>721</v>
      </c>
    </row>
    <row r="18" spans="1:32" ht="31.5" x14ac:dyDescent="0.25">
      <c r="A18" s="1">
        <v>194</v>
      </c>
      <c r="B18" s="2">
        <v>45965</v>
      </c>
      <c r="C18" s="1" t="s">
        <v>264</v>
      </c>
      <c r="D18" s="1" t="s">
        <v>9</v>
      </c>
      <c r="E18" s="1">
        <v>1</v>
      </c>
      <c r="F18" s="83">
        <v>12511003</v>
      </c>
      <c r="G18" s="4">
        <v>1040</v>
      </c>
      <c r="H18" s="88" t="s">
        <v>10</v>
      </c>
      <c r="I18" s="16" t="s">
        <v>77</v>
      </c>
      <c r="J18" s="16" t="s">
        <v>1300</v>
      </c>
      <c r="K18" s="16">
        <v>1585</v>
      </c>
      <c r="L18" s="4">
        <v>1553</v>
      </c>
      <c r="M18" s="5">
        <v>1558</v>
      </c>
      <c r="N18" s="5">
        <v>1560</v>
      </c>
      <c r="O18" s="5">
        <v>1559</v>
      </c>
      <c r="P18" s="30">
        <v>1559</v>
      </c>
      <c r="Q18" s="7">
        <v>4.7</v>
      </c>
      <c r="R18" s="4">
        <v>45</v>
      </c>
      <c r="S18" s="8">
        <v>2</v>
      </c>
      <c r="T18" s="9">
        <v>165</v>
      </c>
      <c r="U18" s="9">
        <v>60</v>
      </c>
      <c r="V18" s="10">
        <v>105</v>
      </c>
      <c r="W18" s="11" t="s">
        <v>5</v>
      </c>
      <c r="X18" s="16">
        <v>58</v>
      </c>
      <c r="Y18" s="12">
        <v>2.2396815999999999</v>
      </c>
      <c r="Z18" s="7">
        <v>8.8000000000000007</v>
      </c>
      <c r="AA18" s="7">
        <v>8.9</v>
      </c>
      <c r="AB18" s="13">
        <v>88</v>
      </c>
      <c r="AC18" s="13">
        <v>90</v>
      </c>
      <c r="AD18" s="11" t="s">
        <v>6</v>
      </c>
      <c r="AE18" s="18" t="s">
        <v>455</v>
      </c>
      <c r="AF18" s="14" t="s">
        <v>1301</v>
      </c>
    </row>
    <row r="19" spans="1:32" ht="15.75" x14ac:dyDescent="0.25">
      <c r="A19" s="1">
        <v>197</v>
      </c>
      <c r="B19" s="2">
        <v>45965</v>
      </c>
      <c r="C19" s="1" t="s">
        <v>264</v>
      </c>
      <c r="D19" s="1" t="s">
        <v>9</v>
      </c>
      <c r="E19" s="1">
        <v>1</v>
      </c>
      <c r="F19" s="83">
        <v>12511003</v>
      </c>
      <c r="G19" s="4">
        <v>1040</v>
      </c>
      <c r="H19" s="88" t="s">
        <v>10</v>
      </c>
      <c r="I19" s="16" t="s">
        <v>90</v>
      </c>
      <c r="J19" s="16" t="s">
        <v>1302</v>
      </c>
      <c r="K19" s="16">
        <v>1573</v>
      </c>
      <c r="L19" s="4">
        <v>1550</v>
      </c>
      <c r="M19" s="5">
        <v>1552</v>
      </c>
      <c r="N19" s="5">
        <v>1551</v>
      </c>
      <c r="O19" s="5" t="s">
        <v>5</v>
      </c>
      <c r="P19" s="30">
        <v>1551.5</v>
      </c>
      <c r="Q19" s="7">
        <v>5.3</v>
      </c>
      <c r="R19" s="4">
        <v>41</v>
      </c>
      <c r="S19" s="8">
        <v>29</v>
      </c>
      <c r="T19" s="9">
        <v>158</v>
      </c>
      <c r="U19" s="9">
        <v>60</v>
      </c>
      <c r="V19" s="10">
        <v>98</v>
      </c>
      <c r="W19" s="11" t="s">
        <v>5</v>
      </c>
      <c r="X19" s="16">
        <v>58</v>
      </c>
      <c r="Y19" s="12">
        <v>2.5255983999999998</v>
      </c>
      <c r="Z19" s="7">
        <v>9.1999999999999993</v>
      </c>
      <c r="AA19" s="7">
        <v>9.6</v>
      </c>
      <c r="AB19" s="13">
        <v>86</v>
      </c>
      <c r="AC19" s="13">
        <v>89</v>
      </c>
      <c r="AD19" s="11" t="s">
        <v>6</v>
      </c>
      <c r="AE19" s="18" t="s">
        <v>455</v>
      </c>
      <c r="AF19" s="14" t="s">
        <v>1303</v>
      </c>
    </row>
    <row r="20" spans="1:32" ht="31.5" x14ac:dyDescent="0.25">
      <c r="A20" s="1">
        <v>214</v>
      </c>
      <c r="B20" s="2">
        <v>45965</v>
      </c>
      <c r="C20" s="1" t="s">
        <v>0</v>
      </c>
      <c r="D20" s="1" t="s">
        <v>265</v>
      </c>
      <c r="E20" s="1">
        <v>1</v>
      </c>
      <c r="F20" s="83">
        <v>12511003</v>
      </c>
      <c r="G20" s="4">
        <v>1020</v>
      </c>
      <c r="H20" s="88" t="s">
        <v>10</v>
      </c>
      <c r="I20" s="16" t="s">
        <v>315</v>
      </c>
      <c r="J20" s="16" t="s">
        <v>1304</v>
      </c>
      <c r="K20" s="4">
        <v>1574</v>
      </c>
      <c r="L20" s="4">
        <v>1552</v>
      </c>
      <c r="M20" s="4">
        <v>1552</v>
      </c>
      <c r="N20" s="5">
        <v>1556</v>
      </c>
      <c r="O20" s="5">
        <v>1554</v>
      </c>
      <c r="P20" s="30">
        <v>1554</v>
      </c>
      <c r="Q20" s="7">
        <v>4.8</v>
      </c>
      <c r="R20" s="4">
        <v>43</v>
      </c>
      <c r="S20" s="8">
        <v>12</v>
      </c>
      <c r="T20" s="9">
        <v>159</v>
      </c>
      <c r="U20" s="9">
        <v>60</v>
      </c>
      <c r="V20" s="10">
        <v>99</v>
      </c>
      <c r="W20" s="11" t="s">
        <v>5</v>
      </c>
      <c r="X20" s="16">
        <v>58</v>
      </c>
      <c r="Y20" s="12">
        <v>2.2433472000000001</v>
      </c>
      <c r="Z20" s="7">
        <v>11.4</v>
      </c>
      <c r="AA20" s="7">
        <v>11.8</v>
      </c>
      <c r="AB20" s="13">
        <v>96</v>
      </c>
      <c r="AC20" s="13">
        <v>97</v>
      </c>
      <c r="AD20" s="11" t="s">
        <v>747</v>
      </c>
      <c r="AE20" s="18" t="s">
        <v>455</v>
      </c>
      <c r="AF20" s="14" t="s">
        <v>1305</v>
      </c>
    </row>
    <row r="21" spans="1:32" ht="31.5" x14ac:dyDescent="0.25">
      <c r="A21" s="1">
        <v>219</v>
      </c>
      <c r="B21" s="2">
        <v>45965</v>
      </c>
      <c r="C21" s="1" t="s">
        <v>0</v>
      </c>
      <c r="D21" s="1" t="s">
        <v>265</v>
      </c>
      <c r="E21" s="1">
        <v>1</v>
      </c>
      <c r="F21" s="83">
        <v>12511003</v>
      </c>
      <c r="G21" s="4">
        <v>1020</v>
      </c>
      <c r="H21" s="88" t="s">
        <v>10</v>
      </c>
      <c r="I21" s="16" t="s">
        <v>83</v>
      </c>
      <c r="J21" s="16" t="s">
        <v>1306</v>
      </c>
      <c r="K21" s="99">
        <v>1578</v>
      </c>
      <c r="L21" s="4">
        <v>1555</v>
      </c>
      <c r="M21" s="4">
        <v>1557</v>
      </c>
      <c r="N21" s="5">
        <v>1557</v>
      </c>
      <c r="O21" s="5">
        <v>1557</v>
      </c>
      <c r="P21" s="30">
        <v>1557</v>
      </c>
      <c r="Q21" s="7">
        <v>4.8</v>
      </c>
      <c r="R21" s="4">
        <v>41</v>
      </c>
      <c r="S21" s="8">
        <v>35</v>
      </c>
      <c r="T21" s="9">
        <v>157.5</v>
      </c>
      <c r="U21" s="9">
        <v>63</v>
      </c>
      <c r="V21" s="10">
        <v>94.5</v>
      </c>
      <c r="W21" s="11" t="s">
        <v>5</v>
      </c>
      <c r="X21" s="16">
        <v>58</v>
      </c>
      <c r="Y21" s="12">
        <v>2.2433472000000001</v>
      </c>
      <c r="Z21" s="7">
        <v>9</v>
      </c>
      <c r="AA21" s="7">
        <v>10</v>
      </c>
      <c r="AB21" s="13">
        <v>92</v>
      </c>
      <c r="AC21" s="13">
        <v>95</v>
      </c>
      <c r="AD21" s="11" t="s">
        <v>6</v>
      </c>
      <c r="AE21" s="18" t="s">
        <v>455</v>
      </c>
      <c r="AF21" s="14" t="s">
        <v>876</v>
      </c>
    </row>
    <row r="22" spans="1:32" ht="31.5" x14ac:dyDescent="0.25">
      <c r="A22" s="1">
        <v>247</v>
      </c>
      <c r="B22" s="2">
        <v>45966</v>
      </c>
      <c r="C22" s="1" t="s">
        <v>18</v>
      </c>
      <c r="D22" s="1" t="s">
        <v>19</v>
      </c>
      <c r="E22" s="1">
        <v>2</v>
      </c>
      <c r="F22" s="83">
        <v>22511003</v>
      </c>
      <c r="G22" s="4">
        <v>1020</v>
      </c>
      <c r="H22" s="88" t="s">
        <v>10</v>
      </c>
      <c r="I22" s="16" t="s">
        <v>113</v>
      </c>
      <c r="J22" s="16" t="s">
        <v>1307</v>
      </c>
      <c r="K22" s="16">
        <v>1578</v>
      </c>
      <c r="L22" s="4">
        <v>1551</v>
      </c>
      <c r="M22" s="4">
        <v>1554</v>
      </c>
      <c r="N22" s="5">
        <v>1557</v>
      </c>
      <c r="O22" s="5">
        <v>1555</v>
      </c>
      <c r="P22" s="30">
        <v>1555.3333333333333</v>
      </c>
      <c r="Q22" s="7">
        <v>5</v>
      </c>
      <c r="R22" s="4">
        <v>48</v>
      </c>
      <c r="S22" s="8" t="s">
        <v>5</v>
      </c>
      <c r="T22" s="9">
        <v>164</v>
      </c>
      <c r="U22" s="9">
        <v>61</v>
      </c>
      <c r="V22" s="10">
        <v>103</v>
      </c>
      <c r="W22" s="11" t="s">
        <v>5</v>
      </c>
      <c r="X22" s="16">
        <v>58</v>
      </c>
      <c r="Y22" s="12">
        <v>2.3368199999999999</v>
      </c>
      <c r="Z22" s="7">
        <v>8.1999999999999993</v>
      </c>
      <c r="AA22" s="7">
        <v>8.3000000000000007</v>
      </c>
      <c r="AB22" s="13">
        <v>67</v>
      </c>
      <c r="AC22" s="13">
        <v>67</v>
      </c>
      <c r="AD22" s="11" t="s">
        <v>6</v>
      </c>
      <c r="AE22" s="18" t="s">
        <v>53</v>
      </c>
      <c r="AF22" s="14" t="s">
        <v>1308</v>
      </c>
    </row>
    <row r="23" spans="1:32" ht="47.25" x14ac:dyDescent="0.25">
      <c r="A23" s="1">
        <v>276</v>
      </c>
      <c r="B23" s="2">
        <v>45966</v>
      </c>
      <c r="C23" s="1" t="s">
        <v>264</v>
      </c>
      <c r="D23" s="1" t="s">
        <v>9</v>
      </c>
      <c r="E23" s="1">
        <v>2</v>
      </c>
      <c r="F23" s="83">
        <v>22511004</v>
      </c>
      <c r="G23" s="4">
        <v>1250</v>
      </c>
      <c r="H23" s="88" t="s">
        <v>10</v>
      </c>
      <c r="I23" s="16" t="s">
        <v>132</v>
      </c>
      <c r="J23" s="16" t="s">
        <v>1309</v>
      </c>
      <c r="K23" s="4">
        <v>1579</v>
      </c>
      <c r="L23" s="4">
        <v>1547</v>
      </c>
      <c r="M23" s="5">
        <v>1550</v>
      </c>
      <c r="N23" s="5">
        <v>1548</v>
      </c>
      <c r="O23" s="5" t="s">
        <v>5</v>
      </c>
      <c r="P23" s="30">
        <v>1549</v>
      </c>
      <c r="Q23" s="7">
        <v>4.3</v>
      </c>
      <c r="R23" s="4">
        <v>42</v>
      </c>
      <c r="S23" s="8" t="s">
        <v>5</v>
      </c>
      <c r="T23" s="8">
        <v>164</v>
      </c>
      <c r="U23" s="8">
        <v>60</v>
      </c>
      <c r="V23" s="10">
        <v>104</v>
      </c>
      <c r="W23" s="11" t="s">
        <v>5</v>
      </c>
      <c r="X23" s="16">
        <v>58</v>
      </c>
      <c r="Y23" s="12">
        <v>2.4628249999999996</v>
      </c>
      <c r="Z23" s="7">
        <v>7.3</v>
      </c>
      <c r="AA23" s="7">
        <v>7.9</v>
      </c>
      <c r="AB23" s="13">
        <v>62</v>
      </c>
      <c r="AC23" s="13">
        <v>65</v>
      </c>
      <c r="AD23" s="11" t="s">
        <v>6</v>
      </c>
      <c r="AE23" s="18" t="s">
        <v>72</v>
      </c>
      <c r="AF23" s="14" t="s">
        <v>1310</v>
      </c>
    </row>
    <row r="24" spans="1:32" ht="15.75" x14ac:dyDescent="0.25">
      <c r="A24" s="1">
        <v>320</v>
      </c>
      <c r="B24" s="2">
        <v>45967</v>
      </c>
      <c r="C24" s="1" t="s">
        <v>18</v>
      </c>
      <c r="D24" s="1" t="s">
        <v>19</v>
      </c>
      <c r="E24" s="1">
        <v>1</v>
      </c>
      <c r="F24" s="83">
        <v>12511004</v>
      </c>
      <c r="G24" s="4">
        <v>1250</v>
      </c>
      <c r="H24" s="88" t="s">
        <v>176</v>
      </c>
      <c r="I24" s="16" t="s">
        <v>373</v>
      </c>
      <c r="J24" s="16" t="s">
        <v>1311</v>
      </c>
      <c r="K24" s="16">
        <v>1568</v>
      </c>
      <c r="L24" s="4">
        <v>1544</v>
      </c>
      <c r="M24" s="4">
        <v>1547</v>
      </c>
      <c r="N24" s="5">
        <v>1548</v>
      </c>
      <c r="O24" s="5">
        <v>1547</v>
      </c>
      <c r="P24" s="30">
        <v>1547.3333333333333</v>
      </c>
      <c r="Q24" s="7">
        <v>4.8</v>
      </c>
      <c r="R24" s="4">
        <v>32</v>
      </c>
      <c r="S24" s="8" t="s">
        <v>5</v>
      </c>
      <c r="T24" s="9">
        <v>157.1</v>
      </c>
      <c r="U24" s="9">
        <v>60.2</v>
      </c>
      <c r="V24" s="10">
        <v>96.899999999999991</v>
      </c>
      <c r="W24" s="11" t="s">
        <v>5</v>
      </c>
      <c r="X24" s="16">
        <v>58</v>
      </c>
      <c r="Y24" s="12">
        <v>2.7491999999999996</v>
      </c>
      <c r="Z24" s="7">
        <v>7.5</v>
      </c>
      <c r="AA24" s="7">
        <v>8.1999999999999993</v>
      </c>
      <c r="AB24" s="13">
        <v>73</v>
      </c>
      <c r="AC24" s="13">
        <v>81</v>
      </c>
      <c r="AD24" s="11" t="s">
        <v>6</v>
      </c>
      <c r="AE24" s="18" t="s">
        <v>455</v>
      </c>
      <c r="AF24" s="14" t="s">
        <v>721</v>
      </c>
    </row>
    <row r="25" spans="1:32" ht="31.5" x14ac:dyDescent="0.25">
      <c r="A25" s="1">
        <v>321</v>
      </c>
      <c r="B25" s="2">
        <v>45967</v>
      </c>
      <c r="C25" s="1" t="s">
        <v>18</v>
      </c>
      <c r="D25" s="1" t="s">
        <v>19</v>
      </c>
      <c r="E25" s="1">
        <v>1</v>
      </c>
      <c r="F25" s="83">
        <v>12511004</v>
      </c>
      <c r="G25" s="4">
        <v>1250</v>
      </c>
      <c r="H25" s="88" t="s">
        <v>176</v>
      </c>
      <c r="I25" s="16" t="s">
        <v>146</v>
      </c>
      <c r="J25" s="16" t="s">
        <v>1312</v>
      </c>
      <c r="K25" s="16">
        <v>1567</v>
      </c>
      <c r="L25" s="4">
        <v>1542</v>
      </c>
      <c r="M25" s="4">
        <v>1542</v>
      </c>
      <c r="N25" s="5">
        <v>1542</v>
      </c>
      <c r="O25" s="5">
        <v>1540</v>
      </c>
      <c r="P25" s="30">
        <v>1541.3333333333333</v>
      </c>
      <c r="Q25" s="7">
        <v>4.5</v>
      </c>
      <c r="R25" s="4">
        <v>37</v>
      </c>
      <c r="S25" s="8" t="s">
        <v>5</v>
      </c>
      <c r="T25" s="9">
        <v>167.6</v>
      </c>
      <c r="U25" s="9">
        <v>66</v>
      </c>
      <c r="V25" s="10">
        <v>101.6</v>
      </c>
      <c r="W25" s="11" t="s">
        <v>5</v>
      </c>
      <c r="X25" s="16">
        <v>58</v>
      </c>
      <c r="Y25" s="12">
        <v>2.577375</v>
      </c>
      <c r="Z25" s="7">
        <v>9.5</v>
      </c>
      <c r="AA25" s="7">
        <v>8.9</v>
      </c>
      <c r="AB25" s="13">
        <v>90</v>
      </c>
      <c r="AC25" s="13">
        <v>84</v>
      </c>
      <c r="AD25" s="11" t="s">
        <v>6</v>
      </c>
      <c r="AE25" s="18" t="s">
        <v>455</v>
      </c>
      <c r="AF25" s="14" t="s">
        <v>1313</v>
      </c>
    </row>
    <row r="26" spans="1:32" ht="31.5" x14ac:dyDescent="0.25">
      <c r="A26" s="1">
        <v>338</v>
      </c>
      <c r="B26" s="2">
        <v>45967</v>
      </c>
      <c r="C26" s="1" t="s">
        <v>264</v>
      </c>
      <c r="D26" s="1" t="s">
        <v>9</v>
      </c>
      <c r="E26" s="1">
        <v>1</v>
      </c>
      <c r="F26" s="83">
        <v>12511004</v>
      </c>
      <c r="G26" s="4">
        <v>1250</v>
      </c>
      <c r="H26" s="88" t="s">
        <v>10</v>
      </c>
      <c r="I26" s="16" t="s">
        <v>162</v>
      </c>
      <c r="J26" s="16" t="s">
        <v>1314</v>
      </c>
      <c r="K26" s="99">
        <v>1568</v>
      </c>
      <c r="L26" s="4">
        <v>1548</v>
      </c>
      <c r="M26" s="4">
        <v>1544</v>
      </c>
      <c r="N26" s="5">
        <v>1544</v>
      </c>
      <c r="O26" s="5">
        <v>1544</v>
      </c>
      <c r="P26" s="30">
        <v>1544</v>
      </c>
      <c r="Q26" s="7">
        <v>4</v>
      </c>
      <c r="R26" s="4">
        <v>38</v>
      </c>
      <c r="S26" s="4" t="s">
        <v>5</v>
      </c>
      <c r="T26" s="9">
        <v>169</v>
      </c>
      <c r="U26" s="9">
        <v>60</v>
      </c>
      <c r="V26" s="10">
        <v>109</v>
      </c>
      <c r="W26" s="11"/>
      <c r="X26" s="16">
        <v>58</v>
      </c>
      <c r="Y26" s="12">
        <v>2.2909999999999999</v>
      </c>
      <c r="Z26" s="7">
        <v>9.1999999999999993</v>
      </c>
      <c r="AA26" s="7">
        <v>9.6999999999999993</v>
      </c>
      <c r="AB26" s="13">
        <v>94</v>
      </c>
      <c r="AC26" s="13">
        <v>98</v>
      </c>
      <c r="AD26" s="11" t="s">
        <v>6</v>
      </c>
      <c r="AE26" s="18" t="s">
        <v>455</v>
      </c>
      <c r="AF26" s="14" t="s">
        <v>757</v>
      </c>
    </row>
    <row r="27" spans="1:32" ht="31.5" x14ac:dyDescent="0.25">
      <c r="A27" s="1">
        <v>365</v>
      </c>
      <c r="B27" s="2">
        <v>45967</v>
      </c>
      <c r="C27" s="1" t="s">
        <v>0</v>
      </c>
      <c r="D27" s="1" t="s">
        <v>265</v>
      </c>
      <c r="E27" s="1">
        <v>1</v>
      </c>
      <c r="F27" s="83">
        <v>12511005</v>
      </c>
      <c r="G27" s="4">
        <v>1230</v>
      </c>
      <c r="H27" s="88" t="s">
        <v>10</v>
      </c>
      <c r="I27" s="16" t="s">
        <v>132</v>
      </c>
      <c r="J27" s="83" t="s">
        <v>1315</v>
      </c>
      <c r="K27" s="4">
        <v>1568</v>
      </c>
      <c r="L27" s="5">
        <v>1543</v>
      </c>
      <c r="M27" s="5">
        <v>1544</v>
      </c>
      <c r="N27" s="5">
        <v>1544</v>
      </c>
      <c r="O27" s="5" t="s">
        <v>5</v>
      </c>
      <c r="P27" s="30">
        <v>1544</v>
      </c>
      <c r="Q27" s="7">
        <v>5.7</v>
      </c>
      <c r="R27" s="4">
        <v>34</v>
      </c>
      <c r="S27" s="8">
        <v>34</v>
      </c>
      <c r="T27" s="9">
        <v>165</v>
      </c>
      <c r="U27" s="9">
        <v>71</v>
      </c>
      <c r="V27" s="10">
        <v>94</v>
      </c>
      <c r="W27" s="11" t="s">
        <v>5</v>
      </c>
      <c r="X27" s="16">
        <v>58</v>
      </c>
      <c r="Y27" s="12">
        <v>3.2124402000000001</v>
      </c>
      <c r="Z27" s="7">
        <v>9.1</v>
      </c>
      <c r="AA27" s="7">
        <v>7.2</v>
      </c>
      <c r="AB27" s="13">
        <v>100</v>
      </c>
      <c r="AC27" s="13">
        <v>100</v>
      </c>
      <c r="AD27" s="11" t="s">
        <v>6</v>
      </c>
      <c r="AE27" s="40" t="s">
        <v>455</v>
      </c>
      <c r="AF27" s="14" t="s">
        <v>1316</v>
      </c>
    </row>
    <row r="28" spans="1:32" ht="15.75" x14ac:dyDescent="0.25">
      <c r="A28" s="1">
        <v>429</v>
      </c>
      <c r="B28" s="2">
        <v>45968</v>
      </c>
      <c r="C28" s="1" t="s">
        <v>264</v>
      </c>
      <c r="D28" s="1" t="s">
        <v>9</v>
      </c>
      <c r="E28" s="1">
        <v>2</v>
      </c>
      <c r="F28" s="83">
        <v>22511006</v>
      </c>
      <c r="G28" s="4">
        <v>1230</v>
      </c>
      <c r="H28" s="88" t="s">
        <v>10</v>
      </c>
      <c r="I28" s="16" t="s">
        <v>155</v>
      </c>
      <c r="J28" s="16" t="s">
        <v>1317</v>
      </c>
      <c r="K28" s="4">
        <v>1566</v>
      </c>
      <c r="L28" s="4">
        <v>1546</v>
      </c>
      <c r="M28" s="5">
        <v>1543</v>
      </c>
      <c r="N28" s="5">
        <v>1543</v>
      </c>
      <c r="O28" s="5">
        <v>1543</v>
      </c>
      <c r="P28" s="30">
        <v>1543</v>
      </c>
      <c r="Q28" s="7">
        <v>5.4</v>
      </c>
      <c r="R28" s="4">
        <v>35</v>
      </c>
      <c r="S28" s="8">
        <v>2</v>
      </c>
      <c r="T28" s="8">
        <v>159</v>
      </c>
      <c r="U28" s="8">
        <v>60</v>
      </c>
      <c r="V28" s="10">
        <v>99</v>
      </c>
      <c r="W28" s="11" t="s">
        <v>5</v>
      </c>
      <c r="X28" s="16">
        <v>58</v>
      </c>
      <c r="Y28" s="12">
        <v>3.0433644000000002</v>
      </c>
      <c r="Z28" s="7">
        <v>10.3</v>
      </c>
      <c r="AA28" s="7">
        <v>9.1999999999999993</v>
      </c>
      <c r="AB28" s="13">
        <v>90</v>
      </c>
      <c r="AC28" s="13">
        <v>77</v>
      </c>
      <c r="AD28" s="11" t="s">
        <v>6</v>
      </c>
      <c r="AE28" s="18" t="s">
        <v>53</v>
      </c>
      <c r="AF28" s="14" t="s">
        <v>1318</v>
      </c>
    </row>
    <row r="29" spans="1:32" ht="15.75" x14ac:dyDescent="0.25">
      <c r="A29" s="1">
        <v>439</v>
      </c>
      <c r="B29" s="2">
        <v>45968</v>
      </c>
      <c r="C29" s="1" t="s">
        <v>264</v>
      </c>
      <c r="D29" s="1" t="s">
        <v>9</v>
      </c>
      <c r="E29" s="1">
        <v>2</v>
      </c>
      <c r="F29" s="83">
        <v>22511006</v>
      </c>
      <c r="G29" s="4">
        <v>1250</v>
      </c>
      <c r="H29" s="88" t="s">
        <v>10</v>
      </c>
      <c r="I29" s="16" t="s">
        <v>129</v>
      </c>
      <c r="J29" s="16" t="s">
        <v>1319</v>
      </c>
      <c r="K29" s="104">
        <v>1570</v>
      </c>
      <c r="L29" s="5">
        <v>1544</v>
      </c>
      <c r="M29" s="5">
        <v>1544</v>
      </c>
      <c r="N29" s="5">
        <v>1543</v>
      </c>
      <c r="O29" s="5">
        <v>1543</v>
      </c>
      <c r="P29" s="30">
        <v>1543.3333333333333</v>
      </c>
      <c r="Q29" s="7">
        <v>5.5</v>
      </c>
      <c r="R29" s="4">
        <v>36</v>
      </c>
      <c r="S29" s="8">
        <v>12</v>
      </c>
      <c r="T29" s="9">
        <v>161</v>
      </c>
      <c r="U29" s="9">
        <v>60</v>
      </c>
      <c r="V29" s="10">
        <v>101</v>
      </c>
      <c r="W29" s="11" t="s">
        <v>5</v>
      </c>
      <c r="X29" s="16">
        <v>58</v>
      </c>
      <c r="Y29" s="12">
        <v>3.1501250000000001</v>
      </c>
      <c r="Z29" s="7">
        <v>11.4</v>
      </c>
      <c r="AA29" s="7">
        <v>10.199999999999999</v>
      </c>
      <c r="AB29" s="13">
        <v>92</v>
      </c>
      <c r="AC29" s="13">
        <v>82</v>
      </c>
      <c r="AD29" s="11" t="s">
        <v>6</v>
      </c>
      <c r="AE29" s="40" t="s">
        <v>53</v>
      </c>
      <c r="AF29" s="14" t="s">
        <v>1320</v>
      </c>
    </row>
    <row r="30" spans="1:32" ht="63" x14ac:dyDescent="0.25">
      <c r="A30" s="1">
        <v>441</v>
      </c>
      <c r="B30" s="2">
        <v>45968</v>
      </c>
      <c r="C30" s="2" t="s">
        <v>0</v>
      </c>
      <c r="D30" s="2" t="s">
        <v>19</v>
      </c>
      <c r="E30" s="1">
        <v>1</v>
      </c>
      <c r="F30" s="83">
        <v>12511006</v>
      </c>
      <c r="G30" s="4">
        <v>1250</v>
      </c>
      <c r="H30" s="2" t="s">
        <v>225</v>
      </c>
      <c r="I30" s="2" t="s">
        <v>303</v>
      </c>
      <c r="J30" s="2" t="s">
        <v>1321</v>
      </c>
      <c r="K30" s="1">
        <v>1569</v>
      </c>
      <c r="L30" s="5">
        <v>1549</v>
      </c>
      <c r="M30" s="5">
        <v>1548</v>
      </c>
      <c r="N30" s="5">
        <v>1548</v>
      </c>
      <c r="O30" s="5">
        <v>1547</v>
      </c>
      <c r="P30" s="30">
        <v>1547.6666666666667</v>
      </c>
      <c r="Q30" s="7">
        <v>5.0999999999999996</v>
      </c>
      <c r="R30" s="4">
        <v>34</v>
      </c>
      <c r="S30" s="8">
        <v>26</v>
      </c>
      <c r="T30" s="9">
        <v>162</v>
      </c>
      <c r="U30" s="9">
        <v>61</v>
      </c>
      <c r="V30" s="10">
        <v>101</v>
      </c>
      <c r="W30" s="11" t="s">
        <v>5</v>
      </c>
      <c r="X30" s="16">
        <v>56</v>
      </c>
      <c r="Y30" s="12">
        <v>2.8203</v>
      </c>
      <c r="Z30" s="7">
        <v>8.6999999999999993</v>
      </c>
      <c r="AA30" s="7">
        <v>8.1</v>
      </c>
      <c r="AB30" s="13">
        <v>72</v>
      </c>
      <c r="AC30" s="13">
        <v>71</v>
      </c>
      <c r="AD30" s="11" t="s">
        <v>6</v>
      </c>
      <c r="AE30" s="40" t="s">
        <v>455</v>
      </c>
      <c r="AF30" s="14" t="s">
        <v>1322</v>
      </c>
    </row>
    <row r="31" spans="1:32" ht="47.25" x14ac:dyDescent="0.25">
      <c r="A31" s="1">
        <v>445</v>
      </c>
      <c r="B31" s="2">
        <v>45968</v>
      </c>
      <c r="C31" s="2" t="s">
        <v>0</v>
      </c>
      <c r="D31" s="2" t="s">
        <v>19</v>
      </c>
      <c r="E31" s="1">
        <v>1</v>
      </c>
      <c r="F31" s="83">
        <v>12511006</v>
      </c>
      <c r="G31" s="4">
        <v>1250</v>
      </c>
      <c r="H31" s="2" t="s">
        <v>225</v>
      </c>
      <c r="I31" s="2" t="s">
        <v>59</v>
      </c>
      <c r="J31" s="2" t="s">
        <v>1323</v>
      </c>
      <c r="K31" s="4">
        <v>1568</v>
      </c>
      <c r="L31" s="5">
        <v>541</v>
      </c>
      <c r="M31" s="5">
        <v>1540</v>
      </c>
      <c r="N31" s="5">
        <v>1538</v>
      </c>
      <c r="O31" s="5">
        <v>1535</v>
      </c>
      <c r="P31" s="30">
        <v>1537.6666666666667</v>
      </c>
      <c r="Q31" s="7">
        <v>5</v>
      </c>
      <c r="R31" s="4">
        <v>41</v>
      </c>
      <c r="S31" s="8"/>
      <c r="T31" s="9">
        <v>175</v>
      </c>
      <c r="U31" s="9">
        <v>62</v>
      </c>
      <c r="V31" s="10">
        <v>113</v>
      </c>
      <c r="W31" s="11" t="s">
        <v>5</v>
      </c>
      <c r="X31" s="16">
        <v>56</v>
      </c>
      <c r="Y31" s="12">
        <v>2.7650000000000001</v>
      </c>
      <c r="Z31" s="7">
        <v>9.6</v>
      </c>
      <c r="AA31" s="7">
        <v>8.9</v>
      </c>
      <c r="AB31" s="13">
        <v>89</v>
      </c>
      <c r="AC31" s="13">
        <v>81</v>
      </c>
      <c r="AD31" s="11" t="s">
        <v>6</v>
      </c>
      <c r="AE31" s="18" t="s">
        <v>455</v>
      </c>
      <c r="AF31" s="14" t="s">
        <v>1324</v>
      </c>
    </row>
    <row r="32" spans="1:32" ht="31.5" x14ac:dyDescent="0.25">
      <c r="A32" s="1">
        <v>448</v>
      </c>
      <c r="B32" s="2">
        <v>45968</v>
      </c>
      <c r="C32" s="2" t="s">
        <v>0</v>
      </c>
      <c r="D32" s="2" t="s">
        <v>19</v>
      </c>
      <c r="E32" s="1">
        <v>1</v>
      </c>
      <c r="F32" s="83">
        <v>12511006</v>
      </c>
      <c r="G32" s="4">
        <v>1250</v>
      </c>
      <c r="H32" s="2" t="s">
        <v>222</v>
      </c>
      <c r="I32" s="2" t="s">
        <v>240</v>
      </c>
      <c r="J32" s="2" t="s">
        <v>1325</v>
      </c>
      <c r="K32" s="4">
        <v>1566</v>
      </c>
      <c r="L32" s="5">
        <v>1543</v>
      </c>
      <c r="M32" s="5">
        <v>1540</v>
      </c>
      <c r="N32" s="5">
        <v>1539</v>
      </c>
      <c r="O32" s="5"/>
      <c r="P32" s="30">
        <v>1539.5</v>
      </c>
      <c r="Q32" s="7">
        <v>5.0999999999999996</v>
      </c>
      <c r="R32" s="4">
        <v>38</v>
      </c>
      <c r="S32" s="8">
        <v>28</v>
      </c>
      <c r="T32" s="9">
        <v>175</v>
      </c>
      <c r="U32" s="9">
        <v>64</v>
      </c>
      <c r="V32" s="10">
        <v>111</v>
      </c>
      <c r="W32" s="11" t="s">
        <v>5</v>
      </c>
      <c r="X32" s="16">
        <v>58</v>
      </c>
      <c r="Y32" s="12">
        <v>2.9210249999999998</v>
      </c>
      <c r="Z32" s="7">
        <v>10.4</v>
      </c>
      <c r="AA32" s="7">
        <v>9.8000000000000007</v>
      </c>
      <c r="AB32" s="13">
        <v>87</v>
      </c>
      <c r="AC32" s="13">
        <v>82</v>
      </c>
      <c r="AD32" s="11" t="s">
        <v>747</v>
      </c>
      <c r="AE32" s="18" t="s">
        <v>455</v>
      </c>
      <c r="AF32" s="14" t="s">
        <v>1326</v>
      </c>
    </row>
    <row r="33" spans="1:32" ht="47.25" x14ac:dyDescent="0.25">
      <c r="A33" s="1">
        <v>486</v>
      </c>
      <c r="B33" s="2">
        <v>45969</v>
      </c>
      <c r="C33" s="1" t="s">
        <v>18</v>
      </c>
      <c r="D33" s="1" t="s">
        <v>258</v>
      </c>
      <c r="E33" s="1">
        <v>2</v>
      </c>
      <c r="F33" s="83">
        <v>22511008</v>
      </c>
      <c r="G33" s="4">
        <v>1350</v>
      </c>
      <c r="H33" s="88" t="s">
        <v>10</v>
      </c>
      <c r="I33" s="16" t="s">
        <v>86</v>
      </c>
      <c r="J33" s="16" t="s">
        <v>1327</v>
      </c>
      <c r="K33" s="4">
        <v>1568</v>
      </c>
      <c r="L33" s="4">
        <v>1554</v>
      </c>
      <c r="M33" s="4">
        <v>1553</v>
      </c>
      <c r="N33" s="5">
        <v>1548</v>
      </c>
      <c r="O33" s="5" t="s">
        <v>5</v>
      </c>
      <c r="P33" s="30">
        <v>1550.5</v>
      </c>
      <c r="Q33" s="7">
        <v>4.5</v>
      </c>
      <c r="R33" s="4">
        <v>37</v>
      </c>
      <c r="S33" s="8" t="s">
        <v>5</v>
      </c>
      <c r="T33" s="9">
        <v>161.46</v>
      </c>
      <c r="U33" s="9">
        <v>52.49</v>
      </c>
      <c r="V33" s="10">
        <v>108.97</v>
      </c>
      <c r="W33" s="11" t="s">
        <v>5</v>
      </c>
      <c r="X33" s="16">
        <v>58</v>
      </c>
      <c r="Y33" s="12">
        <v>2.7835649999999998</v>
      </c>
      <c r="Z33" s="7">
        <v>10.199999999999999</v>
      </c>
      <c r="AA33" s="7">
        <v>8.8000000000000007</v>
      </c>
      <c r="AB33" s="13">
        <v>81</v>
      </c>
      <c r="AC33" s="13">
        <v>70</v>
      </c>
      <c r="AD33" s="11" t="s">
        <v>6</v>
      </c>
      <c r="AE33" s="18" t="s">
        <v>53</v>
      </c>
      <c r="AF33" s="14" t="s">
        <v>1328</v>
      </c>
    </row>
    <row r="34" spans="1:32" ht="47.25" x14ac:dyDescent="0.25">
      <c r="A34" s="1">
        <v>487</v>
      </c>
      <c r="B34" s="2">
        <v>45969</v>
      </c>
      <c r="C34" s="1" t="s">
        <v>18</v>
      </c>
      <c r="D34" s="1" t="s">
        <v>258</v>
      </c>
      <c r="E34" s="1">
        <v>2</v>
      </c>
      <c r="F34" s="83">
        <v>22511008</v>
      </c>
      <c r="G34" s="4">
        <v>1350</v>
      </c>
      <c r="H34" s="88" t="s">
        <v>10</v>
      </c>
      <c r="I34" s="16" t="s">
        <v>77</v>
      </c>
      <c r="J34" s="16" t="s">
        <v>1329</v>
      </c>
      <c r="K34" s="4">
        <v>1565</v>
      </c>
      <c r="L34" s="4">
        <v>1543</v>
      </c>
      <c r="M34" s="4">
        <v>1544</v>
      </c>
      <c r="N34" s="5">
        <v>1541</v>
      </c>
      <c r="O34" s="5" t="s">
        <v>5</v>
      </c>
      <c r="P34" s="30">
        <v>1542.5</v>
      </c>
      <c r="Q34" s="7">
        <v>4.5</v>
      </c>
      <c r="R34" s="4">
        <v>24</v>
      </c>
      <c r="S34" s="8">
        <v>18</v>
      </c>
      <c r="T34" s="8" t="s">
        <v>5</v>
      </c>
      <c r="U34" s="8" t="s">
        <v>5</v>
      </c>
      <c r="V34" s="11" t="s">
        <v>5</v>
      </c>
      <c r="W34" s="11" t="s">
        <v>5</v>
      </c>
      <c r="X34" s="16">
        <v>57</v>
      </c>
      <c r="Y34" s="12">
        <v>2.7355725</v>
      </c>
      <c r="Z34" s="7">
        <v>9.6999999999999993</v>
      </c>
      <c r="AA34" s="7">
        <v>8.4</v>
      </c>
      <c r="AB34" s="13">
        <v>84</v>
      </c>
      <c r="AC34" s="13">
        <v>96</v>
      </c>
      <c r="AD34" s="11" t="s">
        <v>6</v>
      </c>
      <c r="AE34" s="18" t="s">
        <v>53</v>
      </c>
      <c r="AF34" s="14" t="s">
        <v>1330</v>
      </c>
    </row>
    <row r="35" spans="1:32" ht="31.5" x14ac:dyDescent="0.25">
      <c r="A35" s="1">
        <v>488</v>
      </c>
      <c r="B35" s="2">
        <v>45969</v>
      </c>
      <c r="C35" s="1" t="s">
        <v>18</v>
      </c>
      <c r="D35" s="1" t="s">
        <v>258</v>
      </c>
      <c r="E35" s="1">
        <v>2</v>
      </c>
      <c r="F35" s="83">
        <v>22511008</v>
      </c>
      <c r="G35" s="4">
        <v>1350</v>
      </c>
      <c r="H35" s="88" t="s">
        <v>10</v>
      </c>
      <c r="I35" s="16" t="s">
        <v>194</v>
      </c>
      <c r="J35" s="16" t="s">
        <v>1331</v>
      </c>
      <c r="K35" s="4">
        <v>1570</v>
      </c>
      <c r="L35" s="4">
        <v>1546</v>
      </c>
      <c r="M35" s="4">
        <v>1547</v>
      </c>
      <c r="N35" s="5">
        <v>1547</v>
      </c>
      <c r="O35" s="5" t="s">
        <v>5</v>
      </c>
      <c r="P35" s="30">
        <v>1547</v>
      </c>
      <c r="Q35" s="7">
        <v>4.8</v>
      </c>
      <c r="R35" s="4">
        <v>35</v>
      </c>
      <c r="S35" s="8" t="s">
        <v>5</v>
      </c>
      <c r="T35" s="9">
        <v>157</v>
      </c>
      <c r="U35" s="9">
        <v>69</v>
      </c>
      <c r="V35" s="10">
        <v>88</v>
      </c>
      <c r="W35" s="11" t="s">
        <v>5</v>
      </c>
      <c r="X35" s="16">
        <v>57</v>
      </c>
      <c r="Y35" s="12">
        <v>2.9179439999999999</v>
      </c>
      <c r="Z35" s="7">
        <v>11.2</v>
      </c>
      <c r="AA35" s="7">
        <v>9.5</v>
      </c>
      <c r="AB35" s="13">
        <v>78</v>
      </c>
      <c r="AC35" s="13">
        <v>87</v>
      </c>
      <c r="AD35" s="11" t="s">
        <v>6</v>
      </c>
      <c r="AE35" s="18" t="s">
        <v>53</v>
      </c>
      <c r="AF35" s="14" t="s">
        <v>1332</v>
      </c>
    </row>
    <row r="36" spans="1:32" ht="31.5" x14ac:dyDescent="0.25">
      <c r="A36" s="1">
        <v>505</v>
      </c>
      <c r="B36" s="2">
        <v>45969</v>
      </c>
      <c r="C36" s="1" t="s">
        <v>264</v>
      </c>
      <c r="D36" s="1" t="s">
        <v>9</v>
      </c>
      <c r="E36" s="1">
        <v>2</v>
      </c>
      <c r="F36" s="83">
        <v>22511008</v>
      </c>
      <c r="G36" s="4">
        <v>1350</v>
      </c>
      <c r="H36" s="88" t="s">
        <v>10</v>
      </c>
      <c r="I36" s="16" t="s">
        <v>189</v>
      </c>
      <c r="J36" s="16" t="s">
        <v>1333</v>
      </c>
      <c r="K36" s="4">
        <v>1566</v>
      </c>
      <c r="L36" s="4">
        <v>1547</v>
      </c>
      <c r="M36" s="5">
        <v>1546</v>
      </c>
      <c r="N36" s="5">
        <v>1545</v>
      </c>
      <c r="O36" s="5">
        <v>1545</v>
      </c>
      <c r="P36" s="30">
        <v>1545.3333333333333</v>
      </c>
      <c r="Q36" s="7">
        <v>4.7</v>
      </c>
      <c r="R36" s="4">
        <v>35</v>
      </c>
      <c r="S36" s="4">
        <v>35</v>
      </c>
      <c r="T36" s="9">
        <v>170</v>
      </c>
      <c r="U36" s="9">
        <v>61.3</v>
      </c>
      <c r="V36" s="10">
        <v>108.7</v>
      </c>
      <c r="W36" s="11">
        <v>14.4</v>
      </c>
      <c r="X36" s="16">
        <v>57</v>
      </c>
      <c r="Y36" s="12">
        <v>2.8571535000000003</v>
      </c>
      <c r="Z36" s="7">
        <v>10.1</v>
      </c>
      <c r="AA36" s="7">
        <v>9</v>
      </c>
      <c r="AB36" s="13">
        <v>85</v>
      </c>
      <c r="AC36" s="13">
        <v>75</v>
      </c>
      <c r="AD36" s="11" t="s">
        <v>6</v>
      </c>
      <c r="AE36" s="18" t="s">
        <v>53</v>
      </c>
      <c r="AF36" s="14" t="s">
        <v>1334</v>
      </c>
    </row>
    <row r="37" spans="1:32" ht="31.5" x14ac:dyDescent="0.25">
      <c r="A37" s="1">
        <v>506</v>
      </c>
      <c r="B37" s="2">
        <v>45969</v>
      </c>
      <c r="C37" s="1" t="s">
        <v>264</v>
      </c>
      <c r="D37" s="1" t="s">
        <v>9</v>
      </c>
      <c r="E37" s="1">
        <v>2</v>
      </c>
      <c r="F37" s="83">
        <v>22511008</v>
      </c>
      <c r="G37" s="4">
        <v>1350</v>
      </c>
      <c r="H37" s="88" t="s">
        <v>10</v>
      </c>
      <c r="I37" s="16" t="s">
        <v>90</v>
      </c>
      <c r="J37" s="16" t="s">
        <v>1335</v>
      </c>
      <c r="K37" s="4">
        <v>1566</v>
      </c>
      <c r="L37" s="4">
        <v>1545</v>
      </c>
      <c r="M37" s="5">
        <v>1545</v>
      </c>
      <c r="N37" s="5">
        <v>1546</v>
      </c>
      <c r="O37" s="5" t="s">
        <v>5</v>
      </c>
      <c r="P37" s="30">
        <v>1545.5</v>
      </c>
      <c r="Q37" s="7">
        <v>5.0999999999999996</v>
      </c>
      <c r="R37" s="4">
        <v>35</v>
      </c>
      <c r="S37" s="4">
        <v>26</v>
      </c>
      <c r="T37" s="9">
        <v>167</v>
      </c>
      <c r="U37" s="9">
        <v>55</v>
      </c>
      <c r="V37" s="10">
        <v>112</v>
      </c>
      <c r="W37" s="11">
        <v>20.8</v>
      </c>
      <c r="X37" s="16">
        <v>57</v>
      </c>
      <c r="Y37" s="12">
        <v>3.1003154999999998</v>
      </c>
      <c r="Z37" s="7">
        <v>9</v>
      </c>
      <c r="AA37" s="7">
        <v>8.3000000000000007</v>
      </c>
      <c r="AB37" s="13">
        <v>87</v>
      </c>
      <c r="AC37" s="13">
        <v>74</v>
      </c>
      <c r="AD37" s="11" t="s">
        <v>6</v>
      </c>
      <c r="AE37" s="18" t="s">
        <v>53</v>
      </c>
      <c r="AF37" s="14" t="s">
        <v>897</v>
      </c>
    </row>
    <row r="38" spans="1:32" ht="63" x14ac:dyDescent="0.25">
      <c r="A38" s="1">
        <v>570</v>
      </c>
      <c r="B38" s="2">
        <v>45970</v>
      </c>
      <c r="C38" s="1" t="s">
        <v>264</v>
      </c>
      <c r="D38" s="1" t="s">
        <v>265</v>
      </c>
      <c r="E38" s="1">
        <v>1</v>
      </c>
      <c r="F38" s="83">
        <v>12511008</v>
      </c>
      <c r="G38" s="8">
        <v>1350</v>
      </c>
      <c r="H38" s="8" t="s">
        <v>10</v>
      </c>
      <c r="I38" s="16" t="s">
        <v>261</v>
      </c>
      <c r="J38" s="16" t="s">
        <v>1336</v>
      </c>
      <c r="K38" s="99">
        <v>1566</v>
      </c>
      <c r="L38" s="4">
        <v>1540</v>
      </c>
      <c r="M38" s="4">
        <v>1538</v>
      </c>
      <c r="N38" s="5">
        <v>1537</v>
      </c>
      <c r="O38" s="5">
        <v>1539</v>
      </c>
      <c r="P38" s="30">
        <v>1538</v>
      </c>
      <c r="Q38" s="7">
        <v>5.5</v>
      </c>
      <c r="R38" s="4">
        <v>36</v>
      </c>
      <c r="S38" s="8" t="s">
        <v>5</v>
      </c>
      <c r="T38" s="9">
        <v>158</v>
      </c>
      <c r="U38" s="9">
        <v>63</v>
      </c>
      <c r="V38" s="10">
        <v>95</v>
      </c>
      <c r="W38" s="111" t="s">
        <v>5</v>
      </c>
      <c r="X38" s="93">
        <v>57</v>
      </c>
      <c r="Y38" s="12">
        <v>3.3434775000000001</v>
      </c>
      <c r="Z38" s="7">
        <v>7.9</v>
      </c>
      <c r="AA38" s="7">
        <v>8.6</v>
      </c>
      <c r="AB38" s="13">
        <v>62</v>
      </c>
      <c r="AC38" s="13">
        <v>63</v>
      </c>
      <c r="AD38" s="11" t="s">
        <v>6</v>
      </c>
      <c r="AE38" s="18" t="s">
        <v>455</v>
      </c>
      <c r="AF38" s="14" t="s">
        <v>1337</v>
      </c>
    </row>
    <row r="39" spans="1:32" ht="15.75" x14ac:dyDescent="0.25">
      <c r="A39" s="1">
        <v>617</v>
      </c>
      <c r="B39" s="2">
        <v>45971</v>
      </c>
      <c r="C39" s="1" t="s">
        <v>18</v>
      </c>
      <c r="D39" s="1" t="s">
        <v>9</v>
      </c>
      <c r="E39" s="8">
        <v>1</v>
      </c>
      <c r="F39" s="8">
        <v>12511008</v>
      </c>
      <c r="G39" s="8">
        <v>1260</v>
      </c>
      <c r="H39" s="8" t="s">
        <v>10</v>
      </c>
      <c r="I39" s="8" t="s">
        <v>56</v>
      </c>
      <c r="J39" s="8" t="s">
        <v>1338</v>
      </c>
      <c r="K39" s="8">
        <v>1565</v>
      </c>
      <c r="L39" s="8">
        <v>1544</v>
      </c>
      <c r="M39" s="8">
        <v>1543</v>
      </c>
      <c r="N39" s="8">
        <v>1542</v>
      </c>
      <c r="O39" s="8">
        <v>1541</v>
      </c>
      <c r="P39" s="30">
        <v>1541.5</v>
      </c>
      <c r="Q39" s="8">
        <v>4.5999999999999996</v>
      </c>
      <c r="R39" s="8">
        <v>36</v>
      </c>
      <c r="S39" s="8" t="s">
        <v>5</v>
      </c>
      <c r="T39" s="93">
        <v>162</v>
      </c>
      <c r="U39" s="93">
        <v>60</v>
      </c>
      <c r="V39" s="10">
        <v>102</v>
      </c>
      <c r="W39" s="111" t="s">
        <v>5</v>
      </c>
      <c r="X39" s="93">
        <v>58</v>
      </c>
      <c r="Y39" s="12">
        <v>2.6557272000000003</v>
      </c>
      <c r="Z39" s="93">
        <v>9.4</v>
      </c>
      <c r="AA39" s="93">
        <v>10</v>
      </c>
      <c r="AB39" s="93">
        <v>73</v>
      </c>
      <c r="AC39" s="93">
        <v>77</v>
      </c>
      <c r="AD39" s="111" t="s">
        <v>1339</v>
      </c>
      <c r="AE39" s="93" t="s">
        <v>455</v>
      </c>
      <c r="AF39" s="112" t="s">
        <v>721</v>
      </c>
    </row>
    <row r="40" spans="1:32" ht="31.5" x14ac:dyDescent="0.25">
      <c r="A40" s="1">
        <v>625</v>
      </c>
      <c r="B40" s="2">
        <v>45971</v>
      </c>
      <c r="C40" s="1" t="s">
        <v>18</v>
      </c>
      <c r="D40" s="1" t="s">
        <v>9</v>
      </c>
      <c r="E40" s="8">
        <v>1</v>
      </c>
      <c r="F40" s="8">
        <v>12511009</v>
      </c>
      <c r="G40" s="8">
        <v>1260</v>
      </c>
      <c r="H40" s="8" t="s">
        <v>10</v>
      </c>
      <c r="I40" s="8" t="s">
        <v>93</v>
      </c>
      <c r="J40" s="8" t="s">
        <v>1340</v>
      </c>
      <c r="K40" s="8">
        <v>1566</v>
      </c>
      <c r="L40" s="8">
        <v>1551</v>
      </c>
      <c r="M40" s="8">
        <v>1552</v>
      </c>
      <c r="N40" s="8">
        <v>1548</v>
      </c>
      <c r="O40" s="8">
        <v>1548</v>
      </c>
      <c r="P40" s="30">
        <v>1548</v>
      </c>
      <c r="Q40" s="8">
        <v>4.5</v>
      </c>
      <c r="R40" s="8">
        <v>36</v>
      </c>
      <c r="S40" s="8" t="s">
        <v>5</v>
      </c>
      <c r="T40" s="9">
        <v>173</v>
      </c>
      <c r="U40" s="9">
        <v>60</v>
      </c>
      <c r="V40" s="10">
        <v>113</v>
      </c>
      <c r="W40" s="111" t="s">
        <v>5</v>
      </c>
      <c r="X40" s="93">
        <v>58</v>
      </c>
      <c r="Y40" s="12">
        <v>2.5979940000000004</v>
      </c>
      <c r="Z40" s="7">
        <v>8.6999999999999993</v>
      </c>
      <c r="AA40" s="7">
        <v>8</v>
      </c>
      <c r="AB40" s="13">
        <v>84</v>
      </c>
      <c r="AC40" s="13">
        <v>84</v>
      </c>
      <c r="AD40" s="11" t="s">
        <v>6</v>
      </c>
      <c r="AE40" s="93" t="s">
        <v>455</v>
      </c>
      <c r="AF40" s="14" t="s">
        <v>1341</v>
      </c>
    </row>
    <row r="41" spans="1:32" ht="47.25" x14ac:dyDescent="0.25">
      <c r="A41" s="1">
        <v>630</v>
      </c>
      <c r="B41" s="2">
        <v>45971</v>
      </c>
      <c r="C41" s="1" t="s">
        <v>18</v>
      </c>
      <c r="D41" s="1" t="s">
        <v>9</v>
      </c>
      <c r="E41" s="8">
        <v>2</v>
      </c>
      <c r="F41" s="8">
        <v>225110011</v>
      </c>
      <c r="G41" s="8">
        <v>1260</v>
      </c>
      <c r="H41" s="8" t="s">
        <v>10</v>
      </c>
      <c r="I41" s="8" t="s">
        <v>189</v>
      </c>
      <c r="J41" s="8" t="s">
        <v>1342</v>
      </c>
      <c r="K41" s="8">
        <v>1568</v>
      </c>
      <c r="L41" s="8">
        <v>1546</v>
      </c>
      <c r="M41" s="8">
        <v>1546</v>
      </c>
      <c r="N41" s="8">
        <v>1546</v>
      </c>
      <c r="O41" s="8">
        <v>1546</v>
      </c>
      <c r="P41" s="30">
        <v>1546</v>
      </c>
      <c r="Q41" s="8">
        <v>5.3</v>
      </c>
      <c r="R41" s="8">
        <v>37</v>
      </c>
      <c r="S41" s="8" t="s">
        <v>5</v>
      </c>
      <c r="T41" s="9">
        <v>177</v>
      </c>
      <c r="U41" s="9">
        <v>64</v>
      </c>
      <c r="V41" s="10">
        <v>113</v>
      </c>
      <c r="W41" s="111" t="s">
        <v>5</v>
      </c>
      <c r="X41" s="93">
        <v>58</v>
      </c>
      <c r="Y41" s="12">
        <v>3.0598596000000002</v>
      </c>
      <c r="Z41" s="7">
        <v>8.6</v>
      </c>
      <c r="AA41" s="7">
        <v>9.1999999999999993</v>
      </c>
      <c r="AB41" s="13">
        <v>74</v>
      </c>
      <c r="AC41" s="13">
        <v>88</v>
      </c>
      <c r="AD41" s="11" t="s">
        <v>6</v>
      </c>
      <c r="AE41" s="18" t="s">
        <v>53</v>
      </c>
      <c r="AF41" s="14" t="s">
        <v>1343</v>
      </c>
    </row>
    <row r="42" spans="1:32" ht="15.75" x14ac:dyDescent="0.25">
      <c r="A42" s="1">
        <v>659</v>
      </c>
      <c r="B42" s="2">
        <v>45971</v>
      </c>
      <c r="C42" s="1" t="s">
        <v>264</v>
      </c>
      <c r="D42" s="1" t="s">
        <v>265</v>
      </c>
      <c r="E42" s="1">
        <v>2</v>
      </c>
      <c r="F42" s="83">
        <v>225110011</v>
      </c>
      <c r="G42" s="4">
        <v>1260</v>
      </c>
      <c r="H42" s="88" t="s">
        <v>10</v>
      </c>
      <c r="I42" s="16" t="s">
        <v>110</v>
      </c>
      <c r="J42" s="16" t="s">
        <v>1344</v>
      </c>
      <c r="K42" s="4">
        <v>1565</v>
      </c>
      <c r="L42" s="4">
        <v>1548</v>
      </c>
      <c r="M42" s="5">
        <v>1547</v>
      </c>
      <c r="N42" s="5">
        <v>1547</v>
      </c>
      <c r="O42" s="5" t="s">
        <v>5</v>
      </c>
      <c r="P42" s="30">
        <v>1547</v>
      </c>
      <c r="Q42" s="7">
        <v>5.6</v>
      </c>
      <c r="R42" s="4">
        <v>27</v>
      </c>
      <c r="S42" s="8">
        <v>23</v>
      </c>
      <c r="T42" s="9">
        <v>155</v>
      </c>
      <c r="U42" s="9">
        <v>65</v>
      </c>
      <c r="V42" s="10">
        <v>90</v>
      </c>
      <c r="W42" s="111" t="s">
        <v>5</v>
      </c>
      <c r="X42" s="93">
        <v>58</v>
      </c>
      <c r="Y42" s="12">
        <v>3.2330592</v>
      </c>
      <c r="Z42" s="7">
        <v>8.6</v>
      </c>
      <c r="AA42" s="7">
        <v>8.6999999999999993</v>
      </c>
      <c r="AB42" s="13">
        <v>74</v>
      </c>
      <c r="AC42" s="13">
        <v>74</v>
      </c>
      <c r="AD42" s="11" t="s">
        <v>6</v>
      </c>
      <c r="AE42" s="18" t="s">
        <v>53</v>
      </c>
      <c r="AF42" s="14" t="s">
        <v>706</v>
      </c>
    </row>
    <row r="43" spans="1:32" ht="47.25" x14ac:dyDescent="0.25">
      <c r="A43" s="1">
        <v>674</v>
      </c>
      <c r="B43" s="2">
        <v>45971</v>
      </c>
      <c r="C43" s="1" t="s">
        <v>0</v>
      </c>
      <c r="D43" s="1" t="s">
        <v>265</v>
      </c>
      <c r="E43" s="1">
        <v>1</v>
      </c>
      <c r="F43" s="83">
        <v>12511009</v>
      </c>
      <c r="G43" s="8">
        <v>1250</v>
      </c>
      <c r="H43" s="88" t="s">
        <v>10</v>
      </c>
      <c r="I43" s="16" t="s">
        <v>164</v>
      </c>
      <c r="J43" s="2" t="s">
        <v>1345</v>
      </c>
      <c r="K43" s="4">
        <v>1567</v>
      </c>
      <c r="L43" s="5">
        <v>1541</v>
      </c>
      <c r="M43" s="5">
        <v>1539</v>
      </c>
      <c r="N43" s="5">
        <v>1537</v>
      </c>
      <c r="O43" s="5">
        <v>1536</v>
      </c>
      <c r="P43" s="30">
        <v>1537.3333333333333</v>
      </c>
      <c r="Q43" s="7">
        <v>4.8</v>
      </c>
      <c r="R43" s="4">
        <v>39</v>
      </c>
      <c r="S43" s="8">
        <v>2</v>
      </c>
      <c r="T43" s="8">
        <v>172.7</v>
      </c>
      <c r="U43" s="8">
        <v>56.9</v>
      </c>
      <c r="V43" s="10">
        <v>115.79999999999998</v>
      </c>
      <c r="W43" s="111" t="s">
        <v>5</v>
      </c>
      <c r="X43" s="93">
        <v>58</v>
      </c>
      <c r="Y43" s="12">
        <v>2.7491999999999996</v>
      </c>
      <c r="Z43" s="7">
        <v>9</v>
      </c>
      <c r="AA43" s="7">
        <v>10.1</v>
      </c>
      <c r="AB43" s="13">
        <v>75</v>
      </c>
      <c r="AC43" s="13">
        <v>87</v>
      </c>
      <c r="AD43" s="11" t="s">
        <v>6</v>
      </c>
      <c r="AE43" s="18" t="s">
        <v>455</v>
      </c>
      <c r="AF43" s="14" t="s">
        <v>1346</v>
      </c>
    </row>
    <row r="44" spans="1:32" ht="47.25" x14ac:dyDescent="0.25">
      <c r="A44" s="1">
        <v>684</v>
      </c>
      <c r="B44" s="2">
        <v>45971</v>
      </c>
      <c r="C44" s="1" t="s">
        <v>0</v>
      </c>
      <c r="D44" s="1" t="s">
        <v>265</v>
      </c>
      <c r="E44" s="1">
        <v>2</v>
      </c>
      <c r="F44" s="83">
        <v>22511011</v>
      </c>
      <c r="G44" s="4">
        <v>1250</v>
      </c>
      <c r="H44" s="88" t="s">
        <v>10</v>
      </c>
      <c r="I44" s="16" t="s">
        <v>164</v>
      </c>
      <c r="J44" s="2" t="s">
        <v>1347</v>
      </c>
      <c r="K44" s="4">
        <v>1567</v>
      </c>
      <c r="L44" s="5">
        <v>1545</v>
      </c>
      <c r="M44" s="5">
        <v>1545</v>
      </c>
      <c r="N44" s="5">
        <v>1546</v>
      </c>
      <c r="O44" s="5">
        <v>1543</v>
      </c>
      <c r="P44" s="30">
        <v>1544.6666666666667</v>
      </c>
      <c r="Q44" s="7">
        <v>5</v>
      </c>
      <c r="R44" s="4">
        <v>40</v>
      </c>
      <c r="S44" s="8" t="s">
        <v>5</v>
      </c>
      <c r="T44" s="9">
        <v>176</v>
      </c>
      <c r="U44" s="9">
        <v>55</v>
      </c>
      <c r="V44" s="10">
        <v>121</v>
      </c>
      <c r="W44" s="111" t="s">
        <v>5</v>
      </c>
      <c r="X44" s="93">
        <v>58</v>
      </c>
      <c r="Y44" s="12">
        <v>2.86375</v>
      </c>
      <c r="Z44" s="7">
        <v>8.1</v>
      </c>
      <c r="AA44" s="7">
        <v>10.4</v>
      </c>
      <c r="AB44" s="13">
        <v>76</v>
      </c>
      <c r="AC44" s="13">
        <v>92</v>
      </c>
      <c r="AD44" s="11" t="s">
        <v>6</v>
      </c>
      <c r="AE44" s="18" t="s">
        <v>455</v>
      </c>
      <c r="AF44" s="14" t="s">
        <v>1348</v>
      </c>
    </row>
    <row r="45" spans="1:32" ht="31.5" x14ac:dyDescent="0.25">
      <c r="A45" s="1">
        <v>688</v>
      </c>
      <c r="B45" s="2">
        <v>45971</v>
      </c>
      <c r="C45" s="1" t="s">
        <v>0</v>
      </c>
      <c r="D45" s="1" t="s">
        <v>265</v>
      </c>
      <c r="E45" s="1">
        <v>2</v>
      </c>
      <c r="F45" s="83">
        <v>22511011</v>
      </c>
      <c r="G45" s="4">
        <v>1250</v>
      </c>
      <c r="H45" s="88" t="s">
        <v>10</v>
      </c>
      <c r="I45" s="16" t="s">
        <v>129</v>
      </c>
      <c r="J45" s="2" t="s">
        <v>1349</v>
      </c>
      <c r="K45" s="16">
        <v>1568</v>
      </c>
      <c r="L45" s="5">
        <v>1549</v>
      </c>
      <c r="M45" s="5">
        <v>1551</v>
      </c>
      <c r="N45" s="5">
        <v>1550</v>
      </c>
      <c r="O45" s="5">
        <v>1550</v>
      </c>
      <c r="P45" s="30">
        <v>1550.3333333333333</v>
      </c>
      <c r="Q45" s="7">
        <v>5.3</v>
      </c>
      <c r="R45" s="4">
        <v>38</v>
      </c>
      <c r="S45" s="8">
        <v>23</v>
      </c>
      <c r="T45" s="9">
        <v>168</v>
      </c>
      <c r="U45" s="9">
        <v>56</v>
      </c>
      <c r="V45" s="10">
        <v>112</v>
      </c>
      <c r="W45" s="111" t="s">
        <v>5</v>
      </c>
      <c r="X45" s="93">
        <v>58</v>
      </c>
      <c r="Y45" s="12">
        <v>3.0355749999999997</v>
      </c>
      <c r="Z45" s="7">
        <v>9.1</v>
      </c>
      <c r="AA45" s="7">
        <v>9.1999999999999993</v>
      </c>
      <c r="AB45" s="13">
        <v>87</v>
      </c>
      <c r="AC45" s="13">
        <v>91</v>
      </c>
      <c r="AD45" s="11" t="s">
        <v>6</v>
      </c>
      <c r="AE45" s="18" t="s">
        <v>53</v>
      </c>
      <c r="AF45" s="14" t="s">
        <v>833</v>
      </c>
    </row>
    <row r="46" spans="1:32" ht="31.5" x14ac:dyDescent="0.25">
      <c r="A46" s="1">
        <v>690</v>
      </c>
      <c r="B46" s="2">
        <v>45971</v>
      </c>
      <c r="C46" s="1" t="s">
        <v>0</v>
      </c>
      <c r="D46" s="1" t="s">
        <v>265</v>
      </c>
      <c r="E46" s="1">
        <v>2</v>
      </c>
      <c r="F46" s="83">
        <v>22511011</v>
      </c>
      <c r="G46" s="4">
        <v>1250</v>
      </c>
      <c r="H46" s="88" t="s">
        <v>10</v>
      </c>
      <c r="I46" s="16" t="s">
        <v>416</v>
      </c>
      <c r="J46" s="2" t="s">
        <v>1350</v>
      </c>
      <c r="K46" s="16">
        <v>1565</v>
      </c>
      <c r="L46" s="4">
        <v>1545</v>
      </c>
      <c r="M46" s="5">
        <v>1544</v>
      </c>
      <c r="N46" s="5">
        <v>1543</v>
      </c>
      <c r="O46" s="5">
        <v>1541</v>
      </c>
      <c r="P46" s="30">
        <v>1542.6666666666667</v>
      </c>
      <c r="Q46" s="7">
        <v>5.4</v>
      </c>
      <c r="R46" s="4">
        <v>41</v>
      </c>
      <c r="S46" s="8" t="s">
        <v>5</v>
      </c>
      <c r="T46" s="9">
        <v>179</v>
      </c>
      <c r="U46" s="9">
        <v>55</v>
      </c>
      <c r="V46" s="10">
        <v>124</v>
      </c>
      <c r="W46" s="111" t="s">
        <v>5</v>
      </c>
      <c r="X46" s="93">
        <v>58</v>
      </c>
      <c r="Y46" s="12">
        <v>3.0928500000000003</v>
      </c>
      <c r="Z46" s="7">
        <v>9.4</v>
      </c>
      <c r="AA46" s="7">
        <v>7.7</v>
      </c>
      <c r="AB46" s="13">
        <v>81</v>
      </c>
      <c r="AC46" s="13">
        <v>65</v>
      </c>
      <c r="AD46" s="11" t="s">
        <v>6</v>
      </c>
      <c r="AE46" s="18" t="s">
        <v>53</v>
      </c>
      <c r="AF46" s="14" t="s">
        <v>983</v>
      </c>
    </row>
    <row r="47" spans="1:32" ht="31.5" x14ac:dyDescent="0.25">
      <c r="A47" s="1">
        <v>691</v>
      </c>
      <c r="B47" s="2">
        <v>45971</v>
      </c>
      <c r="C47" s="1" t="s">
        <v>0</v>
      </c>
      <c r="D47" s="1" t="s">
        <v>265</v>
      </c>
      <c r="E47" s="1">
        <v>2</v>
      </c>
      <c r="F47" s="83">
        <v>22511011</v>
      </c>
      <c r="G47" s="4">
        <v>1250</v>
      </c>
      <c r="H47" s="88" t="s">
        <v>10</v>
      </c>
      <c r="I47" s="16" t="s">
        <v>303</v>
      </c>
      <c r="J47" s="2" t="s">
        <v>1351</v>
      </c>
      <c r="K47" s="16">
        <v>1567</v>
      </c>
      <c r="L47" s="4">
        <v>1542</v>
      </c>
      <c r="M47" s="5">
        <v>1547</v>
      </c>
      <c r="N47" s="5">
        <v>1547</v>
      </c>
      <c r="O47" s="5" t="s">
        <v>5</v>
      </c>
      <c r="P47" s="30">
        <v>1547</v>
      </c>
      <c r="Q47" s="7">
        <v>5.3</v>
      </c>
      <c r="R47" s="4">
        <v>37</v>
      </c>
      <c r="S47" s="8">
        <v>37</v>
      </c>
      <c r="T47" s="8">
        <v>175</v>
      </c>
      <c r="U47" s="8">
        <v>65</v>
      </c>
      <c r="V47" s="10">
        <v>110</v>
      </c>
      <c r="W47" s="111" t="s">
        <v>5</v>
      </c>
      <c r="X47" s="93">
        <v>58</v>
      </c>
      <c r="Y47" s="12">
        <v>3.0355749999999997</v>
      </c>
      <c r="Z47" s="7">
        <v>7.9</v>
      </c>
      <c r="AA47" s="7">
        <v>7.9</v>
      </c>
      <c r="AB47" s="13">
        <v>83</v>
      </c>
      <c r="AC47" s="13">
        <v>85</v>
      </c>
      <c r="AD47" s="11" t="s">
        <v>6</v>
      </c>
      <c r="AE47" s="18" t="s">
        <v>53</v>
      </c>
      <c r="AF47" s="14" t="s">
        <v>1185</v>
      </c>
    </row>
    <row r="48" spans="1:32" ht="31.5" x14ac:dyDescent="0.25">
      <c r="A48" s="1">
        <v>692</v>
      </c>
      <c r="B48" s="2">
        <v>45971</v>
      </c>
      <c r="C48" s="1" t="s">
        <v>0</v>
      </c>
      <c r="D48" s="1" t="s">
        <v>265</v>
      </c>
      <c r="E48" s="1">
        <v>2</v>
      </c>
      <c r="F48" s="83">
        <v>22511011</v>
      </c>
      <c r="G48" s="4">
        <v>1250</v>
      </c>
      <c r="H48" s="88" t="s">
        <v>10</v>
      </c>
      <c r="I48" s="16" t="s">
        <v>419</v>
      </c>
      <c r="J48" s="2" t="s">
        <v>1352</v>
      </c>
      <c r="K48" s="16">
        <v>1566</v>
      </c>
      <c r="L48" s="4">
        <v>1544</v>
      </c>
      <c r="M48" s="5">
        <v>1545</v>
      </c>
      <c r="N48" s="5">
        <v>1546</v>
      </c>
      <c r="O48" s="5" t="s">
        <v>5</v>
      </c>
      <c r="P48" s="30">
        <v>1545.5</v>
      </c>
      <c r="Q48" s="7">
        <v>5</v>
      </c>
      <c r="R48" s="4">
        <v>40</v>
      </c>
      <c r="S48" s="8">
        <v>27</v>
      </c>
      <c r="T48" s="8">
        <v>165</v>
      </c>
      <c r="U48" s="8">
        <v>68</v>
      </c>
      <c r="V48" s="10">
        <v>97</v>
      </c>
      <c r="W48" s="111" t="s">
        <v>5</v>
      </c>
      <c r="X48" s="93">
        <v>58</v>
      </c>
      <c r="Y48" s="12">
        <v>2.86375</v>
      </c>
      <c r="Z48" s="7">
        <v>9.9</v>
      </c>
      <c r="AA48" s="7">
        <v>9.9</v>
      </c>
      <c r="AB48" s="13">
        <v>83</v>
      </c>
      <c r="AC48" s="13">
        <v>61</v>
      </c>
      <c r="AD48" s="11" t="s">
        <v>6</v>
      </c>
      <c r="AE48" s="18" t="s">
        <v>53</v>
      </c>
      <c r="AF48" s="14" t="s">
        <v>833</v>
      </c>
    </row>
    <row r="49" spans="1:32" ht="47.25" x14ac:dyDescent="0.25">
      <c r="A49" s="1">
        <v>695</v>
      </c>
      <c r="B49" s="2">
        <v>45971</v>
      </c>
      <c r="C49" s="1" t="s">
        <v>0</v>
      </c>
      <c r="D49" s="1" t="s">
        <v>265</v>
      </c>
      <c r="E49" s="1">
        <v>2</v>
      </c>
      <c r="F49" s="83">
        <v>22511011</v>
      </c>
      <c r="G49" s="4">
        <v>1250</v>
      </c>
      <c r="H49" s="88" t="s">
        <v>10</v>
      </c>
      <c r="I49" s="16" t="s">
        <v>59</v>
      </c>
      <c r="J49" s="2" t="s">
        <v>1353</v>
      </c>
      <c r="K49" s="16">
        <v>1569</v>
      </c>
      <c r="L49" s="4">
        <v>1548</v>
      </c>
      <c r="M49" s="5">
        <v>1548</v>
      </c>
      <c r="N49" s="5">
        <v>1549</v>
      </c>
      <c r="O49" s="5">
        <v>1548</v>
      </c>
      <c r="P49" s="30">
        <v>1548.3333333333333</v>
      </c>
      <c r="Q49" s="7">
        <v>5.0999999999999996</v>
      </c>
      <c r="R49" s="4">
        <v>46</v>
      </c>
      <c r="S49" s="8">
        <v>2</v>
      </c>
      <c r="T49" s="8">
        <v>176</v>
      </c>
      <c r="U49" s="8">
        <v>60</v>
      </c>
      <c r="V49" s="10">
        <v>116</v>
      </c>
      <c r="W49" s="111" t="s">
        <v>5</v>
      </c>
      <c r="X49" s="93">
        <v>56</v>
      </c>
      <c r="Y49" s="12">
        <v>2.8203</v>
      </c>
      <c r="Z49" s="7">
        <v>8.5</v>
      </c>
      <c r="AA49" s="7">
        <v>6.9</v>
      </c>
      <c r="AB49" s="13">
        <v>70</v>
      </c>
      <c r="AC49" s="13">
        <v>54</v>
      </c>
      <c r="AD49" s="11" t="s">
        <v>6</v>
      </c>
      <c r="AE49" s="18" t="s">
        <v>53</v>
      </c>
      <c r="AF49" s="14" t="s">
        <v>1354</v>
      </c>
    </row>
    <row r="50" spans="1:32" ht="47.25" x14ac:dyDescent="0.25">
      <c r="A50" s="1">
        <v>711</v>
      </c>
      <c r="B50" s="2">
        <v>45972</v>
      </c>
      <c r="C50" s="1" t="s">
        <v>18</v>
      </c>
      <c r="D50" s="1" t="s">
        <v>9</v>
      </c>
      <c r="E50" s="8">
        <v>2</v>
      </c>
      <c r="F50" s="8">
        <v>22511011</v>
      </c>
      <c r="G50" s="8">
        <v>1250</v>
      </c>
      <c r="H50" s="8" t="s">
        <v>10</v>
      </c>
      <c r="I50" s="8" t="s">
        <v>346</v>
      </c>
      <c r="J50" s="8" t="s">
        <v>1355</v>
      </c>
      <c r="K50" s="8">
        <v>1570</v>
      </c>
      <c r="L50" s="8">
        <v>1553</v>
      </c>
      <c r="M50" s="8">
        <v>1550</v>
      </c>
      <c r="N50" s="8">
        <v>1553</v>
      </c>
      <c r="O50" s="8">
        <v>1554</v>
      </c>
      <c r="P50" s="30">
        <v>1552.5</v>
      </c>
      <c r="Q50" s="8">
        <v>5</v>
      </c>
      <c r="R50" s="8">
        <v>42</v>
      </c>
      <c r="S50" s="8">
        <v>35</v>
      </c>
      <c r="T50" s="9">
        <v>173</v>
      </c>
      <c r="U50" s="9">
        <v>60</v>
      </c>
      <c r="V50" s="10">
        <v>113</v>
      </c>
      <c r="W50" s="113" t="s">
        <v>5</v>
      </c>
      <c r="X50" s="7">
        <v>56</v>
      </c>
      <c r="Y50" s="12">
        <v>2.7650000000000001</v>
      </c>
      <c r="Z50" s="7">
        <v>9.6999999999999993</v>
      </c>
      <c r="AA50" s="7">
        <v>7.1</v>
      </c>
      <c r="AB50" s="13">
        <v>81</v>
      </c>
      <c r="AC50" s="13">
        <v>60</v>
      </c>
      <c r="AD50" s="11" t="s">
        <v>6</v>
      </c>
      <c r="AE50" s="18" t="s">
        <v>53</v>
      </c>
      <c r="AF50" s="14" t="s">
        <v>1356</v>
      </c>
    </row>
    <row r="51" spans="1:32" ht="47.25" x14ac:dyDescent="0.25">
      <c r="A51" s="1">
        <v>778</v>
      </c>
      <c r="B51" s="2">
        <v>45973</v>
      </c>
      <c r="C51" s="1" t="s">
        <v>18</v>
      </c>
      <c r="D51" s="1" t="s">
        <v>9</v>
      </c>
      <c r="E51" s="8">
        <v>1</v>
      </c>
      <c r="F51" s="8">
        <v>12511010</v>
      </c>
      <c r="G51" s="8">
        <v>1270</v>
      </c>
      <c r="H51" s="8" t="s">
        <v>1357</v>
      </c>
      <c r="I51" s="8" t="s">
        <v>371</v>
      </c>
      <c r="J51" s="8" t="s">
        <v>1358</v>
      </c>
      <c r="K51" s="8">
        <v>1567</v>
      </c>
      <c r="L51" s="8">
        <v>1544</v>
      </c>
      <c r="M51" s="8">
        <v>1544</v>
      </c>
      <c r="N51" s="8">
        <v>1542</v>
      </c>
      <c r="O51" s="8">
        <v>1541</v>
      </c>
      <c r="P51" s="30">
        <v>1542.75</v>
      </c>
      <c r="Q51" s="8">
        <v>4.9000000000000004</v>
      </c>
      <c r="R51" s="8">
        <v>40</v>
      </c>
      <c r="S51" s="8" t="s">
        <v>5</v>
      </c>
      <c r="T51" s="9">
        <v>176</v>
      </c>
      <c r="U51" s="9">
        <v>59</v>
      </c>
      <c r="V51" s="10">
        <v>117</v>
      </c>
      <c r="W51" s="113" t="s">
        <v>5</v>
      </c>
      <c r="X51" s="7">
        <v>56</v>
      </c>
      <c r="Y51" s="12">
        <v>2.7530552000000004</v>
      </c>
      <c r="Z51" s="7">
        <v>6.5</v>
      </c>
      <c r="AA51" s="7">
        <v>7.8</v>
      </c>
      <c r="AB51" s="13">
        <v>54</v>
      </c>
      <c r="AC51" s="13">
        <v>65</v>
      </c>
      <c r="AD51" s="11" t="s">
        <v>6</v>
      </c>
      <c r="AE51" s="7" t="s">
        <v>72</v>
      </c>
      <c r="AF51" s="14" t="s">
        <v>1359</v>
      </c>
    </row>
    <row r="52" spans="1:32" ht="31.5" x14ac:dyDescent="0.25">
      <c r="A52" s="1">
        <v>779</v>
      </c>
      <c r="B52" s="2">
        <v>45973</v>
      </c>
      <c r="C52" s="1" t="s">
        <v>18</v>
      </c>
      <c r="D52" s="1" t="s">
        <v>9</v>
      </c>
      <c r="E52" s="8">
        <v>1</v>
      </c>
      <c r="F52" s="8">
        <v>12511010</v>
      </c>
      <c r="G52" s="8">
        <v>1270</v>
      </c>
      <c r="H52" s="8" t="s">
        <v>1357</v>
      </c>
      <c r="I52" s="8" t="s">
        <v>11</v>
      </c>
      <c r="J52" s="8" t="s">
        <v>1360</v>
      </c>
      <c r="K52" s="8">
        <v>1568</v>
      </c>
      <c r="L52" s="8">
        <v>1541</v>
      </c>
      <c r="M52" s="8">
        <v>1540</v>
      </c>
      <c r="N52" s="8">
        <v>1539</v>
      </c>
      <c r="O52" s="8">
        <v>1539</v>
      </c>
      <c r="P52" s="30">
        <v>1539.75</v>
      </c>
      <c r="Q52" s="8">
        <v>5.2</v>
      </c>
      <c r="R52" s="8">
        <v>37</v>
      </c>
      <c r="S52" s="8" t="s">
        <v>5</v>
      </c>
      <c r="T52" s="9">
        <v>163</v>
      </c>
      <c r="U52" s="9">
        <v>59</v>
      </c>
      <c r="V52" s="10">
        <v>104</v>
      </c>
      <c r="W52" s="113" t="s">
        <v>5</v>
      </c>
      <c r="X52" s="7">
        <v>56</v>
      </c>
      <c r="Y52" s="12">
        <v>2.9216096</v>
      </c>
      <c r="Z52" s="7">
        <v>7.6</v>
      </c>
      <c r="AA52" s="7">
        <v>8.1</v>
      </c>
      <c r="AB52" s="13">
        <v>57</v>
      </c>
      <c r="AC52" s="13">
        <v>68</v>
      </c>
      <c r="AD52" s="11" t="s">
        <v>6</v>
      </c>
      <c r="AE52" s="7" t="s">
        <v>72</v>
      </c>
      <c r="AF52" s="14" t="s">
        <v>1361</v>
      </c>
    </row>
    <row r="53" spans="1:32" ht="15.75" x14ac:dyDescent="0.25">
      <c r="A53" s="1">
        <v>841</v>
      </c>
      <c r="B53" s="2">
        <v>45973</v>
      </c>
      <c r="C53" s="1" t="s">
        <v>0</v>
      </c>
      <c r="D53" s="1" t="s">
        <v>19</v>
      </c>
      <c r="E53" s="8">
        <v>2</v>
      </c>
      <c r="F53" s="8">
        <v>22511013</v>
      </c>
      <c r="G53" s="8">
        <v>1230</v>
      </c>
      <c r="H53" s="8" t="s">
        <v>10</v>
      </c>
      <c r="I53" s="99" t="s">
        <v>315</v>
      </c>
      <c r="J53" s="2" t="s">
        <v>1362</v>
      </c>
      <c r="K53" s="4">
        <v>1568</v>
      </c>
      <c r="L53" s="5">
        <v>1545</v>
      </c>
      <c r="M53" s="5">
        <v>1543</v>
      </c>
      <c r="N53" s="5">
        <v>1544</v>
      </c>
      <c r="O53" s="5">
        <v>1546</v>
      </c>
      <c r="P53" s="30">
        <v>1544.5</v>
      </c>
      <c r="Q53" s="7">
        <v>5.6</v>
      </c>
      <c r="R53" s="4">
        <v>34</v>
      </c>
      <c r="S53" s="8" t="s">
        <v>5</v>
      </c>
      <c r="T53" s="9">
        <v>164</v>
      </c>
      <c r="U53" s="9">
        <v>55</v>
      </c>
      <c r="V53" s="10">
        <v>109</v>
      </c>
      <c r="W53" s="9">
        <v>12.7</v>
      </c>
      <c r="X53" s="7">
        <v>58</v>
      </c>
      <c r="Y53" s="12">
        <v>3.1560815999999998</v>
      </c>
      <c r="Z53" s="7">
        <v>10.6</v>
      </c>
      <c r="AA53" s="7">
        <v>10.6</v>
      </c>
      <c r="AB53" s="13">
        <v>82</v>
      </c>
      <c r="AC53" s="13">
        <v>83</v>
      </c>
      <c r="AD53" s="11" t="s">
        <v>6</v>
      </c>
      <c r="AE53" s="18" t="s">
        <v>53</v>
      </c>
      <c r="AF53" s="14" t="s">
        <v>397</v>
      </c>
    </row>
    <row r="54" spans="1:32" ht="31.5" x14ac:dyDescent="0.25">
      <c r="A54" s="1">
        <v>905</v>
      </c>
      <c r="B54" s="2">
        <v>45974</v>
      </c>
      <c r="C54" s="1" t="s">
        <v>0</v>
      </c>
      <c r="D54" s="1" t="s">
        <v>258</v>
      </c>
      <c r="E54" s="8">
        <v>1</v>
      </c>
      <c r="F54" s="8">
        <v>12511012</v>
      </c>
      <c r="G54" s="8">
        <v>1250</v>
      </c>
      <c r="H54" s="8" t="s">
        <v>1363</v>
      </c>
      <c r="I54" s="99" t="s">
        <v>194</v>
      </c>
      <c r="J54" s="2" t="s">
        <v>1364</v>
      </c>
      <c r="K54" s="4">
        <v>1572</v>
      </c>
      <c r="L54" s="5">
        <v>1549</v>
      </c>
      <c r="M54" s="5">
        <v>1555</v>
      </c>
      <c r="N54" s="5">
        <v>1556</v>
      </c>
      <c r="O54" s="5">
        <v>1554</v>
      </c>
      <c r="P54" s="30">
        <v>1553.5</v>
      </c>
      <c r="Q54" s="7">
        <v>4.5999999999999996</v>
      </c>
      <c r="R54" s="4">
        <v>35</v>
      </c>
      <c r="S54" s="8" t="s">
        <v>5</v>
      </c>
      <c r="T54" s="9">
        <v>154</v>
      </c>
      <c r="U54" s="9">
        <v>62</v>
      </c>
      <c r="V54" s="10">
        <v>92</v>
      </c>
      <c r="W54" s="9" t="s">
        <v>5</v>
      </c>
      <c r="X54" s="7">
        <v>58</v>
      </c>
      <c r="Y54" s="12">
        <v>2.6346499999999997</v>
      </c>
      <c r="Z54" s="7">
        <v>10.199999999999999</v>
      </c>
      <c r="AA54" s="7">
        <v>10</v>
      </c>
      <c r="AB54" s="13">
        <v>90</v>
      </c>
      <c r="AC54" s="13">
        <v>97</v>
      </c>
      <c r="AD54" s="11" t="s">
        <v>6</v>
      </c>
      <c r="AE54" s="18" t="s">
        <v>455</v>
      </c>
      <c r="AF54" s="14" t="s">
        <v>1308</v>
      </c>
    </row>
    <row r="55" spans="1:32" ht="47.25" x14ac:dyDescent="0.25">
      <c r="A55" s="1">
        <v>938</v>
      </c>
      <c r="B55" s="2">
        <v>45975</v>
      </c>
      <c r="C55" s="1" t="s">
        <v>18</v>
      </c>
      <c r="D55" s="1" t="s">
        <v>9</v>
      </c>
      <c r="E55" s="8">
        <v>2</v>
      </c>
      <c r="F55" s="8">
        <v>22511014</v>
      </c>
      <c r="G55" s="8">
        <v>1250</v>
      </c>
      <c r="H55" s="8" t="s">
        <v>225</v>
      </c>
      <c r="I55" s="8" t="s">
        <v>138</v>
      </c>
      <c r="J55" s="16" t="s">
        <v>1365</v>
      </c>
      <c r="K55" s="16">
        <v>1566</v>
      </c>
      <c r="L55" s="4">
        <v>1545</v>
      </c>
      <c r="M55" s="4">
        <v>1544</v>
      </c>
      <c r="N55" s="5">
        <v>1543</v>
      </c>
      <c r="O55" s="5">
        <v>1540</v>
      </c>
      <c r="P55" s="30">
        <v>1543</v>
      </c>
      <c r="Q55" s="7">
        <v>5.4</v>
      </c>
      <c r="R55" s="4">
        <v>34</v>
      </c>
      <c r="S55" s="8">
        <v>28</v>
      </c>
      <c r="T55" s="9">
        <v>163</v>
      </c>
      <c r="U55" s="9">
        <v>60</v>
      </c>
      <c r="V55" s="10">
        <v>103</v>
      </c>
      <c r="W55" s="113" t="s">
        <v>5</v>
      </c>
      <c r="X55" s="7">
        <v>56</v>
      </c>
      <c r="Y55" s="12">
        <v>2.9862000000000006</v>
      </c>
      <c r="Z55" s="7">
        <v>10.199999999999999</v>
      </c>
      <c r="AA55" s="7">
        <v>9.9</v>
      </c>
      <c r="AB55" s="13">
        <v>81</v>
      </c>
      <c r="AC55" s="13">
        <v>84</v>
      </c>
      <c r="AD55" s="11" t="s">
        <v>6</v>
      </c>
      <c r="AE55" s="40" t="s">
        <v>455</v>
      </c>
      <c r="AF55" s="14" t="s">
        <v>1366</v>
      </c>
    </row>
    <row r="56" spans="1:32" ht="63" x14ac:dyDescent="0.25">
      <c r="A56" s="1">
        <v>941</v>
      </c>
      <c r="B56" s="2">
        <v>45975</v>
      </c>
      <c r="C56" s="1" t="s">
        <v>18</v>
      </c>
      <c r="D56" s="1" t="s">
        <v>9</v>
      </c>
      <c r="E56" s="8">
        <v>2</v>
      </c>
      <c r="F56" s="8">
        <v>22511014</v>
      </c>
      <c r="G56" s="8">
        <v>1250</v>
      </c>
      <c r="H56" s="8" t="s">
        <v>225</v>
      </c>
      <c r="I56" s="8" t="s">
        <v>346</v>
      </c>
      <c r="J56" s="16" t="s">
        <v>1367</v>
      </c>
      <c r="K56" s="16">
        <v>1568</v>
      </c>
      <c r="L56" s="4">
        <v>1539</v>
      </c>
      <c r="M56" s="4">
        <v>1539</v>
      </c>
      <c r="N56" s="5">
        <v>1538</v>
      </c>
      <c r="O56" s="5">
        <v>1539</v>
      </c>
      <c r="P56" s="30">
        <v>1538.75</v>
      </c>
      <c r="Q56" s="7">
        <v>4.5</v>
      </c>
      <c r="R56" s="4">
        <v>36</v>
      </c>
      <c r="S56" s="8">
        <v>27</v>
      </c>
      <c r="T56" s="9">
        <v>159</v>
      </c>
      <c r="U56" s="9">
        <v>60</v>
      </c>
      <c r="V56" s="10">
        <v>99</v>
      </c>
      <c r="W56" s="113" t="s">
        <v>5</v>
      </c>
      <c r="X56" s="7">
        <v>58</v>
      </c>
      <c r="Y56" s="12">
        <v>2.577375</v>
      </c>
      <c r="Z56" s="7">
        <v>8.5</v>
      </c>
      <c r="AA56" s="7">
        <v>10.199999999999999</v>
      </c>
      <c r="AB56" s="13">
        <v>78</v>
      </c>
      <c r="AC56" s="13">
        <v>87</v>
      </c>
      <c r="AD56" s="11" t="s">
        <v>6</v>
      </c>
      <c r="AE56" s="40" t="s">
        <v>455</v>
      </c>
      <c r="AF56" s="14" t="s">
        <v>1368</v>
      </c>
    </row>
    <row r="57" spans="1:32" ht="31.5" x14ac:dyDescent="0.25">
      <c r="A57" s="1">
        <v>942</v>
      </c>
      <c r="B57" s="2">
        <v>45975</v>
      </c>
      <c r="C57" s="1" t="s">
        <v>18</v>
      </c>
      <c r="D57" s="1" t="s">
        <v>9</v>
      </c>
      <c r="E57" s="8">
        <v>2</v>
      </c>
      <c r="F57" s="8">
        <v>22511014</v>
      </c>
      <c r="G57" s="8">
        <v>1250</v>
      </c>
      <c r="H57" s="8" t="s">
        <v>225</v>
      </c>
      <c r="I57" s="8" t="s">
        <v>240</v>
      </c>
      <c r="J57" s="16" t="s">
        <v>1369</v>
      </c>
      <c r="K57" s="16">
        <v>1538</v>
      </c>
      <c r="L57" s="4">
        <v>1543</v>
      </c>
      <c r="M57" s="4">
        <v>1542</v>
      </c>
      <c r="N57" s="5">
        <v>1539</v>
      </c>
      <c r="O57" s="5">
        <v>1539</v>
      </c>
      <c r="P57" s="30">
        <v>1540.75</v>
      </c>
      <c r="Q57" s="7">
        <v>5.2</v>
      </c>
      <c r="R57" s="4">
        <v>41</v>
      </c>
      <c r="S57" s="8">
        <v>6</v>
      </c>
      <c r="T57" s="9">
        <v>171</v>
      </c>
      <c r="U57" s="9">
        <v>60</v>
      </c>
      <c r="V57" s="10">
        <v>111</v>
      </c>
      <c r="W57" s="113" t="s">
        <v>5</v>
      </c>
      <c r="X57" s="7">
        <v>58</v>
      </c>
      <c r="Y57" s="12">
        <v>2.9782999999999999</v>
      </c>
      <c r="Z57" s="7">
        <v>8.9</v>
      </c>
      <c r="AA57" s="7">
        <v>9.5</v>
      </c>
      <c r="AB57" s="13">
        <v>79</v>
      </c>
      <c r="AC57" s="13">
        <v>82</v>
      </c>
      <c r="AD57" s="11" t="s">
        <v>6</v>
      </c>
      <c r="AE57" s="40" t="s">
        <v>455</v>
      </c>
      <c r="AF57" s="14" t="s">
        <v>1370</v>
      </c>
    </row>
    <row r="58" spans="1:32" ht="31.5" x14ac:dyDescent="0.25">
      <c r="A58" s="1">
        <v>943</v>
      </c>
      <c r="B58" s="2">
        <v>45975</v>
      </c>
      <c r="C58" s="1" t="s">
        <v>18</v>
      </c>
      <c r="D58" s="1" t="s">
        <v>9</v>
      </c>
      <c r="E58" s="8">
        <v>2</v>
      </c>
      <c r="F58" s="8">
        <v>22511014</v>
      </c>
      <c r="G58" s="8">
        <v>1250</v>
      </c>
      <c r="H58" s="8" t="s">
        <v>225</v>
      </c>
      <c r="I58" s="8" t="s">
        <v>273</v>
      </c>
      <c r="J58" s="16" t="s">
        <v>1371</v>
      </c>
      <c r="K58" s="16">
        <v>1568</v>
      </c>
      <c r="L58" s="4">
        <v>1544</v>
      </c>
      <c r="M58" s="4">
        <v>1545</v>
      </c>
      <c r="N58" s="5">
        <v>1545</v>
      </c>
      <c r="O58" s="5">
        <v>1541</v>
      </c>
      <c r="P58" s="30">
        <v>1543.75</v>
      </c>
      <c r="Q58" s="7">
        <v>4.5999999999999996</v>
      </c>
      <c r="R58" s="4">
        <v>36</v>
      </c>
      <c r="S58" s="8">
        <v>7</v>
      </c>
      <c r="T58" s="9">
        <v>162</v>
      </c>
      <c r="U58" s="9">
        <v>60</v>
      </c>
      <c r="V58" s="10">
        <v>102</v>
      </c>
      <c r="W58" s="113" t="s">
        <v>5</v>
      </c>
      <c r="X58" s="7">
        <v>58</v>
      </c>
      <c r="Y58" s="12">
        <v>2.6346499999999997</v>
      </c>
      <c r="Z58" s="7">
        <v>5.9</v>
      </c>
      <c r="AA58" s="7">
        <v>7.5</v>
      </c>
      <c r="AB58" s="13">
        <v>61</v>
      </c>
      <c r="AC58" s="13">
        <v>77</v>
      </c>
      <c r="AD58" s="11" t="s">
        <v>6</v>
      </c>
      <c r="AE58" s="40" t="s">
        <v>455</v>
      </c>
      <c r="AF58" s="14" t="s">
        <v>1372</v>
      </c>
    </row>
    <row r="59" spans="1:32" ht="31.5" x14ac:dyDescent="0.25">
      <c r="A59" s="1">
        <v>963</v>
      </c>
      <c r="B59" s="2">
        <v>45975</v>
      </c>
      <c r="C59" s="1" t="s">
        <v>264</v>
      </c>
      <c r="D59" s="1" t="s">
        <v>19</v>
      </c>
      <c r="E59" s="8">
        <v>2</v>
      </c>
      <c r="F59" s="8">
        <v>22511014</v>
      </c>
      <c r="G59" s="8">
        <v>1250</v>
      </c>
      <c r="H59" s="8" t="s">
        <v>10</v>
      </c>
      <c r="I59" s="99" t="s">
        <v>146</v>
      </c>
      <c r="J59" s="16" t="s">
        <v>1373</v>
      </c>
      <c r="K59" s="4">
        <v>1572</v>
      </c>
      <c r="L59" s="4">
        <v>1542</v>
      </c>
      <c r="M59" s="5">
        <v>1544</v>
      </c>
      <c r="N59" s="5">
        <v>1546</v>
      </c>
      <c r="O59" s="5">
        <v>1544</v>
      </c>
      <c r="P59" s="30">
        <v>1544</v>
      </c>
      <c r="Q59" s="7">
        <v>4.5999999999999996</v>
      </c>
      <c r="R59" s="4">
        <v>33</v>
      </c>
      <c r="S59" s="8"/>
      <c r="T59" s="8">
        <v>163</v>
      </c>
      <c r="U59" s="8">
        <v>54</v>
      </c>
      <c r="V59" s="10">
        <v>109</v>
      </c>
      <c r="W59" s="113" t="s">
        <v>5</v>
      </c>
      <c r="X59" s="7">
        <v>58</v>
      </c>
      <c r="Y59" s="12">
        <v>2.6346499999999997</v>
      </c>
      <c r="Z59" s="7">
        <v>9.5</v>
      </c>
      <c r="AA59" s="7">
        <v>10</v>
      </c>
      <c r="AB59" s="13">
        <v>80</v>
      </c>
      <c r="AC59" s="13">
        <v>88</v>
      </c>
      <c r="AD59" s="11" t="s">
        <v>6</v>
      </c>
      <c r="AE59" s="40" t="s">
        <v>1374</v>
      </c>
      <c r="AF59" s="14" t="s">
        <v>1375</v>
      </c>
    </row>
    <row r="60" spans="1:32" ht="31.5" x14ac:dyDescent="0.25">
      <c r="A60" s="1">
        <v>964</v>
      </c>
      <c r="B60" s="2">
        <v>45975</v>
      </c>
      <c r="C60" s="1" t="s">
        <v>264</v>
      </c>
      <c r="D60" s="1" t="s">
        <v>19</v>
      </c>
      <c r="E60" s="8">
        <v>2</v>
      </c>
      <c r="F60" s="8">
        <v>22511014</v>
      </c>
      <c r="G60" s="8">
        <v>1250</v>
      </c>
      <c r="H60" s="8" t="s">
        <v>10</v>
      </c>
      <c r="I60" s="99" t="s">
        <v>504</v>
      </c>
      <c r="J60" s="16" t="s">
        <v>1376</v>
      </c>
      <c r="K60" s="4">
        <v>1566</v>
      </c>
      <c r="L60" s="4">
        <v>1543</v>
      </c>
      <c r="M60" s="5">
        <v>1544</v>
      </c>
      <c r="N60" s="5">
        <v>1543</v>
      </c>
      <c r="O60" s="5">
        <v>1544</v>
      </c>
      <c r="P60" s="30">
        <v>1543.5</v>
      </c>
      <c r="Q60" s="7">
        <v>5.2</v>
      </c>
      <c r="R60" s="4">
        <v>38</v>
      </c>
      <c r="S60" s="8"/>
      <c r="T60" s="8">
        <v>168</v>
      </c>
      <c r="U60" s="8">
        <v>60</v>
      </c>
      <c r="V60" s="10">
        <v>108</v>
      </c>
      <c r="W60" s="113" t="s">
        <v>5</v>
      </c>
      <c r="X60" s="7">
        <v>56</v>
      </c>
      <c r="Y60" s="12">
        <v>2.8756000000000004</v>
      </c>
      <c r="Z60" s="7">
        <v>10.3</v>
      </c>
      <c r="AA60" s="7">
        <v>10.6</v>
      </c>
      <c r="AB60" s="13">
        <v>86</v>
      </c>
      <c r="AC60" s="13">
        <v>89</v>
      </c>
      <c r="AD60" s="11" t="s">
        <v>6</v>
      </c>
      <c r="AE60" s="18" t="s">
        <v>53</v>
      </c>
      <c r="AF60" s="14" t="s">
        <v>1377</v>
      </c>
    </row>
    <row r="61" spans="1:32" ht="15.75" x14ac:dyDescent="0.25">
      <c r="A61" s="1">
        <v>1031</v>
      </c>
      <c r="B61" s="2">
        <v>45976</v>
      </c>
      <c r="C61" s="1" t="s">
        <v>264</v>
      </c>
      <c r="D61" s="1" t="s">
        <v>19</v>
      </c>
      <c r="E61" s="8">
        <v>1</v>
      </c>
      <c r="F61" s="8">
        <v>12511013</v>
      </c>
      <c r="G61" s="8">
        <v>1230</v>
      </c>
      <c r="H61" s="8" t="s">
        <v>10</v>
      </c>
      <c r="I61" s="8" t="s">
        <v>93</v>
      </c>
      <c r="J61" s="8" t="s">
        <v>1378</v>
      </c>
      <c r="K61" s="99">
        <v>1565</v>
      </c>
      <c r="L61" s="4">
        <v>1544</v>
      </c>
      <c r="M61" s="4">
        <v>1548</v>
      </c>
      <c r="N61" s="5">
        <v>1548</v>
      </c>
      <c r="O61" s="5" t="s">
        <v>5</v>
      </c>
      <c r="P61" s="30">
        <v>1546.6666666666667</v>
      </c>
      <c r="Q61" s="7">
        <v>5.3</v>
      </c>
      <c r="R61" s="4">
        <v>35</v>
      </c>
      <c r="S61" s="8" t="s">
        <v>5</v>
      </c>
      <c r="T61" s="9">
        <v>174.2</v>
      </c>
      <c r="U61" s="9">
        <v>60</v>
      </c>
      <c r="V61" s="10">
        <v>114.19999999999999</v>
      </c>
      <c r="W61" s="113" t="s">
        <v>5</v>
      </c>
      <c r="X61" s="7">
        <v>58</v>
      </c>
      <c r="Y61" s="12">
        <v>2.9870057999999999</v>
      </c>
      <c r="Z61" s="7">
        <v>10.9</v>
      </c>
      <c r="AA61" s="7">
        <v>10.8</v>
      </c>
      <c r="AB61" s="13">
        <v>89</v>
      </c>
      <c r="AC61" s="13">
        <v>92</v>
      </c>
      <c r="AD61" s="11" t="s">
        <v>412</v>
      </c>
      <c r="AE61" s="40" t="s">
        <v>455</v>
      </c>
      <c r="AF61" s="14" t="s">
        <v>1379</v>
      </c>
    </row>
    <row r="62" spans="1:32" ht="47.25" x14ac:dyDescent="0.25">
      <c r="A62" s="1">
        <v>1054</v>
      </c>
      <c r="B62" s="2">
        <v>45976</v>
      </c>
      <c r="C62" s="1" t="s">
        <v>0</v>
      </c>
      <c r="D62" s="1" t="s">
        <v>258</v>
      </c>
      <c r="E62" s="8">
        <v>1</v>
      </c>
      <c r="F62" s="8">
        <v>12511013</v>
      </c>
      <c r="G62" s="8">
        <v>1240</v>
      </c>
      <c r="H62" s="8" t="s">
        <v>1380</v>
      </c>
      <c r="I62" s="99" t="s">
        <v>103</v>
      </c>
      <c r="J62" s="16" t="s">
        <v>1381</v>
      </c>
      <c r="K62" s="4">
        <v>1567</v>
      </c>
      <c r="L62" s="5">
        <v>1542</v>
      </c>
      <c r="M62" s="5">
        <v>1541</v>
      </c>
      <c r="N62" s="5">
        <v>1541</v>
      </c>
      <c r="O62" s="5">
        <v>1541</v>
      </c>
      <c r="P62" s="30">
        <v>1541.25</v>
      </c>
      <c r="Q62" s="7">
        <v>4.5</v>
      </c>
      <c r="R62" s="4">
        <v>41</v>
      </c>
      <c r="S62" s="8" t="s">
        <v>5</v>
      </c>
      <c r="T62" s="8">
        <v>172</v>
      </c>
      <c r="U62" s="8">
        <v>59</v>
      </c>
      <c r="V62" s="10">
        <v>113</v>
      </c>
      <c r="W62" s="113" t="s">
        <v>5</v>
      </c>
      <c r="X62" s="7">
        <v>58</v>
      </c>
      <c r="Y62" s="12">
        <v>2.556756</v>
      </c>
      <c r="Z62" s="7">
        <v>10.1</v>
      </c>
      <c r="AA62" s="7">
        <v>10.3</v>
      </c>
      <c r="AB62" s="7">
        <v>83</v>
      </c>
      <c r="AC62" s="7">
        <v>82</v>
      </c>
      <c r="AD62" s="11" t="s">
        <v>6</v>
      </c>
      <c r="AE62" s="18" t="s">
        <v>72</v>
      </c>
      <c r="AF62" s="14" t="s">
        <v>1382</v>
      </c>
    </row>
    <row r="63" spans="1:32" ht="31.5" x14ac:dyDescent="0.25">
      <c r="A63" s="1">
        <v>1059</v>
      </c>
      <c r="B63" s="2">
        <v>45976</v>
      </c>
      <c r="C63" s="1" t="s">
        <v>0</v>
      </c>
      <c r="D63" s="1" t="s">
        <v>258</v>
      </c>
      <c r="E63" s="8">
        <v>1</v>
      </c>
      <c r="F63" s="8">
        <v>12511013</v>
      </c>
      <c r="G63" s="8">
        <v>1240</v>
      </c>
      <c r="H63" s="8" t="s">
        <v>1357</v>
      </c>
      <c r="I63" s="99" t="s">
        <v>148</v>
      </c>
      <c r="J63" s="2" t="s">
        <v>1383</v>
      </c>
      <c r="K63" s="4">
        <v>1570</v>
      </c>
      <c r="L63" s="5">
        <v>1547</v>
      </c>
      <c r="M63" s="5">
        <v>1554</v>
      </c>
      <c r="N63" s="5">
        <v>1554</v>
      </c>
      <c r="O63" s="5">
        <v>1553</v>
      </c>
      <c r="P63" s="30">
        <v>1552</v>
      </c>
      <c r="Q63" s="7">
        <v>5</v>
      </c>
      <c r="R63" s="4">
        <v>33</v>
      </c>
      <c r="S63" s="8" t="s">
        <v>5</v>
      </c>
      <c r="T63" s="9">
        <v>153</v>
      </c>
      <c r="U63" s="9">
        <v>59</v>
      </c>
      <c r="V63" s="10">
        <v>94</v>
      </c>
      <c r="W63" s="113" t="s">
        <v>5</v>
      </c>
      <c r="X63" s="7">
        <v>58</v>
      </c>
      <c r="Y63" s="12">
        <v>2.84084</v>
      </c>
      <c r="Z63" s="7">
        <v>10.199999999999999</v>
      </c>
      <c r="AA63" s="7">
        <v>10.7</v>
      </c>
      <c r="AB63" s="13">
        <v>83</v>
      </c>
      <c r="AC63" s="13">
        <v>83</v>
      </c>
      <c r="AD63" s="11" t="s">
        <v>6</v>
      </c>
      <c r="AE63" s="18" t="s">
        <v>455</v>
      </c>
      <c r="AF63" s="14" t="s">
        <v>1384</v>
      </c>
    </row>
    <row r="64" spans="1:32" ht="47.25" x14ac:dyDescent="0.25">
      <c r="A64" s="1">
        <v>1088</v>
      </c>
      <c r="B64" s="2">
        <v>45977</v>
      </c>
      <c r="C64" s="1" t="s">
        <v>18</v>
      </c>
      <c r="D64" s="1" t="s">
        <v>265</v>
      </c>
      <c r="E64" s="8">
        <v>1</v>
      </c>
      <c r="F64" s="8">
        <v>12511013</v>
      </c>
      <c r="G64" s="8">
        <v>1250</v>
      </c>
      <c r="H64" s="8" t="s">
        <v>1095</v>
      </c>
      <c r="I64" s="8" t="s">
        <v>138</v>
      </c>
      <c r="J64" s="8" t="s">
        <v>1385</v>
      </c>
      <c r="K64" s="8">
        <v>1565</v>
      </c>
      <c r="L64" s="8">
        <v>1544</v>
      </c>
      <c r="M64" s="8">
        <v>1544</v>
      </c>
      <c r="N64" s="8">
        <v>1541</v>
      </c>
      <c r="O64" s="8" t="s">
        <v>5</v>
      </c>
      <c r="P64" s="30">
        <v>1543</v>
      </c>
      <c r="Q64" s="8">
        <v>5.3</v>
      </c>
      <c r="R64" s="8">
        <v>36</v>
      </c>
      <c r="S64" s="8" t="s">
        <v>5</v>
      </c>
      <c r="T64" s="9">
        <v>164</v>
      </c>
      <c r="U64" s="9">
        <v>60</v>
      </c>
      <c r="V64" s="10">
        <v>104</v>
      </c>
      <c r="W64" s="113" t="s">
        <v>5</v>
      </c>
      <c r="X64" s="7">
        <v>58</v>
      </c>
      <c r="Y64" s="12">
        <v>3.0355749999999997</v>
      </c>
      <c r="Z64" s="7">
        <v>9.9</v>
      </c>
      <c r="AA64" s="7">
        <v>10.4</v>
      </c>
      <c r="AB64" s="13">
        <v>83</v>
      </c>
      <c r="AC64" s="11">
        <v>87</v>
      </c>
      <c r="AD64" s="11" t="s">
        <v>6</v>
      </c>
      <c r="AE64" s="7" t="s">
        <v>455</v>
      </c>
      <c r="AF64" s="14" t="s">
        <v>1386</v>
      </c>
    </row>
    <row r="65" spans="1:32" ht="15.75" x14ac:dyDescent="0.25">
      <c r="A65" s="1">
        <v>1093</v>
      </c>
      <c r="B65" s="2">
        <v>45977</v>
      </c>
      <c r="C65" s="1" t="s">
        <v>18</v>
      </c>
      <c r="D65" s="1" t="s">
        <v>265</v>
      </c>
      <c r="E65" s="8">
        <v>1</v>
      </c>
      <c r="F65" s="8">
        <v>12511013</v>
      </c>
      <c r="G65" s="8">
        <v>1250</v>
      </c>
      <c r="H65" s="8" t="s">
        <v>10</v>
      </c>
      <c r="I65" s="8" t="s">
        <v>273</v>
      </c>
      <c r="J65" s="16" t="s">
        <v>1387</v>
      </c>
      <c r="K65" s="16">
        <v>1569</v>
      </c>
      <c r="L65" s="4">
        <v>1546</v>
      </c>
      <c r="M65" s="4">
        <v>1547</v>
      </c>
      <c r="N65" s="5">
        <v>1547</v>
      </c>
      <c r="O65" s="5">
        <v>1544</v>
      </c>
      <c r="P65" s="30">
        <v>1546</v>
      </c>
      <c r="Q65" s="7">
        <v>5.7</v>
      </c>
      <c r="R65" s="4">
        <v>30</v>
      </c>
      <c r="S65" s="8">
        <v>34</v>
      </c>
      <c r="T65" s="9">
        <v>160</v>
      </c>
      <c r="U65" s="9">
        <v>60</v>
      </c>
      <c r="V65" s="10">
        <v>100</v>
      </c>
      <c r="W65" s="113" t="s">
        <v>5</v>
      </c>
      <c r="X65" s="7">
        <v>58</v>
      </c>
      <c r="Y65" s="12">
        <v>3.264675</v>
      </c>
      <c r="Z65" s="7">
        <v>10.4</v>
      </c>
      <c r="AA65" s="7">
        <v>10.199999999999999</v>
      </c>
      <c r="AB65" s="7">
        <v>75</v>
      </c>
      <c r="AC65" s="7">
        <v>80</v>
      </c>
      <c r="AD65" s="11" t="s">
        <v>6</v>
      </c>
      <c r="AE65" s="7" t="s">
        <v>455</v>
      </c>
      <c r="AF65" s="14" t="s">
        <v>706</v>
      </c>
    </row>
    <row r="66" spans="1:32" ht="31.5" x14ac:dyDescent="0.25">
      <c r="A66" s="1">
        <v>1112</v>
      </c>
      <c r="B66" s="2">
        <v>45977</v>
      </c>
      <c r="C66" s="1" t="s">
        <v>264</v>
      </c>
      <c r="D66" s="1" t="s">
        <v>19</v>
      </c>
      <c r="E66" s="8">
        <v>1</v>
      </c>
      <c r="F66" s="8">
        <v>12511013</v>
      </c>
      <c r="G66" s="8">
        <v>1250</v>
      </c>
      <c r="H66" s="8" t="s">
        <v>10</v>
      </c>
      <c r="I66" s="8" t="s">
        <v>146</v>
      </c>
      <c r="J66" s="16" t="s">
        <v>1388</v>
      </c>
      <c r="K66" s="99">
        <v>1567</v>
      </c>
      <c r="L66" s="4">
        <v>1541</v>
      </c>
      <c r="M66" s="5">
        <v>1540</v>
      </c>
      <c r="N66" s="5">
        <v>1541</v>
      </c>
      <c r="O66" s="5">
        <v>1542</v>
      </c>
      <c r="P66" s="30">
        <v>1541</v>
      </c>
      <c r="Q66" s="7">
        <v>5.3</v>
      </c>
      <c r="R66" s="4">
        <v>35</v>
      </c>
      <c r="S66" s="8">
        <v>8</v>
      </c>
      <c r="T66" s="9">
        <v>167.3</v>
      </c>
      <c r="U66" s="9">
        <v>60</v>
      </c>
      <c r="V66" s="10">
        <v>107.30000000000001</v>
      </c>
      <c r="W66" s="113" t="s">
        <v>5</v>
      </c>
      <c r="X66" s="7">
        <v>58</v>
      </c>
      <c r="Y66" s="12">
        <v>3.0355749999999997</v>
      </c>
      <c r="Z66" s="7">
        <v>9.3000000000000007</v>
      </c>
      <c r="AA66" s="7">
        <v>9.5</v>
      </c>
      <c r="AB66" s="13">
        <v>80</v>
      </c>
      <c r="AC66" s="13">
        <v>82</v>
      </c>
      <c r="AD66" s="11" t="s">
        <v>6</v>
      </c>
      <c r="AE66" s="7" t="s">
        <v>455</v>
      </c>
      <c r="AF66" s="14" t="s">
        <v>1389</v>
      </c>
    </row>
    <row r="67" spans="1:32" ht="15.75" x14ac:dyDescent="0.25">
      <c r="A67" s="1">
        <v>1113</v>
      </c>
      <c r="B67" s="2">
        <v>45977</v>
      </c>
      <c r="C67" s="1" t="s">
        <v>264</v>
      </c>
      <c r="D67" s="1" t="s">
        <v>19</v>
      </c>
      <c r="E67" s="8">
        <v>1</v>
      </c>
      <c r="F67" s="8">
        <v>12511013</v>
      </c>
      <c r="G67" s="8">
        <v>1250</v>
      </c>
      <c r="H67" s="8" t="s">
        <v>10</v>
      </c>
      <c r="I67" s="8" t="s">
        <v>504</v>
      </c>
      <c r="J67" s="16" t="s">
        <v>1390</v>
      </c>
      <c r="K67" s="4">
        <v>1565</v>
      </c>
      <c r="L67" s="4">
        <v>1545</v>
      </c>
      <c r="M67" s="5">
        <v>1544</v>
      </c>
      <c r="N67" s="5">
        <v>1544</v>
      </c>
      <c r="O67" s="5">
        <v>1544</v>
      </c>
      <c r="P67" s="30">
        <v>1544.25</v>
      </c>
      <c r="Q67" s="7">
        <v>5.6</v>
      </c>
      <c r="R67" s="4">
        <v>34</v>
      </c>
      <c r="S67" s="8" t="s">
        <v>5</v>
      </c>
      <c r="T67" s="8">
        <v>164</v>
      </c>
      <c r="U67" s="8">
        <v>60</v>
      </c>
      <c r="V67" s="10">
        <v>104</v>
      </c>
      <c r="W67" s="113" t="s">
        <v>5</v>
      </c>
      <c r="X67" s="7">
        <v>58</v>
      </c>
      <c r="Y67" s="12">
        <v>3.2073999999999998</v>
      </c>
      <c r="Z67" s="7">
        <v>5.0999999999999996</v>
      </c>
      <c r="AA67" s="7">
        <v>7.5</v>
      </c>
      <c r="AB67" s="13">
        <v>53</v>
      </c>
      <c r="AC67" s="13">
        <v>68</v>
      </c>
      <c r="AD67" s="11" t="s">
        <v>6</v>
      </c>
      <c r="AE67" s="7" t="s">
        <v>455</v>
      </c>
      <c r="AF67" s="14" t="s">
        <v>706</v>
      </c>
    </row>
    <row r="68" spans="1:32" ht="47.25" x14ac:dyDescent="0.25">
      <c r="A68" s="1">
        <v>1114</v>
      </c>
      <c r="B68" s="2">
        <v>45977</v>
      </c>
      <c r="C68" s="1" t="s">
        <v>264</v>
      </c>
      <c r="D68" s="1" t="s">
        <v>19</v>
      </c>
      <c r="E68" s="8">
        <v>1</v>
      </c>
      <c r="F68" s="8">
        <v>12511013</v>
      </c>
      <c r="G68" s="8">
        <v>1250</v>
      </c>
      <c r="H68" s="8" t="s">
        <v>10</v>
      </c>
      <c r="I68" s="8" t="s">
        <v>296</v>
      </c>
      <c r="J68" s="114" t="s">
        <v>1391</v>
      </c>
      <c r="K68" s="4">
        <v>1567</v>
      </c>
      <c r="L68" s="4">
        <v>1545</v>
      </c>
      <c r="M68" s="5">
        <v>1545</v>
      </c>
      <c r="N68" s="5">
        <v>1544</v>
      </c>
      <c r="O68" s="5">
        <v>1544</v>
      </c>
      <c r="P68" s="30">
        <v>1544.5</v>
      </c>
      <c r="Q68" s="7">
        <v>4</v>
      </c>
      <c r="R68" s="4">
        <v>45</v>
      </c>
      <c r="S68" s="8" t="s">
        <v>5</v>
      </c>
      <c r="T68" s="9">
        <v>163</v>
      </c>
      <c r="U68" s="9">
        <v>58</v>
      </c>
      <c r="V68" s="10">
        <v>105</v>
      </c>
      <c r="W68" s="113" t="s">
        <v>5</v>
      </c>
      <c r="X68" s="7">
        <v>57</v>
      </c>
      <c r="Y68" s="12">
        <v>2.2515000000000001</v>
      </c>
      <c r="Z68" s="7">
        <v>6.6</v>
      </c>
      <c r="AA68" s="7">
        <v>6.5</v>
      </c>
      <c r="AB68" s="13">
        <v>80</v>
      </c>
      <c r="AC68" s="13">
        <v>87</v>
      </c>
      <c r="AD68" s="11" t="s">
        <v>1339</v>
      </c>
      <c r="AE68" s="7" t="s">
        <v>455</v>
      </c>
      <c r="AF68" s="14" t="s">
        <v>1392</v>
      </c>
    </row>
    <row r="69" spans="1:32" ht="31.5" x14ac:dyDescent="0.25">
      <c r="A69" s="1">
        <v>1115</v>
      </c>
      <c r="B69" s="2">
        <v>45977</v>
      </c>
      <c r="C69" s="1" t="s">
        <v>264</v>
      </c>
      <c r="D69" s="1" t="s">
        <v>19</v>
      </c>
      <c r="E69" s="8">
        <v>1</v>
      </c>
      <c r="F69" s="8">
        <v>12511013</v>
      </c>
      <c r="G69" s="8">
        <v>1250</v>
      </c>
      <c r="H69" s="8" t="s">
        <v>10</v>
      </c>
      <c r="I69" s="8" t="s">
        <v>162</v>
      </c>
      <c r="J69" s="16" t="s">
        <v>1393</v>
      </c>
      <c r="K69" s="4">
        <v>1567</v>
      </c>
      <c r="L69" s="4">
        <v>1541</v>
      </c>
      <c r="M69" s="5">
        <v>1539</v>
      </c>
      <c r="N69" s="5">
        <v>1537</v>
      </c>
      <c r="O69" s="5">
        <v>1537</v>
      </c>
      <c r="P69" s="30">
        <v>1538.5</v>
      </c>
      <c r="Q69" s="7">
        <v>4.21</v>
      </c>
      <c r="R69" s="4">
        <v>35</v>
      </c>
      <c r="S69" s="8" t="s">
        <v>5</v>
      </c>
      <c r="T69" s="9">
        <v>166.4</v>
      </c>
      <c r="U69" s="9">
        <v>66</v>
      </c>
      <c r="V69" s="10">
        <v>100.4</v>
      </c>
      <c r="W69" s="113" t="s">
        <v>5</v>
      </c>
      <c r="X69" s="7">
        <v>57</v>
      </c>
      <c r="Y69" s="12">
        <v>2.3697037500000002</v>
      </c>
      <c r="Z69" s="7">
        <v>7.9</v>
      </c>
      <c r="AA69" s="7">
        <v>8.3000000000000007</v>
      </c>
      <c r="AB69" s="13">
        <v>67</v>
      </c>
      <c r="AC69" s="13">
        <v>78</v>
      </c>
      <c r="AD69" s="11" t="s">
        <v>6</v>
      </c>
      <c r="AE69" s="7" t="s">
        <v>455</v>
      </c>
      <c r="AF69" s="14" t="s">
        <v>1394</v>
      </c>
    </row>
    <row r="70" spans="1:32" ht="31.5" x14ac:dyDescent="0.25">
      <c r="A70" s="1">
        <v>1168</v>
      </c>
      <c r="B70" s="2">
        <v>45978</v>
      </c>
      <c r="C70" s="1" t="s">
        <v>18</v>
      </c>
      <c r="D70" s="1" t="s">
        <v>265</v>
      </c>
      <c r="E70" s="8">
        <v>1</v>
      </c>
      <c r="F70" s="8">
        <v>12511014</v>
      </c>
      <c r="G70" s="8">
        <v>1260</v>
      </c>
      <c r="H70" s="8" t="s">
        <v>10</v>
      </c>
      <c r="I70" s="8" t="s">
        <v>331</v>
      </c>
      <c r="J70" s="8" t="s">
        <v>1395</v>
      </c>
      <c r="K70" s="8">
        <v>1568</v>
      </c>
      <c r="L70" s="8">
        <v>1541</v>
      </c>
      <c r="M70" s="8">
        <v>1541</v>
      </c>
      <c r="N70" s="8">
        <v>1541</v>
      </c>
      <c r="O70" s="8">
        <v>1540</v>
      </c>
      <c r="P70" s="30">
        <v>1540.75</v>
      </c>
      <c r="Q70" s="8">
        <v>5</v>
      </c>
      <c r="R70" s="8">
        <v>31</v>
      </c>
      <c r="S70" s="8" t="s">
        <v>5</v>
      </c>
      <c r="T70" s="9">
        <v>156</v>
      </c>
      <c r="U70" s="9">
        <v>60</v>
      </c>
      <c r="V70" s="10">
        <v>96</v>
      </c>
      <c r="W70" s="113" t="s">
        <v>5</v>
      </c>
      <c r="X70" s="7">
        <v>58</v>
      </c>
      <c r="Y70" s="12">
        <v>2.8866600000000004</v>
      </c>
      <c r="Z70" s="7">
        <v>8.9</v>
      </c>
      <c r="AA70" s="7">
        <v>8.9</v>
      </c>
      <c r="AB70" s="13">
        <v>86</v>
      </c>
      <c r="AC70" s="13">
        <v>90</v>
      </c>
      <c r="AD70" s="11" t="s">
        <v>6</v>
      </c>
      <c r="AE70" s="7" t="s">
        <v>455</v>
      </c>
      <c r="AF70" s="14" t="s">
        <v>1396</v>
      </c>
    </row>
    <row r="71" spans="1:32" ht="15.75" x14ac:dyDescent="0.25">
      <c r="A71" s="1">
        <v>1189</v>
      </c>
      <c r="B71" s="2">
        <v>45978</v>
      </c>
      <c r="C71" s="1" t="s">
        <v>264</v>
      </c>
      <c r="D71" s="1" t="s">
        <v>19</v>
      </c>
      <c r="E71" s="8">
        <v>1</v>
      </c>
      <c r="F71" s="8">
        <v>12511014</v>
      </c>
      <c r="G71" s="8">
        <v>1260</v>
      </c>
      <c r="H71" s="8" t="s">
        <v>55</v>
      </c>
      <c r="I71" s="8" t="s">
        <v>129</v>
      </c>
      <c r="J71" s="16" t="s">
        <v>1397</v>
      </c>
      <c r="K71" s="99">
        <v>1565</v>
      </c>
      <c r="L71" s="4">
        <v>1549</v>
      </c>
      <c r="M71" s="5">
        <v>1548</v>
      </c>
      <c r="N71" s="5">
        <v>1548</v>
      </c>
      <c r="O71" s="5" t="s">
        <v>5</v>
      </c>
      <c r="P71" s="30">
        <v>1548.3333333333333</v>
      </c>
      <c r="Q71" s="7">
        <v>5.7</v>
      </c>
      <c r="R71" s="4">
        <v>28</v>
      </c>
      <c r="S71" s="8">
        <v>37</v>
      </c>
      <c r="T71" s="9">
        <v>160</v>
      </c>
      <c r="U71" s="9">
        <v>60</v>
      </c>
      <c r="V71" s="10">
        <v>100</v>
      </c>
      <c r="W71" s="113" t="s">
        <v>5</v>
      </c>
      <c r="X71" s="7">
        <v>58</v>
      </c>
      <c r="Y71" s="12">
        <v>3.2907924000000004</v>
      </c>
      <c r="Z71" s="7">
        <v>9.6</v>
      </c>
      <c r="AA71" s="7">
        <v>9.6</v>
      </c>
      <c r="AB71" s="13">
        <v>89</v>
      </c>
      <c r="AC71" s="13">
        <v>89</v>
      </c>
      <c r="AD71" s="11" t="s">
        <v>6</v>
      </c>
      <c r="AE71" s="7" t="s">
        <v>455</v>
      </c>
      <c r="AF71" s="14" t="s">
        <v>480</v>
      </c>
    </row>
    <row r="72" spans="1:32" ht="15.75" x14ac:dyDescent="0.25">
      <c r="A72" s="1">
        <v>1190</v>
      </c>
      <c r="B72" s="2">
        <v>45978</v>
      </c>
      <c r="C72" s="1" t="s">
        <v>264</v>
      </c>
      <c r="D72" s="1" t="s">
        <v>19</v>
      </c>
      <c r="E72" s="8">
        <v>1</v>
      </c>
      <c r="F72" s="8">
        <v>12511014</v>
      </c>
      <c r="G72" s="8">
        <v>1260</v>
      </c>
      <c r="H72" s="8" t="s">
        <v>55</v>
      </c>
      <c r="I72" s="8" t="s">
        <v>277</v>
      </c>
      <c r="J72" s="16" t="s">
        <v>1398</v>
      </c>
      <c r="K72" s="99">
        <v>1565</v>
      </c>
      <c r="L72" s="4">
        <v>1544</v>
      </c>
      <c r="M72" s="5">
        <v>1544</v>
      </c>
      <c r="N72" s="5">
        <v>1543</v>
      </c>
      <c r="O72" s="5" t="s">
        <v>5</v>
      </c>
      <c r="P72" s="30">
        <v>1543.6666666666667</v>
      </c>
      <c r="Q72" s="7">
        <v>5.2</v>
      </c>
      <c r="R72" s="4">
        <v>31</v>
      </c>
      <c r="S72" s="8" t="s">
        <v>5</v>
      </c>
      <c r="T72" s="9">
        <v>159</v>
      </c>
      <c r="U72" s="9">
        <v>59</v>
      </c>
      <c r="V72" s="10">
        <v>100</v>
      </c>
      <c r="W72" s="113" t="s">
        <v>5</v>
      </c>
      <c r="X72" s="7">
        <v>58</v>
      </c>
      <c r="Y72" s="12">
        <v>3.0021264000000003</v>
      </c>
      <c r="Z72" s="7">
        <v>10.3</v>
      </c>
      <c r="AA72" s="7">
        <v>10.6</v>
      </c>
      <c r="AB72" s="13">
        <v>85</v>
      </c>
      <c r="AC72" s="13">
        <v>94</v>
      </c>
      <c r="AD72" s="11" t="s">
        <v>747</v>
      </c>
      <c r="AE72" s="7" t="s">
        <v>455</v>
      </c>
      <c r="AF72" s="14" t="s">
        <v>1399</v>
      </c>
    </row>
    <row r="73" spans="1:32" ht="31.5" x14ac:dyDescent="0.25">
      <c r="A73" s="1">
        <v>1192</v>
      </c>
      <c r="B73" s="2">
        <v>45978</v>
      </c>
      <c r="C73" s="1" t="s">
        <v>264</v>
      </c>
      <c r="D73" s="1" t="s">
        <v>19</v>
      </c>
      <c r="E73" s="8">
        <v>1</v>
      </c>
      <c r="F73" s="8">
        <v>12511014</v>
      </c>
      <c r="G73" s="8">
        <v>1260</v>
      </c>
      <c r="H73" s="8" t="s">
        <v>55</v>
      </c>
      <c r="I73" s="8" t="s">
        <v>303</v>
      </c>
      <c r="J73" s="16" t="s">
        <v>1400</v>
      </c>
      <c r="K73" s="99">
        <v>1567</v>
      </c>
      <c r="L73" s="4">
        <v>1547</v>
      </c>
      <c r="M73" s="5">
        <v>1546</v>
      </c>
      <c r="N73" s="5">
        <v>1546</v>
      </c>
      <c r="O73" s="5" t="s">
        <v>5</v>
      </c>
      <c r="P73" s="30">
        <v>1546.3333333333333</v>
      </c>
      <c r="Q73" s="7">
        <v>5.4</v>
      </c>
      <c r="R73" s="4">
        <v>35</v>
      </c>
      <c r="S73" s="8">
        <v>23</v>
      </c>
      <c r="T73" s="9">
        <v>164.6</v>
      </c>
      <c r="U73" s="9">
        <v>60.6</v>
      </c>
      <c r="V73" s="10">
        <v>104</v>
      </c>
      <c r="W73" s="113" t="s">
        <v>5</v>
      </c>
      <c r="X73" s="7">
        <v>58</v>
      </c>
      <c r="Y73" s="12">
        <v>3.1175928000000006</v>
      </c>
      <c r="Z73" s="7">
        <v>10</v>
      </c>
      <c r="AA73" s="7">
        <v>10.4</v>
      </c>
      <c r="AB73" s="13">
        <v>81</v>
      </c>
      <c r="AC73" s="13">
        <v>84</v>
      </c>
      <c r="AD73" s="11" t="s">
        <v>6</v>
      </c>
      <c r="AE73" s="7" t="s">
        <v>455</v>
      </c>
      <c r="AF73" s="14" t="s">
        <v>1401</v>
      </c>
    </row>
    <row r="74" spans="1:32" ht="31.5" x14ac:dyDescent="0.25">
      <c r="A74" s="1">
        <v>1226</v>
      </c>
      <c r="B74" s="2">
        <v>45978</v>
      </c>
      <c r="C74" s="1" t="s">
        <v>0</v>
      </c>
      <c r="D74" s="1" t="s">
        <v>9</v>
      </c>
      <c r="E74" s="8">
        <v>1</v>
      </c>
      <c r="F74" s="8">
        <v>12511015</v>
      </c>
      <c r="G74" s="8">
        <v>1230</v>
      </c>
      <c r="H74" s="8" t="s">
        <v>10</v>
      </c>
      <c r="I74" s="99" t="s">
        <v>98</v>
      </c>
      <c r="J74" s="2" t="s">
        <v>1402</v>
      </c>
      <c r="K74" s="4">
        <v>1600</v>
      </c>
      <c r="L74" s="5">
        <v>1570</v>
      </c>
      <c r="M74" s="5">
        <v>1567</v>
      </c>
      <c r="N74" s="5">
        <v>1565</v>
      </c>
      <c r="O74" s="5">
        <v>1565</v>
      </c>
      <c r="P74" s="30">
        <v>1566.75</v>
      </c>
      <c r="Q74" s="7">
        <v>3.5</v>
      </c>
      <c r="R74" s="4">
        <v>43</v>
      </c>
      <c r="S74" s="8" t="s">
        <v>5</v>
      </c>
      <c r="T74" s="9">
        <v>158.56</v>
      </c>
      <c r="U74" s="9">
        <v>60.2</v>
      </c>
      <c r="V74" s="10">
        <v>98.36</v>
      </c>
      <c r="W74" s="113" t="s">
        <v>100</v>
      </c>
      <c r="X74" s="7">
        <v>58</v>
      </c>
      <c r="Y74" s="12">
        <v>1.9725510000000002</v>
      </c>
      <c r="Z74" s="7">
        <v>7.2</v>
      </c>
      <c r="AA74" s="7">
        <v>8.5</v>
      </c>
      <c r="AB74" s="13">
        <v>64</v>
      </c>
      <c r="AC74" s="13">
        <v>73</v>
      </c>
      <c r="AD74" s="11" t="s">
        <v>6</v>
      </c>
      <c r="AE74" s="40" t="s">
        <v>1403</v>
      </c>
      <c r="AF74" s="14" t="s">
        <v>1404</v>
      </c>
    </row>
    <row r="75" spans="1:32" ht="31.5" x14ac:dyDescent="0.25">
      <c r="A75" s="1">
        <v>1251</v>
      </c>
      <c r="B75" s="2">
        <v>45979</v>
      </c>
      <c r="C75" s="1" t="s">
        <v>18</v>
      </c>
      <c r="D75" s="1" t="s">
        <v>265</v>
      </c>
      <c r="E75" s="8">
        <v>1</v>
      </c>
      <c r="F75" s="8">
        <v>12511015</v>
      </c>
      <c r="G75" s="8">
        <v>1230</v>
      </c>
      <c r="H75" s="8" t="s">
        <v>10</v>
      </c>
      <c r="I75" s="8" t="s">
        <v>229</v>
      </c>
      <c r="J75" s="8" t="s">
        <v>1405</v>
      </c>
      <c r="K75" s="8">
        <v>1570</v>
      </c>
      <c r="L75" s="8">
        <v>1550</v>
      </c>
      <c r="M75" s="8">
        <v>1550</v>
      </c>
      <c r="N75" s="8">
        <v>1550</v>
      </c>
      <c r="O75" s="8">
        <v>1550</v>
      </c>
      <c r="P75" s="30">
        <v>1550</v>
      </c>
      <c r="Q75" s="8">
        <v>4.8</v>
      </c>
      <c r="R75" s="8">
        <v>38</v>
      </c>
      <c r="S75" s="8" t="s">
        <v>5</v>
      </c>
      <c r="T75" s="9">
        <v>166</v>
      </c>
      <c r="U75" s="9">
        <v>63</v>
      </c>
      <c r="V75" s="10">
        <v>103</v>
      </c>
      <c r="W75" s="113" t="s">
        <v>5</v>
      </c>
      <c r="X75" s="7">
        <v>58</v>
      </c>
      <c r="Y75" s="12">
        <v>2.7052128</v>
      </c>
      <c r="Z75" s="7">
        <v>7.1</v>
      </c>
      <c r="AA75" s="7">
        <v>7.7</v>
      </c>
      <c r="AB75" s="13">
        <v>64</v>
      </c>
      <c r="AC75" s="13">
        <v>69</v>
      </c>
      <c r="AD75" s="11" t="s">
        <v>6</v>
      </c>
      <c r="AE75" s="7" t="s">
        <v>455</v>
      </c>
      <c r="AF75" s="14" t="s">
        <v>1406</v>
      </c>
    </row>
    <row r="76" spans="1:32" ht="31.5" x14ac:dyDescent="0.25">
      <c r="A76" s="1">
        <v>1256</v>
      </c>
      <c r="B76" s="2">
        <v>45979</v>
      </c>
      <c r="C76" s="1" t="s">
        <v>18</v>
      </c>
      <c r="D76" s="1" t="s">
        <v>265</v>
      </c>
      <c r="E76" s="8">
        <v>1</v>
      </c>
      <c r="F76" s="8">
        <v>12511015</v>
      </c>
      <c r="G76" s="8">
        <v>1230</v>
      </c>
      <c r="H76" s="8" t="s">
        <v>10</v>
      </c>
      <c r="I76" s="8" t="s">
        <v>103</v>
      </c>
      <c r="J76" s="8" t="s">
        <v>1407</v>
      </c>
      <c r="K76" s="8">
        <v>1565</v>
      </c>
      <c r="L76" s="8">
        <v>1548</v>
      </c>
      <c r="M76" s="8">
        <v>1546</v>
      </c>
      <c r="N76" s="8">
        <v>1544</v>
      </c>
      <c r="O76" s="8" t="s">
        <v>5</v>
      </c>
      <c r="P76" s="30">
        <v>1546</v>
      </c>
      <c r="Q76" s="8">
        <v>5.3</v>
      </c>
      <c r="R76" s="8">
        <v>28</v>
      </c>
      <c r="S76" s="8" t="s">
        <v>5</v>
      </c>
      <c r="T76" s="9">
        <v>145</v>
      </c>
      <c r="U76" s="9">
        <v>57</v>
      </c>
      <c r="V76" s="10">
        <v>88</v>
      </c>
      <c r="W76" s="113" t="s">
        <v>5</v>
      </c>
      <c r="X76" s="7">
        <v>58</v>
      </c>
      <c r="Y76" s="12">
        <v>2.9870057999999999</v>
      </c>
      <c r="Z76" s="7">
        <v>7.4</v>
      </c>
      <c r="AA76" s="7">
        <v>8.1</v>
      </c>
      <c r="AB76" s="13">
        <v>66</v>
      </c>
      <c r="AC76" s="13">
        <v>71</v>
      </c>
      <c r="AD76" s="11" t="s">
        <v>6</v>
      </c>
      <c r="AE76" s="7" t="s">
        <v>455</v>
      </c>
      <c r="AF76" s="14" t="s">
        <v>1408</v>
      </c>
    </row>
    <row r="77" spans="1:32" ht="15.75" x14ac:dyDescent="0.25">
      <c r="A77" s="1">
        <v>1265</v>
      </c>
      <c r="B77" s="2">
        <v>45979</v>
      </c>
      <c r="C77" s="1" t="s">
        <v>18</v>
      </c>
      <c r="D77" s="1" t="s">
        <v>265</v>
      </c>
      <c r="E77" s="8">
        <v>2</v>
      </c>
      <c r="F77" s="8">
        <v>22511018</v>
      </c>
      <c r="G77" s="8">
        <v>1230</v>
      </c>
      <c r="H77" s="8" t="s">
        <v>10</v>
      </c>
      <c r="I77" s="8" t="s">
        <v>98</v>
      </c>
      <c r="J77" s="16" t="s">
        <v>1409</v>
      </c>
      <c r="K77" s="16">
        <v>1594</v>
      </c>
      <c r="L77" s="4">
        <v>1567</v>
      </c>
      <c r="M77" s="4">
        <v>1563</v>
      </c>
      <c r="N77" s="5">
        <v>1564</v>
      </c>
      <c r="O77" s="5">
        <v>1567</v>
      </c>
      <c r="P77" s="30">
        <v>1565.25</v>
      </c>
      <c r="Q77" s="7">
        <v>3.6</v>
      </c>
      <c r="R77" s="4">
        <v>39</v>
      </c>
      <c r="S77" s="8">
        <v>38</v>
      </c>
      <c r="T77" s="9" t="s">
        <v>5</v>
      </c>
      <c r="U77" s="9" t="s">
        <v>5</v>
      </c>
      <c r="V77" s="9" t="s">
        <v>5</v>
      </c>
      <c r="W77" s="113" t="s">
        <v>100</v>
      </c>
      <c r="X77" s="7">
        <v>58</v>
      </c>
      <c r="Y77" s="12">
        <v>2.0289096</v>
      </c>
      <c r="Z77" s="7">
        <v>10</v>
      </c>
      <c r="AA77" s="7">
        <v>8.6999999999999993</v>
      </c>
      <c r="AB77" s="13">
        <v>82</v>
      </c>
      <c r="AC77" s="13">
        <v>72</v>
      </c>
      <c r="AD77" s="11" t="s">
        <v>6</v>
      </c>
      <c r="AE77" s="7" t="s">
        <v>53</v>
      </c>
      <c r="AF77" s="14" t="s">
        <v>397</v>
      </c>
    </row>
    <row r="78" spans="1:32" ht="31.5" x14ac:dyDescent="0.25">
      <c r="A78" s="1">
        <v>1283</v>
      </c>
      <c r="B78" s="2">
        <v>45979</v>
      </c>
      <c r="C78" s="1" t="s">
        <v>264</v>
      </c>
      <c r="D78" s="1" t="s">
        <v>19</v>
      </c>
      <c r="E78" s="8">
        <v>1</v>
      </c>
      <c r="F78" s="8">
        <v>12511015</v>
      </c>
      <c r="G78" s="8">
        <v>1250</v>
      </c>
      <c r="H78" s="8" t="s">
        <v>55</v>
      </c>
      <c r="I78" s="8" t="s">
        <v>15</v>
      </c>
      <c r="J78" s="16" t="s">
        <v>1410</v>
      </c>
      <c r="K78" s="4">
        <v>1568</v>
      </c>
      <c r="L78" s="4">
        <v>1542</v>
      </c>
      <c r="M78" s="5">
        <v>1543</v>
      </c>
      <c r="N78" s="5">
        <v>1544</v>
      </c>
      <c r="O78" s="5"/>
      <c r="P78" s="30">
        <v>1543</v>
      </c>
      <c r="Q78" s="7">
        <v>5.2</v>
      </c>
      <c r="R78" s="4">
        <v>36</v>
      </c>
      <c r="S78" s="8"/>
      <c r="T78" s="9">
        <v>169</v>
      </c>
      <c r="U78" s="9">
        <v>60</v>
      </c>
      <c r="V78" s="10">
        <v>109</v>
      </c>
      <c r="W78" s="113" t="s">
        <v>5</v>
      </c>
      <c r="X78" s="7">
        <v>58</v>
      </c>
      <c r="Y78" s="12">
        <v>2.9782999999999999</v>
      </c>
      <c r="Z78" s="7">
        <v>9.1999999999999993</v>
      </c>
      <c r="AA78" s="7">
        <v>9.6</v>
      </c>
      <c r="AB78" s="13">
        <v>83</v>
      </c>
      <c r="AC78" s="13">
        <v>86</v>
      </c>
      <c r="AD78" s="11" t="s">
        <v>6</v>
      </c>
      <c r="AE78" s="7" t="s">
        <v>455</v>
      </c>
      <c r="AF78" s="14" t="s">
        <v>1411</v>
      </c>
    </row>
    <row r="79" spans="1:32" ht="15.75" x14ac:dyDescent="0.25">
      <c r="A79" s="1">
        <v>1305</v>
      </c>
      <c r="B79" s="2">
        <v>45979</v>
      </c>
      <c r="C79" s="1" t="s">
        <v>0</v>
      </c>
      <c r="D79" s="1" t="s">
        <v>9</v>
      </c>
      <c r="E79" s="8">
        <v>1</v>
      </c>
      <c r="F79" s="8">
        <v>12511015</v>
      </c>
      <c r="G79" s="8">
        <v>1250</v>
      </c>
      <c r="H79" s="8" t="s">
        <v>1095</v>
      </c>
      <c r="I79" s="8" t="s">
        <v>138</v>
      </c>
      <c r="J79" s="2" t="s">
        <v>1412</v>
      </c>
      <c r="K79" s="4">
        <v>1565</v>
      </c>
      <c r="L79" s="5">
        <v>1541</v>
      </c>
      <c r="M79" s="5">
        <v>1542</v>
      </c>
      <c r="N79" s="5">
        <v>1541</v>
      </c>
      <c r="O79" s="5">
        <v>1541</v>
      </c>
      <c r="P79" s="30">
        <v>1541.25</v>
      </c>
      <c r="Q79" s="7">
        <v>4.3</v>
      </c>
      <c r="R79" s="4">
        <v>42</v>
      </c>
      <c r="S79" s="8" t="s">
        <v>5</v>
      </c>
      <c r="T79" s="9">
        <v>168</v>
      </c>
      <c r="U79" s="9">
        <v>61</v>
      </c>
      <c r="V79" s="10">
        <v>107</v>
      </c>
      <c r="W79" s="113" t="s">
        <v>5</v>
      </c>
      <c r="X79" s="7">
        <v>58</v>
      </c>
      <c r="Y79" s="12">
        <v>2.4628249999999996</v>
      </c>
      <c r="Z79" s="7">
        <v>8.8000000000000007</v>
      </c>
      <c r="AA79" s="7">
        <v>8.8000000000000007</v>
      </c>
      <c r="AB79" s="13">
        <v>82</v>
      </c>
      <c r="AC79" s="13">
        <v>83</v>
      </c>
      <c r="AD79" s="11" t="s">
        <v>6</v>
      </c>
      <c r="AE79" s="40" t="s">
        <v>455</v>
      </c>
      <c r="AF79" s="14" t="s">
        <v>1413</v>
      </c>
    </row>
    <row r="80" spans="1:32" ht="31.5" x14ac:dyDescent="0.25">
      <c r="A80" s="1">
        <v>1306</v>
      </c>
      <c r="B80" s="2">
        <v>45979</v>
      </c>
      <c r="C80" s="1" t="s">
        <v>0</v>
      </c>
      <c r="D80" s="1" t="s">
        <v>9</v>
      </c>
      <c r="E80" s="8">
        <v>1</v>
      </c>
      <c r="F80" s="8">
        <v>12511015</v>
      </c>
      <c r="G80" s="8">
        <v>1250</v>
      </c>
      <c r="H80" s="8" t="s">
        <v>1095</v>
      </c>
      <c r="I80" s="8" t="s">
        <v>59</v>
      </c>
      <c r="J80" s="2" t="s">
        <v>1414</v>
      </c>
      <c r="K80" s="4">
        <v>1568</v>
      </c>
      <c r="L80" s="5">
        <v>1543</v>
      </c>
      <c r="M80" s="5">
        <v>1543</v>
      </c>
      <c r="N80" s="5">
        <v>1543</v>
      </c>
      <c r="O80" s="5">
        <v>1543</v>
      </c>
      <c r="P80" s="30">
        <v>1543</v>
      </c>
      <c r="Q80" s="7">
        <v>5.2</v>
      </c>
      <c r="R80" s="4">
        <v>35</v>
      </c>
      <c r="S80" s="8" t="s">
        <v>5</v>
      </c>
      <c r="T80" s="9">
        <v>158</v>
      </c>
      <c r="U80" s="9">
        <v>59</v>
      </c>
      <c r="V80" s="10">
        <v>99</v>
      </c>
      <c r="W80" s="113" t="s">
        <v>5</v>
      </c>
      <c r="X80" s="7">
        <v>58</v>
      </c>
      <c r="Y80" s="12">
        <v>2.9782999999999999</v>
      </c>
      <c r="Z80" s="7">
        <v>9.4</v>
      </c>
      <c r="AA80" s="7">
        <v>10.4</v>
      </c>
      <c r="AB80" s="13">
        <v>77</v>
      </c>
      <c r="AC80" s="13">
        <v>87</v>
      </c>
      <c r="AD80" s="11" t="s">
        <v>6</v>
      </c>
      <c r="AE80" s="40" t="s">
        <v>455</v>
      </c>
      <c r="AF80" s="14" t="s">
        <v>757</v>
      </c>
    </row>
    <row r="81" spans="1:32" ht="31.5" x14ac:dyDescent="0.25">
      <c r="A81" s="1">
        <v>1308</v>
      </c>
      <c r="B81" s="2">
        <v>45979</v>
      </c>
      <c r="C81" s="1" t="s">
        <v>0</v>
      </c>
      <c r="D81" s="1" t="s">
        <v>9</v>
      </c>
      <c r="E81" s="8">
        <v>1</v>
      </c>
      <c r="F81" s="8">
        <v>12511015</v>
      </c>
      <c r="G81" s="8">
        <v>1250</v>
      </c>
      <c r="H81" s="8" t="s">
        <v>1095</v>
      </c>
      <c r="I81" s="8" t="s">
        <v>346</v>
      </c>
      <c r="J81" s="2" t="s">
        <v>1415</v>
      </c>
      <c r="K81" s="4">
        <v>1566</v>
      </c>
      <c r="L81" s="5">
        <v>1546</v>
      </c>
      <c r="M81" s="5">
        <v>1546</v>
      </c>
      <c r="N81" s="5">
        <v>1544</v>
      </c>
      <c r="O81" s="5">
        <v>1538</v>
      </c>
      <c r="P81" s="30">
        <v>1543.5</v>
      </c>
      <c r="Q81" s="7">
        <v>5.2</v>
      </c>
      <c r="R81" s="4">
        <v>34</v>
      </c>
      <c r="S81" s="8" t="s">
        <v>5</v>
      </c>
      <c r="T81" s="9">
        <v>166</v>
      </c>
      <c r="U81" s="9">
        <v>61</v>
      </c>
      <c r="V81" s="10">
        <v>105</v>
      </c>
      <c r="W81" s="113" t="s">
        <v>5</v>
      </c>
      <c r="X81" s="7">
        <v>58</v>
      </c>
      <c r="Y81" s="12">
        <v>2.9782999999999999</v>
      </c>
      <c r="Z81" s="7">
        <v>8.8000000000000007</v>
      </c>
      <c r="AA81" s="7">
        <v>9.5</v>
      </c>
      <c r="AB81" s="13">
        <v>80</v>
      </c>
      <c r="AC81" s="13">
        <v>87</v>
      </c>
      <c r="AD81" s="11" t="s">
        <v>6</v>
      </c>
      <c r="AE81" s="40" t="s">
        <v>455</v>
      </c>
      <c r="AF81" s="14" t="s">
        <v>1416</v>
      </c>
    </row>
    <row r="82" spans="1:32" ht="15.75" x14ac:dyDescent="0.25">
      <c r="A82" s="1">
        <v>1309</v>
      </c>
      <c r="B82" s="2">
        <v>45979</v>
      </c>
      <c r="C82" s="1" t="s">
        <v>0</v>
      </c>
      <c r="D82" s="1" t="s">
        <v>9</v>
      </c>
      <c r="E82" s="8">
        <v>1</v>
      </c>
      <c r="F82" s="8">
        <v>12511015</v>
      </c>
      <c r="G82" s="8">
        <v>1250</v>
      </c>
      <c r="H82" s="8" t="s">
        <v>1095</v>
      </c>
      <c r="I82" s="8" t="s">
        <v>240</v>
      </c>
      <c r="J82" s="2" t="s">
        <v>1417</v>
      </c>
      <c r="K82" s="16">
        <v>1566</v>
      </c>
      <c r="L82" s="4">
        <v>1544</v>
      </c>
      <c r="M82" s="5">
        <v>1544</v>
      </c>
      <c r="N82" s="5">
        <v>1543</v>
      </c>
      <c r="O82" s="5">
        <v>1537</v>
      </c>
      <c r="P82" s="30">
        <v>1542</v>
      </c>
      <c r="Q82" s="7">
        <v>3.9</v>
      </c>
      <c r="R82" s="4">
        <v>47</v>
      </c>
      <c r="S82" s="8" t="s">
        <v>5</v>
      </c>
      <c r="T82" s="8">
        <v>166</v>
      </c>
      <c r="U82" s="8">
        <v>59</v>
      </c>
      <c r="V82" s="10">
        <v>107</v>
      </c>
      <c r="W82" s="113" t="s">
        <v>5</v>
      </c>
      <c r="X82" s="7">
        <v>58</v>
      </c>
      <c r="Y82" s="12">
        <v>2.2337249999999997</v>
      </c>
      <c r="Z82" s="7">
        <v>7.9</v>
      </c>
      <c r="AA82" s="7">
        <v>9.5</v>
      </c>
      <c r="AB82" s="13">
        <v>76</v>
      </c>
      <c r="AC82" s="13">
        <v>93</v>
      </c>
      <c r="AD82" s="11" t="s">
        <v>6</v>
      </c>
      <c r="AE82" s="40" t="s">
        <v>455</v>
      </c>
      <c r="AF82" s="14" t="s">
        <v>444</v>
      </c>
    </row>
    <row r="83" spans="1:32" ht="31.5" x14ac:dyDescent="0.25">
      <c r="A83" s="1">
        <v>1311</v>
      </c>
      <c r="B83" s="2">
        <v>45979</v>
      </c>
      <c r="C83" s="1" t="s">
        <v>0</v>
      </c>
      <c r="D83" s="1" t="s">
        <v>9</v>
      </c>
      <c r="E83" s="8">
        <v>1</v>
      </c>
      <c r="F83" s="8">
        <v>12511015</v>
      </c>
      <c r="G83" s="8">
        <v>1260</v>
      </c>
      <c r="H83" s="8" t="s">
        <v>1363</v>
      </c>
      <c r="I83" s="8" t="s">
        <v>458</v>
      </c>
      <c r="J83" s="2" t="s">
        <v>1418</v>
      </c>
      <c r="K83" s="4">
        <v>1569</v>
      </c>
      <c r="L83" s="5">
        <v>1544</v>
      </c>
      <c r="M83" s="5">
        <v>1543</v>
      </c>
      <c r="N83" s="5">
        <v>1543</v>
      </c>
      <c r="O83" s="5">
        <v>1540</v>
      </c>
      <c r="P83" s="30">
        <v>1542.5</v>
      </c>
      <c r="Q83" s="7">
        <v>5.2</v>
      </c>
      <c r="R83" s="4">
        <v>34</v>
      </c>
      <c r="S83" s="8">
        <v>34</v>
      </c>
      <c r="T83" s="9">
        <v>168.52</v>
      </c>
      <c r="U83" s="9">
        <v>63.4</v>
      </c>
      <c r="V83" s="10">
        <v>105.12</v>
      </c>
      <c r="W83" s="113" t="s">
        <v>5</v>
      </c>
      <c r="X83" s="7">
        <v>58</v>
      </c>
      <c r="Y83" s="12">
        <v>3.0021264000000003</v>
      </c>
      <c r="Z83" s="7">
        <v>10.3</v>
      </c>
      <c r="AA83" s="7">
        <v>10.6</v>
      </c>
      <c r="AB83" s="13">
        <v>87</v>
      </c>
      <c r="AC83" s="13">
        <v>91</v>
      </c>
      <c r="AD83" s="11" t="s">
        <v>6</v>
      </c>
      <c r="AE83" s="40" t="s">
        <v>455</v>
      </c>
      <c r="AF83" s="14" t="s">
        <v>1419</v>
      </c>
    </row>
    <row r="84" spans="1:32" ht="31.5" x14ac:dyDescent="0.25">
      <c r="A84" s="1">
        <v>1324</v>
      </c>
      <c r="B84" s="2">
        <v>45979</v>
      </c>
      <c r="C84" s="1" t="s">
        <v>0</v>
      </c>
      <c r="D84" s="1" t="s">
        <v>9</v>
      </c>
      <c r="E84" s="8">
        <v>2</v>
      </c>
      <c r="F84" s="8">
        <v>22511018</v>
      </c>
      <c r="G84" s="8">
        <v>1260</v>
      </c>
      <c r="H84" s="8" t="s">
        <v>1363</v>
      </c>
      <c r="I84" s="99" t="s">
        <v>15</v>
      </c>
      <c r="J84" s="2" t="s">
        <v>1420</v>
      </c>
      <c r="K84" s="16">
        <v>1570</v>
      </c>
      <c r="L84" s="5">
        <v>1542</v>
      </c>
      <c r="M84" s="5">
        <v>1543</v>
      </c>
      <c r="N84" s="5">
        <v>1542</v>
      </c>
      <c r="O84" s="5" t="s">
        <v>5</v>
      </c>
      <c r="P84" s="30">
        <v>1542.3333333333333</v>
      </c>
      <c r="Q84" s="7">
        <v>5.3</v>
      </c>
      <c r="R84" s="4">
        <v>40</v>
      </c>
      <c r="S84" s="4">
        <v>8</v>
      </c>
      <c r="T84" s="9">
        <v>160</v>
      </c>
      <c r="U84" s="9">
        <v>60</v>
      </c>
      <c r="V84" s="10">
        <v>100</v>
      </c>
      <c r="W84" s="113" t="s">
        <v>5</v>
      </c>
      <c r="X84" s="7">
        <v>58</v>
      </c>
      <c r="Y84" s="12">
        <v>3.0598596000000002</v>
      </c>
      <c r="Z84" s="7">
        <v>9</v>
      </c>
      <c r="AA84" s="7">
        <v>8.5</v>
      </c>
      <c r="AB84" s="13">
        <v>85</v>
      </c>
      <c r="AC84" s="13">
        <v>78</v>
      </c>
      <c r="AD84" s="11" t="s">
        <v>6</v>
      </c>
      <c r="AE84" s="40" t="s">
        <v>455</v>
      </c>
      <c r="AF84" s="14" t="s">
        <v>1421</v>
      </c>
    </row>
    <row r="85" spans="1:32" ht="15.75" x14ac:dyDescent="0.25">
      <c r="A85" s="1">
        <v>1325</v>
      </c>
      <c r="B85" s="2">
        <v>45979</v>
      </c>
      <c r="C85" s="1" t="s">
        <v>0</v>
      </c>
      <c r="D85" s="1" t="s">
        <v>9</v>
      </c>
      <c r="E85" s="8">
        <v>2</v>
      </c>
      <c r="F85" s="8">
        <v>22511018</v>
      </c>
      <c r="G85" s="8">
        <v>1260</v>
      </c>
      <c r="H85" s="8" t="s">
        <v>1363</v>
      </c>
      <c r="I85" s="99" t="s">
        <v>269</v>
      </c>
      <c r="J85" s="2" t="s">
        <v>1422</v>
      </c>
      <c r="K85" s="16">
        <v>1567</v>
      </c>
      <c r="L85" s="5">
        <v>1546</v>
      </c>
      <c r="M85" s="5">
        <v>1548</v>
      </c>
      <c r="N85" s="5">
        <v>1547</v>
      </c>
      <c r="O85" s="5">
        <v>1546</v>
      </c>
      <c r="P85" s="30">
        <v>1546.75</v>
      </c>
      <c r="Q85" s="7">
        <v>5</v>
      </c>
      <c r="R85" s="4">
        <v>37</v>
      </c>
      <c r="S85" s="4" t="s">
        <v>5</v>
      </c>
      <c r="T85" s="9">
        <v>165</v>
      </c>
      <c r="U85" s="9">
        <v>60</v>
      </c>
      <c r="V85" s="10">
        <v>105</v>
      </c>
      <c r="W85" s="113" t="s">
        <v>5</v>
      </c>
      <c r="X85" s="7">
        <v>58</v>
      </c>
      <c r="Y85" s="12">
        <v>2.8866600000000004</v>
      </c>
      <c r="Z85" s="7">
        <v>10.5</v>
      </c>
      <c r="AA85" s="7">
        <v>9.6999999999999993</v>
      </c>
      <c r="AB85" s="13">
        <v>88</v>
      </c>
      <c r="AC85" s="13">
        <v>83</v>
      </c>
      <c r="AD85" s="11" t="s">
        <v>6</v>
      </c>
      <c r="AE85" s="40" t="s">
        <v>455</v>
      </c>
      <c r="AF85" s="14" t="s">
        <v>418</v>
      </c>
    </row>
    <row r="86" spans="1:32" ht="31.5" x14ac:dyDescent="0.25">
      <c r="A86" s="1">
        <v>1351</v>
      </c>
      <c r="B86" s="2">
        <v>45980</v>
      </c>
      <c r="C86" s="1" t="s">
        <v>18</v>
      </c>
      <c r="D86" s="1" t="s">
        <v>258</v>
      </c>
      <c r="E86" s="8">
        <v>2</v>
      </c>
      <c r="F86" s="8">
        <v>22511018</v>
      </c>
      <c r="G86" s="8">
        <v>1260</v>
      </c>
      <c r="H86" s="8" t="s">
        <v>10</v>
      </c>
      <c r="I86" s="8" t="s">
        <v>373</v>
      </c>
      <c r="J86" s="16" t="s">
        <v>1423</v>
      </c>
      <c r="K86" s="16">
        <v>1565</v>
      </c>
      <c r="L86" s="4">
        <v>1548</v>
      </c>
      <c r="M86" s="4">
        <v>1547</v>
      </c>
      <c r="N86" s="5">
        <v>1546</v>
      </c>
      <c r="O86" s="5" t="s">
        <v>5</v>
      </c>
      <c r="P86" s="30">
        <v>1547</v>
      </c>
      <c r="Q86" s="7">
        <v>5.5</v>
      </c>
      <c r="R86" s="4">
        <v>31</v>
      </c>
      <c r="S86" s="8" t="s">
        <v>5</v>
      </c>
      <c r="T86" s="9">
        <v>163.80000000000001</v>
      </c>
      <c r="U86" s="9">
        <v>62</v>
      </c>
      <c r="V86" s="10">
        <v>101.80000000000001</v>
      </c>
      <c r="W86" s="113">
        <v>16.399999999999999</v>
      </c>
      <c r="X86" s="7">
        <v>58</v>
      </c>
      <c r="Y86" s="12">
        <v>3.1753260000000005</v>
      </c>
      <c r="Z86" s="7">
        <v>9.1999999999999993</v>
      </c>
      <c r="AA86" s="7">
        <v>7.673</v>
      </c>
      <c r="AB86" s="13">
        <v>65</v>
      </c>
      <c r="AC86" s="13">
        <v>65</v>
      </c>
      <c r="AD86" s="11" t="s">
        <v>6</v>
      </c>
      <c r="AE86" s="7" t="s">
        <v>53</v>
      </c>
      <c r="AF86" s="14" t="s">
        <v>1424</v>
      </c>
    </row>
    <row r="87" spans="1:32" ht="47.25" x14ac:dyDescent="0.25">
      <c r="A87" s="1">
        <v>1352</v>
      </c>
      <c r="B87" s="2">
        <v>45980</v>
      </c>
      <c r="C87" s="1" t="s">
        <v>18</v>
      </c>
      <c r="D87" s="1" t="s">
        <v>258</v>
      </c>
      <c r="E87" s="8">
        <v>2</v>
      </c>
      <c r="F87" s="8">
        <v>22511018</v>
      </c>
      <c r="G87" s="8">
        <v>1260</v>
      </c>
      <c r="H87" s="8" t="s">
        <v>10</v>
      </c>
      <c r="I87" s="8" t="s">
        <v>146</v>
      </c>
      <c r="J87" s="16" t="s">
        <v>1425</v>
      </c>
      <c r="K87" s="16">
        <v>1565</v>
      </c>
      <c r="L87" s="4">
        <v>1540</v>
      </c>
      <c r="M87" s="4">
        <v>1541</v>
      </c>
      <c r="N87" s="4">
        <v>1540</v>
      </c>
      <c r="O87" s="5" t="s">
        <v>5</v>
      </c>
      <c r="P87" s="30">
        <v>1540.3333333333333</v>
      </c>
      <c r="Q87" s="7">
        <v>5.2</v>
      </c>
      <c r="R87" s="4">
        <v>39</v>
      </c>
      <c r="S87" s="8">
        <v>26</v>
      </c>
      <c r="T87" s="9">
        <v>163</v>
      </c>
      <c r="U87" s="9">
        <v>60</v>
      </c>
      <c r="V87" s="10">
        <v>103</v>
      </c>
      <c r="W87" s="113" t="s">
        <v>5</v>
      </c>
      <c r="X87" s="7">
        <v>58</v>
      </c>
      <c r="Y87" s="12">
        <v>3.0021264000000003</v>
      </c>
      <c r="Z87" s="7">
        <v>9.9</v>
      </c>
      <c r="AA87" s="7">
        <v>9.6999999999999993</v>
      </c>
      <c r="AB87" s="13">
        <v>77</v>
      </c>
      <c r="AC87" s="13">
        <v>77</v>
      </c>
      <c r="AD87" s="11" t="s">
        <v>6</v>
      </c>
      <c r="AE87" s="7" t="s">
        <v>53</v>
      </c>
      <c r="AF87" s="14" t="s">
        <v>1426</v>
      </c>
    </row>
    <row r="88" spans="1:32" ht="15.75" x14ac:dyDescent="0.25">
      <c r="A88" s="1">
        <v>1411</v>
      </c>
      <c r="B88" s="2">
        <v>45981</v>
      </c>
      <c r="C88" s="1" t="s">
        <v>18</v>
      </c>
      <c r="D88" s="1" t="s">
        <v>276</v>
      </c>
      <c r="E88" s="8">
        <v>1</v>
      </c>
      <c r="F88" s="8">
        <v>12511017</v>
      </c>
      <c r="G88" s="8">
        <v>1255</v>
      </c>
      <c r="H88" s="8" t="s">
        <v>10</v>
      </c>
      <c r="I88" s="8" t="s">
        <v>15</v>
      </c>
      <c r="J88" s="8" t="s">
        <v>1427</v>
      </c>
      <c r="K88" s="8">
        <v>1566</v>
      </c>
      <c r="L88" s="8">
        <v>1543</v>
      </c>
      <c r="M88" s="8">
        <v>1543</v>
      </c>
      <c r="N88" s="8">
        <v>1543</v>
      </c>
      <c r="O88" s="8">
        <v>1543</v>
      </c>
      <c r="P88" s="30">
        <v>1543</v>
      </c>
      <c r="Q88" s="8">
        <v>5.2</v>
      </c>
      <c r="R88" s="8">
        <v>34</v>
      </c>
      <c r="S88" s="8" t="s">
        <v>5</v>
      </c>
      <c r="T88" s="9">
        <v>167</v>
      </c>
      <c r="U88" s="9">
        <v>60</v>
      </c>
      <c r="V88" s="10">
        <v>107</v>
      </c>
      <c r="W88" s="113" t="s">
        <v>5</v>
      </c>
      <c r="X88" s="7">
        <v>58</v>
      </c>
      <c r="Y88" s="12">
        <v>2.9902132000000003</v>
      </c>
      <c r="Z88" s="7">
        <v>11.1</v>
      </c>
      <c r="AA88" s="7">
        <v>11.7</v>
      </c>
      <c r="AB88" s="13">
        <v>87</v>
      </c>
      <c r="AC88" s="13">
        <v>95</v>
      </c>
      <c r="AD88" s="11" t="s">
        <v>6</v>
      </c>
      <c r="AE88" s="7" t="s">
        <v>455</v>
      </c>
      <c r="AF88" s="14" t="s">
        <v>480</v>
      </c>
    </row>
    <row r="89" spans="1:32" ht="15.75" x14ac:dyDescent="0.25">
      <c r="A89" s="1">
        <v>1548</v>
      </c>
      <c r="B89" s="2">
        <v>45982</v>
      </c>
      <c r="C89" s="1" t="s">
        <v>0</v>
      </c>
      <c r="D89" s="1" t="s">
        <v>9</v>
      </c>
      <c r="E89" s="8">
        <v>1</v>
      </c>
      <c r="F89" s="8">
        <v>12511019</v>
      </c>
      <c r="G89" s="8">
        <v>1240</v>
      </c>
      <c r="H89" s="8" t="s">
        <v>10</v>
      </c>
      <c r="I89" s="8" t="s">
        <v>129</v>
      </c>
      <c r="J89" s="16" t="s">
        <v>1428</v>
      </c>
      <c r="K89" s="4">
        <v>1566</v>
      </c>
      <c r="L89" s="4">
        <v>1544</v>
      </c>
      <c r="M89" s="5">
        <v>1542</v>
      </c>
      <c r="N89" s="5">
        <v>1540</v>
      </c>
      <c r="O89" s="5">
        <v>1540</v>
      </c>
      <c r="P89" s="30">
        <v>1541.5</v>
      </c>
      <c r="Q89" s="7">
        <v>3.8</v>
      </c>
      <c r="R89" s="4">
        <v>38</v>
      </c>
      <c r="S89" s="8"/>
      <c r="T89" s="8">
        <v>160</v>
      </c>
      <c r="U89" s="8">
        <v>70</v>
      </c>
      <c r="V89" s="10">
        <v>90</v>
      </c>
      <c r="W89" s="113" t="s">
        <v>5</v>
      </c>
      <c r="X89" s="7">
        <v>58</v>
      </c>
      <c r="Y89" s="12">
        <v>2.1590384</v>
      </c>
      <c r="Z89" s="7">
        <v>8.3000000000000007</v>
      </c>
      <c r="AA89" s="7">
        <v>10</v>
      </c>
      <c r="AB89" s="13">
        <v>83</v>
      </c>
      <c r="AC89" s="13">
        <v>91</v>
      </c>
      <c r="AD89" s="11" t="s">
        <v>6</v>
      </c>
      <c r="AE89" s="7" t="s">
        <v>455</v>
      </c>
      <c r="AF89" s="14" t="s">
        <v>1429</v>
      </c>
    </row>
    <row r="90" spans="1:32" ht="15.75" x14ac:dyDescent="0.25">
      <c r="A90" s="1">
        <v>1549</v>
      </c>
      <c r="B90" s="2">
        <v>45982</v>
      </c>
      <c r="C90" s="1" t="s">
        <v>0</v>
      </c>
      <c r="D90" s="1" t="s">
        <v>9</v>
      </c>
      <c r="E90" s="8">
        <v>1</v>
      </c>
      <c r="F90" s="8">
        <v>12511019</v>
      </c>
      <c r="G90" s="8">
        <v>1240</v>
      </c>
      <c r="H90" s="8" t="s">
        <v>10</v>
      </c>
      <c r="I90" s="8" t="s">
        <v>277</v>
      </c>
      <c r="J90" s="16" t="s">
        <v>1430</v>
      </c>
      <c r="K90" s="4">
        <v>1572</v>
      </c>
      <c r="L90" s="4">
        <v>1543</v>
      </c>
      <c r="M90" s="5">
        <v>1545</v>
      </c>
      <c r="N90" s="5">
        <v>1543</v>
      </c>
      <c r="O90" s="5">
        <v>1541</v>
      </c>
      <c r="P90" s="30">
        <v>1543</v>
      </c>
      <c r="Q90" s="7">
        <v>5.3</v>
      </c>
      <c r="R90" s="4">
        <v>37</v>
      </c>
      <c r="S90" s="8"/>
      <c r="T90" s="8">
        <v>165</v>
      </c>
      <c r="U90" s="8">
        <v>58</v>
      </c>
      <c r="V90" s="10">
        <v>107</v>
      </c>
      <c r="W90" s="113" t="s">
        <v>5</v>
      </c>
      <c r="X90" s="7">
        <v>58</v>
      </c>
      <c r="Y90" s="12">
        <v>3.0112904</v>
      </c>
      <c r="Z90" s="7">
        <v>9.1</v>
      </c>
      <c r="AA90" s="7">
        <v>10.9</v>
      </c>
      <c r="AB90" s="13">
        <v>81</v>
      </c>
      <c r="AC90" s="13">
        <v>98</v>
      </c>
      <c r="AD90" s="11" t="s">
        <v>6</v>
      </c>
      <c r="AE90" s="7" t="s">
        <v>455</v>
      </c>
      <c r="AF90" s="14" t="s">
        <v>397</v>
      </c>
    </row>
    <row r="91" spans="1:32" ht="15.75" x14ac:dyDescent="0.25">
      <c r="A91" s="1">
        <v>1550</v>
      </c>
      <c r="B91" s="2">
        <v>45982</v>
      </c>
      <c r="C91" s="1" t="s">
        <v>0</v>
      </c>
      <c r="D91" s="1" t="s">
        <v>9</v>
      </c>
      <c r="E91" s="8">
        <v>1</v>
      </c>
      <c r="F91" s="8">
        <v>12511019</v>
      </c>
      <c r="G91" s="8">
        <v>1240</v>
      </c>
      <c r="H91" s="8" t="s">
        <v>10</v>
      </c>
      <c r="I91" s="8" t="s">
        <v>416</v>
      </c>
      <c r="J91" s="16" t="s">
        <v>1431</v>
      </c>
      <c r="K91" s="4">
        <v>1568</v>
      </c>
      <c r="L91" s="5">
        <v>1550</v>
      </c>
      <c r="M91" s="5">
        <v>1550</v>
      </c>
      <c r="N91" s="5">
        <v>1549</v>
      </c>
      <c r="O91" s="5">
        <v>1549</v>
      </c>
      <c r="P91" s="30">
        <v>1549.5</v>
      </c>
      <c r="Q91" s="7">
        <v>4.7</v>
      </c>
      <c r="R91" s="4">
        <v>35</v>
      </c>
      <c r="S91" s="8"/>
      <c r="T91" s="8">
        <v>160</v>
      </c>
      <c r="U91" s="8">
        <v>60</v>
      </c>
      <c r="V91" s="10">
        <v>100</v>
      </c>
      <c r="W91" s="113" t="s">
        <v>5</v>
      </c>
      <c r="X91" s="7">
        <v>58</v>
      </c>
      <c r="Y91" s="12">
        <v>2.6703896</v>
      </c>
      <c r="Z91" s="7">
        <v>8.9</v>
      </c>
      <c r="AA91" s="7">
        <v>9.9</v>
      </c>
      <c r="AB91" s="7">
        <v>88</v>
      </c>
      <c r="AC91" s="7">
        <v>97</v>
      </c>
      <c r="AD91" s="11" t="s">
        <v>6</v>
      </c>
      <c r="AE91" s="7" t="s">
        <v>455</v>
      </c>
      <c r="AF91" s="14" t="s">
        <v>1432</v>
      </c>
    </row>
    <row r="92" spans="1:32" ht="15.75" x14ac:dyDescent="0.25">
      <c r="A92" s="1">
        <v>1551</v>
      </c>
      <c r="B92" s="2">
        <v>45982</v>
      </c>
      <c r="C92" s="1" t="s">
        <v>0</v>
      </c>
      <c r="D92" s="1" t="s">
        <v>9</v>
      </c>
      <c r="E92" s="8">
        <v>1</v>
      </c>
      <c r="F92" s="8">
        <v>12511019</v>
      </c>
      <c r="G92" s="8">
        <v>1240</v>
      </c>
      <c r="H92" s="8" t="s">
        <v>10</v>
      </c>
      <c r="I92" s="8" t="s">
        <v>303</v>
      </c>
      <c r="J92" s="16" t="s">
        <v>1433</v>
      </c>
      <c r="K92" s="4">
        <v>1568</v>
      </c>
      <c r="L92" s="5">
        <v>1548</v>
      </c>
      <c r="M92" s="5">
        <v>1546</v>
      </c>
      <c r="N92" s="5">
        <v>1545</v>
      </c>
      <c r="O92" s="5">
        <v>1542</v>
      </c>
      <c r="P92" s="30">
        <v>1545.25</v>
      </c>
      <c r="Q92" s="7">
        <v>4.2</v>
      </c>
      <c r="R92" s="4">
        <v>45</v>
      </c>
      <c r="S92" s="8"/>
      <c r="T92" s="9">
        <v>164</v>
      </c>
      <c r="U92" s="9">
        <v>57</v>
      </c>
      <c r="V92" s="10">
        <v>107</v>
      </c>
      <c r="W92" s="113" t="s">
        <v>5</v>
      </c>
      <c r="X92" s="7">
        <v>58</v>
      </c>
      <c r="Y92" s="12">
        <v>2.3863056</v>
      </c>
      <c r="Z92" s="7">
        <v>9.6</v>
      </c>
      <c r="AA92" s="7">
        <v>11.1</v>
      </c>
      <c r="AB92" s="13">
        <v>88</v>
      </c>
      <c r="AC92" s="13">
        <v>95</v>
      </c>
      <c r="AD92" s="11" t="s">
        <v>6</v>
      </c>
      <c r="AE92" s="7" t="s">
        <v>455</v>
      </c>
      <c r="AF92" s="14" t="s">
        <v>721</v>
      </c>
    </row>
    <row r="93" spans="1:32" ht="31.5" x14ac:dyDescent="0.25">
      <c r="A93" s="1">
        <v>1569</v>
      </c>
      <c r="B93" s="2">
        <v>45982</v>
      </c>
      <c r="C93" s="1" t="s">
        <v>0</v>
      </c>
      <c r="D93" s="1" t="s">
        <v>9</v>
      </c>
      <c r="E93" s="8">
        <v>2</v>
      </c>
      <c r="F93" s="8">
        <v>22511022</v>
      </c>
      <c r="G93" s="8">
        <v>1250</v>
      </c>
      <c r="H93" s="8" t="s">
        <v>10</v>
      </c>
      <c r="I93" s="8" t="s">
        <v>315</v>
      </c>
      <c r="J93" s="2" t="s">
        <v>1434</v>
      </c>
      <c r="K93" s="4">
        <v>1569</v>
      </c>
      <c r="L93" s="4">
        <v>1544</v>
      </c>
      <c r="M93" s="5">
        <v>1543</v>
      </c>
      <c r="N93" s="5">
        <v>1542</v>
      </c>
      <c r="O93" s="5">
        <v>1542</v>
      </c>
      <c r="P93" s="30">
        <v>1542.75</v>
      </c>
      <c r="Q93" s="7">
        <v>5.2</v>
      </c>
      <c r="R93" s="4">
        <v>35</v>
      </c>
      <c r="S93" s="8">
        <v>39</v>
      </c>
      <c r="T93" s="9">
        <v>159</v>
      </c>
      <c r="U93" s="9">
        <v>52</v>
      </c>
      <c r="V93" s="10">
        <v>107</v>
      </c>
      <c r="W93" s="113" t="s">
        <v>5</v>
      </c>
      <c r="X93" s="7">
        <v>58</v>
      </c>
      <c r="Y93" s="12">
        <v>2.9782999999999999</v>
      </c>
      <c r="Z93" s="7">
        <v>9.5</v>
      </c>
      <c r="AA93" s="7">
        <v>9.8000000000000007</v>
      </c>
      <c r="AB93" s="13">
        <v>77</v>
      </c>
      <c r="AC93" s="13">
        <v>77</v>
      </c>
      <c r="AD93" s="11" t="s">
        <v>6</v>
      </c>
      <c r="AE93" s="7" t="s">
        <v>53</v>
      </c>
      <c r="AF93" s="14" t="s">
        <v>1435</v>
      </c>
    </row>
    <row r="94" spans="1:32" ht="31.5" x14ac:dyDescent="0.25">
      <c r="A94" s="1">
        <v>1580</v>
      </c>
      <c r="B94" s="2">
        <v>45983</v>
      </c>
      <c r="C94" s="1" t="s">
        <v>18</v>
      </c>
      <c r="D94" s="1" t="s">
        <v>19</v>
      </c>
      <c r="E94" s="8">
        <v>1</v>
      </c>
      <c r="F94" s="1">
        <v>12511019</v>
      </c>
      <c r="G94" s="8">
        <v>1250</v>
      </c>
      <c r="H94" s="8" t="s">
        <v>1436</v>
      </c>
      <c r="I94" s="8" t="s">
        <v>504</v>
      </c>
      <c r="J94" s="8" t="s">
        <v>1437</v>
      </c>
      <c r="K94" s="8">
        <v>1566</v>
      </c>
      <c r="L94" s="8">
        <v>1546</v>
      </c>
      <c r="M94" s="8">
        <v>1543</v>
      </c>
      <c r="N94" s="8">
        <v>1540</v>
      </c>
      <c r="O94" s="8">
        <v>1537</v>
      </c>
      <c r="P94" s="30">
        <v>1541.5</v>
      </c>
      <c r="Q94" s="8">
        <v>5</v>
      </c>
      <c r="R94" s="8">
        <v>37</v>
      </c>
      <c r="S94" s="8" t="s">
        <v>5</v>
      </c>
      <c r="T94" s="9">
        <v>175.6</v>
      </c>
      <c r="U94" s="9">
        <v>59</v>
      </c>
      <c r="V94" s="10">
        <v>116.6</v>
      </c>
      <c r="W94" s="113" t="s">
        <v>5</v>
      </c>
      <c r="X94" s="7">
        <v>58</v>
      </c>
      <c r="Y94" s="12">
        <v>2.86375</v>
      </c>
      <c r="Z94" s="7">
        <v>8.9</v>
      </c>
      <c r="AA94" s="7">
        <v>10.1</v>
      </c>
      <c r="AB94" s="13">
        <v>81</v>
      </c>
      <c r="AC94" s="11">
        <v>92</v>
      </c>
      <c r="AD94" s="11" t="s">
        <v>6</v>
      </c>
      <c r="AE94" s="7" t="s">
        <v>455</v>
      </c>
      <c r="AF94" s="14" t="s">
        <v>1438</v>
      </c>
    </row>
    <row r="95" spans="1:32" ht="31.5" x14ac:dyDescent="0.25">
      <c r="A95" s="1">
        <v>1582</v>
      </c>
      <c r="B95" s="2">
        <v>45983</v>
      </c>
      <c r="C95" s="1" t="s">
        <v>18</v>
      </c>
      <c r="D95" s="1" t="s">
        <v>19</v>
      </c>
      <c r="E95" s="8">
        <v>1</v>
      </c>
      <c r="F95" s="1">
        <v>12511019</v>
      </c>
      <c r="G95" s="8">
        <v>1250</v>
      </c>
      <c r="H95" s="8" t="s">
        <v>1436</v>
      </c>
      <c r="I95" s="8" t="s">
        <v>162</v>
      </c>
      <c r="J95" s="8" t="s">
        <v>1439</v>
      </c>
      <c r="K95" s="8">
        <v>1567</v>
      </c>
      <c r="L95" s="8">
        <v>1546</v>
      </c>
      <c r="M95" s="8">
        <v>1544</v>
      </c>
      <c r="N95" s="8">
        <v>1543</v>
      </c>
      <c r="O95" s="8">
        <v>1543</v>
      </c>
      <c r="P95" s="30">
        <v>1544</v>
      </c>
      <c r="Q95" s="8">
        <v>4.2</v>
      </c>
      <c r="R95" s="8">
        <v>38</v>
      </c>
      <c r="S95" s="8" t="s">
        <v>5</v>
      </c>
      <c r="T95" s="9">
        <v>170</v>
      </c>
      <c r="U95" s="9">
        <v>75</v>
      </c>
      <c r="V95" s="10">
        <v>95</v>
      </c>
      <c r="W95" s="113" t="s">
        <v>5</v>
      </c>
      <c r="X95" s="7">
        <v>58</v>
      </c>
      <c r="Y95" s="12">
        <v>2.4055499999999999</v>
      </c>
      <c r="Z95" s="7">
        <v>8.1</v>
      </c>
      <c r="AA95" s="7">
        <v>9.4</v>
      </c>
      <c r="AB95" s="13">
        <v>78</v>
      </c>
      <c r="AC95" s="13">
        <v>78</v>
      </c>
      <c r="AD95" s="11" t="s">
        <v>6</v>
      </c>
      <c r="AE95" s="7" t="s">
        <v>455</v>
      </c>
      <c r="AF95" s="14" t="s">
        <v>1440</v>
      </c>
    </row>
    <row r="96" spans="1:32" ht="31.5" x14ac:dyDescent="0.25">
      <c r="A96" s="1">
        <v>1583</v>
      </c>
      <c r="B96" s="2">
        <v>45983</v>
      </c>
      <c r="C96" s="1" t="s">
        <v>18</v>
      </c>
      <c r="D96" s="1" t="s">
        <v>19</v>
      </c>
      <c r="E96" s="8">
        <v>1</v>
      </c>
      <c r="F96" s="1">
        <v>12511019</v>
      </c>
      <c r="G96" s="8">
        <v>1250</v>
      </c>
      <c r="H96" s="8" t="s">
        <v>1436</v>
      </c>
      <c r="I96" s="8" t="s">
        <v>63</v>
      </c>
      <c r="J96" s="4" t="s">
        <v>1441</v>
      </c>
      <c r="K96" s="8">
        <v>1566</v>
      </c>
      <c r="L96" s="8">
        <v>1543</v>
      </c>
      <c r="M96" s="8">
        <v>1544</v>
      </c>
      <c r="N96" s="8">
        <v>1543</v>
      </c>
      <c r="O96" s="8">
        <v>1542</v>
      </c>
      <c r="P96" s="30">
        <v>1543</v>
      </c>
      <c r="Q96" s="8">
        <v>4</v>
      </c>
      <c r="R96" s="8">
        <v>39</v>
      </c>
      <c r="S96" s="8" t="s">
        <v>5</v>
      </c>
      <c r="T96" s="9">
        <v>166</v>
      </c>
      <c r="U96" s="9">
        <v>66</v>
      </c>
      <c r="V96" s="10">
        <v>100</v>
      </c>
      <c r="W96" s="113" t="s">
        <v>5</v>
      </c>
      <c r="X96" s="7">
        <v>58</v>
      </c>
      <c r="Y96" s="12">
        <v>2.2909999999999999</v>
      </c>
      <c r="Z96" s="7">
        <v>6.2</v>
      </c>
      <c r="AA96" s="7">
        <v>7.4</v>
      </c>
      <c r="AB96" s="13">
        <v>90</v>
      </c>
      <c r="AC96" s="13">
        <v>97</v>
      </c>
      <c r="AD96" s="11" t="s">
        <v>6</v>
      </c>
      <c r="AE96" s="7" t="s">
        <v>455</v>
      </c>
      <c r="AF96" s="14" t="s">
        <v>1442</v>
      </c>
    </row>
    <row r="97" spans="1:32" ht="15.75" x14ac:dyDescent="0.25">
      <c r="A97" s="1">
        <v>1607</v>
      </c>
      <c r="B97" s="2">
        <v>45983</v>
      </c>
      <c r="C97" s="1" t="s">
        <v>264</v>
      </c>
      <c r="D97" s="1" t="s">
        <v>258</v>
      </c>
      <c r="E97" s="8">
        <v>2</v>
      </c>
      <c r="F97" s="8">
        <v>22511022</v>
      </c>
      <c r="G97" s="8">
        <v>1250</v>
      </c>
      <c r="H97" s="8" t="s">
        <v>1436</v>
      </c>
      <c r="I97" s="8" t="s">
        <v>66</v>
      </c>
      <c r="J97" s="114" t="s">
        <v>1443</v>
      </c>
      <c r="K97" s="4">
        <v>1568</v>
      </c>
      <c r="L97" s="4">
        <v>1547</v>
      </c>
      <c r="M97" s="5">
        <v>1547</v>
      </c>
      <c r="N97" s="5">
        <v>1546</v>
      </c>
      <c r="O97" s="5" t="s">
        <v>5</v>
      </c>
      <c r="P97" s="30">
        <v>1546.6666666666667</v>
      </c>
      <c r="Q97" s="7">
        <v>5.6</v>
      </c>
      <c r="R97" s="4">
        <v>36</v>
      </c>
      <c r="S97" s="8">
        <v>22</v>
      </c>
      <c r="T97" s="8">
        <v>166.9</v>
      </c>
      <c r="U97" s="8">
        <v>60.88</v>
      </c>
      <c r="V97" s="10">
        <v>106.02000000000001</v>
      </c>
      <c r="W97" s="113" t="s">
        <v>5</v>
      </c>
      <c r="X97" s="7">
        <v>58</v>
      </c>
      <c r="Y97" s="12">
        <v>3.2073999999999998</v>
      </c>
      <c r="Z97" s="7">
        <v>6.7</v>
      </c>
      <c r="AA97" s="7">
        <v>10.8</v>
      </c>
      <c r="AB97" s="13">
        <v>83</v>
      </c>
      <c r="AC97" s="13">
        <v>73</v>
      </c>
      <c r="AD97" s="11" t="s">
        <v>6</v>
      </c>
      <c r="AE97" s="7" t="s">
        <v>455</v>
      </c>
      <c r="AF97" s="14" t="s">
        <v>480</v>
      </c>
    </row>
    <row r="98" spans="1:32" ht="15.75" x14ac:dyDescent="0.25">
      <c r="A98" s="1">
        <v>1628</v>
      </c>
      <c r="B98" s="2">
        <v>45983</v>
      </c>
      <c r="C98" s="1" t="s">
        <v>0</v>
      </c>
      <c r="D98" s="1" t="s">
        <v>265</v>
      </c>
      <c r="E98" s="8">
        <v>2</v>
      </c>
      <c r="F98" s="8">
        <v>22511023</v>
      </c>
      <c r="G98" s="8">
        <v>1250</v>
      </c>
      <c r="H98" s="8" t="s">
        <v>1095</v>
      </c>
      <c r="I98" s="8" t="s">
        <v>77</v>
      </c>
      <c r="J98" s="16" t="s">
        <v>1444</v>
      </c>
      <c r="K98" s="4">
        <v>1565</v>
      </c>
      <c r="L98" s="5">
        <v>1544</v>
      </c>
      <c r="M98" s="5">
        <v>1546</v>
      </c>
      <c r="N98" s="5">
        <v>1544</v>
      </c>
      <c r="O98" s="5">
        <v>1541</v>
      </c>
      <c r="P98" s="30">
        <v>1547</v>
      </c>
      <c r="Q98" s="7">
        <v>5.0999999999999996</v>
      </c>
      <c r="R98" s="4">
        <v>37</v>
      </c>
      <c r="S98" s="8" t="s">
        <v>5</v>
      </c>
      <c r="T98" s="9">
        <v>168.2</v>
      </c>
      <c r="U98" s="9">
        <v>61.2</v>
      </c>
      <c r="V98" s="10">
        <v>106.99999999999999</v>
      </c>
      <c r="W98" s="113" t="s">
        <v>5</v>
      </c>
      <c r="X98" s="7">
        <v>58</v>
      </c>
      <c r="Y98" s="12">
        <v>2.9210249999999998</v>
      </c>
      <c r="Z98" s="7">
        <v>9.3000000000000007</v>
      </c>
      <c r="AA98" s="7">
        <v>8.5</v>
      </c>
      <c r="AB98" s="13">
        <v>82</v>
      </c>
      <c r="AC98" s="13">
        <v>74</v>
      </c>
      <c r="AD98" s="11" t="s">
        <v>6</v>
      </c>
      <c r="AE98" s="115" t="s">
        <v>455</v>
      </c>
      <c r="AF98" s="14" t="s">
        <v>1445</v>
      </c>
    </row>
    <row r="99" spans="1:32" ht="47.25" x14ac:dyDescent="0.25">
      <c r="A99" s="1">
        <v>1630</v>
      </c>
      <c r="B99" s="2">
        <v>45983</v>
      </c>
      <c r="C99" s="1" t="s">
        <v>0</v>
      </c>
      <c r="D99" s="1" t="s">
        <v>265</v>
      </c>
      <c r="E99" s="8">
        <v>2</v>
      </c>
      <c r="F99" s="8">
        <v>22511023</v>
      </c>
      <c r="G99" s="8">
        <v>1250</v>
      </c>
      <c r="H99" s="8" t="s">
        <v>1095</v>
      </c>
      <c r="I99" s="8" t="s">
        <v>189</v>
      </c>
      <c r="J99" s="16" t="s">
        <v>1446</v>
      </c>
      <c r="K99" s="104">
        <v>1567</v>
      </c>
      <c r="L99" s="5">
        <v>1544</v>
      </c>
      <c r="M99" s="5">
        <v>1544</v>
      </c>
      <c r="N99" s="5">
        <v>1542</v>
      </c>
      <c r="O99" s="5">
        <v>1539</v>
      </c>
      <c r="P99" s="30">
        <v>1540.25</v>
      </c>
      <c r="Q99" s="7">
        <v>4.8</v>
      </c>
      <c r="R99" s="4">
        <v>35</v>
      </c>
      <c r="S99" s="8">
        <v>7</v>
      </c>
      <c r="T99" s="9">
        <v>157.5</v>
      </c>
      <c r="U99" s="9">
        <v>55</v>
      </c>
      <c r="V99" s="10">
        <v>102.5</v>
      </c>
      <c r="W99" s="113">
        <v>15.5</v>
      </c>
      <c r="X99" s="7">
        <v>58</v>
      </c>
      <c r="Y99" s="12">
        <v>2.7491999999999996</v>
      </c>
      <c r="Z99" s="7">
        <v>9.6</v>
      </c>
      <c r="AA99" s="7">
        <v>10.1</v>
      </c>
      <c r="AB99" s="13">
        <v>88</v>
      </c>
      <c r="AC99" s="13">
        <v>80</v>
      </c>
      <c r="AD99" s="11" t="s">
        <v>6</v>
      </c>
      <c r="AE99" s="115" t="s">
        <v>455</v>
      </c>
      <c r="AF99" s="14" t="s">
        <v>1447</v>
      </c>
    </row>
    <row r="100" spans="1:32" ht="31.5" x14ac:dyDescent="0.25">
      <c r="A100" s="1">
        <v>1635</v>
      </c>
      <c r="B100" s="2">
        <v>45983</v>
      </c>
      <c r="C100" s="1" t="s">
        <v>0</v>
      </c>
      <c r="D100" s="1" t="s">
        <v>265</v>
      </c>
      <c r="E100" s="8">
        <v>2</v>
      </c>
      <c r="F100" s="8">
        <v>22511023</v>
      </c>
      <c r="G100" s="8">
        <v>1250</v>
      </c>
      <c r="H100" s="8" t="s">
        <v>1194</v>
      </c>
      <c r="I100" s="8" t="s">
        <v>152</v>
      </c>
      <c r="J100" s="2" t="s">
        <v>1448</v>
      </c>
      <c r="K100" s="4">
        <v>1563</v>
      </c>
      <c r="L100" s="5">
        <v>1542</v>
      </c>
      <c r="M100" s="5">
        <v>1538</v>
      </c>
      <c r="N100" s="5">
        <v>1539</v>
      </c>
      <c r="O100" s="5" t="s">
        <v>5</v>
      </c>
      <c r="P100" s="30">
        <v>1543.3333333333333</v>
      </c>
      <c r="Q100" s="7">
        <v>4.4000000000000004</v>
      </c>
      <c r="R100" s="4">
        <v>36</v>
      </c>
      <c r="S100" s="8" t="s">
        <v>5</v>
      </c>
      <c r="T100" s="9">
        <v>171</v>
      </c>
      <c r="U100" s="9">
        <v>61</v>
      </c>
      <c r="V100" s="10">
        <v>110</v>
      </c>
      <c r="W100" s="113">
        <v>15.1</v>
      </c>
      <c r="X100" s="7">
        <v>58</v>
      </c>
      <c r="Y100" s="12">
        <v>2.5201000000000002</v>
      </c>
      <c r="Z100" s="7">
        <v>9.6</v>
      </c>
      <c r="AA100" s="7">
        <v>10</v>
      </c>
      <c r="AB100" s="13">
        <v>82</v>
      </c>
      <c r="AC100" s="13">
        <v>81</v>
      </c>
      <c r="AD100" s="11" t="s">
        <v>6</v>
      </c>
      <c r="AE100" s="115" t="s">
        <v>455</v>
      </c>
      <c r="AF100" s="14" t="s">
        <v>1449</v>
      </c>
    </row>
    <row r="101" spans="1:32" ht="31.5" x14ac:dyDescent="0.25">
      <c r="A101" s="1">
        <v>1644</v>
      </c>
      <c r="B101" s="2">
        <v>45984</v>
      </c>
      <c r="C101" s="1" t="s">
        <v>18</v>
      </c>
      <c r="D101" s="1" t="s">
        <v>19</v>
      </c>
      <c r="E101" s="8">
        <v>1</v>
      </c>
      <c r="F101" s="1">
        <v>12511020</v>
      </c>
      <c r="G101" s="8">
        <v>1250</v>
      </c>
      <c r="H101" s="8" t="s">
        <v>225</v>
      </c>
      <c r="I101" s="8" t="s">
        <v>11</v>
      </c>
      <c r="J101" s="8" t="s">
        <v>1450</v>
      </c>
      <c r="K101" s="8">
        <v>1565</v>
      </c>
      <c r="L101" s="8">
        <v>1545</v>
      </c>
      <c r="M101" s="8">
        <v>1544</v>
      </c>
      <c r="N101" s="8">
        <v>1543</v>
      </c>
      <c r="O101" s="8" t="s">
        <v>5</v>
      </c>
      <c r="P101" s="30">
        <v>1544</v>
      </c>
      <c r="Q101" s="8">
        <v>5</v>
      </c>
      <c r="R101" s="8">
        <v>36</v>
      </c>
      <c r="S101" s="8" t="s">
        <v>5</v>
      </c>
      <c r="T101" s="9">
        <v>164.2</v>
      </c>
      <c r="U101" s="9">
        <v>63.1</v>
      </c>
      <c r="V101" s="10">
        <v>101.1</v>
      </c>
      <c r="W101" s="113" t="s">
        <v>5</v>
      </c>
      <c r="X101" s="7">
        <v>58</v>
      </c>
      <c r="Y101" s="12">
        <v>2.86375</v>
      </c>
      <c r="Z101" s="7">
        <v>9.4</v>
      </c>
      <c r="AA101" s="7">
        <v>10.5</v>
      </c>
      <c r="AB101" s="13">
        <v>86</v>
      </c>
      <c r="AC101" s="13">
        <v>76</v>
      </c>
      <c r="AD101" s="11" t="s">
        <v>6</v>
      </c>
      <c r="AE101" s="7" t="s">
        <v>455</v>
      </c>
      <c r="AF101" s="14" t="s">
        <v>1451</v>
      </c>
    </row>
    <row r="102" spans="1:32" ht="31.5" x14ac:dyDescent="0.25">
      <c r="A102" s="1">
        <v>1649</v>
      </c>
      <c r="B102" s="2">
        <v>45984</v>
      </c>
      <c r="C102" s="1" t="s">
        <v>18</v>
      </c>
      <c r="D102" s="1" t="s">
        <v>19</v>
      </c>
      <c r="E102" s="8">
        <v>1</v>
      </c>
      <c r="F102" s="1">
        <v>12511020</v>
      </c>
      <c r="G102" s="8">
        <v>1250</v>
      </c>
      <c r="H102" s="8" t="s">
        <v>10</v>
      </c>
      <c r="I102" s="8" t="s">
        <v>129</v>
      </c>
      <c r="J102" s="8" t="s">
        <v>1452</v>
      </c>
      <c r="K102" s="8">
        <v>1565</v>
      </c>
      <c r="L102" s="8">
        <v>1546</v>
      </c>
      <c r="M102" s="8">
        <v>1545</v>
      </c>
      <c r="N102" s="8">
        <v>1544</v>
      </c>
      <c r="O102" s="8" t="s">
        <v>5</v>
      </c>
      <c r="P102" s="30">
        <v>1545</v>
      </c>
      <c r="Q102" s="8">
        <v>5.2</v>
      </c>
      <c r="R102" s="8">
        <v>37</v>
      </c>
      <c r="S102" s="8" t="s">
        <v>5</v>
      </c>
      <c r="T102" s="9">
        <v>174</v>
      </c>
      <c r="U102" s="9">
        <v>66</v>
      </c>
      <c r="V102" s="10">
        <v>108</v>
      </c>
      <c r="W102" s="113" t="s">
        <v>5</v>
      </c>
      <c r="X102" s="7">
        <v>58</v>
      </c>
      <c r="Y102" s="12">
        <v>2.9782999999999999</v>
      </c>
      <c r="Z102" s="7">
        <v>9.9</v>
      </c>
      <c r="AA102" s="7">
        <v>8</v>
      </c>
      <c r="AB102" s="13">
        <v>89</v>
      </c>
      <c r="AC102" s="13">
        <v>87</v>
      </c>
      <c r="AD102" s="11" t="s">
        <v>6</v>
      </c>
      <c r="AE102" s="7" t="s">
        <v>455</v>
      </c>
      <c r="AF102" s="14" t="s">
        <v>1453</v>
      </c>
    </row>
    <row r="103" spans="1:32" ht="31.5" x14ac:dyDescent="0.25">
      <c r="A103" s="1">
        <v>1661</v>
      </c>
      <c r="B103" s="2">
        <v>45984</v>
      </c>
      <c r="C103" s="1" t="s">
        <v>18</v>
      </c>
      <c r="D103" s="1" t="s">
        <v>19</v>
      </c>
      <c r="E103" s="8">
        <v>2</v>
      </c>
      <c r="F103" s="1">
        <v>22511024</v>
      </c>
      <c r="G103" s="8">
        <v>1250</v>
      </c>
      <c r="H103" s="8" t="s">
        <v>10</v>
      </c>
      <c r="I103" s="8" t="s">
        <v>152</v>
      </c>
      <c r="J103" s="16" t="s">
        <v>1454</v>
      </c>
      <c r="K103" s="16">
        <v>1565</v>
      </c>
      <c r="L103" s="4">
        <v>1544</v>
      </c>
      <c r="M103" s="4">
        <v>1543</v>
      </c>
      <c r="N103" s="5">
        <v>1546</v>
      </c>
      <c r="O103" s="5" t="s">
        <v>5</v>
      </c>
      <c r="P103" s="30">
        <v>1544.3333333333333</v>
      </c>
      <c r="Q103" s="7">
        <v>5.6</v>
      </c>
      <c r="R103" s="4">
        <v>38</v>
      </c>
      <c r="S103" s="8" t="s">
        <v>5</v>
      </c>
      <c r="T103" s="9">
        <v>175</v>
      </c>
      <c r="U103" s="9">
        <v>51</v>
      </c>
      <c r="V103" s="10">
        <v>124</v>
      </c>
      <c r="W103" s="113" t="s">
        <v>5</v>
      </c>
      <c r="X103" s="7">
        <v>58</v>
      </c>
      <c r="Y103" s="12">
        <v>3.2073999999999998</v>
      </c>
      <c r="Z103" s="7">
        <v>9.4</v>
      </c>
      <c r="AA103" s="7">
        <v>8.4</v>
      </c>
      <c r="AB103" s="13">
        <v>87</v>
      </c>
      <c r="AC103" s="13">
        <v>80</v>
      </c>
      <c r="AD103" s="11" t="s">
        <v>6</v>
      </c>
      <c r="AE103" s="7" t="s">
        <v>455</v>
      </c>
      <c r="AF103" s="14" t="s">
        <v>1455</v>
      </c>
    </row>
    <row r="104" spans="1:32" ht="31.5" x14ac:dyDescent="0.25">
      <c r="A104" s="1">
        <v>1677</v>
      </c>
      <c r="B104" s="2">
        <v>45984</v>
      </c>
      <c r="C104" s="1" t="s">
        <v>264</v>
      </c>
      <c r="D104" s="1" t="s">
        <v>9</v>
      </c>
      <c r="E104" s="8">
        <v>2</v>
      </c>
      <c r="F104" s="8">
        <v>22511024</v>
      </c>
      <c r="G104" s="8">
        <v>1250</v>
      </c>
      <c r="H104" s="8" t="s">
        <v>10</v>
      </c>
      <c r="I104" s="8" t="s">
        <v>315</v>
      </c>
      <c r="J104" s="114" t="s">
        <v>1456</v>
      </c>
      <c r="K104" s="4">
        <v>1565</v>
      </c>
      <c r="L104" s="4">
        <v>1546</v>
      </c>
      <c r="M104" s="5">
        <v>1546</v>
      </c>
      <c r="N104" s="5">
        <v>1545</v>
      </c>
      <c r="O104" s="5" t="s">
        <v>5</v>
      </c>
      <c r="P104" s="30">
        <v>1545.6666666666667</v>
      </c>
      <c r="Q104" s="7">
        <v>5.6</v>
      </c>
      <c r="R104" s="4">
        <v>37</v>
      </c>
      <c r="S104" s="8" t="s">
        <v>5</v>
      </c>
      <c r="T104" s="8" t="s">
        <v>5</v>
      </c>
      <c r="U104" s="8" t="s">
        <v>5</v>
      </c>
      <c r="V104" s="10" t="e">
        <v>#VALUE!</v>
      </c>
      <c r="W104" s="113" t="s">
        <v>5</v>
      </c>
      <c r="X104" s="7">
        <v>58</v>
      </c>
      <c r="Y104" s="12">
        <v>3.2073999999999998</v>
      </c>
      <c r="Z104" s="7">
        <v>10.7</v>
      </c>
      <c r="AA104" s="7">
        <v>9.9</v>
      </c>
      <c r="AB104" s="13">
        <v>83</v>
      </c>
      <c r="AC104" s="13">
        <v>83</v>
      </c>
      <c r="AD104" s="11" t="s">
        <v>6</v>
      </c>
      <c r="AE104" s="7" t="s">
        <v>53</v>
      </c>
      <c r="AF104" s="14" t="s">
        <v>1457</v>
      </c>
    </row>
    <row r="105" spans="1:32" ht="47.25" x14ac:dyDescent="0.25">
      <c r="A105" s="1">
        <v>1702</v>
      </c>
      <c r="B105" s="2">
        <v>45984</v>
      </c>
      <c r="C105" s="1" t="s">
        <v>0</v>
      </c>
      <c r="D105" s="1" t="s">
        <v>1</v>
      </c>
      <c r="E105" s="8">
        <v>2</v>
      </c>
      <c r="F105" s="8">
        <v>22511024</v>
      </c>
      <c r="G105" s="8">
        <v>1250</v>
      </c>
      <c r="H105" s="8" t="s">
        <v>10</v>
      </c>
      <c r="I105" s="8" t="s">
        <v>126</v>
      </c>
      <c r="J105" s="114" t="s">
        <v>1458</v>
      </c>
      <c r="K105" s="104">
        <v>1569</v>
      </c>
      <c r="L105" s="5">
        <v>1544</v>
      </c>
      <c r="M105" s="5">
        <v>1547</v>
      </c>
      <c r="N105" s="5">
        <v>1546</v>
      </c>
      <c r="O105" s="5" t="s">
        <v>5</v>
      </c>
      <c r="P105" s="30">
        <v>1550.1428571428571</v>
      </c>
      <c r="Q105" s="7">
        <v>5</v>
      </c>
      <c r="R105" s="4">
        <v>36</v>
      </c>
      <c r="S105" s="116">
        <v>22</v>
      </c>
      <c r="T105" s="8">
        <v>167</v>
      </c>
      <c r="U105" s="9">
        <v>52</v>
      </c>
      <c r="V105" s="10">
        <v>115</v>
      </c>
      <c r="W105" s="113" t="s">
        <v>5</v>
      </c>
      <c r="X105" s="7">
        <v>56</v>
      </c>
      <c r="Y105" s="12">
        <v>2.7650000000000001</v>
      </c>
      <c r="Z105" s="7">
        <v>9</v>
      </c>
      <c r="AA105" s="7">
        <v>9.9</v>
      </c>
      <c r="AB105" s="13">
        <v>78</v>
      </c>
      <c r="AC105" s="13">
        <v>85</v>
      </c>
      <c r="AD105" s="11" t="s">
        <v>6</v>
      </c>
      <c r="AE105" s="115" t="s">
        <v>455</v>
      </c>
      <c r="AF105" s="14" t="s">
        <v>1459</v>
      </c>
    </row>
    <row r="106" spans="1:32" ht="31.5" x14ac:dyDescent="0.25">
      <c r="A106" s="1">
        <v>1709</v>
      </c>
      <c r="B106" s="2">
        <v>45984</v>
      </c>
      <c r="C106" s="1" t="s">
        <v>0</v>
      </c>
      <c r="D106" s="1" t="s">
        <v>1</v>
      </c>
      <c r="E106" s="8">
        <v>2</v>
      </c>
      <c r="F106" s="8">
        <v>22511024</v>
      </c>
      <c r="G106" s="8">
        <v>1250</v>
      </c>
      <c r="H106" s="8" t="s">
        <v>10</v>
      </c>
      <c r="I106" s="8" t="s">
        <v>269</v>
      </c>
      <c r="J106" s="2" t="s">
        <v>1460</v>
      </c>
      <c r="K106" s="4">
        <v>1569</v>
      </c>
      <c r="L106" s="4">
        <v>1543</v>
      </c>
      <c r="M106" s="5">
        <v>1544</v>
      </c>
      <c r="N106" s="5">
        <v>1543</v>
      </c>
      <c r="O106" s="5" t="s">
        <v>5</v>
      </c>
      <c r="P106" s="30">
        <v>1543.3333333333333</v>
      </c>
      <c r="Q106" s="7">
        <v>5.0999999999999996</v>
      </c>
      <c r="R106" s="4">
        <v>36</v>
      </c>
      <c r="S106" s="8">
        <v>12</v>
      </c>
      <c r="T106" s="9">
        <v>162</v>
      </c>
      <c r="U106" s="9">
        <v>60</v>
      </c>
      <c r="V106" s="10">
        <v>102</v>
      </c>
      <c r="W106" s="113" t="s">
        <v>5</v>
      </c>
      <c r="X106" s="7">
        <v>56</v>
      </c>
      <c r="Y106" s="12">
        <v>2.8203</v>
      </c>
      <c r="Z106" s="7">
        <v>8.9</v>
      </c>
      <c r="AA106" s="7">
        <v>9.5</v>
      </c>
      <c r="AB106" s="13">
        <v>76</v>
      </c>
      <c r="AC106" s="13">
        <v>83</v>
      </c>
      <c r="AD106" s="11" t="s">
        <v>6</v>
      </c>
      <c r="AE106" s="7" t="s">
        <v>455</v>
      </c>
      <c r="AF106" s="14" t="s">
        <v>1461</v>
      </c>
    </row>
    <row r="107" spans="1:32" ht="15.75" x14ac:dyDescent="0.25">
      <c r="A107" s="1">
        <v>1710</v>
      </c>
      <c r="B107" s="2">
        <v>45984</v>
      </c>
      <c r="C107" s="1" t="s">
        <v>0</v>
      </c>
      <c r="D107" s="1" t="s">
        <v>1</v>
      </c>
      <c r="E107" s="8">
        <v>2</v>
      </c>
      <c r="F107" s="8">
        <v>22511024</v>
      </c>
      <c r="G107" s="8">
        <v>1250</v>
      </c>
      <c r="H107" s="8" t="s">
        <v>10</v>
      </c>
      <c r="I107" s="8" t="s">
        <v>129</v>
      </c>
      <c r="J107" s="2" t="s">
        <v>1462</v>
      </c>
      <c r="K107" s="4">
        <v>1567</v>
      </c>
      <c r="L107" s="4">
        <v>1544</v>
      </c>
      <c r="M107" s="5">
        <v>1547</v>
      </c>
      <c r="N107" s="5">
        <v>1545</v>
      </c>
      <c r="O107" s="5">
        <v>1545</v>
      </c>
      <c r="P107" s="30">
        <v>1545.25</v>
      </c>
      <c r="Q107" s="7">
        <v>5.2</v>
      </c>
      <c r="R107" s="4">
        <v>38</v>
      </c>
      <c r="S107" s="8">
        <v>33</v>
      </c>
      <c r="T107" s="9">
        <v>168</v>
      </c>
      <c r="U107" s="9">
        <v>51</v>
      </c>
      <c r="V107" s="10">
        <v>117</v>
      </c>
      <c r="W107" s="113" t="s">
        <v>5</v>
      </c>
      <c r="X107" s="7">
        <v>56</v>
      </c>
      <c r="Y107" s="12">
        <v>2.8756000000000004</v>
      </c>
      <c r="Z107" s="7">
        <v>10</v>
      </c>
      <c r="AA107" s="7">
        <v>10.6</v>
      </c>
      <c r="AB107" s="13">
        <v>82</v>
      </c>
      <c r="AC107" s="13">
        <v>86</v>
      </c>
      <c r="AD107" s="11" t="s">
        <v>6</v>
      </c>
      <c r="AE107" s="7" t="s">
        <v>455</v>
      </c>
      <c r="AF107" s="14" t="s">
        <v>1463</v>
      </c>
    </row>
    <row r="108" spans="1:32" ht="31.5" x14ac:dyDescent="0.25">
      <c r="A108" s="1">
        <v>1742</v>
      </c>
      <c r="B108" s="2">
        <v>45985</v>
      </c>
      <c r="C108" s="1" t="s">
        <v>18</v>
      </c>
      <c r="D108" s="1" t="s">
        <v>19</v>
      </c>
      <c r="E108" s="8">
        <v>2</v>
      </c>
      <c r="F108" s="1">
        <v>22511024</v>
      </c>
      <c r="G108" s="8">
        <v>1230</v>
      </c>
      <c r="H108" s="8" t="s">
        <v>10</v>
      </c>
      <c r="I108" s="8" t="s">
        <v>504</v>
      </c>
      <c r="J108" s="16" t="s">
        <v>1464</v>
      </c>
      <c r="K108" s="16">
        <v>1565</v>
      </c>
      <c r="L108" s="16">
        <v>1549</v>
      </c>
      <c r="M108" s="4">
        <v>1542</v>
      </c>
      <c r="N108" s="4">
        <v>1544</v>
      </c>
      <c r="O108" s="5">
        <v>1546</v>
      </c>
      <c r="P108" s="30">
        <v>1545.25</v>
      </c>
      <c r="Q108" s="7">
        <v>5.5</v>
      </c>
      <c r="R108" s="4">
        <v>32</v>
      </c>
      <c r="S108" s="8">
        <v>31</v>
      </c>
      <c r="T108" s="9">
        <v>161</v>
      </c>
      <c r="U108" s="9">
        <v>64</v>
      </c>
      <c r="V108" s="10">
        <v>97</v>
      </c>
      <c r="W108" s="113" t="s">
        <v>5</v>
      </c>
      <c r="X108" s="7">
        <v>58</v>
      </c>
      <c r="Y108" s="12">
        <v>3.099723</v>
      </c>
      <c r="Z108" s="7">
        <v>9.9</v>
      </c>
      <c r="AA108" s="7">
        <v>10</v>
      </c>
      <c r="AB108" s="13">
        <v>84</v>
      </c>
      <c r="AC108" s="13">
        <v>85</v>
      </c>
      <c r="AD108" s="11" t="s">
        <v>6</v>
      </c>
      <c r="AE108" s="7" t="s">
        <v>455</v>
      </c>
      <c r="AF108" s="14" t="s">
        <v>1465</v>
      </c>
    </row>
    <row r="109" spans="1:32" ht="31.5" x14ac:dyDescent="0.25">
      <c r="A109" s="1">
        <v>1767</v>
      </c>
      <c r="B109" s="2">
        <v>45985</v>
      </c>
      <c r="C109" s="1" t="s">
        <v>264</v>
      </c>
      <c r="D109" s="1" t="s">
        <v>9</v>
      </c>
      <c r="E109" s="8">
        <v>2</v>
      </c>
      <c r="F109" s="8">
        <v>22511025</v>
      </c>
      <c r="G109" s="8">
        <v>1170</v>
      </c>
      <c r="H109" s="8" t="s">
        <v>707</v>
      </c>
      <c r="I109" s="8" t="s">
        <v>70</v>
      </c>
      <c r="J109" s="16" t="s">
        <v>1466</v>
      </c>
      <c r="K109" s="4">
        <v>1578</v>
      </c>
      <c r="L109" s="4">
        <v>1551</v>
      </c>
      <c r="M109" s="5">
        <v>1552</v>
      </c>
      <c r="N109" s="5">
        <v>1555</v>
      </c>
      <c r="O109" s="5">
        <v>1557</v>
      </c>
      <c r="P109" s="30">
        <v>1553.75</v>
      </c>
      <c r="Q109" s="7">
        <v>4.8</v>
      </c>
      <c r="R109" s="4">
        <v>39</v>
      </c>
      <c r="S109" s="8" t="s">
        <v>5</v>
      </c>
      <c r="T109" s="8"/>
      <c r="U109" s="8" t="s">
        <v>5</v>
      </c>
      <c r="V109" s="10">
        <v>109</v>
      </c>
      <c r="W109" s="113" t="s">
        <v>5</v>
      </c>
      <c r="X109" s="7">
        <v>56</v>
      </c>
      <c r="Y109" s="12">
        <v>2.4845184000000002</v>
      </c>
      <c r="Z109" s="7">
        <v>9.4</v>
      </c>
      <c r="AA109" s="7">
        <v>9.8000000000000007</v>
      </c>
      <c r="AB109" s="13">
        <v>82</v>
      </c>
      <c r="AC109" s="13">
        <v>88</v>
      </c>
      <c r="AD109" s="11" t="s">
        <v>6</v>
      </c>
      <c r="AE109" s="7" t="s">
        <v>455</v>
      </c>
      <c r="AF109" s="14" t="s">
        <v>876</v>
      </c>
    </row>
    <row r="110" spans="1:32" ht="31.5" x14ac:dyDescent="0.25">
      <c r="A110" s="1">
        <v>1775</v>
      </c>
      <c r="B110" s="2">
        <v>45985</v>
      </c>
      <c r="C110" s="1" t="s">
        <v>0</v>
      </c>
      <c r="D110" s="1" t="s">
        <v>265</v>
      </c>
      <c r="E110" s="8">
        <v>1</v>
      </c>
      <c r="F110" s="8">
        <v>12511021</v>
      </c>
      <c r="G110" s="8">
        <v>1230</v>
      </c>
      <c r="H110" s="8" t="s">
        <v>10</v>
      </c>
      <c r="I110" s="8" t="s">
        <v>86</v>
      </c>
      <c r="J110" s="16" t="s">
        <v>1467</v>
      </c>
      <c r="K110" s="4">
        <v>1568</v>
      </c>
      <c r="L110" s="5">
        <v>1550</v>
      </c>
      <c r="M110" s="5">
        <v>1545</v>
      </c>
      <c r="N110" s="5">
        <v>1544</v>
      </c>
      <c r="O110" s="5">
        <v>1544</v>
      </c>
      <c r="P110" s="30">
        <v>1558.25</v>
      </c>
      <c r="Q110" s="7">
        <v>4.8</v>
      </c>
      <c r="R110" s="4">
        <v>35</v>
      </c>
      <c r="S110" s="8" t="s">
        <v>5</v>
      </c>
      <c r="T110" s="8">
        <v>155</v>
      </c>
      <c r="U110" s="8">
        <v>60</v>
      </c>
      <c r="V110" s="10">
        <v>95</v>
      </c>
      <c r="W110" s="113" t="s">
        <v>5</v>
      </c>
      <c r="X110" s="7">
        <v>58</v>
      </c>
      <c r="Y110" s="12">
        <v>2.7052128</v>
      </c>
      <c r="Z110" s="7">
        <v>8.1999999999999993</v>
      </c>
      <c r="AA110" s="7">
        <v>10.5</v>
      </c>
      <c r="AB110" s="13">
        <v>60</v>
      </c>
      <c r="AC110" s="13">
        <v>91</v>
      </c>
      <c r="AD110" s="11" t="s">
        <v>6</v>
      </c>
      <c r="AE110" s="115" t="s">
        <v>53</v>
      </c>
      <c r="AF110" s="14" t="s">
        <v>1419</v>
      </c>
    </row>
    <row r="111" spans="1:32" ht="15.75" x14ac:dyDescent="0.25">
      <c r="A111" s="1">
        <v>1790</v>
      </c>
      <c r="B111" s="2">
        <v>45985</v>
      </c>
      <c r="C111" s="1" t="s">
        <v>0</v>
      </c>
      <c r="D111" s="1" t="s">
        <v>265</v>
      </c>
      <c r="E111" s="8">
        <v>2</v>
      </c>
      <c r="F111" s="8">
        <v>22511025</v>
      </c>
      <c r="G111" s="8">
        <v>1230</v>
      </c>
      <c r="H111" s="8" t="s">
        <v>10</v>
      </c>
      <c r="I111" s="8" t="s">
        <v>110</v>
      </c>
      <c r="J111" s="2" t="s">
        <v>1468</v>
      </c>
      <c r="K111" s="4">
        <v>1566</v>
      </c>
      <c r="L111" s="4">
        <v>1548</v>
      </c>
      <c r="M111" s="5">
        <v>1546</v>
      </c>
      <c r="N111" s="5">
        <v>1543</v>
      </c>
      <c r="O111" s="5" t="s">
        <v>5</v>
      </c>
      <c r="P111" s="30">
        <v>1545.6666666666667</v>
      </c>
      <c r="Q111" s="7">
        <v>5</v>
      </c>
      <c r="R111" s="4">
        <v>35</v>
      </c>
      <c r="S111" s="8">
        <v>32</v>
      </c>
      <c r="T111" s="9">
        <v>164.9</v>
      </c>
      <c r="U111" s="9">
        <v>54.7</v>
      </c>
      <c r="V111" s="10">
        <v>110.2</v>
      </c>
      <c r="W111" s="113" t="s">
        <v>5</v>
      </c>
      <c r="X111" s="7">
        <v>58</v>
      </c>
      <c r="Y111" s="12">
        <v>2.81793</v>
      </c>
      <c r="Z111" s="7">
        <v>11.2</v>
      </c>
      <c r="AA111" s="7">
        <v>12.12</v>
      </c>
      <c r="AB111" s="13">
        <v>92</v>
      </c>
      <c r="AC111" s="13">
        <v>100</v>
      </c>
      <c r="AD111" s="11" t="s">
        <v>6</v>
      </c>
      <c r="AE111" s="115" t="s">
        <v>455</v>
      </c>
      <c r="AF111" s="14" t="s">
        <v>1469</v>
      </c>
    </row>
    <row r="112" spans="1:32" ht="15.75" x14ac:dyDescent="0.25">
      <c r="A112" s="1">
        <v>1791</v>
      </c>
      <c r="B112" s="2">
        <v>45985</v>
      </c>
      <c r="C112" s="1" t="s">
        <v>0</v>
      </c>
      <c r="D112" s="1" t="s">
        <v>265</v>
      </c>
      <c r="E112" s="8">
        <v>2</v>
      </c>
      <c r="F112" s="8">
        <v>22511025</v>
      </c>
      <c r="G112" s="8">
        <v>1230</v>
      </c>
      <c r="H112" s="8" t="s">
        <v>10</v>
      </c>
      <c r="I112" s="8" t="s">
        <v>261</v>
      </c>
      <c r="J112" s="2" t="s">
        <v>1470</v>
      </c>
      <c r="K112" s="4">
        <v>1567</v>
      </c>
      <c r="L112" s="4">
        <v>1544</v>
      </c>
      <c r="M112" s="5">
        <v>1545</v>
      </c>
      <c r="N112" s="5">
        <v>1546</v>
      </c>
      <c r="O112" s="5" t="s">
        <v>5</v>
      </c>
      <c r="P112" s="30">
        <v>1545</v>
      </c>
      <c r="Q112" s="7">
        <v>5.5</v>
      </c>
      <c r="R112" s="4">
        <v>30</v>
      </c>
      <c r="S112" s="8">
        <v>25</v>
      </c>
      <c r="T112" s="9">
        <v>162</v>
      </c>
      <c r="U112" s="9">
        <v>63</v>
      </c>
      <c r="V112" s="10">
        <v>99</v>
      </c>
      <c r="W112" s="113" t="s">
        <v>5</v>
      </c>
      <c r="X112" s="7">
        <v>58</v>
      </c>
      <c r="Y112" s="12">
        <v>3.099723</v>
      </c>
      <c r="Z112" s="7">
        <v>10.1</v>
      </c>
      <c r="AA112" s="7">
        <v>11.1</v>
      </c>
      <c r="AB112" s="13">
        <v>90</v>
      </c>
      <c r="AC112" s="13">
        <v>98</v>
      </c>
      <c r="AD112" s="11" t="s">
        <v>6</v>
      </c>
      <c r="AE112" s="115" t="s">
        <v>455</v>
      </c>
      <c r="AF112" s="14" t="s">
        <v>480</v>
      </c>
    </row>
    <row r="113" spans="1:32" ht="31.5" x14ac:dyDescent="0.25">
      <c r="A113" s="1">
        <v>1871</v>
      </c>
      <c r="B113" s="2">
        <v>45986</v>
      </c>
      <c r="C113" s="1" t="s">
        <v>0</v>
      </c>
      <c r="D113" s="1" t="s">
        <v>265</v>
      </c>
      <c r="E113" s="8">
        <v>2</v>
      </c>
      <c r="F113" s="8">
        <v>22511026</v>
      </c>
      <c r="G113" s="8">
        <v>1250</v>
      </c>
      <c r="H113" s="8" t="s">
        <v>1159</v>
      </c>
      <c r="I113" s="8" t="s">
        <v>93</v>
      </c>
      <c r="J113" s="2" t="s">
        <v>1471</v>
      </c>
      <c r="K113" s="4">
        <v>1565</v>
      </c>
      <c r="L113" s="4">
        <v>1541</v>
      </c>
      <c r="M113" s="5">
        <v>1547</v>
      </c>
      <c r="N113" s="5">
        <v>1538</v>
      </c>
      <c r="O113" s="5" t="s">
        <v>5</v>
      </c>
      <c r="P113" s="30">
        <v>1542</v>
      </c>
      <c r="Q113" s="7">
        <v>5.4</v>
      </c>
      <c r="R113" s="4">
        <v>30</v>
      </c>
      <c r="S113" s="8">
        <v>17</v>
      </c>
      <c r="T113" s="9">
        <v>160</v>
      </c>
      <c r="U113" s="9">
        <v>56</v>
      </c>
      <c r="V113" s="10">
        <v>104</v>
      </c>
      <c r="W113" s="113" t="s">
        <v>5</v>
      </c>
      <c r="X113" s="7">
        <v>56</v>
      </c>
      <c r="Y113" s="12">
        <v>2.9862000000000006</v>
      </c>
      <c r="Z113" s="7">
        <v>7.3</v>
      </c>
      <c r="AA113" s="7">
        <v>6.2</v>
      </c>
      <c r="AB113" s="13">
        <v>90</v>
      </c>
      <c r="AC113" s="13">
        <v>80</v>
      </c>
      <c r="AD113" s="11" t="s">
        <v>6</v>
      </c>
      <c r="AE113" s="115" t="s">
        <v>455</v>
      </c>
      <c r="AF113" s="14" t="s">
        <v>1472</v>
      </c>
    </row>
    <row r="114" spans="1:32" ht="31.5" x14ac:dyDescent="0.25">
      <c r="A114" s="1">
        <v>1872</v>
      </c>
      <c r="B114" s="2">
        <v>45986</v>
      </c>
      <c r="C114" s="1" t="s">
        <v>0</v>
      </c>
      <c r="D114" s="1" t="s">
        <v>265</v>
      </c>
      <c r="E114" s="8">
        <v>2</v>
      </c>
      <c r="F114" s="8">
        <v>22511026</v>
      </c>
      <c r="G114" s="8">
        <v>1250</v>
      </c>
      <c r="H114" s="8" t="s">
        <v>1159</v>
      </c>
      <c r="I114" s="8" t="s">
        <v>74</v>
      </c>
      <c r="J114" s="2" t="s">
        <v>1473</v>
      </c>
      <c r="K114" s="16">
        <v>1570</v>
      </c>
      <c r="L114" s="16">
        <v>1539</v>
      </c>
      <c r="M114" s="5">
        <v>1536</v>
      </c>
      <c r="N114" s="5">
        <v>1537</v>
      </c>
      <c r="O114" s="5" t="s">
        <v>5</v>
      </c>
      <c r="P114" s="30">
        <v>1537.3333333333333</v>
      </c>
      <c r="Q114" s="7">
        <v>4.8</v>
      </c>
      <c r="R114" s="4">
        <v>43</v>
      </c>
      <c r="S114" s="8">
        <v>20</v>
      </c>
      <c r="T114" s="9">
        <v>173</v>
      </c>
      <c r="U114" s="9">
        <v>60</v>
      </c>
      <c r="V114" s="10">
        <v>113</v>
      </c>
      <c r="W114" s="113" t="s">
        <v>5</v>
      </c>
      <c r="X114" s="7">
        <v>58</v>
      </c>
      <c r="Y114" s="12">
        <v>2.7491999999999996</v>
      </c>
      <c r="Z114" s="7">
        <v>10.3</v>
      </c>
      <c r="AA114" s="7">
        <v>10</v>
      </c>
      <c r="AB114" s="13">
        <v>91</v>
      </c>
      <c r="AC114" s="13">
        <v>80</v>
      </c>
      <c r="AD114" s="11" t="s">
        <v>747</v>
      </c>
      <c r="AE114" s="115" t="s">
        <v>455</v>
      </c>
      <c r="AF114" s="14" t="s">
        <v>1474</v>
      </c>
    </row>
    <row r="115" spans="1:32" ht="31.5" x14ac:dyDescent="0.25">
      <c r="A115" s="1">
        <v>1923</v>
      </c>
      <c r="B115" s="2">
        <v>45987</v>
      </c>
      <c r="C115" s="1" t="s">
        <v>264</v>
      </c>
      <c r="D115" s="1" t="s">
        <v>9</v>
      </c>
      <c r="E115" s="8">
        <v>2</v>
      </c>
      <c r="F115" s="1">
        <v>22511026</v>
      </c>
      <c r="G115" s="8">
        <v>1250</v>
      </c>
      <c r="H115" s="8" t="s">
        <v>10</v>
      </c>
      <c r="I115" s="8" t="s">
        <v>15</v>
      </c>
      <c r="J115" s="16" t="s">
        <v>1475</v>
      </c>
      <c r="K115" s="4">
        <v>1570</v>
      </c>
      <c r="L115" s="4">
        <v>1539</v>
      </c>
      <c r="M115" s="5">
        <v>1539</v>
      </c>
      <c r="N115" s="5">
        <v>1538</v>
      </c>
      <c r="O115" s="5">
        <v>1538</v>
      </c>
      <c r="P115" s="30">
        <v>1538.5</v>
      </c>
      <c r="Q115" s="7">
        <v>5.4</v>
      </c>
      <c r="R115" s="4">
        <v>31</v>
      </c>
      <c r="S115" s="8" t="s">
        <v>5</v>
      </c>
      <c r="T115" s="8">
        <v>166</v>
      </c>
      <c r="U115" s="8">
        <v>60</v>
      </c>
      <c r="V115" s="10">
        <v>106</v>
      </c>
      <c r="W115" s="113" t="s">
        <v>5</v>
      </c>
      <c r="X115" s="7">
        <v>58</v>
      </c>
      <c r="Y115" s="12">
        <v>3.0928500000000003</v>
      </c>
      <c r="Z115" s="7">
        <v>10.1</v>
      </c>
      <c r="AA115" s="7">
        <v>11.2</v>
      </c>
      <c r="AB115" s="13">
        <v>75</v>
      </c>
      <c r="AC115" s="13">
        <v>80</v>
      </c>
      <c r="AD115" s="11" t="s">
        <v>6</v>
      </c>
      <c r="AE115" s="7" t="s">
        <v>455</v>
      </c>
      <c r="AF115" s="103" t="s">
        <v>1476</v>
      </c>
    </row>
    <row r="116" spans="1:32" ht="31.5" x14ac:dyDescent="0.25">
      <c r="A116" s="1">
        <v>1925</v>
      </c>
      <c r="B116" s="2">
        <v>45987</v>
      </c>
      <c r="C116" s="1" t="s">
        <v>264</v>
      </c>
      <c r="D116" s="1" t="s">
        <v>9</v>
      </c>
      <c r="E116" s="8">
        <v>2</v>
      </c>
      <c r="F116" s="1">
        <v>22511026</v>
      </c>
      <c r="G116" s="8">
        <v>1250</v>
      </c>
      <c r="H116" s="8" t="s">
        <v>10</v>
      </c>
      <c r="I116" s="8" t="s">
        <v>129</v>
      </c>
      <c r="J116" s="16" t="s">
        <v>1477</v>
      </c>
      <c r="K116" s="4">
        <v>1577</v>
      </c>
      <c r="L116" s="4">
        <v>1546</v>
      </c>
      <c r="M116" s="5">
        <v>1545</v>
      </c>
      <c r="N116" s="5">
        <v>1543</v>
      </c>
      <c r="O116" s="5">
        <v>1543</v>
      </c>
      <c r="P116" s="30">
        <v>1544.25</v>
      </c>
      <c r="Q116" s="7">
        <v>5.5</v>
      </c>
      <c r="R116" s="4">
        <v>36</v>
      </c>
      <c r="S116" s="8" t="s">
        <v>5</v>
      </c>
      <c r="T116" s="8">
        <v>167</v>
      </c>
      <c r="U116" s="8">
        <v>60</v>
      </c>
      <c r="V116" s="10">
        <v>107</v>
      </c>
      <c r="W116" s="113" t="s">
        <v>5</v>
      </c>
      <c r="X116" s="7">
        <v>56</v>
      </c>
      <c r="Y116" s="12">
        <v>3.0415000000000001</v>
      </c>
      <c r="Z116" s="7">
        <v>9.1999999999999993</v>
      </c>
      <c r="AA116" s="7">
        <v>9.5</v>
      </c>
      <c r="AB116" s="13">
        <v>73</v>
      </c>
      <c r="AC116" s="13">
        <v>77</v>
      </c>
      <c r="AD116" s="11" t="s">
        <v>6</v>
      </c>
      <c r="AE116" s="7" t="s">
        <v>455</v>
      </c>
      <c r="AF116" s="14" t="s">
        <v>1419</v>
      </c>
    </row>
    <row r="117" spans="1:32" ht="47.25" x14ac:dyDescent="0.25">
      <c r="A117" s="1">
        <v>1949</v>
      </c>
      <c r="B117" s="2">
        <v>45987</v>
      </c>
      <c r="C117" s="1" t="s">
        <v>0</v>
      </c>
      <c r="D117" s="1" t="s">
        <v>265</v>
      </c>
      <c r="E117" s="8">
        <v>2</v>
      </c>
      <c r="F117" s="8">
        <v>22511026</v>
      </c>
      <c r="G117" s="8">
        <v>1250</v>
      </c>
      <c r="H117" s="8" t="s">
        <v>10</v>
      </c>
      <c r="I117" s="8" t="s">
        <v>273</v>
      </c>
      <c r="J117" s="2" t="s">
        <v>1478</v>
      </c>
      <c r="K117" s="4">
        <v>1567</v>
      </c>
      <c r="L117" s="4">
        <v>1538</v>
      </c>
      <c r="M117" s="5">
        <v>1537</v>
      </c>
      <c r="N117" s="5">
        <v>1536</v>
      </c>
      <c r="O117" s="5">
        <v>1535</v>
      </c>
      <c r="P117" s="30">
        <v>1536.5</v>
      </c>
      <c r="Q117" s="7">
        <v>5</v>
      </c>
      <c r="R117" s="4">
        <v>26</v>
      </c>
      <c r="S117" s="8" t="s">
        <v>5</v>
      </c>
      <c r="T117" s="9">
        <v>162</v>
      </c>
      <c r="U117" s="9">
        <v>70</v>
      </c>
      <c r="V117" s="10">
        <v>92</v>
      </c>
      <c r="W117" s="113" t="s">
        <v>5</v>
      </c>
      <c r="X117" s="7">
        <v>58</v>
      </c>
      <c r="Y117" s="12">
        <v>2.86375</v>
      </c>
      <c r="Z117" s="7">
        <v>8.1</v>
      </c>
      <c r="AA117" s="7">
        <v>8</v>
      </c>
      <c r="AB117" s="13">
        <v>79</v>
      </c>
      <c r="AC117" s="13">
        <v>77</v>
      </c>
      <c r="AD117" s="11" t="s">
        <v>6</v>
      </c>
      <c r="AE117" s="7" t="s">
        <v>1479</v>
      </c>
      <c r="AF117" s="14" t="s">
        <v>1480</v>
      </c>
    </row>
    <row r="118" spans="1:32" ht="31.5" x14ac:dyDescent="0.25">
      <c r="A118" s="1">
        <v>1950</v>
      </c>
      <c r="B118" s="2">
        <v>45987</v>
      </c>
      <c r="C118" s="1" t="s">
        <v>0</v>
      </c>
      <c r="D118" s="1" t="s">
        <v>265</v>
      </c>
      <c r="E118" s="8">
        <v>2</v>
      </c>
      <c r="F118" s="8">
        <v>22511026</v>
      </c>
      <c r="G118" s="8">
        <v>1250</v>
      </c>
      <c r="H118" s="8" t="s">
        <v>10</v>
      </c>
      <c r="I118" s="8" t="s">
        <v>458</v>
      </c>
      <c r="J118" s="2" t="s">
        <v>1481</v>
      </c>
      <c r="K118" s="4">
        <v>1570</v>
      </c>
      <c r="L118" s="4">
        <v>1540</v>
      </c>
      <c r="M118" s="5">
        <v>1542</v>
      </c>
      <c r="N118" s="5">
        <v>1543</v>
      </c>
      <c r="O118" s="5">
        <v>1546</v>
      </c>
      <c r="P118" s="30">
        <v>1542.75</v>
      </c>
      <c r="Q118" s="7">
        <v>4.0999999999999996</v>
      </c>
      <c r="R118" s="4">
        <v>40</v>
      </c>
      <c r="S118" s="8">
        <v>29</v>
      </c>
      <c r="T118" s="9">
        <v>163.30000000000001</v>
      </c>
      <c r="U118" s="9">
        <v>55</v>
      </c>
      <c r="V118" s="10">
        <v>108.30000000000001</v>
      </c>
      <c r="W118" s="113" t="s">
        <v>5</v>
      </c>
      <c r="X118" s="7">
        <v>58</v>
      </c>
      <c r="Y118" s="12">
        <v>2.3482749999999997</v>
      </c>
      <c r="Z118" s="7">
        <v>9.1</v>
      </c>
      <c r="AA118" s="7">
        <v>10.3</v>
      </c>
      <c r="AB118" s="13">
        <v>78</v>
      </c>
      <c r="AC118" s="13">
        <v>87</v>
      </c>
      <c r="AD118" s="11" t="s">
        <v>747</v>
      </c>
      <c r="AE118" s="7" t="s">
        <v>53</v>
      </c>
      <c r="AF118" s="14" t="s">
        <v>757</v>
      </c>
    </row>
    <row r="119" spans="1:32" ht="15.75" x14ac:dyDescent="0.25">
      <c r="A119" s="1">
        <v>1964</v>
      </c>
      <c r="B119" s="2">
        <v>45988</v>
      </c>
      <c r="C119" s="1" t="s">
        <v>18</v>
      </c>
      <c r="D119" s="1" t="s">
        <v>19</v>
      </c>
      <c r="E119" s="8">
        <v>1</v>
      </c>
      <c r="F119" s="1">
        <v>12511024</v>
      </c>
      <c r="G119" s="8">
        <v>1250</v>
      </c>
      <c r="H119" s="8" t="s">
        <v>225</v>
      </c>
      <c r="I119" s="8" t="s">
        <v>261</v>
      </c>
      <c r="J119" s="8" t="s">
        <v>1482</v>
      </c>
      <c r="K119" s="8">
        <v>1565</v>
      </c>
      <c r="L119" s="8">
        <v>1543</v>
      </c>
      <c r="M119" s="8">
        <v>1543</v>
      </c>
      <c r="N119" s="8">
        <v>1540</v>
      </c>
      <c r="O119" s="8">
        <v>1538</v>
      </c>
      <c r="P119" s="30">
        <v>1541</v>
      </c>
      <c r="Q119" s="8">
        <v>5.5</v>
      </c>
      <c r="R119" s="8">
        <v>33</v>
      </c>
      <c r="S119" s="8" t="s">
        <v>5</v>
      </c>
      <c r="T119" s="9">
        <v>160</v>
      </c>
      <c r="U119" s="9">
        <v>60</v>
      </c>
      <c r="V119" s="10">
        <v>100</v>
      </c>
      <c r="W119" s="113" t="s">
        <v>5</v>
      </c>
      <c r="X119" s="7">
        <v>56</v>
      </c>
      <c r="Y119" s="12">
        <v>3.0415000000000001</v>
      </c>
      <c r="Z119" s="7">
        <v>10.199999999999999</v>
      </c>
      <c r="AA119" s="7">
        <v>10.3</v>
      </c>
      <c r="AB119" s="13">
        <v>92</v>
      </c>
      <c r="AC119" s="13">
        <v>88</v>
      </c>
      <c r="AD119" s="11" t="s">
        <v>6</v>
      </c>
      <c r="AE119" s="7" t="s">
        <v>455</v>
      </c>
      <c r="AF119" s="14" t="s">
        <v>706</v>
      </c>
    </row>
    <row r="120" spans="1:32" ht="31.5" x14ac:dyDescent="0.25">
      <c r="A120" s="1">
        <v>1970</v>
      </c>
      <c r="B120" s="2">
        <v>45988</v>
      </c>
      <c r="C120" s="1" t="s">
        <v>18</v>
      </c>
      <c r="D120" s="1" t="s">
        <v>19</v>
      </c>
      <c r="E120" s="8">
        <v>1</v>
      </c>
      <c r="F120" s="1">
        <v>12511024</v>
      </c>
      <c r="G120" s="8">
        <v>1250</v>
      </c>
      <c r="H120" s="8" t="s">
        <v>228</v>
      </c>
      <c r="I120" s="8" t="s">
        <v>126</v>
      </c>
      <c r="J120" s="8" t="s">
        <v>1483</v>
      </c>
      <c r="K120" s="8">
        <v>1565</v>
      </c>
      <c r="L120" s="8">
        <v>1541</v>
      </c>
      <c r="M120" s="8">
        <v>1540</v>
      </c>
      <c r="N120" s="8">
        <v>1535</v>
      </c>
      <c r="O120" s="8" t="s">
        <v>5</v>
      </c>
      <c r="P120" s="30">
        <v>1538.6666666666667</v>
      </c>
      <c r="Q120" s="8">
        <v>5</v>
      </c>
      <c r="R120" s="8">
        <v>37</v>
      </c>
      <c r="S120" s="8">
        <v>31</v>
      </c>
      <c r="T120" s="9">
        <v>168</v>
      </c>
      <c r="U120" s="9">
        <v>60</v>
      </c>
      <c r="V120" s="10">
        <v>108</v>
      </c>
      <c r="W120" s="113" t="s">
        <v>5</v>
      </c>
      <c r="X120" s="7">
        <v>58</v>
      </c>
      <c r="Y120" s="12">
        <v>2.86375</v>
      </c>
      <c r="Z120" s="7">
        <v>10.7</v>
      </c>
      <c r="AA120" s="7">
        <v>10.7</v>
      </c>
      <c r="AB120" s="13">
        <v>100</v>
      </c>
      <c r="AC120" s="13">
        <v>86</v>
      </c>
      <c r="AD120" s="11" t="s">
        <v>6</v>
      </c>
      <c r="AE120" s="7" t="s">
        <v>72</v>
      </c>
      <c r="AF120" s="14" t="s">
        <v>1484</v>
      </c>
    </row>
    <row r="121" spans="1:32" ht="31.5" x14ac:dyDescent="0.25">
      <c r="A121" s="1">
        <v>2025</v>
      </c>
      <c r="B121" s="2">
        <v>45988</v>
      </c>
      <c r="C121" s="1" t="s">
        <v>0</v>
      </c>
      <c r="D121" s="1" t="s">
        <v>265</v>
      </c>
      <c r="E121" s="8">
        <v>2</v>
      </c>
      <c r="F121" s="8">
        <v>22511027</v>
      </c>
      <c r="G121" s="8">
        <v>1250</v>
      </c>
      <c r="H121" s="8" t="s">
        <v>225</v>
      </c>
      <c r="I121" s="8" t="s">
        <v>126</v>
      </c>
      <c r="J121" s="2" t="s">
        <v>1485</v>
      </c>
      <c r="K121" s="4">
        <v>1577</v>
      </c>
      <c r="L121" s="4">
        <v>1547</v>
      </c>
      <c r="M121" s="5">
        <v>1548</v>
      </c>
      <c r="N121" s="5">
        <v>1547</v>
      </c>
      <c r="O121" s="5">
        <v>1545</v>
      </c>
      <c r="P121" s="30">
        <v>1543.625</v>
      </c>
      <c r="Q121" s="7">
        <v>4.5</v>
      </c>
      <c r="R121" s="4">
        <v>38</v>
      </c>
      <c r="S121" s="8">
        <v>18</v>
      </c>
      <c r="T121" s="9">
        <v>163</v>
      </c>
      <c r="U121" s="9">
        <v>60</v>
      </c>
      <c r="V121" s="10">
        <v>103</v>
      </c>
      <c r="W121" s="113" t="s">
        <v>5</v>
      </c>
      <c r="X121" s="7">
        <v>56</v>
      </c>
      <c r="Y121" s="12">
        <v>2.4885000000000002</v>
      </c>
      <c r="Z121" s="7">
        <v>9.1</v>
      </c>
      <c r="AA121" s="7">
        <v>8.8000000000000007</v>
      </c>
      <c r="AB121" s="13">
        <v>83</v>
      </c>
      <c r="AC121" s="13">
        <v>81</v>
      </c>
      <c r="AD121" s="11" t="s">
        <v>6</v>
      </c>
      <c r="AE121" s="7" t="s">
        <v>455</v>
      </c>
      <c r="AF121" s="14" t="s">
        <v>1486</v>
      </c>
    </row>
    <row r="122" spans="1:32" ht="31.5" x14ac:dyDescent="0.25">
      <c r="A122" s="1">
        <v>2033</v>
      </c>
      <c r="B122" s="2">
        <v>45988</v>
      </c>
      <c r="C122" s="1" t="s">
        <v>0</v>
      </c>
      <c r="D122" s="1" t="s">
        <v>265</v>
      </c>
      <c r="E122" s="8">
        <v>2</v>
      </c>
      <c r="F122" s="8">
        <v>22511027</v>
      </c>
      <c r="G122" s="8">
        <v>1250</v>
      </c>
      <c r="H122" s="8" t="s">
        <v>232</v>
      </c>
      <c r="I122" s="8" t="s">
        <v>129</v>
      </c>
      <c r="J122" s="2" t="s">
        <v>1487</v>
      </c>
      <c r="K122" s="16">
        <v>1572</v>
      </c>
      <c r="L122" s="16">
        <v>1533</v>
      </c>
      <c r="M122" s="5">
        <v>1543</v>
      </c>
      <c r="N122" s="5">
        <v>1543</v>
      </c>
      <c r="O122" s="5">
        <v>1540</v>
      </c>
      <c r="P122" s="30">
        <v>1539.75</v>
      </c>
      <c r="Q122" s="7">
        <v>4.8</v>
      </c>
      <c r="R122" s="4">
        <v>35</v>
      </c>
      <c r="S122" s="8" t="s">
        <v>5</v>
      </c>
      <c r="T122" s="8">
        <v>157.5</v>
      </c>
      <c r="U122" s="8">
        <v>61.1</v>
      </c>
      <c r="V122" s="10">
        <v>96.4</v>
      </c>
      <c r="W122" s="113" t="s">
        <v>5</v>
      </c>
      <c r="X122" s="7">
        <v>58</v>
      </c>
      <c r="Y122" s="12">
        <v>2.7491999999999996</v>
      </c>
      <c r="Z122" s="7">
        <v>9.1</v>
      </c>
      <c r="AA122" s="7">
        <v>10.199999999999999</v>
      </c>
      <c r="AB122" s="13">
        <v>83</v>
      </c>
      <c r="AC122" s="13">
        <v>88</v>
      </c>
      <c r="AD122" s="11" t="s">
        <v>6</v>
      </c>
      <c r="AE122" s="7" t="s">
        <v>455</v>
      </c>
      <c r="AF122" s="14" t="s">
        <v>1419</v>
      </c>
    </row>
    <row r="123" spans="1:32" ht="15.75" x14ac:dyDescent="0.25">
      <c r="A123" s="1">
        <v>2035</v>
      </c>
      <c r="B123" s="2">
        <v>45988</v>
      </c>
      <c r="C123" s="1" t="s">
        <v>0</v>
      </c>
      <c r="D123" s="1" t="s">
        <v>265</v>
      </c>
      <c r="E123" s="8">
        <v>2</v>
      </c>
      <c r="F123" s="8">
        <v>22511027</v>
      </c>
      <c r="G123" s="8">
        <v>1250</v>
      </c>
      <c r="H123" s="8" t="s">
        <v>232</v>
      </c>
      <c r="I123" s="8" t="s">
        <v>416</v>
      </c>
      <c r="J123" s="2" t="s">
        <v>1488</v>
      </c>
      <c r="K123" s="4">
        <v>1572</v>
      </c>
      <c r="L123" s="4">
        <v>1546</v>
      </c>
      <c r="M123" s="5">
        <v>1548</v>
      </c>
      <c r="N123" s="5">
        <v>1546</v>
      </c>
      <c r="O123" s="5" t="s">
        <v>5</v>
      </c>
      <c r="P123" s="30">
        <v>1546.6666666666667</v>
      </c>
      <c r="Q123" s="7">
        <v>4</v>
      </c>
      <c r="R123" s="4">
        <v>37</v>
      </c>
      <c r="S123" s="8" t="s">
        <v>5</v>
      </c>
      <c r="T123" s="9">
        <v>163</v>
      </c>
      <c r="U123" s="9">
        <v>60.76</v>
      </c>
      <c r="V123" s="10">
        <v>102.24000000000001</v>
      </c>
      <c r="W123" s="113" t="s">
        <v>5</v>
      </c>
      <c r="X123" s="7">
        <v>58</v>
      </c>
      <c r="Y123" s="12">
        <v>2.2909999999999999</v>
      </c>
      <c r="Z123" s="7">
        <v>10.199999999999999</v>
      </c>
      <c r="AA123" s="7">
        <v>9.5</v>
      </c>
      <c r="AB123" s="13">
        <v>89</v>
      </c>
      <c r="AC123" s="13">
        <v>84</v>
      </c>
      <c r="AD123" s="11" t="s">
        <v>6</v>
      </c>
      <c r="AE123" s="7" t="s">
        <v>455</v>
      </c>
      <c r="AF123" s="14" t="s">
        <v>721</v>
      </c>
    </row>
    <row r="124" spans="1:32" ht="15.75" x14ac:dyDescent="0.25">
      <c r="A124" s="1">
        <v>2078</v>
      </c>
      <c r="B124" s="2">
        <v>45989</v>
      </c>
      <c r="C124" s="1" t="s">
        <v>264</v>
      </c>
      <c r="D124" s="1" t="s">
        <v>9</v>
      </c>
      <c r="E124" s="8">
        <v>2</v>
      </c>
      <c r="F124" s="1">
        <v>22511028</v>
      </c>
      <c r="G124" s="8">
        <v>1260</v>
      </c>
      <c r="H124" s="8" t="s">
        <v>10</v>
      </c>
      <c r="I124" s="8" t="s">
        <v>98</v>
      </c>
      <c r="J124" s="16" t="s">
        <v>1489</v>
      </c>
      <c r="K124" s="4">
        <v>1596</v>
      </c>
      <c r="L124" s="4">
        <v>1570</v>
      </c>
      <c r="M124" s="5">
        <v>1564</v>
      </c>
      <c r="N124" s="5">
        <v>1568</v>
      </c>
      <c r="O124" s="5">
        <v>1570</v>
      </c>
      <c r="P124" s="30">
        <v>1568</v>
      </c>
      <c r="Q124" s="7">
        <v>3.7</v>
      </c>
      <c r="R124" s="4">
        <v>48</v>
      </c>
      <c r="S124" s="8">
        <v>17</v>
      </c>
      <c r="T124" s="9">
        <v>166</v>
      </c>
      <c r="U124" s="9">
        <v>60</v>
      </c>
      <c r="V124" s="10">
        <v>106</v>
      </c>
      <c r="W124" s="113" t="s">
        <v>100</v>
      </c>
      <c r="X124" s="7">
        <v>58</v>
      </c>
      <c r="Y124" s="12">
        <v>2.1361284000000005</v>
      </c>
      <c r="Z124" s="7">
        <v>9.5</v>
      </c>
      <c r="AA124" s="7">
        <v>9.1999999999999993</v>
      </c>
      <c r="AB124" s="13">
        <v>76</v>
      </c>
      <c r="AC124" s="13">
        <v>70</v>
      </c>
      <c r="AD124" s="11" t="s">
        <v>6</v>
      </c>
      <c r="AE124" s="7" t="s">
        <v>53</v>
      </c>
      <c r="AF124" s="14" t="s">
        <v>480</v>
      </c>
    </row>
    <row r="125" spans="1:32" ht="15.75" x14ac:dyDescent="0.25">
      <c r="A125" s="1">
        <v>2103</v>
      </c>
      <c r="B125" s="2">
        <v>45989</v>
      </c>
      <c r="C125" s="1" t="s">
        <v>0</v>
      </c>
      <c r="D125" s="1" t="s">
        <v>19</v>
      </c>
      <c r="E125" s="8">
        <v>2</v>
      </c>
      <c r="F125" s="1">
        <v>22511028</v>
      </c>
      <c r="G125" s="8">
        <v>1250</v>
      </c>
      <c r="H125" s="8" t="s">
        <v>232</v>
      </c>
      <c r="I125" s="8" t="s">
        <v>132</v>
      </c>
      <c r="J125" s="2" t="s">
        <v>1490</v>
      </c>
      <c r="K125" s="4">
        <v>1567</v>
      </c>
      <c r="L125" s="4">
        <v>1542</v>
      </c>
      <c r="M125" s="5">
        <v>1545</v>
      </c>
      <c r="N125" s="5">
        <v>1543</v>
      </c>
      <c r="O125" s="5">
        <v>1545</v>
      </c>
      <c r="P125" s="30">
        <v>1541.125</v>
      </c>
      <c r="Q125" s="7">
        <v>4.9000000000000004</v>
      </c>
      <c r="R125" s="4">
        <v>38</v>
      </c>
      <c r="S125" s="8"/>
      <c r="T125" s="9">
        <v>178</v>
      </c>
      <c r="U125" s="9">
        <v>64</v>
      </c>
      <c r="V125" s="10">
        <v>114</v>
      </c>
      <c r="W125" s="113" t="s">
        <v>5</v>
      </c>
      <c r="X125" s="7">
        <v>58</v>
      </c>
      <c r="Y125" s="12">
        <v>2.8064750000000003</v>
      </c>
      <c r="Z125" s="7">
        <v>10.1</v>
      </c>
      <c r="AA125" s="7">
        <v>9.8000000000000007</v>
      </c>
      <c r="AB125" s="13">
        <v>70</v>
      </c>
      <c r="AC125" s="13">
        <v>75</v>
      </c>
      <c r="AD125" s="11" t="s">
        <v>6</v>
      </c>
      <c r="AE125" s="7" t="s">
        <v>1491</v>
      </c>
      <c r="AF125" s="14" t="s">
        <v>1492</v>
      </c>
    </row>
    <row r="126" spans="1:32" ht="15.75" x14ac:dyDescent="0.25">
      <c r="A126" s="1">
        <v>2213</v>
      </c>
      <c r="B126" s="2">
        <v>45991</v>
      </c>
      <c r="C126" s="1" t="s">
        <v>18</v>
      </c>
      <c r="D126" s="1" t="s">
        <v>1</v>
      </c>
      <c r="E126" s="8">
        <v>2</v>
      </c>
      <c r="F126" s="1">
        <v>22511029</v>
      </c>
      <c r="G126" s="8">
        <v>1240</v>
      </c>
      <c r="H126" s="8" t="s">
        <v>10</v>
      </c>
      <c r="I126" s="8" t="s">
        <v>132</v>
      </c>
      <c r="J126" s="16" t="s">
        <v>1493</v>
      </c>
      <c r="K126" s="16">
        <v>1566</v>
      </c>
      <c r="L126" s="4">
        <v>1546</v>
      </c>
      <c r="M126" s="4">
        <v>1546</v>
      </c>
      <c r="N126" s="5">
        <v>1542</v>
      </c>
      <c r="O126" s="8" t="s">
        <v>5</v>
      </c>
      <c r="P126" s="30">
        <v>1544.6666666666667</v>
      </c>
      <c r="Q126" s="7">
        <v>4</v>
      </c>
      <c r="R126" s="4">
        <v>33</v>
      </c>
      <c r="S126" s="8" t="s">
        <v>5</v>
      </c>
      <c r="T126" s="9">
        <v>160.82</v>
      </c>
      <c r="U126" s="9">
        <v>60</v>
      </c>
      <c r="V126" s="10">
        <v>100.82</v>
      </c>
      <c r="W126" s="113" t="s">
        <v>5</v>
      </c>
      <c r="X126" s="7">
        <v>58</v>
      </c>
      <c r="Y126" s="12">
        <v>2.272672</v>
      </c>
      <c r="Z126" s="7">
        <v>8.5</v>
      </c>
      <c r="AA126" s="7">
        <v>8.1999999999999993</v>
      </c>
      <c r="AB126" s="7">
        <v>64</v>
      </c>
      <c r="AC126" s="7">
        <v>62</v>
      </c>
      <c r="AD126" s="11" t="s">
        <v>6</v>
      </c>
      <c r="AE126" s="7" t="s">
        <v>455</v>
      </c>
      <c r="AF126" s="14" t="s">
        <v>1494</v>
      </c>
    </row>
  </sheetData>
  <mergeCells count="28">
    <mergeCell ref="AE1:AE3"/>
    <mergeCell ref="AF1:AF3"/>
    <mergeCell ref="A4:K4"/>
    <mergeCell ref="Q4:AE4"/>
    <mergeCell ref="W1:W3"/>
    <mergeCell ref="X1:X3"/>
    <mergeCell ref="Y1:Y3"/>
    <mergeCell ref="Z1:AA1"/>
    <mergeCell ref="AB1:AC1"/>
    <mergeCell ref="AD1:AD3"/>
    <mergeCell ref="Q1:Q3"/>
    <mergeCell ref="R1:R3"/>
    <mergeCell ref="S1:S3"/>
    <mergeCell ref="T1:T3"/>
    <mergeCell ref="U1:U3"/>
    <mergeCell ref="V1:V3"/>
    <mergeCell ref="G1:G3"/>
    <mergeCell ref="H1:H3"/>
    <mergeCell ref="I1:I3"/>
    <mergeCell ref="J1:J3"/>
    <mergeCell ref="K1:K3"/>
    <mergeCell ref="L1:P3"/>
    <mergeCell ref="A1:A3"/>
    <mergeCell ref="B1:B3"/>
    <mergeCell ref="C1:C3"/>
    <mergeCell ref="D1:D3"/>
    <mergeCell ref="E1:E3"/>
    <mergeCell ref="F1:F3"/>
  </mergeCells>
  <conditionalFormatting sqref="L4:P4">
    <cfRule type="cellIs" dxfId="300" priority="57" stopIfTrue="1" operator="greaterThanOrEqual">
      <formula>1565</formula>
    </cfRule>
    <cfRule type="cellIs" dxfId="301" priority="58" stopIfTrue="1" operator="lessThanOrEqual">
      <formula>1545</formula>
    </cfRule>
  </conditionalFormatting>
  <conditionalFormatting sqref="L10:P10 M9:P9 L5:P8">
    <cfRule type="cellIs" dxfId="298" priority="55" stopIfTrue="1" operator="greaterThanOrEqual">
      <formula>1565</formula>
    </cfRule>
    <cfRule type="cellIs" dxfId="299" priority="56" stopIfTrue="1" operator="lessThanOrEqual">
      <formula>1545</formula>
    </cfRule>
  </conditionalFormatting>
  <conditionalFormatting sqref="P17 L11:P16">
    <cfRule type="cellIs" dxfId="297" priority="53" stopIfTrue="1" operator="greaterThanOrEqual">
      <formula>1565</formula>
    </cfRule>
    <cfRule type="cellIs" dxfId="296" priority="54" stopIfTrue="1" operator="lessThanOrEqual">
      <formula>1545</formula>
    </cfRule>
  </conditionalFormatting>
  <conditionalFormatting sqref="L17:O17">
    <cfRule type="cellIs" dxfId="294" priority="51" stopIfTrue="1" operator="greaterThanOrEqual">
      <formula>1565</formula>
    </cfRule>
    <cfRule type="cellIs" dxfId="295" priority="52" stopIfTrue="1" operator="lessThanOrEqual">
      <formula>1545</formula>
    </cfRule>
  </conditionalFormatting>
  <conditionalFormatting sqref="L18:P23">
    <cfRule type="cellIs" dxfId="292" priority="49" stopIfTrue="1" operator="greaterThanOrEqual">
      <formula>1565</formula>
    </cfRule>
    <cfRule type="cellIs" dxfId="293" priority="50" stopIfTrue="1" operator="lessThanOrEqual">
      <formula>1545</formula>
    </cfRule>
  </conditionalFormatting>
  <conditionalFormatting sqref="S26 L24:O26">
    <cfRule type="cellIs" dxfId="290" priority="47" stopIfTrue="1" operator="greaterThanOrEqual">
      <formula>1565</formula>
    </cfRule>
    <cfRule type="cellIs" dxfId="291" priority="48" stopIfTrue="1" operator="lessThanOrEqual">
      <formula>1545</formula>
    </cfRule>
  </conditionalFormatting>
  <conditionalFormatting sqref="L61:O63 P24:P63">
    <cfRule type="cellIs" dxfId="288" priority="45" stopIfTrue="1" operator="greaterThanOrEqual">
      <formula>1565</formula>
    </cfRule>
    <cfRule type="cellIs" dxfId="289" priority="46" stopIfTrue="1" operator="lessThanOrEqual">
      <formula>1545</formula>
    </cfRule>
  </conditionalFormatting>
  <conditionalFormatting sqref="L27:O27">
    <cfRule type="cellIs" dxfId="286" priority="43" stopIfTrue="1" operator="greaterThanOrEqual">
      <formula>1565</formula>
    </cfRule>
    <cfRule type="cellIs" dxfId="287" priority="44" stopIfTrue="1" operator="lessThanOrEqual">
      <formula>1545</formula>
    </cfRule>
  </conditionalFormatting>
  <conditionalFormatting sqref="L28:O29">
    <cfRule type="cellIs" dxfId="284" priority="41" stopIfTrue="1" operator="greaterThanOrEqual">
      <formula>1565</formula>
    </cfRule>
    <cfRule type="cellIs" dxfId="285" priority="42" stopIfTrue="1" operator="lessThanOrEqual">
      <formula>1545</formula>
    </cfRule>
  </conditionalFormatting>
  <conditionalFormatting sqref="L30:O32">
    <cfRule type="cellIs" dxfId="282" priority="39" stopIfTrue="1" operator="greaterThanOrEqual">
      <formula>1565</formula>
    </cfRule>
    <cfRule type="cellIs" dxfId="283" priority="40" stopIfTrue="1" operator="lessThanOrEqual">
      <formula>1545</formula>
    </cfRule>
  </conditionalFormatting>
  <conditionalFormatting sqref="S36:S37 L33:O37">
    <cfRule type="cellIs" dxfId="281" priority="37" stopIfTrue="1" operator="greaterThanOrEqual">
      <formula>1565</formula>
    </cfRule>
    <cfRule type="cellIs" dxfId="280" priority="38" stopIfTrue="1" operator="lessThanOrEqual">
      <formula>1545</formula>
    </cfRule>
  </conditionalFormatting>
  <conditionalFormatting sqref="L38:O38">
    <cfRule type="cellIs" dxfId="278" priority="35" stopIfTrue="1" operator="greaterThanOrEqual">
      <formula>1565</formula>
    </cfRule>
    <cfRule type="cellIs" dxfId="279" priority="36" stopIfTrue="1" operator="lessThanOrEqual">
      <formula>1545</formula>
    </cfRule>
  </conditionalFormatting>
  <conditionalFormatting sqref="M46:O49 L42:O45">
    <cfRule type="cellIs" dxfId="277" priority="33" stopIfTrue="1" operator="greaterThanOrEqual">
      <formula>1565</formula>
    </cfRule>
    <cfRule type="cellIs" dxfId="276" priority="34" stopIfTrue="1" operator="lessThanOrEqual">
      <formula>1545</formula>
    </cfRule>
  </conditionalFormatting>
  <conditionalFormatting sqref="L53:O53">
    <cfRule type="cellIs" dxfId="275" priority="31" stopIfTrue="1" operator="greaterThanOrEqual">
      <formula>1565</formula>
    </cfRule>
    <cfRule type="cellIs" dxfId="274" priority="32" stopIfTrue="1" operator="lessThanOrEqual">
      <formula>1545</formula>
    </cfRule>
  </conditionalFormatting>
  <conditionalFormatting sqref="L54:O54">
    <cfRule type="cellIs" dxfId="273" priority="29" stopIfTrue="1" operator="greaterThanOrEqual">
      <formula>1565</formula>
    </cfRule>
    <cfRule type="cellIs" dxfId="272" priority="30" stopIfTrue="1" operator="lessThanOrEqual">
      <formula>1545</formula>
    </cfRule>
  </conditionalFormatting>
  <conditionalFormatting sqref="L59:L60 M55:O60">
    <cfRule type="cellIs" dxfId="270" priority="27" stopIfTrue="1" operator="greaterThanOrEqual">
      <formula>1565</formula>
    </cfRule>
    <cfRule type="cellIs" dxfId="271" priority="28" stopIfTrue="1" operator="lessThanOrEqual">
      <formula>1545</formula>
    </cfRule>
  </conditionalFormatting>
  <conditionalFormatting sqref="L66:L69 M65:O69 P64:P69">
    <cfRule type="cellIs" dxfId="268" priority="25" stopIfTrue="1" operator="greaterThanOrEqual">
      <formula>1565</formula>
    </cfRule>
    <cfRule type="cellIs" dxfId="269" priority="26" stopIfTrue="1" operator="lessThanOrEqual">
      <formula>1545</formula>
    </cfRule>
  </conditionalFormatting>
  <conditionalFormatting sqref="M86:O87 P70:P85">
    <cfRule type="cellIs" dxfId="267" priority="23" stopIfTrue="1" operator="greaterThanOrEqual">
      <formula>1565</formula>
    </cfRule>
    <cfRule type="cellIs" dxfId="266" priority="24" stopIfTrue="1" operator="lessThanOrEqual">
      <formula>1545</formula>
    </cfRule>
  </conditionalFormatting>
  <conditionalFormatting sqref="L71:O74">
    <cfRule type="cellIs" dxfId="265" priority="21" stopIfTrue="1" operator="greaterThanOrEqual">
      <formula>1565</formula>
    </cfRule>
    <cfRule type="cellIs" dxfId="264" priority="22" stopIfTrue="1" operator="lessThanOrEqual">
      <formula>1545</formula>
    </cfRule>
  </conditionalFormatting>
  <conditionalFormatting sqref="L83:O85 L79:O81 M82:O82 L78 M77:O78">
    <cfRule type="cellIs" dxfId="262" priority="19" stopIfTrue="1" operator="greaterThanOrEqual">
      <formula>1565</formula>
    </cfRule>
    <cfRule type="cellIs" dxfId="263" priority="20" stopIfTrue="1" operator="lessThanOrEqual">
      <formula>1545</formula>
    </cfRule>
  </conditionalFormatting>
  <conditionalFormatting sqref="M106:O107 L105:O105 L104 M103:O104 P86:P103">
    <cfRule type="cellIs" dxfId="260" priority="17" stopIfTrue="1" operator="greaterThanOrEqual">
      <formula>1565</formula>
    </cfRule>
    <cfRule type="cellIs" dxfId="261" priority="18" stopIfTrue="1" operator="lessThanOrEqual">
      <formula>1545</formula>
    </cfRule>
  </conditionalFormatting>
  <conditionalFormatting sqref="M93:O93 L89:O92">
    <cfRule type="cellIs" dxfId="258" priority="15" stopIfTrue="1" operator="greaterThanOrEqual">
      <formula>1565</formula>
    </cfRule>
    <cfRule type="cellIs" dxfId="259" priority="16" stopIfTrue="1" operator="lessThanOrEqual">
      <formula>1545</formula>
    </cfRule>
  </conditionalFormatting>
  <conditionalFormatting sqref="L97:O100">
    <cfRule type="cellIs" dxfId="256" priority="13" stopIfTrue="1" operator="greaterThanOrEqual">
      <formula>1565</formula>
    </cfRule>
    <cfRule type="cellIs" dxfId="257" priority="14" stopIfTrue="1" operator="lessThanOrEqual">
      <formula>1545</formula>
    </cfRule>
  </conditionalFormatting>
  <conditionalFormatting sqref="M111:O112 L110:O110 L109 M108:O109 P104:P108">
    <cfRule type="cellIs" dxfId="255" priority="11" stopIfTrue="1" operator="greaterThanOrEqual">
      <formula>1565</formula>
    </cfRule>
    <cfRule type="cellIs" dxfId="254" priority="12" stopIfTrue="1" operator="lessThanOrEqual">
      <formula>1545</formula>
    </cfRule>
  </conditionalFormatting>
  <conditionalFormatting sqref="M113:O114 P109:P112">
    <cfRule type="cellIs" dxfId="252" priority="9" stopIfTrue="1" operator="greaterThanOrEqual">
      <formula>1565</formula>
    </cfRule>
    <cfRule type="cellIs" dxfId="253" priority="10" stopIfTrue="1" operator="lessThanOrEqual">
      <formula>1545</formula>
    </cfRule>
  </conditionalFormatting>
  <conditionalFormatting sqref="M117:P118 L115:O116 P113:P116">
    <cfRule type="cellIs" dxfId="250" priority="7" stopIfTrue="1" operator="greaterThanOrEqual">
      <formula>1565</formula>
    </cfRule>
    <cfRule type="cellIs" dxfId="251" priority="8" stopIfTrue="1" operator="lessThanOrEqual">
      <formula>1545</formula>
    </cfRule>
  </conditionalFormatting>
  <conditionalFormatting sqref="M122:P123 L121:O121 P119:P121">
    <cfRule type="cellIs" dxfId="249" priority="5" stopIfTrue="1" operator="greaterThanOrEqual">
      <formula>1565</formula>
    </cfRule>
    <cfRule type="cellIs" dxfId="248" priority="6" stopIfTrue="1" operator="lessThanOrEqual">
      <formula>1545</formula>
    </cfRule>
  </conditionalFormatting>
  <conditionalFormatting sqref="L124:P125">
    <cfRule type="cellIs" dxfId="246" priority="3" stopIfTrue="1" operator="greaterThanOrEqual">
      <formula>1565</formula>
    </cfRule>
    <cfRule type="cellIs" dxfId="247" priority="4" stopIfTrue="1" operator="lessThanOrEqual">
      <formula>1545</formula>
    </cfRule>
  </conditionalFormatting>
  <conditionalFormatting sqref="P126 M126:N126">
    <cfRule type="cellIs" dxfId="244" priority="1" stopIfTrue="1" operator="greaterThanOrEqual">
      <formula>1565</formula>
    </cfRule>
    <cfRule type="cellIs" dxfId="245" priority="2" stopIfTrue="1" operator="lessThanOrEqual">
      <formula>1545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9E63-64E7-4C92-AC4F-ED42FD873C75}">
  <dimension ref="A1:AF96"/>
  <sheetViews>
    <sheetView workbookViewId="0">
      <selection activeCell="K11" sqref="K11"/>
    </sheetView>
  </sheetViews>
  <sheetFormatPr defaultColWidth="9.140625" defaultRowHeight="15" x14ac:dyDescent="0.25"/>
  <cols>
    <col min="1" max="1" width="18.42578125" customWidth="1"/>
    <col min="2" max="2" width="30.140625" customWidth="1"/>
    <col min="3" max="3" width="9.425781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9.7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9.7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s="60" customFormat="1" ht="39.75" customHeight="1" x14ac:dyDescent="0.25">
      <c r="A3" s="89"/>
      <c r="B3" s="89"/>
      <c r="C3" s="89"/>
      <c r="D3" s="89"/>
      <c r="E3" s="89"/>
      <c r="F3" s="89"/>
      <c r="G3" s="117"/>
      <c r="H3" s="89"/>
      <c r="I3" s="89"/>
      <c r="J3" s="89"/>
      <c r="K3" s="89"/>
      <c r="L3" s="90" t="s">
        <v>780</v>
      </c>
      <c r="M3" s="90" t="s">
        <v>781</v>
      </c>
      <c r="N3" s="90" t="s">
        <v>782</v>
      </c>
      <c r="O3" s="90" t="s">
        <v>783</v>
      </c>
      <c r="P3" s="91" t="s">
        <v>784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31.5" x14ac:dyDescent="0.25">
      <c r="A4" s="1">
        <v>54</v>
      </c>
      <c r="B4" s="2">
        <v>45992</v>
      </c>
      <c r="C4" s="1" t="s">
        <v>0</v>
      </c>
      <c r="D4" s="1" t="s">
        <v>19</v>
      </c>
      <c r="E4" s="1">
        <v>1</v>
      </c>
      <c r="F4" s="83">
        <v>12511001</v>
      </c>
      <c r="G4" s="4">
        <v>1260</v>
      </c>
      <c r="H4" s="88" t="s">
        <v>1290</v>
      </c>
      <c r="I4" s="16" t="s">
        <v>182</v>
      </c>
      <c r="J4" s="16" t="s">
        <v>1495</v>
      </c>
      <c r="K4" s="4">
        <v>1566</v>
      </c>
      <c r="L4" s="5">
        <v>1533</v>
      </c>
      <c r="M4" s="5">
        <v>1532</v>
      </c>
      <c r="N4" s="5">
        <v>1531</v>
      </c>
      <c r="O4" s="5" t="s">
        <v>5</v>
      </c>
      <c r="P4" s="30">
        <v>1531.5</v>
      </c>
      <c r="Q4" s="7">
        <v>4.5</v>
      </c>
      <c r="R4" s="4">
        <v>27</v>
      </c>
      <c r="S4" s="8" t="s">
        <v>5</v>
      </c>
      <c r="T4" s="9">
        <v>160.80000000000001</v>
      </c>
      <c r="U4" s="9">
        <v>77</v>
      </c>
      <c r="V4" s="10">
        <v>83.800000000000011</v>
      </c>
      <c r="W4" s="11" t="s">
        <v>5</v>
      </c>
      <c r="X4" s="16">
        <v>58</v>
      </c>
      <c r="Y4" s="12">
        <v>2.5979940000000004</v>
      </c>
      <c r="Z4" s="7">
        <v>9.4</v>
      </c>
      <c r="AA4" s="7">
        <v>10</v>
      </c>
      <c r="AB4" s="13">
        <v>84</v>
      </c>
      <c r="AC4" s="13">
        <v>89</v>
      </c>
      <c r="AD4" s="11" t="s">
        <v>6</v>
      </c>
      <c r="AE4" s="18" t="s">
        <v>455</v>
      </c>
      <c r="AF4" s="14" t="s">
        <v>1496</v>
      </c>
    </row>
    <row r="5" spans="1:32" ht="15.75" x14ac:dyDescent="0.25">
      <c r="A5" s="1">
        <v>113</v>
      </c>
      <c r="B5" s="2">
        <v>45993</v>
      </c>
      <c r="C5" s="1" t="s">
        <v>264</v>
      </c>
      <c r="D5" s="1" t="s">
        <v>691</v>
      </c>
      <c r="E5" s="1">
        <v>1</v>
      </c>
      <c r="F5" s="83">
        <v>12512001</v>
      </c>
      <c r="G5" s="4">
        <v>1230</v>
      </c>
      <c r="H5" s="88" t="s">
        <v>10</v>
      </c>
      <c r="I5" s="16" t="s">
        <v>173</v>
      </c>
      <c r="J5" s="16" t="s">
        <v>1497</v>
      </c>
      <c r="K5" s="99">
        <v>1568</v>
      </c>
      <c r="L5" s="4">
        <v>1542</v>
      </c>
      <c r="M5" s="5">
        <v>1541</v>
      </c>
      <c r="N5" s="5">
        <v>1539</v>
      </c>
      <c r="O5" s="5">
        <v>1539</v>
      </c>
      <c r="P5" s="30">
        <v>1539.6666666666667</v>
      </c>
      <c r="Q5" s="7">
        <v>5.4</v>
      </c>
      <c r="R5" s="4">
        <v>34</v>
      </c>
      <c r="S5" s="8" t="s">
        <v>5</v>
      </c>
      <c r="T5" s="9">
        <v>165</v>
      </c>
      <c r="U5" s="9">
        <v>59</v>
      </c>
      <c r="V5" s="10">
        <v>106</v>
      </c>
      <c r="W5" s="11" t="s">
        <v>5</v>
      </c>
      <c r="X5" s="16">
        <v>58</v>
      </c>
      <c r="Y5" s="12">
        <v>3.0433644000000002</v>
      </c>
      <c r="Z5" s="7">
        <v>10.7</v>
      </c>
      <c r="AA5" s="7">
        <v>11.8</v>
      </c>
      <c r="AB5" s="13">
        <v>91</v>
      </c>
      <c r="AC5" s="13">
        <v>100</v>
      </c>
      <c r="AD5" s="11" t="s">
        <v>6</v>
      </c>
      <c r="AE5" s="18" t="s">
        <v>53</v>
      </c>
      <c r="AF5" s="14" t="s">
        <v>721</v>
      </c>
    </row>
    <row r="6" spans="1:32" ht="15.75" x14ac:dyDescent="0.25">
      <c r="A6" s="1">
        <v>167</v>
      </c>
      <c r="B6" s="2">
        <v>45994</v>
      </c>
      <c r="C6" s="1" t="s">
        <v>18</v>
      </c>
      <c r="D6" s="1" t="s">
        <v>9</v>
      </c>
      <c r="E6" s="1">
        <v>1</v>
      </c>
      <c r="F6" s="83">
        <v>12512002</v>
      </c>
      <c r="G6" s="4">
        <v>1250</v>
      </c>
      <c r="H6" s="88" t="s">
        <v>10</v>
      </c>
      <c r="I6" s="16" t="s">
        <v>229</v>
      </c>
      <c r="J6" s="16" t="s">
        <v>1498</v>
      </c>
      <c r="K6" s="16">
        <v>1571</v>
      </c>
      <c r="L6" s="4">
        <v>1540</v>
      </c>
      <c r="M6" s="5">
        <v>1540</v>
      </c>
      <c r="N6" s="5">
        <v>1537</v>
      </c>
      <c r="O6" s="5">
        <v>1538</v>
      </c>
      <c r="P6" s="30">
        <v>1538.3333333333333</v>
      </c>
      <c r="Q6" s="7">
        <v>4.2</v>
      </c>
      <c r="R6" s="4">
        <v>38</v>
      </c>
      <c r="S6" s="8"/>
      <c r="T6" s="9">
        <v>162</v>
      </c>
      <c r="U6" s="9">
        <v>60</v>
      </c>
      <c r="V6" s="10">
        <v>102</v>
      </c>
      <c r="W6" s="11" t="s">
        <v>1248</v>
      </c>
      <c r="X6" s="16">
        <v>58</v>
      </c>
      <c r="Y6" s="12">
        <v>2.4055499999999999</v>
      </c>
      <c r="Z6" s="7">
        <v>8.9</v>
      </c>
      <c r="AA6" s="7">
        <v>9.6999999999999993</v>
      </c>
      <c r="AB6" s="13">
        <v>82</v>
      </c>
      <c r="AC6" s="13">
        <v>88</v>
      </c>
      <c r="AD6" s="11" t="s">
        <v>6</v>
      </c>
      <c r="AE6" s="18" t="s">
        <v>53</v>
      </c>
      <c r="AF6" s="14" t="s">
        <v>397</v>
      </c>
    </row>
    <row r="7" spans="1:32" ht="47.25" x14ac:dyDescent="0.25">
      <c r="A7" s="1">
        <v>203</v>
      </c>
      <c r="B7" s="2">
        <v>45994</v>
      </c>
      <c r="C7" s="1" t="s">
        <v>264</v>
      </c>
      <c r="D7" s="1" t="s">
        <v>691</v>
      </c>
      <c r="E7" s="1">
        <v>1</v>
      </c>
      <c r="F7" s="83">
        <v>12512002</v>
      </c>
      <c r="G7" s="4">
        <v>1250</v>
      </c>
      <c r="H7" s="88" t="s">
        <v>55</v>
      </c>
      <c r="I7" s="16" t="s">
        <v>129</v>
      </c>
      <c r="J7" s="114" t="s">
        <v>1499</v>
      </c>
      <c r="K7" s="4">
        <v>1568</v>
      </c>
      <c r="L7" s="4">
        <v>1541</v>
      </c>
      <c r="M7" s="5">
        <v>1540</v>
      </c>
      <c r="N7" s="5">
        <v>1539</v>
      </c>
      <c r="O7" s="5">
        <v>1539</v>
      </c>
      <c r="P7" s="30">
        <v>1539.3333333333333</v>
      </c>
      <c r="Q7" s="7">
        <v>4.8</v>
      </c>
      <c r="R7" s="4">
        <v>35</v>
      </c>
      <c r="S7" s="8" t="s">
        <v>5</v>
      </c>
      <c r="T7" s="8">
        <v>160</v>
      </c>
      <c r="U7" s="8">
        <v>62</v>
      </c>
      <c r="V7" s="10">
        <v>98</v>
      </c>
      <c r="W7" s="11" t="s">
        <v>1248</v>
      </c>
      <c r="X7" s="16">
        <v>58</v>
      </c>
      <c r="Y7" s="12">
        <v>2.7491999999999996</v>
      </c>
      <c r="Z7" s="7">
        <v>9</v>
      </c>
      <c r="AA7" s="7">
        <v>8.4</v>
      </c>
      <c r="AB7" s="13">
        <v>79</v>
      </c>
      <c r="AC7" s="13">
        <v>78</v>
      </c>
      <c r="AD7" s="11" t="s">
        <v>6</v>
      </c>
      <c r="AE7" s="18" t="s">
        <v>72</v>
      </c>
      <c r="AF7" s="14" t="s">
        <v>1500</v>
      </c>
    </row>
    <row r="8" spans="1:32" ht="15.75" x14ac:dyDescent="0.25">
      <c r="A8" s="1">
        <v>212</v>
      </c>
      <c r="B8" s="2">
        <v>45994</v>
      </c>
      <c r="C8" s="1" t="s">
        <v>264</v>
      </c>
      <c r="D8" s="1" t="s">
        <v>691</v>
      </c>
      <c r="E8" s="1">
        <v>2</v>
      </c>
      <c r="F8" s="83">
        <v>22512002</v>
      </c>
      <c r="G8" s="4">
        <v>1250</v>
      </c>
      <c r="H8" s="88" t="s">
        <v>1159</v>
      </c>
      <c r="I8" s="16" t="s">
        <v>346</v>
      </c>
      <c r="J8" s="16" t="s">
        <v>1501</v>
      </c>
      <c r="K8" s="4">
        <v>1549</v>
      </c>
      <c r="L8" s="4">
        <v>1549</v>
      </c>
      <c r="M8" s="5">
        <v>1544</v>
      </c>
      <c r="N8" s="5">
        <v>1543</v>
      </c>
      <c r="O8" s="5">
        <v>1550</v>
      </c>
      <c r="P8" s="30">
        <v>1545.6666666666667</v>
      </c>
      <c r="Q8" s="7">
        <v>5.6</v>
      </c>
      <c r="R8" s="4">
        <v>8</v>
      </c>
      <c r="S8" s="8">
        <v>36</v>
      </c>
      <c r="T8" s="8">
        <v>155</v>
      </c>
      <c r="U8" s="8">
        <v>61</v>
      </c>
      <c r="V8" s="10">
        <v>94</v>
      </c>
      <c r="W8" s="11" t="s">
        <v>1248</v>
      </c>
      <c r="X8" s="16">
        <v>56</v>
      </c>
      <c r="Y8" s="12">
        <v>3.0968</v>
      </c>
      <c r="Z8" s="7">
        <v>8.9</v>
      </c>
      <c r="AA8" s="7">
        <v>9.9</v>
      </c>
      <c r="AB8" s="13">
        <v>80</v>
      </c>
      <c r="AC8" s="13">
        <v>90</v>
      </c>
      <c r="AD8" s="11" t="s">
        <v>6</v>
      </c>
      <c r="AE8" s="18" t="s">
        <v>455</v>
      </c>
      <c r="AF8" s="14" t="s">
        <v>480</v>
      </c>
    </row>
    <row r="9" spans="1:32" ht="15.75" x14ac:dyDescent="0.25">
      <c r="A9" s="1">
        <v>214</v>
      </c>
      <c r="B9" s="2">
        <v>45994</v>
      </c>
      <c r="C9" s="1" t="s">
        <v>264</v>
      </c>
      <c r="D9" s="1" t="s">
        <v>691</v>
      </c>
      <c r="E9" s="1">
        <v>2</v>
      </c>
      <c r="F9" s="83">
        <v>22512002</v>
      </c>
      <c r="G9" s="4">
        <v>1250</v>
      </c>
      <c r="H9" s="88" t="s">
        <v>1159</v>
      </c>
      <c r="I9" s="16" t="s">
        <v>273</v>
      </c>
      <c r="J9" s="16" t="s">
        <v>1502</v>
      </c>
      <c r="K9" s="4">
        <v>1549</v>
      </c>
      <c r="L9" s="4">
        <v>1549</v>
      </c>
      <c r="M9" s="5">
        <v>1549</v>
      </c>
      <c r="N9" s="5">
        <v>1548</v>
      </c>
      <c r="O9" s="5" t="s">
        <v>5</v>
      </c>
      <c r="P9" s="30">
        <v>1548.5</v>
      </c>
      <c r="Q9" s="7">
        <v>5</v>
      </c>
      <c r="R9" s="4">
        <v>33</v>
      </c>
      <c r="S9" s="8">
        <v>4</v>
      </c>
      <c r="T9" s="8">
        <v>153.80000000000001</v>
      </c>
      <c r="U9" s="8">
        <v>65</v>
      </c>
      <c r="V9" s="10">
        <v>88.800000000000011</v>
      </c>
      <c r="W9" s="11" t="s">
        <v>1248</v>
      </c>
      <c r="X9" s="16">
        <v>56</v>
      </c>
      <c r="Y9" s="12">
        <v>2.7650000000000001</v>
      </c>
      <c r="Z9" s="7">
        <v>9.6999999999999993</v>
      </c>
      <c r="AA9" s="7">
        <v>9.9</v>
      </c>
      <c r="AB9" s="13">
        <v>82</v>
      </c>
      <c r="AC9" s="13">
        <v>76</v>
      </c>
      <c r="AD9" s="11" t="s">
        <v>6</v>
      </c>
      <c r="AE9" s="18" t="s">
        <v>455</v>
      </c>
      <c r="AF9" s="14" t="s">
        <v>1503</v>
      </c>
    </row>
    <row r="10" spans="1:32" ht="15.75" x14ac:dyDescent="0.25">
      <c r="A10" s="1">
        <v>218</v>
      </c>
      <c r="B10" s="2">
        <v>45994</v>
      </c>
      <c r="C10" s="1" t="s">
        <v>264</v>
      </c>
      <c r="D10" s="1" t="s">
        <v>691</v>
      </c>
      <c r="E10" s="1">
        <v>2</v>
      </c>
      <c r="F10" s="83">
        <v>22512002</v>
      </c>
      <c r="G10" s="4">
        <v>1250</v>
      </c>
      <c r="H10" s="88" t="s">
        <v>1159</v>
      </c>
      <c r="I10" s="16" t="s">
        <v>373</v>
      </c>
      <c r="J10" s="16" t="s">
        <v>1504</v>
      </c>
      <c r="K10" s="4">
        <v>1544</v>
      </c>
      <c r="L10" s="4">
        <v>1544</v>
      </c>
      <c r="M10" s="5">
        <v>1545</v>
      </c>
      <c r="N10" s="5">
        <v>1546</v>
      </c>
      <c r="O10" s="5" t="s">
        <v>5</v>
      </c>
      <c r="P10" s="30">
        <v>1545.5</v>
      </c>
      <c r="Q10" s="7">
        <v>5.3</v>
      </c>
      <c r="R10" s="4">
        <v>32</v>
      </c>
      <c r="S10" s="8">
        <v>4</v>
      </c>
      <c r="T10" s="8">
        <v>164.5</v>
      </c>
      <c r="U10" s="8">
        <v>61</v>
      </c>
      <c r="V10" s="10">
        <v>103.5</v>
      </c>
      <c r="W10" s="11" t="s">
        <v>1248</v>
      </c>
      <c r="X10" s="16">
        <v>58</v>
      </c>
      <c r="Y10" s="12">
        <v>3.0355749999999997</v>
      </c>
      <c r="Z10" s="7">
        <v>10</v>
      </c>
      <c r="AA10" s="7">
        <v>10.5</v>
      </c>
      <c r="AB10" s="13">
        <v>83</v>
      </c>
      <c r="AC10" s="13">
        <v>86</v>
      </c>
      <c r="AD10" s="11" t="s">
        <v>6</v>
      </c>
      <c r="AE10" s="18" t="s">
        <v>455</v>
      </c>
      <c r="AF10" s="14" t="s">
        <v>721</v>
      </c>
    </row>
    <row r="11" spans="1:32" ht="31.5" x14ac:dyDescent="0.25">
      <c r="A11" s="1">
        <v>379</v>
      </c>
      <c r="B11" s="2">
        <v>45996</v>
      </c>
      <c r="C11" s="1" t="s">
        <v>264</v>
      </c>
      <c r="D11" s="1" t="s">
        <v>377</v>
      </c>
      <c r="E11" s="1">
        <v>2</v>
      </c>
      <c r="F11" s="83">
        <v>22511005</v>
      </c>
      <c r="G11" s="4">
        <v>1230</v>
      </c>
      <c r="H11" s="88" t="s">
        <v>10</v>
      </c>
      <c r="I11" s="16" t="s">
        <v>189</v>
      </c>
      <c r="J11" s="16" t="s">
        <v>1505</v>
      </c>
      <c r="K11" s="4">
        <v>1565</v>
      </c>
      <c r="L11" s="4">
        <v>1550</v>
      </c>
      <c r="M11" s="5">
        <v>1548</v>
      </c>
      <c r="N11" s="5">
        <v>1544</v>
      </c>
      <c r="O11" s="5">
        <v>1541</v>
      </c>
      <c r="P11" s="30">
        <v>1544.3333333333333</v>
      </c>
      <c r="Q11" s="7">
        <v>5.4</v>
      </c>
      <c r="R11" s="4">
        <v>32</v>
      </c>
      <c r="S11" s="8">
        <v>2</v>
      </c>
      <c r="T11" s="8">
        <v>149</v>
      </c>
      <c r="U11" s="8">
        <v>60</v>
      </c>
      <c r="V11" s="10">
        <v>89</v>
      </c>
      <c r="W11" s="11" t="s">
        <v>5</v>
      </c>
      <c r="X11" s="16">
        <v>58</v>
      </c>
      <c r="Y11" s="12">
        <v>3.0433644000000002</v>
      </c>
      <c r="Z11" s="7">
        <v>10.1</v>
      </c>
      <c r="AA11" s="7">
        <v>10</v>
      </c>
      <c r="AB11" s="13">
        <v>81</v>
      </c>
      <c r="AC11" s="13">
        <v>80</v>
      </c>
      <c r="AD11" s="11" t="s">
        <v>6</v>
      </c>
      <c r="AE11" s="18" t="s">
        <v>455</v>
      </c>
      <c r="AF11" s="14" t="s">
        <v>1506</v>
      </c>
    </row>
    <row r="12" spans="1:32" ht="31.5" x14ac:dyDescent="0.25">
      <c r="A12" s="1">
        <v>387</v>
      </c>
      <c r="B12" s="2">
        <v>45996</v>
      </c>
      <c r="C12" s="1" t="s">
        <v>0</v>
      </c>
      <c r="D12" s="1" t="s">
        <v>19</v>
      </c>
      <c r="E12" s="1">
        <v>1</v>
      </c>
      <c r="F12" s="83">
        <v>12512005</v>
      </c>
      <c r="G12" s="4">
        <v>1230</v>
      </c>
      <c r="H12" s="88" t="s">
        <v>10</v>
      </c>
      <c r="I12" s="16" t="s">
        <v>120</v>
      </c>
      <c r="J12" s="16" t="s">
        <v>1507</v>
      </c>
      <c r="K12" s="4">
        <v>1568</v>
      </c>
      <c r="L12" s="5">
        <v>1545</v>
      </c>
      <c r="M12" s="5">
        <v>1542</v>
      </c>
      <c r="N12" s="5">
        <v>1545</v>
      </c>
      <c r="O12" s="5">
        <v>1544</v>
      </c>
      <c r="P12" s="30">
        <v>1544</v>
      </c>
      <c r="Q12" s="7">
        <v>4.9000000000000004</v>
      </c>
      <c r="R12" s="4">
        <v>35</v>
      </c>
      <c r="S12" s="8">
        <v>23</v>
      </c>
      <c r="T12" s="8">
        <v>160</v>
      </c>
      <c r="U12" s="8">
        <v>63</v>
      </c>
      <c r="V12" s="10">
        <v>97</v>
      </c>
      <c r="W12" s="11" t="s">
        <v>5</v>
      </c>
      <c r="X12" s="16">
        <v>58</v>
      </c>
      <c r="Y12" s="12">
        <v>2.7615714000000002</v>
      </c>
      <c r="Z12" s="7">
        <v>10.1</v>
      </c>
      <c r="AA12" s="7">
        <v>9.9</v>
      </c>
      <c r="AB12" s="13">
        <v>83</v>
      </c>
      <c r="AC12" s="13">
        <v>86</v>
      </c>
      <c r="AD12" s="11" t="s">
        <v>6</v>
      </c>
      <c r="AE12" s="18" t="s">
        <v>53</v>
      </c>
      <c r="AF12" s="14" t="s">
        <v>1508</v>
      </c>
    </row>
    <row r="13" spans="1:32" ht="15.75" x14ac:dyDescent="0.25">
      <c r="A13" s="1">
        <v>402</v>
      </c>
      <c r="B13" s="2">
        <v>45996</v>
      </c>
      <c r="C13" s="1" t="s">
        <v>0</v>
      </c>
      <c r="D13" s="1" t="s">
        <v>19</v>
      </c>
      <c r="E13" s="1">
        <v>2</v>
      </c>
      <c r="F13" s="83">
        <v>22512005</v>
      </c>
      <c r="G13" s="4">
        <v>1230</v>
      </c>
      <c r="H13" s="88" t="s">
        <v>10</v>
      </c>
      <c r="I13" s="16" t="s">
        <v>132</v>
      </c>
      <c r="J13" s="16" t="s">
        <v>1509</v>
      </c>
      <c r="K13" s="4">
        <v>1570</v>
      </c>
      <c r="L13" s="5">
        <v>1553</v>
      </c>
      <c r="M13" s="5">
        <v>1550</v>
      </c>
      <c r="N13" s="5">
        <v>1550</v>
      </c>
      <c r="O13" s="5"/>
      <c r="P13" s="30">
        <v>1550</v>
      </c>
      <c r="Q13" s="7">
        <v>5</v>
      </c>
      <c r="R13" s="4">
        <v>35</v>
      </c>
      <c r="S13" s="8">
        <v>21</v>
      </c>
      <c r="T13" s="9">
        <v>161</v>
      </c>
      <c r="U13" s="9">
        <v>60</v>
      </c>
      <c r="V13" s="10">
        <v>101</v>
      </c>
      <c r="W13" s="11" t="s">
        <v>5</v>
      </c>
      <c r="X13" s="16">
        <v>58</v>
      </c>
      <c r="Y13" s="12">
        <v>2.81793</v>
      </c>
      <c r="Z13" s="7">
        <v>11</v>
      </c>
      <c r="AA13" s="7">
        <v>10.199999999999999</v>
      </c>
      <c r="AB13" s="13">
        <v>95</v>
      </c>
      <c r="AC13" s="13">
        <v>85</v>
      </c>
      <c r="AD13" s="11" t="s">
        <v>6</v>
      </c>
      <c r="AE13" s="18" t="s">
        <v>455</v>
      </c>
      <c r="AF13" s="14" t="s">
        <v>1510</v>
      </c>
    </row>
    <row r="14" spans="1:32" ht="47.25" x14ac:dyDescent="0.25">
      <c r="A14" s="1">
        <v>408</v>
      </c>
      <c r="B14" s="2">
        <v>45996</v>
      </c>
      <c r="C14" s="1" t="s">
        <v>0</v>
      </c>
      <c r="D14" s="1" t="s">
        <v>19</v>
      </c>
      <c r="E14" s="1">
        <v>2</v>
      </c>
      <c r="F14" s="83">
        <v>22512005</v>
      </c>
      <c r="G14" s="4">
        <v>1230</v>
      </c>
      <c r="H14" s="88" t="s">
        <v>10</v>
      </c>
      <c r="I14" s="16" t="s">
        <v>83</v>
      </c>
      <c r="J14" s="16" t="s">
        <v>1511</v>
      </c>
      <c r="K14" s="4">
        <v>1572</v>
      </c>
      <c r="L14" s="4">
        <v>1545</v>
      </c>
      <c r="M14" s="5">
        <v>1545</v>
      </c>
      <c r="N14" s="5">
        <v>1546</v>
      </c>
      <c r="O14" s="5">
        <v>1543</v>
      </c>
      <c r="P14" s="30">
        <v>1544.6666666666667</v>
      </c>
      <c r="Q14" s="7">
        <v>4.8</v>
      </c>
      <c r="R14" s="4">
        <v>38</v>
      </c>
      <c r="S14" s="8">
        <v>21</v>
      </c>
      <c r="T14" s="8">
        <v>155</v>
      </c>
      <c r="U14" s="8">
        <v>60</v>
      </c>
      <c r="V14" s="10">
        <v>95</v>
      </c>
      <c r="W14" s="11" t="s">
        <v>5</v>
      </c>
      <c r="X14" s="16">
        <v>58</v>
      </c>
      <c r="Y14" s="12">
        <v>2.7052128</v>
      </c>
      <c r="Z14" s="7">
        <v>10.7</v>
      </c>
      <c r="AA14" s="7">
        <v>9.5</v>
      </c>
      <c r="AB14" s="13">
        <v>92</v>
      </c>
      <c r="AC14" s="13">
        <v>82</v>
      </c>
      <c r="AD14" s="11" t="s">
        <v>6</v>
      </c>
      <c r="AE14" s="18" t="s">
        <v>455</v>
      </c>
      <c r="AF14" s="14" t="s">
        <v>1512</v>
      </c>
    </row>
    <row r="15" spans="1:32" ht="15.75" x14ac:dyDescent="0.25">
      <c r="A15" s="1">
        <v>490</v>
      </c>
      <c r="B15" s="2">
        <v>45998</v>
      </c>
      <c r="C15" s="1" t="s">
        <v>18</v>
      </c>
      <c r="D15" s="1" t="s">
        <v>265</v>
      </c>
      <c r="E15" s="1">
        <v>1</v>
      </c>
      <c r="F15" s="83">
        <v>12512006</v>
      </c>
      <c r="G15" s="4">
        <v>1350</v>
      </c>
      <c r="H15" s="88" t="s">
        <v>10</v>
      </c>
      <c r="I15" s="16" t="s">
        <v>132</v>
      </c>
      <c r="J15" s="16" t="s">
        <v>1513</v>
      </c>
      <c r="K15" s="16">
        <v>1566</v>
      </c>
      <c r="L15" s="4">
        <v>1546</v>
      </c>
      <c r="M15" s="5">
        <v>1550</v>
      </c>
      <c r="N15" s="5">
        <v>1550</v>
      </c>
      <c r="O15" s="5">
        <v>1550</v>
      </c>
      <c r="P15" s="30">
        <v>1549</v>
      </c>
      <c r="Q15" s="7">
        <v>5.2</v>
      </c>
      <c r="R15" s="4">
        <v>33</v>
      </c>
      <c r="S15" s="8" t="s">
        <v>5</v>
      </c>
      <c r="T15" s="9">
        <v>166</v>
      </c>
      <c r="U15" s="9">
        <v>61</v>
      </c>
      <c r="V15" s="10">
        <v>105</v>
      </c>
      <c r="W15" s="11" t="s">
        <v>5</v>
      </c>
      <c r="X15" s="16">
        <v>56</v>
      </c>
      <c r="Y15" s="12">
        <v>3.105648</v>
      </c>
      <c r="Z15" s="7">
        <v>7.6</v>
      </c>
      <c r="AA15" s="7">
        <v>7.9</v>
      </c>
      <c r="AB15" s="13">
        <v>52</v>
      </c>
      <c r="AC15" s="13">
        <v>59</v>
      </c>
      <c r="AD15" s="11" t="s">
        <v>6</v>
      </c>
      <c r="AE15" s="18" t="s">
        <v>53</v>
      </c>
      <c r="AF15" s="14" t="s">
        <v>721</v>
      </c>
    </row>
    <row r="16" spans="1:32" ht="31.5" x14ac:dyDescent="0.25">
      <c r="A16" s="1">
        <v>491</v>
      </c>
      <c r="B16" s="2">
        <v>45998</v>
      </c>
      <c r="C16" s="1" t="s">
        <v>18</v>
      </c>
      <c r="D16" s="1" t="s">
        <v>265</v>
      </c>
      <c r="E16" s="1">
        <v>1</v>
      </c>
      <c r="F16" s="83">
        <v>12512006</v>
      </c>
      <c r="G16" s="4">
        <v>1350</v>
      </c>
      <c r="H16" s="88" t="s">
        <v>10</v>
      </c>
      <c r="I16" s="16" t="s">
        <v>315</v>
      </c>
      <c r="J16" s="16" t="s">
        <v>1514</v>
      </c>
      <c r="K16" s="16">
        <v>1565</v>
      </c>
      <c r="L16" s="4">
        <v>1547</v>
      </c>
      <c r="M16" s="5">
        <v>1546</v>
      </c>
      <c r="N16" s="5">
        <v>1544</v>
      </c>
      <c r="O16" s="5">
        <v>1546</v>
      </c>
      <c r="P16" s="30">
        <v>1545.75</v>
      </c>
      <c r="Q16" s="7">
        <v>5</v>
      </c>
      <c r="R16" s="4">
        <v>32</v>
      </c>
      <c r="S16" s="8" t="s">
        <v>5</v>
      </c>
      <c r="T16" s="9">
        <v>165</v>
      </c>
      <c r="U16" s="9">
        <v>64</v>
      </c>
      <c r="V16" s="10">
        <v>101</v>
      </c>
      <c r="W16" s="11" t="s">
        <v>5</v>
      </c>
      <c r="X16" s="16">
        <v>56</v>
      </c>
      <c r="Y16" s="12">
        <v>2.9862000000000002</v>
      </c>
      <c r="Z16" s="7">
        <v>7.7</v>
      </c>
      <c r="AA16" s="7">
        <v>8.6</v>
      </c>
      <c r="AB16" s="13">
        <v>59</v>
      </c>
      <c r="AC16" s="13">
        <v>64</v>
      </c>
      <c r="AD16" s="11" t="s">
        <v>6</v>
      </c>
      <c r="AE16" s="18" t="s">
        <v>53</v>
      </c>
      <c r="AF16" s="14" t="s">
        <v>1515</v>
      </c>
    </row>
    <row r="17" spans="1:32" ht="15.75" x14ac:dyDescent="0.25">
      <c r="A17" s="1">
        <v>511</v>
      </c>
      <c r="B17" s="2">
        <v>45998</v>
      </c>
      <c r="C17" s="1" t="s">
        <v>18</v>
      </c>
      <c r="D17" s="1" t="s">
        <v>265</v>
      </c>
      <c r="E17" s="1">
        <v>2</v>
      </c>
      <c r="F17" s="83">
        <v>22512007</v>
      </c>
      <c r="G17" s="4">
        <v>1350</v>
      </c>
      <c r="H17" s="88" t="s">
        <v>10</v>
      </c>
      <c r="I17" s="16" t="s">
        <v>132</v>
      </c>
      <c r="J17" s="16" t="s">
        <v>1516</v>
      </c>
      <c r="K17" s="4">
        <v>1567</v>
      </c>
      <c r="L17" s="4">
        <v>1546</v>
      </c>
      <c r="M17" s="4">
        <v>1547</v>
      </c>
      <c r="N17" s="5">
        <v>1549</v>
      </c>
      <c r="O17" s="5">
        <v>1550</v>
      </c>
      <c r="P17" s="30">
        <v>1548.6666666666667</v>
      </c>
      <c r="Q17" s="7">
        <v>4.5</v>
      </c>
      <c r="R17" s="4">
        <v>32</v>
      </c>
      <c r="S17" s="8">
        <v>30</v>
      </c>
      <c r="T17" s="9">
        <v>155</v>
      </c>
      <c r="U17" s="9">
        <v>62</v>
      </c>
      <c r="V17" s="10">
        <v>93</v>
      </c>
      <c r="W17" s="11" t="s">
        <v>5</v>
      </c>
      <c r="X17" s="16">
        <v>56</v>
      </c>
      <c r="Y17" s="12">
        <v>2.6875800000000001</v>
      </c>
      <c r="Z17" s="7">
        <v>9.4</v>
      </c>
      <c r="AA17" s="7">
        <v>10.5</v>
      </c>
      <c r="AB17" s="13">
        <v>64</v>
      </c>
      <c r="AC17" s="13">
        <v>72</v>
      </c>
      <c r="AD17" s="11" t="s">
        <v>6</v>
      </c>
      <c r="AE17" s="18" t="s">
        <v>455</v>
      </c>
      <c r="AF17" s="14" t="s">
        <v>284</v>
      </c>
    </row>
    <row r="18" spans="1:32" ht="31.5" x14ac:dyDescent="0.25">
      <c r="A18" s="1">
        <v>513</v>
      </c>
      <c r="B18" s="2">
        <v>45998</v>
      </c>
      <c r="C18" s="1" t="s">
        <v>18</v>
      </c>
      <c r="D18" s="1" t="s">
        <v>265</v>
      </c>
      <c r="E18" s="1">
        <v>2</v>
      </c>
      <c r="F18" s="83">
        <v>22512007</v>
      </c>
      <c r="G18" s="4">
        <v>1350</v>
      </c>
      <c r="H18" s="88" t="s">
        <v>10</v>
      </c>
      <c r="I18" s="16" t="s">
        <v>120</v>
      </c>
      <c r="J18" s="16" t="s">
        <v>1517</v>
      </c>
      <c r="K18" s="4">
        <v>1567</v>
      </c>
      <c r="L18" s="4">
        <v>1546</v>
      </c>
      <c r="M18" s="4">
        <v>1547</v>
      </c>
      <c r="N18" s="5">
        <v>1547</v>
      </c>
      <c r="O18" s="5" t="s">
        <v>5</v>
      </c>
      <c r="P18" s="30">
        <v>1547</v>
      </c>
      <c r="Q18" s="7">
        <v>5</v>
      </c>
      <c r="R18" s="4">
        <v>32</v>
      </c>
      <c r="S18" s="8">
        <v>27</v>
      </c>
      <c r="T18" s="9">
        <v>161.4</v>
      </c>
      <c r="U18" s="9">
        <v>63.3</v>
      </c>
      <c r="V18" s="10">
        <v>98.100000000000009</v>
      </c>
      <c r="W18" s="11" t="s">
        <v>5</v>
      </c>
      <c r="X18" s="16">
        <v>56</v>
      </c>
      <c r="Y18" s="12">
        <v>2.9862000000000002</v>
      </c>
      <c r="Z18" s="7">
        <v>8.9</v>
      </c>
      <c r="AA18" s="7">
        <v>9.6999999999999993</v>
      </c>
      <c r="AB18" s="13">
        <v>70</v>
      </c>
      <c r="AC18" s="13">
        <v>74</v>
      </c>
      <c r="AD18" s="11" t="s">
        <v>6</v>
      </c>
      <c r="AE18" s="18" t="s">
        <v>455</v>
      </c>
      <c r="AF18" s="14" t="s">
        <v>907</v>
      </c>
    </row>
    <row r="19" spans="1:32" ht="63" x14ac:dyDescent="0.25">
      <c r="A19" s="1">
        <v>527</v>
      </c>
      <c r="B19" s="2">
        <v>45998</v>
      </c>
      <c r="C19" s="1" t="s">
        <v>264</v>
      </c>
      <c r="D19" s="1" t="s">
        <v>19</v>
      </c>
      <c r="E19" s="1">
        <v>1</v>
      </c>
      <c r="F19" s="83">
        <v>12512006</v>
      </c>
      <c r="G19" s="4">
        <v>1350</v>
      </c>
      <c r="H19" s="88" t="s">
        <v>10</v>
      </c>
      <c r="I19" s="16" t="s">
        <v>303</v>
      </c>
      <c r="J19" s="114" t="s">
        <v>1518</v>
      </c>
      <c r="K19" s="4">
        <v>1566</v>
      </c>
      <c r="L19" s="4">
        <v>1538</v>
      </c>
      <c r="M19" s="5">
        <v>1536</v>
      </c>
      <c r="N19" s="5">
        <v>1535</v>
      </c>
      <c r="O19" s="5">
        <v>1534</v>
      </c>
      <c r="P19" s="30">
        <v>1535.75</v>
      </c>
      <c r="Q19" s="7">
        <v>4.3</v>
      </c>
      <c r="R19" s="4">
        <v>28</v>
      </c>
      <c r="S19" s="8" t="s">
        <v>5</v>
      </c>
      <c r="T19" s="8">
        <v>163.6</v>
      </c>
      <c r="U19" s="8">
        <v>105</v>
      </c>
      <c r="V19" s="10">
        <v>58.599999999999994</v>
      </c>
      <c r="W19" s="11" t="s">
        <v>5</v>
      </c>
      <c r="X19" s="16">
        <v>56</v>
      </c>
      <c r="Y19" s="12">
        <v>2.5681319999999999</v>
      </c>
      <c r="Z19" s="7">
        <v>6.1</v>
      </c>
      <c r="AA19" s="7">
        <v>6.4</v>
      </c>
      <c r="AB19" s="13">
        <v>58</v>
      </c>
      <c r="AC19" s="13">
        <v>62</v>
      </c>
      <c r="AD19" s="11" t="s">
        <v>6</v>
      </c>
      <c r="AE19" s="18" t="s">
        <v>53</v>
      </c>
      <c r="AF19" s="14" t="s">
        <v>1519</v>
      </c>
    </row>
    <row r="20" spans="1:32" ht="31.5" x14ac:dyDescent="0.25">
      <c r="A20" s="1">
        <v>534</v>
      </c>
      <c r="B20" s="2">
        <v>45998</v>
      </c>
      <c r="C20" s="1" t="s">
        <v>264</v>
      </c>
      <c r="D20" s="1" t="s">
        <v>19</v>
      </c>
      <c r="E20" s="1">
        <v>2</v>
      </c>
      <c r="F20" s="83">
        <v>22512007</v>
      </c>
      <c r="G20" s="4">
        <v>1350</v>
      </c>
      <c r="H20" s="88" t="s">
        <v>10</v>
      </c>
      <c r="I20" s="16" t="s">
        <v>148</v>
      </c>
      <c r="J20" s="16" t="s">
        <v>1520</v>
      </c>
      <c r="K20" s="4">
        <v>1570</v>
      </c>
      <c r="L20" s="4">
        <v>1544</v>
      </c>
      <c r="M20" s="5">
        <v>1546</v>
      </c>
      <c r="N20" s="5">
        <v>1545</v>
      </c>
      <c r="O20" s="5">
        <v>1547</v>
      </c>
      <c r="P20" s="30">
        <v>1546</v>
      </c>
      <c r="Q20" s="7">
        <v>4.5</v>
      </c>
      <c r="R20" s="4">
        <v>34</v>
      </c>
      <c r="S20" s="8">
        <v>32</v>
      </c>
      <c r="T20" s="8">
        <v>158</v>
      </c>
      <c r="U20" s="8">
        <v>65</v>
      </c>
      <c r="V20" s="10">
        <v>93</v>
      </c>
      <c r="W20" s="11" t="s">
        <v>5</v>
      </c>
      <c r="X20" s="16">
        <v>56</v>
      </c>
      <c r="Y20" s="12">
        <v>2.6875800000000001</v>
      </c>
      <c r="Z20" s="7">
        <v>9.3000000000000007</v>
      </c>
      <c r="AA20" s="7">
        <v>10.1</v>
      </c>
      <c r="AB20" s="13">
        <v>69</v>
      </c>
      <c r="AC20" s="13">
        <v>74</v>
      </c>
      <c r="AD20" s="11" t="s">
        <v>6</v>
      </c>
      <c r="AE20" s="18" t="s">
        <v>455</v>
      </c>
      <c r="AF20" s="14" t="s">
        <v>1521</v>
      </c>
    </row>
    <row r="21" spans="1:32" ht="31.5" x14ac:dyDescent="0.25">
      <c r="A21" s="1">
        <v>541</v>
      </c>
      <c r="B21" s="2">
        <v>45998</v>
      </c>
      <c r="C21" s="1" t="s">
        <v>264</v>
      </c>
      <c r="D21" s="1" t="s">
        <v>19</v>
      </c>
      <c r="E21" s="1">
        <v>2</v>
      </c>
      <c r="F21" s="83">
        <v>22512007</v>
      </c>
      <c r="G21" s="4">
        <v>1350</v>
      </c>
      <c r="H21" s="88" t="s">
        <v>10</v>
      </c>
      <c r="I21" s="16" t="s">
        <v>164</v>
      </c>
      <c r="J21" s="16" t="s">
        <v>1522</v>
      </c>
      <c r="K21" s="4">
        <v>1575</v>
      </c>
      <c r="L21" s="4">
        <v>1542</v>
      </c>
      <c r="M21" s="5">
        <v>1542</v>
      </c>
      <c r="N21" s="5">
        <v>1538</v>
      </c>
      <c r="O21" s="5">
        <v>1536</v>
      </c>
      <c r="P21" s="30">
        <v>1539.5</v>
      </c>
      <c r="Q21" s="7">
        <v>5.6</v>
      </c>
      <c r="R21" s="4">
        <v>27</v>
      </c>
      <c r="S21" s="8" t="s">
        <v>5</v>
      </c>
      <c r="T21" s="9">
        <v>160</v>
      </c>
      <c r="U21" s="9">
        <v>54</v>
      </c>
      <c r="V21" s="10">
        <v>106</v>
      </c>
      <c r="W21" s="11" t="s">
        <v>5</v>
      </c>
      <c r="X21" s="16">
        <v>56</v>
      </c>
      <c r="Y21" s="12">
        <v>3.344544</v>
      </c>
      <c r="Z21" s="7">
        <v>9.8000000000000007</v>
      </c>
      <c r="AA21" s="7">
        <v>10.4</v>
      </c>
      <c r="AB21" s="13">
        <v>71</v>
      </c>
      <c r="AC21" s="13">
        <v>72</v>
      </c>
      <c r="AD21" s="11" t="s">
        <v>6</v>
      </c>
      <c r="AE21" s="18" t="s">
        <v>455</v>
      </c>
      <c r="AF21" s="14" t="s">
        <v>1523</v>
      </c>
    </row>
    <row r="22" spans="1:32" ht="47.25" x14ac:dyDescent="0.25">
      <c r="A22" s="1">
        <v>543</v>
      </c>
      <c r="B22" s="2">
        <v>45998</v>
      </c>
      <c r="C22" s="1" t="s">
        <v>264</v>
      </c>
      <c r="D22" s="1" t="s">
        <v>19</v>
      </c>
      <c r="E22" s="1">
        <v>2</v>
      </c>
      <c r="F22" s="83">
        <v>22512007</v>
      </c>
      <c r="G22" s="4">
        <v>1350</v>
      </c>
      <c r="H22" s="88" t="s">
        <v>10</v>
      </c>
      <c r="I22" s="16" t="s">
        <v>15</v>
      </c>
      <c r="J22" s="16" t="s">
        <v>1524</v>
      </c>
      <c r="K22" s="4">
        <v>1580</v>
      </c>
      <c r="L22" s="5">
        <v>1539</v>
      </c>
      <c r="M22" s="5">
        <v>1541</v>
      </c>
      <c r="N22" s="5">
        <v>1540</v>
      </c>
      <c r="O22" s="5">
        <v>1540</v>
      </c>
      <c r="P22" s="30">
        <v>1540</v>
      </c>
      <c r="Q22" s="7">
        <v>4.5999999999999996</v>
      </c>
      <c r="R22" s="4">
        <v>36</v>
      </c>
      <c r="S22" s="8">
        <v>29</v>
      </c>
      <c r="T22" s="8">
        <v>162</v>
      </c>
      <c r="U22" s="8">
        <v>60</v>
      </c>
      <c r="V22" s="10">
        <v>102</v>
      </c>
      <c r="W22" s="11" t="s">
        <v>5</v>
      </c>
      <c r="X22" s="16">
        <v>56</v>
      </c>
      <c r="Y22" s="12">
        <v>2.7473039999999997</v>
      </c>
      <c r="Z22" s="7">
        <v>8.3000000000000007</v>
      </c>
      <c r="AA22" s="7">
        <v>9.1</v>
      </c>
      <c r="AB22" s="13">
        <v>60</v>
      </c>
      <c r="AC22" s="13">
        <v>66</v>
      </c>
      <c r="AD22" s="11" t="s">
        <v>6</v>
      </c>
      <c r="AE22" s="18" t="s">
        <v>72</v>
      </c>
      <c r="AF22" s="14" t="s">
        <v>1525</v>
      </c>
    </row>
    <row r="23" spans="1:32" ht="31.5" x14ac:dyDescent="0.25">
      <c r="A23" s="1">
        <v>565</v>
      </c>
      <c r="B23" s="2">
        <v>45998</v>
      </c>
      <c r="C23" s="1" t="s">
        <v>0</v>
      </c>
      <c r="D23" s="1" t="s">
        <v>9</v>
      </c>
      <c r="E23" s="1">
        <v>2</v>
      </c>
      <c r="F23" s="83">
        <v>22512007</v>
      </c>
      <c r="G23" s="4">
        <v>1320</v>
      </c>
      <c r="H23" s="88" t="s">
        <v>1159</v>
      </c>
      <c r="I23" s="16" t="s">
        <v>138</v>
      </c>
      <c r="J23" s="16" t="s">
        <v>1526</v>
      </c>
      <c r="K23" s="4">
        <v>1574</v>
      </c>
      <c r="L23" s="4">
        <v>1546</v>
      </c>
      <c r="M23" s="5">
        <v>1546</v>
      </c>
      <c r="N23" s="5">
        <v>1544</v>
      </c>
      <c r="O23" s="5" t="s">
        <v>5</v>
      </c>
      <c r="P23" s="30">
        <v>1545</v>
      </c>
      <c r="Q23" s="7">
        <v>5.3</v>
      </c>
      <c r="R23" s="4">
        <v>34</v>
      </c>
      <c r="S23" s="8">
        <v>23</v>
      </c>
      <c r="T23" s="8">
        <v>166</v>
      </c>
      <c r="U23" s="8">
        <v>60</v>
      </c>
      <c r="V23" s="10">
        <v>106</v>
      </c>
      <c r="W23" s="11" t="s">
        <v>5</v>
      </c>
      <c r="X23" s="16">
        <v>56</v>
      </c>
      <c r="Y23" s="12">
        <v>3.0950304000000002</v>
      </c>
      <c r="Z23" s="7">
        <v>8.1999999999999993</v>
      </c>
      <c r="AA23" s="7">
        <v>9.4</v>
      </c>
      <c r="AB23" s="13">
        <v>62</v>
      </c>
      <c r="AC23" s="13">
        <v>69</v>
      </c>
      <c r="AD23" s="11" t="s">
        <v>6</v>
      </c>
      <c r="AE23" s="18" t="s">
        <v>455</v>
      </c>
      <c r="AF23" s="14" t="s">
        <v>757</v>
      </c>
    </row>
    <row r="24" spans="1:32" ht="15.75" x14ac:dyDescent="0.25">
      <c r="A24" s="1">
        <v>587</v>
      </c>
      <c r="B24" s="2">
        <v>45999</v>
      </c>
      <c r="C24" s="1" t="s">
        <v>18</v>
      </c>
      <c r="D24" s="1" t="s">
        <v>265</v>
      </c>
      <c r="E24" s="1">
        <v>2</v>
      </c>
      <c r="F24" s="83">
        <v>22512008</v>
      </c>
      <c r="G24" s="4">
        <v>1240</v>
      </c>
      <c r="H24" s="88" t="s">
        <v>10</v>
      </c>
      <c r="I24" s="16" t="s">
        <v>98</v>
      </c>
      <c r="J24" s="16" t="s">
        <v>1527</v>
      </c>
      <c r="K24" s="16">
        <v>1600</v>
      </c>
      <c r="L24" s="4">
        <v>1574</v>
      </c>
      <c r="M24" s="4">
        <v>1575</v>
      </c>
      <c r="N24" s="5">
        <v>1576</v>
      </c>
      <c r="O24" s="5">
        <v>1574</v>
      </c>
      <c r="P24" s="30">
        <v>1574.75</v>
      </c>
      <c r="Q24" s="7">
        <v>3.4</v>
      </c>
      <c r="R24" s="4">
        <v>46</v>
      </c>
      <c r="S24" s="8">
        <v>27</v>
      </c>
      <c r="T24" s="9">
        <v>159.19999999999999</v>
      </c>
      <c r="U24" s="9">
        <v>59</v>
      </c>
      <c r="V24" s="10">
        <v>100.19999999999999</v>
      </c>
      <c r="W24" s="11" t="s">
        <v>100</v>
      </c>
      <c r="X24" s="16">
        <v>58</v>
      </c>
      <c r="Y24" s="12">
        <v>1.9317712</v>
      </c>
      <c r="Z24" s="7">
        <v>7.9</v>
      </c>
      <c r="AA24" s="7">
        <v>8.6999999999999993</v>
      </c>
      <c r="AB24" s="13">
        <v>74</v>
      </c>
      <c r="AC24" s="13">
        <v>83</v>
      </c>
      <c r="AD24" s="11" t="s">
        <v>6</v>
      </c>
      <c r="AE24" s="18" t="s">
        <v>53</v>
      </c>
      <c r="AF24" s="14" t="s">
        <v>418</v>
      </c>
    </row>
    <row r="25" spans="1:32" ht="31.5" x14ac:dyDescent="0.25">
      <c r="A25" s="1">
        <v>731</v>
      </c>
      <c r="B25" s="2">
        <v>46001</v>
      </c>
      <c r="C25" s="1" t="s">
        <v>18</v>
      </c>
      <c r="D25" s="1" t="s">
        <v>691</v>
      </c>
      <c r="E25" s="1">
        <v>1</v>
      </c>
      <c r="F25" s="83">
        <v>12512009</v>
      </c>
      <c r="G25" s="4">
        <v>1240</v>
      </c>
      <c r="H25" s="88" t="s">
        <v>10</v>
      </c>
      <c r="I25" s="16" t="s">
        <v>132</v>
      </c>
      <c r="J25" s="16" t="s">
        <v>1528</v>
      </c>
      <c r="K25" s="16">
        <v>1568</v>
      </c>
      <c r="L25" s="4">
        <v>1545</v>
      </c>
      <c r="M25" s="4">
        <v>1542</v>
      </c>
      <c r="N25" s="5">
        <v>1541</v>
      </c>
      <c r="O25" s="5">
        <v>1540</v>
      </c>
      <c r="P25" s="30">
        <v>1542</v>
      </c>
      <c r="Q25" s="7">
        <v>4.8</v>
      </c>
      <c r="R25" s="4">
        <v>36</v>
      </c>
      <c r="S25" s="8"/>
      <c r="T25" s="9">
        <v>170</v>
      </c>
      <c r="U25" s="9">
        <v>65</v>
      </c>
      <c r="V25" s="10">
        <v>105</v>
      </c>
      <c r="W25" s="11" t="s">
        <v>5</v>
      </c>
      <c r="X25" s="16">
        <v>58</v>
      </c>
      <c r="Y25" s="12">
        <v>2.7272064</v>
      </c>
      <c r="Z25" s="7">
        <v>6.6</v>
      </c>
      <c r="AA25" s="7">
        <v>9.8000000000000007</v>
      </c>
      <c r="AB25" s="13">
        <v>62</v>
      </c>
      <c r="AC25" s="13">
        <v>94</v>
      </c>
      <c r="AD25" s="11" t="s">
        <v>6</v>
      </c>
      <c r="AE25" s="18" t="s">
        <v>53</v>
      </c>
      <c r="AF25" s="14" t="s">
        <v>1529</v>
      </c>
    </row>
    <row r="26" spans="1:32" ht="31.5" x14ac:dyDescent="0.25">
      <c r="A26" s="1">
        <v>784</v>
      </c>
      <c r="B26" s="2">
        <v>46001</v>
      </c>
      <c r="C26" s="1" t="s">
        <v>0</v>
      </c>
      <c r="D26" s="1" t="s">
        <v>9</v>
      </c>
      <c r="E26" s="1">
        <v>1</v>
      </c>
      <c r="F26" s="83">
        <v>12512009</v>
      </c>
      <c r="G26" s="4">
        <v>1250</v>
      </c>
      <c r="H26" s="88" t="s">
        <v>222</v>
      </c>
      <c r="I26" s="16" t="s">
        <v>138</v>
      </c>
      <c r="J26" s="83" t="s">
        <v>1530</v>
      </c>
      <c r="K26" s="1">
        <v>1567</v>
      </c>
      <c r="L26" s="5">
        <v>1541</v>
      </c>
      <c r="M26" s="5">
        <v>1541</v>
      </c>
      <c r="N26" s="5">
        <v>1540</v>
      </c>
      <c r="O26" s="5" t="s">
        <v>5</v>
      </c>
      <c r="P26" s="30">
        <v>1540.6666666666667</v>
      </c>
      <c r="Q26" s="5">
        <v>5.0999999999999996</v>
      </c>
      <c r="R26" s="4">
        <v>33</v>
      </c>
      <c r="S26" s="8">
        <v>25</v>
      </c>
      <c r="T26" s="9">
        <v>160.6</v>
      </c>
      <c r="U26" s="9">
        <v>60</v>
      </c>
      <c r="V26" s="10">
        <v>100.6</v>
      </c>
      <c r="W26" s="11" t="s">
        <v>5</v>
      </c>
      <c r="X26" s="16">
        <v>58</v>
      </c>
      <c r="Y26" s="12">
        <v>2.9210249999999998</v>
      </c>
      <c r="Z26" s="8">
        <v>7.8</v>
      </c>
      <c r="AA26" s="8">
        <v>9.4</v>
      </c>
      <c r="AB26" s="8">
        <v>74</v>
      </c>
      <c r="AC26" s="8">
        <v>97</v>
      </c>
      <c r="AD26" s="11" t="s">
        <v>6</v>
      </c>
      <c r="AE26" s="18" t="s">
        <v>455</v>
      </c>
      <c r="AF26" s="14" t="s">
        <v>897</v>
      </c>
    </row>
    <row r="27" spans="1:32" ht="31.5" x14ac:dyDescent="0.25">
      <c r="A27" s="1">
        <v>785</v>
      </c>
      <c r="B27" s="2">
        <v>46001</v>
      </c>
      <c r="C27" s="1" t="s">
        <v>0</v>
      </c>
      <c r="D27" s="1" t="s">
        <v>9</v>
      </c>
      <c r="E27" s="1">
        <v>1</v>
      </c>
      <c r="F27" s="83">
        <v>12512009</v>
      </c>
      <c r="G27" s="4">
        <v>1250</v>
      </c>
      <c r="H27" s="88" t="s">
        <v>232</v>
      </c>
      <c r="I27" s="16" t="s">
        <v>59</v>
      </c>
      <c r="J27" s="16" t="s">
        <v>1531</v>
      </c>
      <c r="K27" s="1">
        <v>1565</v>
      </c>
      <c r="L27" s="5">
        <v>1536</v>
      </c>
      <c r="M27" s="5">
        <v>1536</v>
      </c>
      <c r="N27" s="5">
        <v>1538</v>
      </c>
      <c r="O27" s="5">
        <v>1537</v>
      </c>
      <c r="P27" s="30">
        <v>1536.75</v>
      </c>
      <c r="Q27" s="7">
        <v>4.0999999999999996</v>
      </c>
      <c r="R27" s="4">
        <v>35</v>
      </c>
      <c r="S27" s="8">
        <v>18</v>
      </c>
      <c r="T27" s="9">
        <v>152</v>
      </c>
      <c r="U27" s="9">
        <v>60</v>
      </c>
      <c r="V27" s="10">
        <v>92</v>
      </c>
      <c r="W27" s="11" t="s">
        <v>5</v>
      </c>
      <c r="X27" s="16">
        <v>58</v>
      </c>
      <c r="Y27" s="12">
        <v>2.3482749999999997</v>
      </c>
      <c r="Z27" s="7">
        <v>6.3</v>
      </c>
      <c r="AA27" s="7">
        <v>9</v>
      </c>
      <c r="AB27" s="13">
        <v>62</v>
      </c>
      <c r="AC27" s="13">
        <v>82</v>
      </c>
      <c r="AD27" s="11" t="s">
        <v>6</v>
      </c>
      <c r="AE27" s="18" t="s">
        <v>1532</v>
      </c>
      <c r="AF27" s="14" t="s">
        <v>1533</v>
      </c>
    </row>
    <row r="28" spans="1:32" ht="31.5" x14ac:dyDescent="0.25">
      <c r="A28" s="1">
        <v>786</v>
      </c>
      <c r="B28" s="2">
        <v>46001</v>
      </c>
      <c r="C28" s="1" t="s">
        <v>0</v>
      </c>
      <c r="D28" s="1" t="s">
        <v>9</v>
      </c>
      <c r="E28" s="1">
        <v>1</v>
      </c>
      <c r="F28" s="83">
        <v>12512009</v>
      </c>
      <c r="G28" s="4">
        <v>1250</v>
      </c>
      <c r="H28" s="88" t="s">
        <v>232</v>
      </c>
      <c r="I28" s="16" t="s">
        <v>173</v>
      </c>
      <c r="J28" s="16" t="s">
        <v>1534</v>
      </c>
      <c r="K28" s="1">
        <v>1570</v>
      </c>
      <c r="L28" s="5">
        <v>1538</v>
      </c>
      <c r="M28" s="5">
        <v>1540</v>
      </c>
      <c r="N28" s="5">
        <v>1540</v>
      </c>
      <c r="O28" s="5">
        <v>1539</v>
      </c>
      <c r="P28" s="30">
        <v>1539.25</v>
      </c>
      <c r="Q28" s="7">
        <v>4.5</v>
      </c>
      <c r="R28" s="4">
        <v>41</v>
      </c>
      <c r="S28" s="8" t="s">
        <v>5</v>
      </c>
      <c r="T28" s="9">
        <v>167.7</v>
      </c>
      <c r="U28" s="9">
        <v>66</v>
      </c>
      <c r="V28" s="10">
        <v>101.69999999999999</v>
      </c>
      <c r="W28" s="11" t="s">
        <v>5</v>
      </c>
      <c r="X28" s="16">
        <v>58</v>
      </c>
      <c r="Y28" s="12">
        <v>2.577375</v>
      </c>
      <c r="Z28" s="7">
        <v>6.1</v>
      </c>
      <c r="AA28" s="7">
        <v>8.3000000000000007</v>
      </c>
      <c r="AB28" s="13">
        <v>70</v>
      </c>
      <c r="AC28" s="13">
        <v>83</v>
      </c>
      <c r="AD28" s="11" t="s">
        <v>6</v>
      </c>
      <c r="AE28" s="18" t="s">
        <v>1532</v>
      </c>
      <c r="AF28" s="14" t="s">
        <v>1535</v>
      </c>
    </row>
    <row r="29" spans="1:32" ht="31.5" x14ac:dyDescent="0.25">
      <c r="A29" s="1">
        <v>789</v>
      </c>
      <c r="B29" s="2">
        <v>46001</v>
      </c>
      <c r="C29" s="1" t="s">
        <v>0</v>
      </c>
      <c r="D29" s="1" t="s">
        <v>9</v>
      </c>
      <c r="E29" s="1">
        <v>1</v>
      </c>
      <c r="F29" s="83">
        <v>12512009</v>
      </c>
      <c r="G29" s="4">
        <v>1250</v>
      </c>
      <c r="H29" s="88" t="s">
        <v>222</v>
      </c>
      <c r="I29" s="16" t="s">
        <v>273</v>
      </c>
      <c r="J29" s="16" t="s">
        <v>1536</v>
      </c>
      <c r="K29" s="4">
        <v>1567</v>
      </c>
      <c r="L29" s="4">
        <v>1546</v>
      </c>
      <c r="M29" s="5">
        <v>1545</v>
      </c>
      <c r="N29" s="5">
        <v>1554</v>
      </c>
      <c r="O29" s="5">
        <v>1545</v>
      </c>
      <c r="P29" s="30">
        <v>1548</v>
      </c>
      <c r="Q29" s="7">
        <v>4</v>
      </c>
      <c r="R29" s="4">
        <v>42</v>
      </c>
      <c r="S29" s="8"/>
      <c r="T29" s="9">
        <v>158</v>
      </c>
      <c r="U29" s="9">
        <v>60</v>
      </c>
      <c r="V29" s="10">
        <v>98</v>
      </c>
      <c r="W29" s="11" t="s">
        <v>5</v>
      </c>
      <c r="X29" s="16">
        <v>58</v>
      </c>
      <c r="Y29" s="12">
        <v>2.2909999999999999</v>
      </c>
      <c r="Z29" s="7">
        <v>9.6999999999999993</v>
      </c>
      <c r="AA29" s="7">
        <v>8</v>
      </c>
      <c r="AB29" s="13">
        <v>56</v>
      </c>
      <c r="AC29" s="13">
        <v>80</v>
      </c>
      <c r="AD29" s="11" t="s">
        <v>6</v>
      </c>
      <c r="AE29" s="18" t="s">
        <v>455</v>
      </c>
      <c r="AF29" s="14" t="s">
        <v>897</v>
      </c>
    </row>
    <row r="30" spans="1:32" ht="15.75" x14ac:dyDescent="0.25">
      <c r="A30" s="1">
        <v>793</v>
      </c>
      <c r="B30" s="2">
        <v>46001</v>
      </c>
      <c r="C30" s="1" t="s">
        <v>0</v>
      </c>
      <c r="D30" s="1" t="s">
        <v>9</v>
      </c>
      <c r="E30" s="1">
        <v>2</v>
      </c>
      <c r="F30" s="83">
        <v>22512012</v>
      </c>
      <c r="G30" s="4">
        <v>1230</v>
      </c>
      <c r="H30" s="88" t="s">
        <v>10</v>
      </c>
      <c r="I30" s="16" t="s">
        <v>3</v>
      </c>
      <c r="J30" s="16" t="s">
        <v>1537</v>
      </c>
      <c r="K30" s="4">
        <v>1570</v>
      </c>
      <c r="L30" s="5">
        <v>1540</v>
      </c>
      <c r="M30" s="5">
        <v>1542</v>
      </c>
      <c r="N30" s="5">
        <v>1542</v>
      </c>
      <c r="O30" s="5">
        <v>1544</v>
      </c>
      <c r="P30" s="30">
        <v>1542.6666666666667</v>
      </c>
      <c r="Q30" s="7">
        <v>5.7</v>
      </c>
      <c r="R30" s="4">
        <v>34</v>
      </c>
      <c r="S30" s="8">
        <v>29</v>
      </c>
      <c r="T30" s="9">
        <v>165</v>
      </c>
      <c r="U30" s="9">
        <v>60</v>
      </c>
      <c r="V30" s="10">
        <v>105</v>
      </c>
      <c r="W30" s="11" t="s">
        <v>5</v>
      </c>
      <c r="X30" s="16">
        <v>58</v>
      </c>
      <c r="Y30" s="12">
        <v>3.2124402000000001</v>
      </c>
      <c r="Z30" s="7">
        <v>11.3</v>
      </c>
      <c r="AA30" s="7">
        <v>11.2</v>
      </c>
      <c r="AB30" s="13">
        <v>91</v>
      </c>
      <c r="AC30" s="13">
        <v>97</v>
      </c>
      <c r="AD30" s="11" t="s">
        <v>6</v>
      </c>
      <c r="AE30" s="18" t="s">
        <v>455</v>
      </c>
      <c r="AF30" s="14" t="s">
        <v>480</v>
      </c>
    </row>
    <row r="31" spans="1:32" ht="15.75" x14ac:dyDescent="0.25">
      <c r="A31" s="1">
        <v>800</v>
      </c>
      <c r="B31" s="2">
        <v>46001</v>
      </c>
      <c r="C31" s="1" t="s">
        <v>0</v>
      </c>
      <c r="D31" s="1" t="s">
        <v>9</v>
      </c>
      <c r="E31" s="1">
        <v>2</v>
      </c>
      <c r="F31" s="83">
        <v>22512012</v>
      </c>
      <c r="G31" s="4">
        <v>1250</v>
      </c>
      <c r="H31" s="88" t="s">
        <v>222</v>
      </c>
      <c r="I31" s="16" t="s">
        <v>458</v>
      </c>
      <c r="J31" s="16" t="s">
        <v>1538</v>
      </c>
      <c r="K31" s="4">
        <v>1567</v>
      </c>
      <c r="L31" s="5">
        <v>1546</v>
      </c>
      <c r="M31" s="5">
        <v>1544</v>
      </c>
      <c r="N31" s="5">
        <v>1543</v>
      </c>
      <c r="O31" s="5">
        <v>1541</v>
      </c>
      <c r="P31" s="30">
        <v>1542.6666666666667</v>
      </c>
      <c r="Q31" s="7">
        <v>5.2</v>
      </c>
      <c r="R31" s="4">
        <v>37</v>
      </c>
      <c r="S31" s="8">
        <v>39</v>
      </c>
      <c r="T31" s="9">
        <v>170</v>
      </c>
      <c r="U31" s="9">
        <v>56</v>
      </c>
      <c r="V31" s="10">
        <v>114</v>
      </c>
      <c r="W31" s="11" t="s">
        <v>5</v>
      </c>
      <c r="X31" s="16">
        <v>58</v>
      </c>
      <c r="Y31" s="12">
        <v>2.9782999999999999</v>
      </c>
      <c r="Z31" s="7">
        <v>10.7</v>
      </c>
      <c r="AA31" s="7">
        <v>11.3</v>
      </c>
      <c r="AB31" s="13">
        <v>92</v>
      </c>
      <c r="AC31" s="13">
        <v>95</v>
      </c>
      <c r="AD31" s="11" t="s">
        <v>6</v>
      </c>
      <c r="AE31" s="18" t="s">
        <v>455</v>
      </c>
      <c r="AF31" s="14" t="s">
        <v>397</v>
      </c>
    </row>
    <row r="32" spans="1:32" ht="47.25" x14ac:dyDescent="0.25">
      <c r="A32" s="1">
        <v>810</v>
      </c>
      <c r="B32" s="2">
        <v>46002</v>
      </c>
      <c r="C32" s="1" t="s">
        <v>18</v>
      </c>
      <c r="D32" s="1" t="s">
        <v>691</v>
      </c>
      <c r="E32" s="1">
        <v>1</v>
      </c>
      <c r="F32" s="83">
        <v>12512010</v>
      </c>
      <c r="G32" s="4">
        <v>1340</v>
      </c>
      <c r="H32" s="88" t="s">
        <v>55</v>
      </c>
      <c r="I32" s="16" t="s">
        <v>70</v>
      </c>
      <c r="J32" s="16" t="s">
        <v>1539</v>
      </c>
      <c r="K32" s="16">
        <v>1565</v>
      </c>
      <c r="L32" s="4">
        <v>1541</v>
      </c>
      <c r="M32" s="5">
        <v>1540</v>
      </c>
      <c r="N32" s="5"/>
      <c r="O32" s="5"/>
      <c r="P32" s="30">
        <v>1540.5</v>
      </c>
      <c r="Q32" s="7">
        <v>4</v>
      </c>
      <c r="R32" s="4">
        <v>16</v>
      </c>
      <c r="S32" s="8"/>
      <c r="T32" s="9">
        <v>170</v>
      </c>
      <c r="U32" s="7">
        <v>135</v>
      </c>
      <c r="V32" s="10">
        <v>35</v>
      </c>
      <c r="W32" s="11" t="s">
        <v>100</v>
      </c>
      <c r="X32" s="16">
        <v>58</v>
      </c>
      <c r="Y32" s="12">
        <v>2.4559519999999999</v>
      </c>
      <c r="Z32" s="7"/>
      <c r="AA32" s="7"/>
      <c r="AB32" s="13"/>
      <c r="AC32" s="13"/>
      <c r="AD32" s="11" t="s">
        <v>6</v>
      </c>
      <c r="AE32" s="18" t="s">
        <v>53</v>
      </c>
      <c r="AF32" s="14" t="s">
        <v>1540</v>
      </c>
    </row>
    <row r="33" spans="1:32" ht="31.5" x14ac:dyDescent="0.25">
      <c r="A33" s="1">
        <v>822</v>
      </c>
      <c r="B33" s="2">
        <v>46002</v>
      </c>
      <c r="C33" s="1" t="s">
        <v>264</v>
      </c>
      <c r="D33" s="1" t="s">
        <v>19</v>
      </c>
      <c r="E33" s="1">
        <v>1</v>
      </c>
      <c r="F33" s="83">
        <v>12512013</v>
      </c>
      <c r="G33" s="4">
        <v>1250</v>
      </c>
      <c r="H33" s="88" t="s">
        <v>10</v>
      </c>
      <c r="I33" s="16" t="s">
        <v>98</v>
      </c>
      <c r="J33" s="16" t="s">
        <v>1541</v>
      </c>
      <c r="K33" s="4">
        <v>1598</v>
      </c>
      <c r="L33" s="4">
        <v>1558</v>
      </c>
      <c r="M33" s="4">
        <v>1552</v>
      </c>
      <c r="N33" s="5">
        <v>1564</v>
      </c>
      <c r="O33" s="5" t="s">
        <v>5</v>
      </c>
      <c r="P33" s="30">
        <v>1558</v>
      </c>
      <c r="Q33" s="7">
        <v>3.8</v>
      </c>
      <c r="R33" s="4">
        <v>38</v>
      </c>
      <c r="S33" s="8" t="s">
        <v>5</v>
      </c>
      <c r="T33" s="9">
        <v>162</v>
      </c>
      <c r="U33" s="7">
        <v>67</v>
      </c>
      <c r="V33" s="10">
        <v>95</v>
      </c>
      <c r="W33" s="11" t="s">
        <v>100</v>
      </c>
      <c r="X33" s="16">
        <v>58</v>
      </c>
      <c r="Y33" s="12">
        <v>2.17645</v>
      </c>
      <c r="Z33" s="7">
        <v>7.8</v>
      </c>
      <c r="AA33" s="7">
        <v>8.3000000000000007</v>
      </c>
      <c r="AB33" s="13">
        <v>88</v>
      </c>
      <c r="AC33" s="13">
        <v>99</v>
      </c>
      <c r="AD33" s="11" t="s">
        <v>6</v>
      </c>
      <c r="AE33" s="18" t="s">
        <v>53</v>
      </c>
      <c r="AF33" s="14" t="s">
        <v>1542</v>
      </c>
    </row>
    <row r="34" spans="1:32" ht="15.75" x14ac:dyDescent="0.25">
      <c r="A34" s="1">
        <v>824</v>
      </c>
      <c r="B34" s="2">
        <v>46002</v>
      </c>
      <c r="C34" s="1" t="s">
        <v>264</v>
      </c>
      <c r="D34" s="1" t="s">
        <v>19</v>
      </c>
      <c r="E34" s="1">
        <v>1</v>
      </c>
      <c r="F34" s="83">
        <v>12512013</v>
      </c>
      <c r="G34" s="4">
        <v>1250</v>
      </c>
      <c r="H34" s="88" t="s">
        <v>10</v>
      </c>
      <c r="I34" s="16" t="s">
        <v>77</v>
      </c>
      <c r="J34" s="16" t="s">
        <v>1543</v>
      </c>
      <c r="K34" s="4">
        <v>1566</v>
      </c>
      <c r="L34" s="4">
        <v>1546</v>
      </c>
      <c r="M34" s="4">
        <v>1541</v>
      </c>
      <c r="N34" s="5">
        <v>1539</v>
      </c>
      <c r="O34" s="5" t="s">
        <v>5</v>
      </c>
      <c r="P34" s="30">
        <v>1540</v>
      </c>
      <c r="Q34" s="7">
        <v>5.6</v>
      </c>
      <c r="R34" s="4">
        <v>27</v>
      </c>
      <c r="S34" s="8" t="s">
        <v>5</v>
      </c>
      <c r="T34" s="9">
        <v>160</v>
      </c>
      <c r="U34" s="7">
        <v>60</v>
      </c>
      <c r="V34" s="10">
        <v>100</v>
      </c>
      <c r="W34" s="11" t="s">
        <v>5</v>
      </c>
      <c r="X34" s="16">
        <v>58</v>
      </c>
      <c r="Y34" s="12">
        <v>3.2073999999999998</v>
      </c>
      <c r="Z34" s="7">
        <v>8.6</v>
      </c>
      <c r="AA34" s="7">
        <v>8.6999999999999993</v>
      </c>
      <c r="AB34" s="13">
        <v>85</v>
      </c>
      <c r="AC34" s="13">
        <v>86</v>
      </c>
      <c r="AD34" s="11" t="s">
        <v>6</v>
      </c>
      <c r="AE34" s="18" t="s">
        <v>53</v>
      </c>
      <c r="AF34" s="14" t="s">
        <v>721</v>
      </c>
    </row>
    <row r="35" spans="1:32" ht="78.75" x14ac:dyDescent="0.25">
      <c r="A35" s="1">
        <v>831</v>
      </c>
      <c r="B35" s="2">
        <v>46002</v>
      </c>
      <c r="C35" s="1" t="s">
        <v>264</v>
      </c>
      <c r="D35" s="1" t="s">
        <v>19</v>
      </c>
      <c r="E35" s="1">
        <v>2</v>
      </c>
      <c r="F35" s="83">
        <v>22512014</v>
      </c>
      <c r="G35" s="4">
        <v>1250</v>
      </c>
      <c r="H35" s="88" t="s">
        <v>10</v>
      </c>
      <c r="I35" s="16" t="s">
        <v>77</v>
      </c>
      <c r="J35" s="69" t="s">
        <v>1544</v>
      </c>
      <c r="K35" s="4">
        <v>1566</v>
      </c>
      <c r="L35" s="4">
        <v>1548</v>
      </c>
      <c r="M35" s="4">
        <v>1546</v>
      </c>
      <c r="N35" s="5">
        <v>1546</v>
      </c>
      <c r="O35" s="5">
        <v>1542</v>
      </c>
      <c r="P35" s="30">
        <v>1544.6666666666667</v>
      </c>
      <c r="Q35" s="7">
        <v>3.7</v>
      </c>
      <c r="R35" s="4">
        <v>31</v>
      </c>
      <c r="S35" s="8" t="s">
        <v>5</v>
      </c>
      <c r="T35" s="9">
        <v>163</v>
      </c>
      <c r="U35" s="7">
        <v>60</v>
      </c>
      <c r="V35" s="10">
        <v>103</v>
      </c>
      <c r="W35" s="11" t="s">
        <v>5</v>
      </c>
      <c r="X35" s="16">
        <v>58</v>
      </c>
      <c r="Y35" s="12">
        <v>2.1191750000000003</v>
      </c>
      <c r="Z35" s="7">
        <v>8.5</v>
      </c>
      <c r="AA35" s="7">
        <v>8.6999999999999993</v>
      </c>
      <c r="AB35" s="13">
        <v>81</v>
      </c>
      <c r="AC35" s="13">
        <v>82</v>
      </c>
      <c r="AD35" s="11" t="s">
        <v>1545</v>
      </c>
      <c r="AE35" s="18" t="s">
        <v>455</v>
      </c>
      <c r="AF35" s="14" t="s">
        <v>1546</v>
      </c>
    </row>
    <row r="36" spans="1:32" ht="31.5" x14ac:dyDescent="0.25">
      <c r="A36" s="1">
        <v>832</v>
      </c>
      <c r="B36" s="2">
        <v>46002</v>
      </c>
      <c r="C36" s="1" t="s">
        <v>264</v>
      </c>
      <c r="D36" s="1" t="s">
        <v>19</v>
      </c>
      <c r="E36" s="1">
        <v>2</v>
      </c>
      <c r="F36" s="83">
        <v>22512014</v>
      </c>
      <c r="G36" s="4">
        <v>1250</v>
      </c>
      <c r="H36" s="88" t="s">
        <v>10</v>
      </c>
      <c r="I36" s="16" t="s">
        <v>194</v>
      </c>
      <c r="J36" s="16" t="s">
        <v>1547</v>
      </c>
      <c r="K36" s="4">
        <v>1570</v>
      </c>
      <c r="L36" s="4">
        <v>1545</v>
      </c>
      <c r="M36" s="4">
        <v>1547</v>
      </c>
      <c r="N36" s="4">
        <v>1548</v>
      </c>
      <c r="O36" s="5" t="s">
        <v>5</v>
      </c>
      <c r="P36" s="30">
        <v>1547.5</v>
      </c>
      <c r="Q36" s="7">
        <v>4.3</v>
      </c>
      <c r="R36" s="4">
        <v>41</v>
      </c>
      <c r="S36" s="8" t="s">
        <v>5</v>
      </c>
      <c r="T36" s="9">
        <v>167</v>
      </c>
      <c r="U36" s="7">
        <v>60</v>
      </c>
      <c r="V36" s="10">
        <v>107</v>
      </c>
      <c r="W36" s="11" t="s">
        <v>5</v>
      </c>
      <c r="X36" s="16">
        <v>58</v>
      </c>
      <c r="Y36" s="12">
        <v>2.4628249999999996</v>
      </c>
      <c r="Z36" s="7">
        <v>8.5</v>
      </c>
      <c r="AA36" s="7">
        <v>9.6</v>
      </c>
      <c r="AB36" s="13">
        <v>81</v>
      </c>
      <c r="AC36" s="13">
        <v>84</v>
      </c>
      <c r="AD36" s="11" t="s">
        <v>6</v>
      </c>
      <c r="AE36" s="18" t="s">
        <v>455</v>
      </c>
      <c r="AF36" s="79" t="s">
        <v>1548</v>
      </c>
    </row>
    <row r="37" spans="1:32" ht="15.75" x14ac:dyDescent="0.25">
      <c r="A37" s="1">
        <v>877</v>
      </c>
      <c r="B37" s="2">
        <v>46003</v>
      </c>
      <c r="C37" s="1" t="s">
        <v>18</v>
      </c>
      <c r="D37" s="1" t="s">
        <v>265</v>
      </c>
      <c r="E37" s="1">
        <v>1</v>
      </c>
      <c r="F37" s="83">
        <v>12512013</v>
      </c>
      <c r="G37" s="4">
        <v>1250</v>
      </c>
      <c r="H37" s="88" t="s">
        <v>222</v>
      </c>
      <c r="I37" s="16" t="s">
        <v>11</v>
      </c>
      <c r="J37" s="16" t="s">
        <v>1549</v>
      </c>
      <c r="K37" s="16">
        <v>1565</v>
      </c>
      <c r="L37" s="4">
        <v>1545</v>
      </c>
      <c r="M37" s="5">
        <v>1545</v>
      </c>
      <c r="N37" s="5">
        <v>1545</v>
      </c>
      <c r="O37" s="5">
        <v>1545</v>
      </c>
      <c r="P37" s="30">
        <v>1545</v>
      </c>
      <c r="Q37" s="7">
        <v>5.2</v>
      </c>
      <c r="R37" s="4">
        <v>34</v>
      </c>
      <c r="S37" s="8" t="s">
        <v>5</v>
      </c>
      <c r="T37" s="9">
        <v>170</v>
      </c>
      <c r="U37" s="7">
        <v>65</v>
      </c>
      <c r="V37" s="10">
        <v>105</v>
      </c>
      <c r="W37" s="11" t="s">
        <v>5</v>
      </c>
      <c r="X37" s="16">
        <v>58</v>
      </c>
      <c r="Y37" s="12">
        <v>2.9782999999999999</v>
      </c>
      <c r="Z37" s="7">
        <v>11.3</v>
      </c>
      <c r="AA37" s="7">
        <v>11.3</v>
      </c>
      <c r="AB37" s="13">
        <v>92</v>
      </c>
      <c r="AC37" s="13">
        <v>95</v>
      </c>
      <c r="AD37" s="11" t="s">
        <v>6</v>
      </c>
      <c r="AE37" s="18" t="s">
        <v>455</v>
      </c>
      <c r="AF37" s="14" t="s">
        <v>721</v>
      </c>
    </row>
    <row r="38" spans="1:32" ht="15.75" x14ac:dyDescent="0.25">
      <c r="A38" s="1">
        <v>928</v>
      </c>
      <c r="B38" s="2">
        <v>46003</v>
      </c>
      <c r="C38" s="1" t="s">
        <v>0</v>
      </c>
      <c r="D38" s="1" t="s">
        <v>9</v>
      </c>
      <c r="E38" s="1">
        <v>1</v>
      </c>
      <c r="F38" s="83">
        <v>12512014</v>
      </c>
      <c r="G38" s="4">
        <v>1320</v>
      </c>
      <c r="H38" s="88" t="s">
        <v>1159</v>
      </c>
      <c r="I38" s="16" t="s">
        <v>194</v>
      </c>
      <c r="J38" s="16" t="s">
        <v>1550</v>
      </c>
      <c r="K38" s="4">
        <v>1565</v>
      </c>
      <c r="L38" s="4">
        <v>1550</v>
      </c>
      <c r="M38" s="5">
        <v>1547</v>
      </c>
      <c r="N38" s="5">
        <v>1546</v>
      </c>
      <c r="O38" s="5">
        <v>1547</v>
      </c>
      <c r="P38" s="30">
        <v>1547.5</v>
      </c>
      <c r="Q38" s="7">
        <v>5</v>
      </c>
      <c r="R38" s="4">
        <v>34</v>
      </c>
      <c r="S38" s="8" t="s">
        <v>5</v>
      </c>
      <c r="T38" s="8">
        <v>164</v>
      </c>
      <c r="U38" s="7">
        <v>60</v>
      </c>
      <c r="V38" s="10">
        <v>104</v>
      </c>
      <c r="W38" s="11" t="s">
        <v>5</v>
      </c>
      <c r="X38" s="16">
        <v>56</v>
      </c>
      <c r="Y38" s="12">
        <v>2.9198400000000002</v>
      </c>
      <c r="Z38" s="7">
        <v>11.2</v>
      </c>
      <c r="AA38" s="7">
        <v>11.9</v>
      </c>
      <c r="AB38" s="13">
        <v>82</v>
      </c>
      <c r="AC38" s="13">
        <v>88</v>
      </c>
      <c r="AD38" s="11" t="s">
        <v>6</v>
      </c>
      <c r="AE38" s="18" t="s">
        <v>53</v>
      </c>
      <c r="AF38" s="14" t="s">
        <v>418</v>
      </c>
    </row>
    <row r="39" spans="1:32" ht="47.25" x14ac:dyDescent="0.25">
      <c r="A39" s="1">
        <v>957</v>
      </c>
      <c r="B39" s="2">
        <v>46004</v>
      </c>
      <c r="C39" s="1" t="s">
        <v>18</v>
      </c>
      <c r="D39" s="1" t="s">
        <v>19</v>
      </c>
      <c r="E39" s="1">
        <v>1</v>
      </c>
      <c r="F39" s="83">
        <v>12512014</v>
      </c>
      <c r="G39" s="4">
        <v>1320</v>
      </c>
      <c r="H39" s="88" t="s">
        <v>55</v>
      </c>
      <c r="I39" s="16" t="s">
        <v>120</v>
      </c>
      <c r="J39" s="16" t="s">
        <v>1551</v>
      </c>
      <c r="K39" s="16">
        <v>1570</v>
      </c>
      <c r="L39" s="4">
        <v>1544</v>
      </c>
      <c r="M39" s="5">
        <v>1543</v>
      </c>
      <c r="N39" s="5">
        <v>1543</v>
      </c>
      <c r="O39" s="5" t="s">
        <v>5</v>
      </c>
      <c r="P39" s="30">
        <v>1543.3333333333333</v>
      </c>
      <c r="Q39" s="7">
        <v>5.2</v>
      </c>
      <c r="R39" s="4">
        <v>35</v>
      </c>
      <c r="S39" s="8" t="s">
        <v>5</v>
      </c>
      <c r="T39" s="9">
        <v>164</v>
      </c>
      <c r="U39" s="7">
        <v>58</v>
      </c>
      <c r="V39" s="10">
        <v>106</v>
      </c>
      <c r="W39" s="11" t="s">
        <v>5</v>
      </c>
      <c r="X39" s="16">
        <v>58</v>
      </c>
      <c r="Y39" s="12">
        <v>3.1450848000000002</v>
      </c>
      <c r="Z39" s="7">
        <v>11</v>
      </c>
      <c r="AA39" s="7">
        <v>11</v>
      </c>
      <c r="AB39" s="13">
        <v>87</v>
      </c>
      <c r="AC39" s="13">
        <v>88</v>
      </c>
      <c r="AD39" s="11" t="s">
        <v>6</v>
      </c>
      <c r="AE39" s="18" t="s">
        <v>53</v>
      </c>
      <c r="AF39" s="14" t="s">
        <v>1552</v>
      </c>
    </row>
    <row r="40" spans="1:32" ht="15.75" x14ac:dyDescent="0.25">
      <c r="A40" s="1">
        <v>958</v>
      </c>
      <c r="B40" s="2">
        <v>46004</v>
      </c>
      <c r="C40" s="1" t="s">
        <v>18</v>
      </c>
      <c r="D40" s="1" t="s">
        <v>19</v>
      </c>
      <c r="E40" s="1">
        <v>1</v>
      </c>
      <c r="F40" s="83">
        <v>12512014</v>
      </c>
      <c r="G40" s="4">
        <v>1320</v>
      </c>
      <c r="H40" s="88" t="s">
        <v>55</v>
      </c>
      <c r="I40" s="16" t="s">
        <v>103</v>
      </c>
      <c r="J40" s="16" t="s">
        <v>1553</v>
      </c>
      <c r="K40" s="16">
        <v>1568</v>
      </c>
      <c r="L40" s="4">
        <v>1548</v>
      </c>
      <c r="M40" s="5">
        <v>1550</v>
      </c>
      <c r="N40" s="5">
        <v>1551</v>
      </c>
      <c r="O40" s="5"/>
      <c r="P40" s="30">
        <v>1549.6666666666667</v>
      </c>
      <c r="Q40" s="7">
        <v>5.5</v>
      </c>
      <c r="R40" s="4">
        <v>29</v>
      </c>
      <c r="S40" s="8" t="s">
        <v>5</v>
      </c>
      <c r="T40" s="9">
        <v>175.6</v>
      </c>
      <c r="U40" s="7">
        <v>72.599999999999994</v>
      </c>
      <c r="V40" s="10">
        <v>103</v>
      </c>
      <c r="W40" s="11" t="s">
        <v>5</v>
      </c>
      <c r="X40" s="16">
        <v>58</v>
      </c>
      <c r="Y40" s="12">
        <v>3.3265320000000003</v>
      </c>
      <c r="Z40" s="7">
        <v>9.6</v>
      </c>
      <c r="AA40" s="7">
        <v>10.7</v>
      </c>
      <c r="AB40" s="13">
        <v>73</v>
      </c>
      <c r="AC40" s="13">
        <v>82</v>
      </c>
      <c r="AD40" s="11" t="s">
        <v>6</v>
      </c>
      <c r="AE40" s="18" t="s">
        <v>53</v>
      </c>
      <c r="AF40" s="14" t="s">
        <v>480</v>
      </c>
    </row>
    <row r="41" spans="1:32" ht="15.75" x14ac:dyDescent="0.25">
      <c r="A41" s="1">
        <v>1108</v>
      </c>
      <c r="B41" s="2">
        <v>46005</v>
      </c>
      <c r="C41" s="1" t="s">
        <v>0</v>
      </c>
      <c r="D41" s="1" t="s">
        <v>265</v>
      </c>
      <c r="E41" s="1">
        <v>2</v>
      </c>
      <c r="F41" s="83">
        <v>22512016</v>
      </c>
      <c r="G41" s="4">
        <v>1250</v>
      </c>
      <c r="H41" s="88" t="s">
        <v>1159</v>
      </c>
      <c r="I41" s="16" t="s">
        <v>303</v>
      </c>
      <c r="J41" s="16" t="s">
        <v>1554</v>
      </c>
      <c r="K41" s="4">
        <v>1567</v>
      </c>
      <c r="L41" s="5">
        <v>1540</v>
      </c>
      <c r="M41" s="5">
        <v>1540</v>
      </c>
      <c r="N41" s="5"/>
      <c r="O41" s="5"/>
      <c r="P41" s="30">
        <v>1540</v>
      </c>
      <c r="Q41" s="7">
        <v>5.4</v>
      </c>
      <c r="R41" s="4">
        <v>35</v>
      </c>
      <c r="S41" s="8">
        <v>29</v>
      </c>
      <c r="T41" s="9">
        <v>158</v>
      </c>
      <c r="U41" s="7">
        <v>61</v>
      </c>
      <c r="V41" s="118">
        <v>97</v>
      </c>
      <c r="W41" s="11" t="s">
        <v>5</v>
      </c>
      <c r="X41" s="16">
        <v>58</v>
      </c>
      <c r="Y41" s="12">
        <v>3.0928500000000003</v>
      </c>
      <c r="Z41" s="7">
        <v>10</v>
      </c>
      <c r="AA41" s="7">
        <v>10.4</v>
      </c>
      <c r="AB41" s="13">
        <v>84</v>
      </c>
      <c r="AC41" s="13">
        <v>88</v>
      </c>
      <c r="AD41" s="11" t="s">
        <v>6</v>
      </c>
      <c r="AE41" s="18" t="s">
        <v>455</v>
      </c>
      <c r="AF41" s="14" t="s">
        <v>1555</v>
      </c>
    </row>
    <row r="42" spans="1:32" ht="31.5" x14ac:dyDescent="0.25">
      <c r="A42" s="1">
        <v>1154</v>
      </c>
      <c r="B42" s="2">
        <v>46006</v>
      </c>
      <c r="C42" s="1" t="s">
        <v>264</v>
      </c>
      <c r="D42" s="1" t="s">
        <v>9</v>
      </c>
      <c r="E42" s="1">
        <v>2</v>
      </c>
      <c r="F42" s="83">
        <v>22512017</v>
      </c>
      <c r="G42" s="4">
        <v>1250</v>
      </c>
      <c r="H42" s="88" t="s">
        <v>10</v>
      </c>
      <c r="I42" s="16" t="s">
        <v>86</v>
      </c>
      <c r="J42" s="69" t="s">
        <v>1556</v>
      </c>
      <c r="K42" s="4">
        <v>1567</v>
      </c>
      <c r="L42" s="4">
        <v>1550</v>
      </c>
      <c r="M42" s="5">
        <v>1547</v>
      </c>
      <c r="N42" s="5">
        <v>1546</v>
      </c>
      <c r="O42" s="5">
        <v>1546</v>
      </c>
      <c r="P42" s="30">
        <v>1546.3333333333333</v>
      </c>
      <c r="Q42" s="7">
        <v>5.5</v>
      </c>
      <c r="R42" s="4">
        <v>36</v>
      </c>
      <c r="S42" s="8" t="s">
        <v>5</v>
      </c>
      <c r="T42" s="9">
        <v>174</v>
      </c>
      <c r="U42" s="7">
        <v>61</v>
      </c>
      <c r="V42" s="118">
        <v>113</v>
      </c>
      <c r="W42" s="11" t="s">
        <v>5</v>
      </c>
      <c r="X42" s="16">
        <v>58</v>
      </c>
      <c r="Y42" s="12">
        <v>3.1501250000000001</v>
      </c>
      <c r="Z42" s="7">
        <v>10.1</v>
      </c>
      <c r="AA42" s="7">
        <v>10.5</v>
      </c>
      <c r="AB42" s="13">
        <v>83</v>
      </c>
      <c r="AC42" s="13">
        <v>87</v>
      </c>
      <c r="AD42" s="11" t="s">
        <v>959</v>
      </c>
      <c r="AE42" s="18" t="s">
        <v>455</v>
      </c>
      <c r="AF42" s="14" t="s">
        <v>757</v>
      </c>
    </row>
    <row r="43" spans="1:32" ht="31.5" x14ac:dyDescent="0.25">
      <c r="A43" s="1">
        <v>1161</v>
      </c>
      <c r="B43" s="2">
        <v>46006</v>
      </c>
      <c r="C43" s="1" t="s">
        <v>264</v>
      </c>
      <c r="D43" s="1" t="s">
        <v>9</v>
      </c>
      <c r="E43" s="1">
        <v>2</v>
      </c>
      <c r="F43" s="83">
        <v>22512017</v>
      </c>
      <c r="G43" s="4">
        <v>1250</v>
      </c>
      <c r="H43" s="88" t="s">
        <v>232</v>
      </c>
      <c r="I43" s="16" t="s">
        <v>74</v>
      </c>
      <c r="J43" s="16" t="s">
        <v>1557</v>
      </c>
      <c r="K43" s="4">
        <v>1567</v>
      </c>
      <c r="L43" s="4">
        <v>1541</v>
      </c>
      <c r="M43" s="5">
        <v>1541</v>
      </c>
      <c r="N43" s="5">
        <v>1541</v>
      </c>
      <c r="O43" s="5">
        <v>1541</v>
      </c>
      <c r="P43" s="30">
        <v>1541</v>
      </c>
      <c r="Q43" s="7">
        <v>4.5</v>
      </c>
      <c r="R43" s="4">
        <v>41</v>
      </c>
      <c r="S43" s="8">
        <v>33</v>
      </c>
      <c r="T43" s="8">
        <v>174</v>
      </c>
      <c r="U43" s="7">
        <v>57</v>
      </c>
      <c r="V43" s="118">
        <v>117</v>
      </c>
      <c r="W43" s="11" t="s">
        <v>5</v>
      </c>
      <c r="X43" s="16">
        <v>58</v>
      </c>
      <c r="Y43" s="12">
        <v>2.577375</v>
      </c>
      <c r="Z43" s="7">
        <v>8</v>
      </c>
      <c r="AA43" s="7">
        <v>8.1999999999999993</v>
      </c>
      <c r="AB43" s="13">
        <v>72</v>
      </c>
      <c r="AC43" s="13">
        <v>75</v>
      </c>
      <c r="AD43" s="11" t="s">
        <v>959</v>
      </c>
      <c r="AE43" s="18" t="s">
        <v>72</v>
      </c>
      <c r="AF43" s="14" t="s">
        <v>1558</v>
      </c>
    </row>
    <row r="44" spans="1:32" ht="31.5" x14ac:dyDescent="0.25">
      <c r="A44" s="1">
        <v>1166</v>
      </c>
      <c r="B44" s="2">
        <v>46006</v>
      </c>
      <c r="C44" s="1" t="s">
        <v>264</v>
      </c>
      <c r="D44" s="1" t="s">
        <v>265</v>
      </c>
      <c r="E44" s="1">
        <v>1</v>
      </c>
      <c r="F44" s="83">
        <v>12512016</v>
      </c>
      <c r="G44" s="4">
        <v>1250</v>
      </c>
      <c r="H44" s="88" t="s">
        <v>176</v>
      </c>
      <c r="I44" s="16" t="s">
        <v>229</v>
      </c>
      <c r="J44" s="16" t="s">
        <v>1559</v>
      </c>
      <c r="K44" s="4">
        <v>1571</v>
      </c>
      <c r="L44" s="4">
        <v>1542</v>
      </c>
      <c r="M44" s="5">
        <v>1544</v>
      </c>
      <c r="N44" s="5">
        <v>1544</v>
      </c>
      <c r="O44" s="5">
        <v>1547</v>
      </c>
      <c r="P44" s="30">
        <v>1544.25</v>
      </c>
      <c r="Q44" s="7">
        <v>4.8</v>
      </c>
      <c r="R44" s="4">
        <v>36</v>
      </c>
      <c r="S44" s="8" t="s">
        <v>5</v>
      </c>
      <c r="T44" s="8">
        <v>163</v>
      </c>
      <c r="U44" s="7">
        <v>60</v>
      </c>
      <c r="V44" s="118">
        <v>103</v>
      </c>
      <c r="W44" s="11" t="s">
        <v>5</v>
      </c>
      <c r="X44" s="16">
        <v>58</v>
      </c>
      <c r="Y44" s="12">
        <v>2.7491999999999996</v>
      </c>
      <c r="Z44" s="7">
        <v>7.5</v>
      </c>
      <c r="AA44" s="7">
        <v>8.4</v>
      </c>
      <c r="AB44" s="13">
        <v>76</v>
      </c>
      <c r="AC44" s="13">
        <v>80</v>
      </c>
      <c r="AD44" s="11" t="s">
        <v>6</v>
      </c>
      <c r="AE44" s="18" t="s">
        <v>455</v>
      </c>
      <c r="AF44" s="14" t="s">
        <v>855</v>
      </c>
    </row>
    <row r="45" spans="1:32" ht="31.5" x14ac:dyDescent="0.25">
      <c r="A45" s="1">
        <v>1170</v>
      </c>
      <c r="B45" s="2">
        <v>46006</v>
      </c>
      <c r="C45" s="1" t="s">
        <v>0</v>
      </c>
      <c r="D45" s="1" t="s">
        <v>265</v>
      </c>
      <c r="E45" s="1">
        <v>1</v>
      </c>
      <c r="F45" s="83">
        <v>12512016</v>
      </c>
      <c r="G45" s="4">
        <v>1250</v>
      </c>
      <c r="H45" s="88" t="s">
        <v>1560</v>
      </c>
      <c r="I45" s="16" t="s">
        <v>120</v>
      </c>
      <c r="J45" s="16" t="s">
        <v>1561</v>
      </c>
      <c r="K45" s="4">
        <v>1566</v>
      </c>
      <c r="L45" s="4">
        <v>1545</v>
      </c>
      <c r="M45" s="5">
        <v>1545</v>
      </c>
      <c r="N45" s="5">
        <v>1541</v>
      </c>
      <c r="O45" s="5">
        <v>1541</v>
      </c>
      <c r="P45" s="30">
        <v>1543</v>
      </c>
      <c r="Q45" s="7">
        <v>5.2</v>
      </c>
      <c r="R45" s="4">
        <v>34</v>
      </c>
      <c r="S45" s="8" t="s">
        <v>5</v>
      </c>
      <c r="T45" s="9">
        <v>159</v>
      </c>
      <c r="U45" s="7">
        <v>58</v>
      </c>
      <c r="V45" s="118">
        <v>101</v>
      </c>
      <c r="W45" s="11" t="s">
        <v>5</v>
      </c>
      <c r="X45" s="16">
        <v>56</v>
      </c>
      <c r="Y45" s="12">
        <v>2.8756000000000004</v>
      </c>
      <c r="Z45" s="7">
        <v>9.1</v>
      </c>
      <c r="AA45" s="7">
        <v>9.1999999999999993</v>
      </c>
      <c r="AB45" s="13">
        <v>82</v>
      </c>
      <c r="AC45" s="13">
        <v>87</v>
      </c>
      <c r="AD45" s="11" t="s">
        <v>6</v>
      </c>
      <c r="AE45" s="18" t="s">
        <v>455</v>
      </c>
      <c r="AF45" s="14" t="s">
        <v>1562</v>
      </c>
    </row>
    <row r="46" spans="1:32" ht="31.5" x14ac:dyDescent="0.25">
      <c r="A46" s="1">
        <v>1221</v>
      </c>
      <c r="B46" s="2">
        <v>46007</v>
      </c>
      <c r="C46" s="1" t="s">
        <v>264</v>
      </c>
      <c r="D46" s="1" t="s">
        <v>9</v>
      </c>
      <c r="E46" s="1">
        <v>1</v>
      </c>
      <c r="F46" s="83">
        <v>12512016</v>
      </c>
      <c r="G46" s="4">
        <v>1260</v>
      </c>
      <c r="H46" s="88" t="s">
        <v>10</v>
      </c>
      <c r="I46" s="16" t="s">
        <v>138</v>
      </c>
      <c r="J46" s="16" t="s">
        <v>1563</v>
      </c>
      <c r="K46" s="4">
        <v>1570</v>
      </c>
      <c r="L46" s="4">
        <v>1553</v>
      </c>
      <c r="M46" s="4">
        <v>1554</v>
      </c>
      <c r="N46" s="4">
        <v>1553</v>
      </c>
      <c r="O46" s="5">
        <v>1552</v>
      </c>
      <c r="P46" s="30">
        <v>1553</v>
      </c>
      <c r="Q46" s="7">
        <v>5.2</v>
      </c>
      <c r="R46" s="4">
        <v>34</v>
      </c>
      <c r="S46" s="8" t="s">
        <v>5</v>
      </c>
      <c r="T46" s="9">
        <v>162</v>
      </c>
      <c r="U46" s="7">
        <v>60</v>
      </c>
      <c r="V46" s="118">
        <v>102</v>
      </c>
      <c r="W46" s="11" t="s">
        <v>5</v>
      </c>
      <c r="X46" s="16">
        <v>58</v>
      </c>
      <c r="Y46" s="12">
        <v>3.0021264000000003</v>
      </c>
      <c r="Z46" s="7">
        <v>8.3000000000000007</v>
      </c>
      <c r="AA46" s="7">
        <v>8.6</v>
      </c>
      <c r="AB46" s="13">
        <v>71</v>
      </c>
      <c r="AC46" s="13">
        <v>75</v>
      </c>
      <c r="AD46" s="11" t="s">
        <v>6</v>
      </c>
      <c r="AE46" s="18" t="s">
        <v>53</v>
      </c>
      <c r="AF46" s="14" t="s">
        <v>1564</v>
      </c>
    </row>
    <row r="47" spans="1:32" ht="15.75" x14ac:dyDescent="0.25">
      <c r="A47" s="1">
        <v>1236</v>
      </c>
      <c r="B47" s="2">
        <v>46007</v>
      </c>
      <c r="C47" s="1" t="s">
        <v>264</v>
      </c>
      <c r="D47" s="1" t="s">
        <v>9</v>
      </c>
      <c r="E47" s="1">
        <v>2</v>
      </c>
      <c r="F47" s="83">
        <v>22512018</v>
      </c>
      <c r="G47" s="4">
        <v>1260</v>
      </c>
      <c r="H47" s="88" t="s">
        <v>10</v>
      </c>
      <c r="I47" s="16" t="s">
        <v>346</v>
      </c>
      <c r="J47" s="16" t="s">
        <v>1565</v>
      </c>
      <c r="K47" s="4">
        <v>1569</v>
      </c>
      <c r="L47" s="4">
        <v>1543</v>
      </c>
      <c r="M47" s="5">
        <v>1542</v>
      </c>
      <c r="N47" s="5">
        <v>1541</v>
      </c>
      <c r="O47" s="5">
        <v>1539</v>
      </c>
      <c r="P47" s="30">
        <v>1540.6666666666667</v>
      </c>
      <c r="Q47" s="7">
        <v>5.4</v>
      </c>
      <c r="R47" s="4">
        <v>33</v>
      </c>
      <c r="S47" s="8">
        <v>37</v>
      </c>
      <c r="T47" s="9">
        <v>171</v>
      </c>
      <c r="U47" s="7">
        <v>60</v>
      </c>
      <c r="V47" s="118">
        <v>111</v>
      </c>
      <c r="W47" s="11" t="s">
        <v>5</v>
      </c>
      <c r="X47" s="16">
        <v>58</v>
      </c>
      <c r="Y47" s="12">
        <v>3.1175928000000006</v>
      </c>
      <c r="Z47" s="7">
        <v>9.3000000000000007</v>
      </c>
      <c r="AA47" s="7">
        <v>10.1</v>
      </c>
      <c r="AB47" s="13">
        <v>78</v>
      </c>
      <c r="AC47" s="13">
        <v>84</v>
      </c>
      <c r="AD47" s="11" t="s">
        <v>959</v>
      </c>
      <c r="AE47" s="18" t="s">
        <v>455</v>
      </c>
      <c r="AF47" s="14" t="s">
        <v>480</v>
      </c>
    </row>
    <row r="48" spans="1:32" ht="31.5" x14ac:dyDescent="0.25">
      <c r="A48" s="1">
        <v>1300</v>
      </c>
      <c r="B48" s="2">
        <v>46008</v>
      </c>
      <c r="C48" s="1" t="s">
        <v>264</v>
      </c>
      <c r="D48" s="1" t="s">
        <v>9</v>
      </c>
      <c r="E48" s="1">
        <v>1</v>
      </c>
      <c r="F48" s="83">
        <v>12512018</v>
      </c>
      <c r="G48" s="4">
        <v>1230</v>
      </c>
      <c r="H48" s="88" t="s">
        <v>1159</v>
      </c>
      <c r="I48" s="16" t="s">
        <v>194</v>
      </c>
      <c r="J48" s="16" t="s">
        <v>1566</v>
      </c>
      <c r="K48" s="4">
        <v>1565</v>
      </c>
      <c r="L48" s="4">
        <v>1546</v>
      </c>
      <c r="M48" s="4">
        <v>1548</v>
      </c>
      <c r="N48" s="5">
        <v>1545</v>
      </c>
      <c r="O48" s="5">
        <v>1543</v>
      </c>
      <c r="P48" s="30">
        <v>1545.5</v>
      </c>
      <c r="Q48" s="7">
        <v>4.8</v>
      </c>
      <c r="R48" s="4">
        <v>36</v>
      </c>
      <c r="S48" s="8"/>
      <c r="T48" s="9">
        <v>165</v>
      </c>
      <c r="U48" s="7">
        <v>59</v>
      </c>
      <c r="V48" s="118">
        <v>106</v>
      </c>
      <c r="W48" s="11" t="s">
        <v>5</v>
      </c>
      <c r="X48" s="16">
        <v>58</v>
      </c>
      <c r="Y48" s="12">
        <v>2.7052128</v>
      </c>
      <c r="Z48" s="7">
        <v>8.4</v>
      </c>
      <c r="AA48" s="7">
        <v>9</v>
      </c>
      <c r="AB48" s="13">
        <v>83</v>
      </c>
      <c r="AC48" s="13">
        <v>86</v>
      </c>
      <c r="AD48" s="11" t="s">
        <v>6</v>
      </c>
      <c r="AE48" s="18" t="s">
        <v>53</v>
      </c>
      <c r="AF48" s="14" t="s">
        <v>1567</v>
      </c>
    </row>
    <row r="49" spans="1:32" ht="31.5" x14ac:dyDescent="0.25">
      <c r="A49" s="1">
        <v>1301</v>
      </c>
      <c r="B49" s="2">
        <v>46008</v>
      </c>
      <c r="C49" s="1" t="s">
        <v>264</v>
      </c>
      <c r="D49" s="1" t="s">
        <v>9</v>
      </c>
      <c r="E49" s="1">
        <v>1</v>
      </c>
      <c r="F49" s="83">
        <v>12512018</v>
      </c>
      <c r="G49" s="4">
        <v>1230</v>
      </c>
      <c r="H49" s="88" t="s">
        <v>1159</v>
      </c>
      <c r="I49" s="16" t="s">
        <v>189</v>
      </c>
      <c r="J49" s="16" t="s">
        <v>1568</v>
      </c>
      <c r="K49" s="99">
        <v>1567</v>
      </c>
      <c r="L49" s="4">
        <v>1539</v>
      </c>
      <c r="M49" s="4">
        <v>1538</v>
      </c>
      <c r="N49" s="5">
        <v>1538</v>
      </c>
      <c r="O49" s="5">
        <v>1535</v>
      </c>
      <c r="P49" s="30">
        <v>1537.5</v>
      </c>
      <c r="Q49" s="7">
        <v>5</v>
      </c>
      <c r="R49" s="4">
        <v>40</v>
      </c>
      <c r="S49" s="8"/>
      <c r="T49" s="9">
        <v>166</v>
      </c>
      <c r="U49" s="7">
        <v>60</v>
      </c>
      <c r="V49" s="118">
        <v>106</v>
      </c>
      <c r="W49" s="11" t="s">
        <v>5</v>
      </c>
      <c r="X49" s="16">
        <v>58</v>
      </c>
      <c r="Y49" s="12">
        <v>2.81793</v>
      </c>
      <c r="Z49" s="7">
        <v>9.9</v>
      </c>
      <c r="AA49" s="7">
        <v>10.6</v>
      </c>
      <c r="AB49" s="13">
        <v>87</v>
      </c>
      <c r="AC49" s="13">
        <v>94</v>
      </c>
      <c r="AD49" s="11" t="s">
        <v>6</v>
      </c>
      <c r="AE49" s="18" t="s">
        <v>53</v>
      </c>
      <c r="AF49" s="14" t="s">
        <v>1569</v>
      </c>
    </row>
    <row r="50" spans="1:32" ht="31.5" x14ac:dyDescent="0.25">
      <c r="A50" s="1">
        <v>1318</v>
      </c>
      <c r="B50" s="2">
        <v>46008</v>
      </c>
      <c r="C50" s="1" t="s">
        <v>264</v>
      </c>
      <c r="D50" s="1" t="s">
        <v>9</v>
      </c>
      <c r="E50" s="1">
        <v>2</v>
      </c>
      <c r="F50" s="83">
        <v>22512018</v>
      </c>
      <c r="G50" s="4">
        <v>1260</v>
      </c>
      <c r="H50" s="88" t="s">
        <v>1159</v>
      </c>
      <c r="I50" s="16" t="s">
        <v>240</v>
      </c>
      <c r="J50" s="16" t="s">
        <v>1570</v>
      </c>
      <c r="K50" s="4">
        <v>1567</v>
      </c>
      <c r="L50" s="4">
        <v>1548</v>
      </c>
      <c r="M50" s="5">
        <v>1546</v>
      </c>
      <c r="N50" s="5">
        <v>1547</v>
      </c>
      <c r="O50" s="5">
        <v>1548</v>
      </c>
      <c r="P50" s="30">
        <v>1547.25</v>
      </c>
      <c r="Q50" s="7">
        <v>5</v>
      </c>
      <c r="R50" s="4">
        <v>36</v>
      </c>
      <c r="S50" s="8">
        <v>12</v>
      </c>
      <c r="T50" s="8">
        <v>165</v>
      </c>
      <c r="U50" s="7">
        <v>63</v>
      </c>
      <c r="V50" s="118">
        <v>102</v>
      </c>
      <c r="W50" s="11" t="s">
        <v>5</v>
      </c>
      <c r="X50" s="16">
        <v>58</v>
      </c>
      <c r="Y50" s="12">
        <v>2.8866600000000004</v>
      </c>
      <c r="Z50" s="7">
        <v>10.8</v>
      </c>
      <c r="AA50" s="7">
        <v>10.5</v>
      </c>
      <c r="AB50" s="13">
        <v>89</v>
      </c>
      <c r="AC50" s="13">
        <v>87</v>
      </c>
      <c r="AD50" s="11" t="s">
        <v>959</v>
      </c>
      <c r="AE50" s="18" t="s">
        <v>455</v>
      </c>
      <c r="AF50" s="14" t="s">
        <v>1571</v>
      </c>
    </row>
    <row r="51" spans="1:32" ht="63" x14ac:dyDescent="0.25">
      <c r="A51" s="1">
        <v>1392</v>
      </c>
      <c r="B51" s="2">
        <v>46009</v>
      </c>
      <c r="C51" s="1" t="s">
        <v>264</v>
      </c>
      <c r="D51" s="1" t="s">
        <v>9</v>
      </c>
      <c r="E51" s="1">
        <v>2</v>
      </c>
      <c r="F51" s="83">
        <v>22512020</v>
      </c>
      <c r="G51" s="4">
        <v>1230</v>
      </c>
      <c r="H51" s="88" t="s">
        <v>10</v>
      </c>
      <c r="I51" s="16" t="s">
        <v>122</v>
      </c>
      <c r="J51" s="16" t="s">
        <v>1572</v>
      </c>
      <c r="K51" s="4">
        <v>1568</v>
      </c>
      <c r="L51" s="4">
        <v>1543</v>
      </c>
      <c r="M51" s="5">
        <v>1542</v>
      </c>
      <c r="N51" s="5">
        <v>1540</v>
      </c>
      <c r="O51" s="5">
        <v>1539</v>
      </c>
      <c r="P51" s="30">
        <v>1540.3333333333333</v>
      </c>
      <c r="Q51" s="7">
        <v>4.8</v>
      </c>
      <c r="R51" s="4">
        <v>38</v>
      </c>
      <c r="S51" s="8">
        <v>4</v>
      </c>
      <c r="T51" s="8">
        <v>158</v>
      </c>
      <c r="U51" s="7">
        <v>58</v>
      </c>
      <c r="V51" s="118">
        <v>100</v>
      </c>
      <c r="W51" s="11" t="s">
        <v>5</v>
      </c>
      <c r="X51" s="16">
        <v>58</v>
      </c>
      <c r="Y51" s="12">
        <v>2.7052128</v>
      </c>
      <c r="Z51" s="7">
        <v>9.4</v>
      </c>
      <c r="AA51" s="7">
        <v>8.6999999999999993</v>
      </c>
      <c r="AB51" s="13">
        <v>79</v>
      </c>
      <c r="AC51" s="13">
        <v>75</v>
      </c>
      <c r="AD51" s="11" t="s">
        <v>959</v>
      </c>
      <c r="AE51" s="18" t="s">
        <v>455</v>
      </c>
      <c r="AF51" s="14" t="s">
        <v>1573</v>
      </c>
    </row>
    <row r="52" spans="1:32" ht="47.25" x14ac:dyDescent="0.25">
      <c r="A52" s="1">
        <v>1394</v>
      </c>
      <c r="B52" s="2">
        <v>46009</v>
      </c>
      <c r="C52" s="1" t="s">
        <v>264</v>
      </c>
      <c r="D52" s="1" t="s">
        <v>9</v>
      </c>
      <c r="E52" s="1">
        <v>2</v>
      </c>
      <c r="F52" s="83">
        <v>22512020</v>
      </c>
      <c r="G52" s="4">
        <v>1250</v>
      </c>
      <c r="H52" s="88" t="s">
        <v>225</v>
      </c>
      <c r="I52" s="16" t="s">
        <v>229</v>
      </c>
      <c r="J52" s="16" t="s">
        <v>1574</v>
      </c>
      <c r="K52" s="4">
        <v>1569</v>
      </c>
      <c r="L52" s="4">
        <v>1549</v>
      </c>
      <c r="M52" s="5">
        <v>1550</v>
      </c>
      <c r="N52" s="5">
        <v>1551</v>
      </c>
      <c r="O52" s="5">
        <v>1552</v>
      </c>
      <c r="P52" s="30">
        <v>1550.5</v>
      </c>
      <c r="Q52" s="7">
        <v>5</v>
      </c>
      <c r="R52" s="4">
        <v>36</v>
      </c>
      <c r="S52" s="8"/>
      <c r="T52" s="8">
        <v>163</v>
      </c>
      <c r="U52" s="7">
        <v>61</v>
      </c>
      <c r="V52" s="118">
        <v>102</v>
      </c>
      <c r="W52" s="11" t="s">
        <v>5</v>
      </c>
      <c r="X52" s="16">
        <v>58</v>
      </c>
      <c r="Y52" s="12">
        <v>2.86375</v>
      </c>
      <c r="Z52" s="7">
        <v>9.8000000000000007</v>
      </c>
      <c r="AA52" s="7">
        <v>9.3000000000000007</v>
      </c>
      <c r="AB52" s="13">
        <v>85</v>
      </c>
      <c r="AC52" s="13">
        <v>82</v>
      </c>
      <c r="AD52" s="11" t="s">
        <v>959</v>
      </c>
      <c r="AE52" s="18" t="s">
        <v>455</v>
      </c>
      <c r="AF52" s="14" t="s">
        <v>1575</v>
      </c>
    </row>
    <row r="53" spans="1:32" ht="15.75" x14ac:dyDescent="0.25">
      <c r="A53" s="1">
        <v>1395</v>
      </c>
      <c r="B53" s="2">
        <v>46009</v>
      </c>
      <c r="C53" s="1" t="s">
        <v>264</v>
      </c>
      <c r="D53" s="1" t="s">
        <v>9</v>
      </c>
      <c r="E53" s="1">
        <v>2</v>
      </c>
      <c r="F53" s="83">
        <v>22512020</v>
      </c>
      <c r="G53" s="4">
        <v>1250</v>
      </c>
      <c r="H53" s="88" t="s">
        <v>225</v>
      </c>
      <c r="I53" s="16" t="s">
        <v>20</v>
      </c>
      <c r="J53" s="16" t="s">
        <v>1576</v>
      </c>
      <c r="K53" s="4">
        <v>1565</v>
      </c>
      <c r="L53" s="4">
        <v>1544</v>
      </c>
      <c r="M53" s="5">
        <v>1542</v>
      </c>
      <c r="N53" s="5">
        <v>1539</v>
      </c>
      <c r="O53" s="5"/>
      <c r="P53" s="30">
        <v>1541.6666666666667</v>
      </c>
      <c r="Q53" s="7">
        <v>5</v>
      </c>
      <c r="R53" s="4">
        <v>40</v>
      </c>
      <c r="S53" s="8">
        <v>43</v>
      </c>
      <c r="T53" s="8">
        <v>169</v>
      </c>
      <c r="U53" s="7">
        <v>55</v>
      </c>
      <c r="V53" s="118">
        <v>114</v>
      </c>
      <c r="W53" s="11" t="s">
        <v>5</v>
      </c>
      <c r="X53" s="16">
        <v>56</v>
      </c>
      <c r="Y53" s="12">
        <v>2.7650000000000001</v>
      </c>
      <c r="Z53" s="7">
        <v>9.6999999999999993</v>
      </c>
      <c r="AA53" s="7">
        <v>9.5</v>
      </c>
      <c r="AB53" s="13">
        <v>85</v>
      </c>
      <c r="AC53" s="13">
        <v>84</v>
      </c>
      <c r="AD53" s="11" t="s">
        <v>959</v>
      </c>
      <c r="AE53" s="18" t="s">
        <v>455</v>
      </c>
      <c r="AF53" s="14" t="s">
        <v>1577</v>
      </c>
    </row>
    <row r="54" spans="1:32" ht="47.25" x14ac:dyDescent="0.25">
      <c r="A54" s="1">
        <v>1400</v>
      </c>
      <c r="B54" s="2">
        <v>46009</v>
      </c>
      <c r="C54" s="1" t="s">
        <v>0</v>
      </c>
      <c r="D54" s="1" t="s">
        <v>691</v>
      </c>
      <c r="E54" s="1">
        <v>1</v>
      </c>
      <c r="F54" s="83">
        <v>12512020</v>
      </c>
      <c r="G54" s="4">
        <v>1250</v>
      </c>
      <c r="H54" s="88" t="s">
        <v>1095</v>
      </c>
      <c r="I54" s="16" t="s">
        <v>86</v>
      </c>
      <c r="J54" s="16" t="s">
        <v>1578</v>
      </c>
      <c r="K54" s="4">
        <v>1567</v>
      </c>
      <c r="L54" s="5">
        <v>1550</v>
      </c>
      <c r="M54" s="5">
        <v>1545</v>
      </c>
      <c r="N54" s="5">
        <v>1540</v>
      </c>
      <c r="O54" s="5">
        <v>1540</v>
      </c>
      <c r="P54" s="30">
        <v>1543.75</v>
      </c>
      <c r="Q54" s="7">
        <v>4.2</v>
      </c>
      <c r="R54" s="4">
        <v>41</v>
      </c>
      <c r="S54" s="8"/>
      <c r="T54" s="8">
        <v>168</v>
      </c>
      <c r="U54" s="7">
        <v>61</v>
      </c>
      <c r="V54" s="118">
        <v>107</v>
      </c>
      <c r="W54" s="11" t="s">
        <v>5</v>
      </c>
      <c r="X54" s="16">
        <v>58</v>
      </c>
      <c r="Y54" s="12">
        <v>2.4055499999999999</v>
      </c>
      <c r="Z54" s="7">
        <v>8.9</v>
      </c>
      <c r="AA54" s="7">
        <v>8.8000000000000007</v>
      </c>
      <c r="AB54" s="13">
        <v>85</v>
      </c>
      <c r="AC54" s="13">
        <v>85</v>
      </c>
      <c r="AD54" s="11" t="s">
        <v>236</v>
      </c>
      <c r="AE54" s="18" t="s">
        <v>455</v>
      </c>
      <c r="AF54" s="14" t="s">
        <v>1579</v>
      </c>
    </row>
    <row r="55" spans="1:32" ht="31.5" x14ac:dyDescent="0.25">
      <c r="A55" s="1">
        <v>1401</v>
      </c>
      <c r="B55" s="2">
        <v>46009</v>
      </c>
      <c r="C55" s="1" t="s">
        <v>0</v>
      </c>
      <c r="D55" s="1" t="s">
        <v>691</v>
      </c>
      <c r="E55" s="1">
        <v>1</v>
      </c>
      <c r="F55" s="83">
        <v>12512020</v>
      </c>
      <c r="G55" s="4">
        <v>1250</v>
      </c>
      <c r="H55" s="88" t="s">
        <v>1095</v>
      </c>
      <c r="I55" s="16" t="s">
        <v>77</v>
      </c>
      <c r="J55" s="16" t="s">
        <v>1580</v>
      </c>
      <c r="K55" s="4">
        <v>1563</v>
      </c>
      <c r="L55" s="5">
        <v>1542</v>
      </c>
      <c r="M55" s="5">
        <v>1546</v>
      </c>
      <c r="N55" s="5">
        <v>1546</v>
      </c>
      <c r="O55" s="5">
        <v>1546</v>
      </c>
      <c r="P55" s="30">
        <v>1545</v>
      </c>
      <c r="Q55" s="7">
        <v>5</v>
      </c>
      <c r="R55" s="4">
        <v>38</v>
      </c>
      <c r="S55" s="8"/>
      <c r="T55" s="8">
        <v>170</v>
      </c>
      <c r="U55" s="7">
        <v>61</v>
      </c>
      <c r="V55" s="118">
        <v>109</v>
      </c>
      <c r="W55" s="11" t="s">
        <v>5</v>
      </c>
      <c r="X55" s="16">
        <v>58</v>
      </c>
      <c r="Y55" s="12">
        <v>2.86375</v>
      </c>
      <c r="Z55" s="7">
        <v>9.8000000000000007</v>
      </c>
      <c r="AA55" s="7">
        <v>9.6</v>
      </c>
      <c r="AB55" s="13">
        <v>87</v>
      </c>
      <c r="AC55" s="13">
        <v>85</v>
      </c>
      <c r="AD55" s="11" t="s">
        <v>6</v>
      </c>
      <c r="AE55" s="18" t="s">
        <v>455</v>
      </c>
      <c r="AF55" s="14" t="s">
        <v>1581</v>
      </c>
    </row>
    <row r="56" spans="1:32" ht="47.25" x14ac:dyDescent="0.25">
      <c r="A56" s="1">
        <v>1409</v>
      </c>
      <c r="B56" s="2">
        <v>46009</v>
      </c>
      <c r="C56" s="1" t="s">
        <v>0</v>
      </c>
      <c r="D56" s="1" t="s">
        <v>691</v>
      </c>
      <c r="E56" s="1">
        <v>2</v>
      </c>
      <c r="F56" s="83">
        <v>22512020</v>
      </c>
      <c r="G56" s="4">
        <v>1250</v>
      </c>
      <c r="H56" s="88" t="s">
        <v>1095</v>
      </c>
      <c r="I56" s="16" t="s">
        <v>103</v>
      </c>
      <c r="J56" s="16" t="s">
        <v>1582</v>
      </c>
      <c r="K56" s="1">
        <v>1563</v>
      </c>
      <c r="L56" s="5">
        <v>1544</v>
      </c>
      <c r="M56" s="5">
        <v>1544</v>
      </c>
      <c r="N56" s="5">
        <v>1546</v>
      </c>
      <c r="O56" s="5">
        <v>1543</v>
      </c>
      <c r="P56" s="30">
        <v>1544.25</v>
      </c>
      <c r="Q56" s="7">
        <v>5.2</v>
      </c>
      <c r="R56" s="4">
        <v>35</v>
      </c>
      <c r="S56" s="8"/>
      <c r="T56" s="9">
        <v>160</v>
      </c>
      <c r="U56" s="7">
        <v>52</v>
      </c>
      <c r="V56" s="118">
        <v>108</v>
      </c>
      <c r="W56" s="11" t="s">
        <v>5</v>
      </c>
      <c r="X56" s="16">
        <v>58</v>
      </c>
      <c r="Y56" s="12">
        <v>2.9782999999999999</v>
      </c>
      <c r="Z56" s="7">
        <v>9.6999999999999993</v>
      </c>
      <c r="AA56" s="7">
        <v>9.5</v>
      </c>
      <c r="AB56" s="13">
        <v>85</v>
      </c>
      <c r="AC56" s="13">
        <v>81</v>
      </c>
      <c r="AD56" s="11" t="s">
        <v>959</v>
      </c>
      <c r="AE56" s="18" t="s">
        <v>455</v>
      </c>
      <c r="AF56" s="14" t="s">
        <v>1583</v>
      </c>
    </row>
    <row r="57" spans="1:32" ht="31.5" x14ac:dyDescent="0.25">
      <c r="A57" s="1">
        <v>1441</v>
      </c>
      <c r="B57" s="2">
        <v>46010</v>
      </c>
      <c r="C57" s="1" t="s">
        <v>18</v>
      </c>
      <c r="D57" s="1" t="s">
        <v>377</v>
      </c>
      <c r="E57" s="1">
        <v>2</v>
      </c>
      <c r="F57" s="83">
        <v>22512020</v>
      </c>
      <c r="G57" s="4">
        <v>1250</v>
      </c>
      <c r="H57" s="88" t="s">
        <v>1194</v>
      </c>
      <c r="I57" s="16" t="s">
        <v>419</v>
      </c>
      <c r="J57" s="16" t="s">
        <v>1584</v>
      </c>
      <c r="K57" s="4">
        <v>1564</v>
      </c>
      <c r="L57" s="4">
        <v>1546</v>
      </c>
      <c r="M57" s="4">
        <v>1545</v>
      </c>
      <c r="N57" s="5">
        <v>1544</v>
      </c>
      <c r="O57" s="5"/>
      <c r="P57" s="30">
        <v>1545</v>
      </c>
      <c r="Q57" s="7">
        <v>5.5</v>
      </c>
      <c r="R57" s="4">
        <v>37</v>
      </c>
      <c r="S57" s="8">
        <v>28</v>
      </c>
      <c r="T57" s="9">
        <v>169</v>
      </c>
      <c r="U57" s="7">
        <v>60</v>
      </c>
      <c r="V57" s="118">
        <v>109</v>
      </c>
      <c r="W57" s="11" t="s">
        <v>5</v>
      </c>
      <c r="X57" s="16">
        <v>58</v>
      </c>
      <c r="Y57" s="12">
        <v>3.1501250000000001</v>
      </c>
      <c r="Z57" s="7">
        <v>11</v>
      </c>
      <c r="AA57" s="7">
        <v>10.4</v>
      </c>
      <c r="AB57" s="13">
        <v>93</v>
      </c>
      <c r="AC57" s="13">
        <v>84</v>
      </c>
      <c r="AD57" s="11" t="s">
        <v>6</v>
      </c>
      <c r="AE57" s="18" t="s">
        <v>455</v>
      </c>
      <c r="AF57" s="14" t="s">
        <v>1585</v>
      </c>
    </row>
    <row r="58" spans="1:32" ht="31.5" x14ac:dyDescent="0.25">
      <c r="A58" s="1">
        <v>1455</v>
      </c>
      <c r="B58" s="2">
        <v>46010</v>
      </c>
      <c r="C58" s="1" t="s">
        <v>264</v>
      </c>
      <c r="D58" s="1" t="s">
        <v>9</v>
      </c>
      <c r="E58" s="1">
        <v>2</v>
      </c>
      <c r="F58" s="83">
        <v>22512020</v>
      </c>
      <c r="G58" s="4">
        <v>1250</v>
      </c>
      <c r="H58" s="88" t="s">
        <v>225</v>
      </c>
      <c r="I58" s="16" t="s">
        <v>173</v>
      </c>
      <c r="J58" s="16" t="s">
        <v>1586</v>
      </c>
      <c r="K58" s="99">
        <v>1566</v>
      </c>
      <c r="L58" s="4">
        <v>1545</v>
      </c>
      <c r="M58" s="5">
        <v>1546</v>
      </c>
      <c r="N58" s="5">
        <v>1544</v>
      </c>
      <c r="O58" s="5">
        <v>1540</v>
      </c>
      <c r="P58" s="30">
        <v>1543.75</v>
      </c>
      <c r="Q58" s="7">
        <v>4.5999999999999996</v>
      </c>
      <c r="R58" s="4">
        <v>39</v>
      </c>
      <c r="S58" s="8">
        <v>29</v>
      </c>
      <c r="T58" s="9">
        <v>162</v>
      </c>
      <c r="U58" s="7">
        <v>51</v>
      </c>
      <c r="V58" s="118">
        <v>111</v>
      </c>
      <c r="W58" s="11" t="s">
        <v>5</v>
      </c>
      <c r="X58" s="16">
        <v>56</v>
      </c>
      <c r="Y58" s="12">
        <v>2.5438000000000001</v>
      </c>
      <c r="Z58" s="7">
        <v>9.1999999999999993</v>
      </c>
      <c r="AA58" s="7">
        <v>9.5</v>
      </c>
      <c r="AB58" s="13">
        <v>81</v>
      </c>
      <c r="AC58" s="13">
        <v>84</v>
      </c>
      <c r="AD58" s="11" t="s">
        <v>6</v>
      </c>
      <c r="AE58" s="18" t="s">
        <v>455</v>
      </c>
      <c r="AF58" s="14" t="s">
        <v>1587</v>
      </c>
    </row>
    <row r="59" spans="1:32" ht="47.25" x14ac:dyDescent="0.25">
      <c r="A59" s="1">
        <v>1495</v>
      </c>
      <c r="B59" s="2">
        <v>46011</v>
      </c>
      <c r="C59" s="1" t="s">
        <v>18</v>
      </c>
      <c r="D59" s="1" t="s">
        <v>258</v>
      </c>
      <c r="E59" s="1">
        <v>1</v>
      </c>
      <c r="F59" s="83">
        <v>12512022</v>
      </c>
      <c r="G59" s="4">
        <v>1250</v>
      </c>
      <c r="H59" s="88" t="s">
        <v>1588</v>
      </c>
      <c r="I59" s="16" t="s">
        <v>194</v>
      </c>
      <c r="J59" s="16" t="s">
        <v>1589</v>
      </c>
      <c r="K59" s="16">
        <v>1565</v>
      </c>
      <c r="L59" s="4">
        <v>1540</v>
      </c>
      <c r="M59" s="5">
        <v>1538</v>
      </c>
      <c r="N59" s="5">
        <v>1538</v>
      </c>
      <c r="O59" s="5"/>
      <c r="P59" s="30">
        <v>1538.6666666666667</v>
      </c>
      <c r="Q59" s="7">
        <v>5.6</v>
      </c>
      <c r="R59" s="4">
        <v>34</v>
      </c>
      <c r="S59" s="8"/>
      <c r="T59" s="9">
        <v>171</v>
      </c>
      <c r="U59" s="7">
        <v>61</v>
      </c>
      <c r="V59" s="118">
        <v>110</v>
      </c>
      <c r="W59" s="11" t="s">
        <v>5</v>
      </c>
      <c r="X59" s="16">
        <v>58</v>
      </c>
      <c r="Y59" s="12">
        <v>3.2073999999999998</v>
      </c>
      <c r="Z59" s="7">
        <v>9.6999999999999993</v>
      </c>
      <c r="AA59" s="7">
        <v>10.7</v>
      </c>
      <c r="AB59" s="13">
        <v>76</v>
      </c>
      <c r="AC59" s="13">
        <v>91</v>
      </c>
      <c r="AD59" s="11" t="s">
        <v>236</v>
      </c>
      <c r="AE59" s="18" t="s">
        <v>53</v>
      </c>
      <c r="AF59" s="14" t="s">
        <v>1590</v>
      </c>
    </row>
    <row r="60" spans="1:32" ht="31.5" x14ac:dyDescent="0.25">
      <c r="A60" s="1">
        <v>1508</v>
      </c>
      <c r="B60" s="2">
        <v>46011</v>
      </c>
      <c r="C60" s="1" t="s">
        <v>18</v>
      </c>
      <c r="D60" s="1" t="s">
        <v>258</v>
      </c>
      <c r="E60" s="1">
        <v>2</v>
      </c>
      <c r="F60" s="83">
        <v>22512021</v>
      </c>
      <c r="G60" s="4">
        <v>1250</v>
      </c>
      <c r="H60" s="88" t="s">
        <v>1588</v>
      </c>
      <c r="I60" s="16" t="s">
        <v>148</v>
      </c>
      <c r="J60" s="16" t="s">
        <v>1591</v>
      </c>
      <c r="K60" s="16">
        <v>1566</v>
      </c>
      <c r="L60" s="4">
        <v>1552</v>
      </c>
      <c r="M60" s="4">
        <v>1556</v>
      </c>
      <c r="N60" s="5">
        <v>1555</v>
      </c>
      <c r="O60" s="5">
        <v>1556</v>
      </c>
      <c r="P60" s="30">
        <v>1554.75</v>
      </c>
      <c r="Q60" s="7">
        <v>5</v>
      </c>
      <c r="R60" s="4">
        <v>39</v>
      </c>
      <c r="S60" s="8">
        <v>4</v>
      </c>
      <c r="T60" s="9">
        <v>170</v>
      </c>
      <c r="U60" s="7">
        <v>53</v>
      </c>
      <c r="V60" s="118">
        <v>117</v>
      </c>
      <c r="W60" s="11" t="s">
        <v>5</v>
      </c>
      <c r="X60" s="16">
        <v>58</v>
      </c>
      <c r="Y60" s="12">
        <v>2.86375</v>
      </c>
      <c r="Z60" s="7">
        <v>9.6</v>
      </c>
      <c r="AA60" s="7">
        <v>9.4</v>
      </c>
      <c r="AB60" s="13">
        <v>79</v>
      </c>
      <c r="AC60" s="13">
        <v>83</v>
      </c>
      <c r="AD60" s="11" t="s">
        <v>6</v>
      </c>
      <c r="AE60" s="18" t="s">
        <v>455</v>
      </c>
      <c r="AF60" s="14" t="s">
        <v>1308</v>
      </c>
    </row>
    <row r="61" spans="1:32" ht="31.5" x14ac:dyDescent="0.25">
      <c r="A61" s="1">
        <v>1511</v>
      </c>
      <c r="B61" s="2">
        <v>46011</v>
      </c>
      <c r="C61" s="1" t="s">
        <v>18</v>
      </c>
      <c r="D61" s="1" t="s">
        <v>258</v>
      </c>
      <c r="E61" s="1">
        <v>2</v>
      </c>
      <c r="F61" s="83">
        <v>22512021</v>
      </c>
      <c r="G61" s="4">
        <v>1250</v>
      </c>
      <c r="H61" s="88" t="s">
        <v>1095</v>
      </c>
      <c r="I61" s="16" t="s">
        <v>126</v>
      </c>
      <c r="J61" s="16" t="s">
        <v>1592</v>
      </c>
      <c r="K61" s="4">
        <v>1564</v>
      </c>
      <c r="L61" s="4">
        <v>1549</v>
      </c>
      <c r="M61" s="4">
        <v>1554</v>
      </c>
      <c r="N61" s="5">
        <v>1553</v>
      </c>
      <c r="O61" s="5">
        <v>1550</v>
      </c>
      <c r="P61" s="30">
        <v>1551.5</v>
      </c>
      <c r="Q61" s="7">
        <v>4.8</v>
      </c>
      <c r="R61" s="4">
        <v>35</v>
      </c>
      <c r="S61" s="8"/>
      <c r="T61" s="9">
        <v>158</v>
      </c>
      <c r="U61" s="7">
        <v>60</v>
      </c>
      <c r="V61" s="118">
        <v>98</v>
      </c>
      <c r="W61" s="11" t="s">
        <v>5</v>
      </c>
      <c r="X61" s="16">
        <v>58</v>
      </c>
      <c r="Y61" s="12">
        <v>2.7491999999999996</v>
      </c>
      <c r="Z61" s="7">
        <v>8</v>
      </c>
      <c r="AA61" s="7">
        <v>8.9</v>
      </c>
      <c r="AB61" s="13">
        <v>67</v>
      </c>
      <c r="AC61" s="13">
        <v>73</v>
      </c>
      <c r="AD61" s="11" t="s">
        <v>6</v>
      </c>
      <c r="AE61" s="18" t="s">
        <v>455</v>
      </c>
      <c r="AF61" s="14" t="s">
        <v>1308</v>
      </c>
    </row>
    <row r="62" spans="1:32" ht="31.5" x14ac:dyDescent="0.25">
      <c r="A62" s="1">
        <v>1512</v>
      </c>
      <c r="B62" s="2">
        <v>46011</v>
      </c>
      <c r="C62" s="1" t="s">
        <v>18</v>
      </c>
      <c r="D62" s="1" t="s">
        <v>258</v>
      </c>
      <c r="E62" s="1">
        <v>2</v>
      </c>
      <c r="F62" s="83">
        <v>22512021</v>
      </c>
      <c r="G62" s="4">
        <v>1250</v>
      </c>
      <c r="H62" s="88" t="s">
        <v>1095</v>
      </c>
      <c r="I62" s="16" t="s">
        <v>331</v>
      </c>
      <c r="J62" s="16" t="s">
        <v>1593</v>
      </c>
      <c r="K62" s="4">
        <v>1564</v>
      </c>
      <c r="L62" s="4">
        <v>1550</v>
      </c>
      <c r="M62" s="4">
        <v>1551</v>
      </c>
      <c r="N62" s="5">
        <v>1549</v>
      </c>
      <c r="O62" s="5">
        <v>1547</v>
      </c>
      <c r="P62" s="30">
        <v>1549.25</v>
      </c>
      <c r="Q62" s="7">
        <v>5.3</v>
      </c>
      <c r="R62" s="4">
        <v>36</v>
      </c>
      <c r="S62" s="8">
        <v>36</v>
      </c>
      <c r="T62" s="9">
        <v>174</v>
      </c>
      <c r="U62" s="7">
        <v>60</v>
      </c>
      <c r="V62" s="118">
        <v>114</v>
      </c>
      <c r="W62" s="11" t="s">
        <v>5</v>
      </c>
      <c r="X62" s="16">
        <v>58</v>
      </c>
      <c r="Y62" s="12">
        <v>3.0355749999999997</v>
      </c>
      <c r="Z62" s="7">
        <v>8</v>
      </c>
      <c r="AA62" s="7">
        <v>9</v>
      </c>
      <c r="AB62" s="13">
        <v>69</v>
      </c>
      <c r="AC62" s="13">
        <v>77</v>
      </c>
      <c r="AD62" s="11" t="s">
        <v>6</v>
      </c>
      <c r="AE62" s="18" t="s">
        <v>455</v>
      </c>
      <c r="AF62" s="14" t="s">
        <v>919</v>
      </c>
    </row>
    <row r="63" spans="1:32" ht="63" x14ac:dyDescent="0.25">
      <c r="A63" s="1">
        <v>1514</v>
      </c>
      <c r="B63" s="2">
        <v>46011</v>
      </c>
      <c r="C63" s="1" t="s">
        <v>18</v>
      </c>
      <c r="D63" s="1" t="s">
        <v>258</v>
      </c>
      <c r="E63" s="1">
        <v>2</v>
      </c>
      <c r="F63" s="83">
        <v>22512021</v>
      </c>
      <c r="G63" s="4">
        <v>1250</v>
      </c>
      <c r="H63" s="88" t="s">
        <v>1095</v>
      </c>
      <c r="I63" s="16" t="s">
        <v>11</v>
      </c>
      <c r="J63" s="16" t="s">
        <v>1594</v>
      </c>
      <c r="K63" s="4">
        <v>1560</v>
      </c>
      <c r="L63" s="4">
        <v>1550</v>
      </c>
      <c r="M63" s="4">
        <v>1551</v>
      </c>
      <c r="N63" s="5">
        <v>1550</v>
      </c>
      <c r="O63" s="5"/>
      <c r="P63" s="30">
        <v>1550.3333333333333</v>
      </c>
      <c r="Q63" s="7">
        <v>5</v>
      </c>
      <c r="R63" s="4">
        <v>39</v>
      </c>
      <c r="S63" s="8"/>
      <c r="T63" s="9">
        <v>172</v>
      </c>
      <c r="U63" s="7">
        <v>60</v>
      </c>
      <c r="V63" s="118">
        <v>112</v>
      </c>
      <c r="W63" s="11" t="s">
        <v>5</v>
      </c>
      <c r="X63" s="16">
        <v>58</v>
      </c>
      <c r="Y63" s="12">
        <v>2.86375</v>
      </c>
      <c r="Z63" s="7">
        <v>7.8</v>
      </c>
      <c r="AA63" s="7">
        <v>8</v>
      </c>
      <c r="AB63" s="13">
        <v>68</v>
      </c>
      <c r="AC63" s="13">
        <v>69</v>
      </c>
      <c r="AD63" s="11" t="s">
        <v>6</v>
      </c>
      <c r="AE63" s="18" t="s">
        <v>455</v>
      </c>
      <c r="AF63" s="14" t="s">
        <v>1595</v>
      </c>
    </row>
    <row r="64" spans="1:32" ht="31.5" x14ac:dyDescent="0.25">
      <c r="A64" s="1">
        <v>1515</v>
      </c>
      <c r="B64" s="2">
        <v>46011</v>
      </c>
      <c r="C64" s="1" t="s">
        <v>18</v>
      </c>
      <c r="D64" s="1" t="s">
        <v>258</v>
      </c>
      <c r="E64" s="1">
        <v>2</v>
      </c>
      <c r="F64" s="83">
        <v>22512021</v>
      </c>
      <c r="G64" s="4">
        <v>1250</v>
      </c>
      <c r="H64" s="88" t="s">
        <v>1095</v>
      </c>
      <c r="I64" s="16" t="s">
        <v>164</v>
      </c>
      <c r="J64" s="16" t="s">
        <v>1596</v>
      </c>
      <c r="K64" s="4">
        <v>1565</v>
      </c>
      <c r="L64" s="4">
        <v>1555</v>
      </c>
      <c r="M64" s="4">
        <v>1556</v>
      </c>
      <c r="N64" s="5">
        <v>1557</v>
      </c>
      <c r="O64" s="5">
        <v>1552</v>
      </c>
      <c r="P64" s="30">
        <v>1555</v>
      </c>
      <c r="Q64" s="7">
        <v>4.8</v>
      </c>
      <c r="R64" s="4">
        <v>36</v>
      </c>
      <c r="S64" s="8">
        <v>4</v>
      </c>
      <c r="T64" s="9">
        <v>160</v>
      </c>
      <c r="U64" s="7">
        <v>60</v>
      </c>
      <c r="V64" s="118">
        <v>100</v>
      </c>
      <c r="W64" s="11" t="s">
        <v>5</v>
      </c>
      <c r="X64" s="16">
        <v>58</v>
      </c>
      <c r="Y64" s="12">
        <v>2.7491999999999996</v>
      </c>
      <c r="Z64" s="7">
        <v>7.7</v>
      </c>
      <c r="AA64" s="7">
        <v>8.1999999999999993</v>
      </c>
      <c r="AB64" s="13">
        <v>70</v>
      </c>
      <c r="AC64" s="13">
        <v>70</v>
      </c>
      <c r="AD64" s="11" t="s">
        <v>6</v>
      </c>
      <c r="AE64" s="18" t="s">
        <v>455</v>
      </c>
      <c r="AF64" s="14" t="s">
        <v>564</v>
      </c>
    </row>
    <row r="65" spans="1:32" ht="47.25" x14ac:dyDescent="0.25">
      <c r="A65" s="1">
        <v>1530</v>
      </c>
      <c r="B65" s="2">
        <v>46011</v>
      </c>
      <c r="C65" s="1" t="s">
        <v>264</v>
      </c>
      <c r="D65" s="1" t="s">
        <v>691</v>
      </c>
      <c r="E65" s="1">
        <v>2</v>
      </c>
      <c r="F65" s="83">
        <v>22512021</v>
      </c>
      <c r="G65" s="4">
        <v>1250</v>
      </c>
      <c r="H65" s="88" t="s">
        <v>225</v>
      </c>
      <c r="I65" s="16" t="s">
        <v>269</v>
      </c>
      <c r="J65" s="16" t="s">
        <v>1597</v>
      </c>
      <c r="K65" s="99">
        <v>1564</v>
      </c>
      <c r="L65" s="4">
        <v>1551</v>
      </c>
      <c r="M65" s="5">
        <v>1552</v>
      </c>
      <c r="N65" s="5">
        <v>1549</v>
      </c>
      <c r="O65" s="5">
        <v>1550</v>
      </c>
      <c r="P65" s="30">
        <v>1550.5</v>
      </c>
      <c r="Q65" s="7">
        <v>4.8</v>
      </c>
      <c r="R65" s="4">
        <v>36</v>
      </c>
      <c r="S65" s="8">
        <v>8</v>
      </c>
      <c r="T65" s="9">
        <v>171</v>
      </c>
      <c r="U65" s="9">
        <v>54</v>
      </c>
      <c r="V65" s="118">
        <v>117</v>
      </c>
      <c r="W65" s="11" t="s">
        <v>5</v>
      </c>
      <c r="X65" s="16">
        <v>56</v>
      </c>
      <c r="Y65" s="12">
        <v>2.6544000000000003</v>
      </c>
      <c r="Z65" s="7">
        <v>8.1999999999999993</v>
      </c>
      <c r="AA65" s="7">
        <v>8.9</v>
      </c>
      <c r="AB65" s="7">
        <v>73</v>
      </c>
      <c r="AC65" s="7">
        <v>80</v>
      </c>
      <c r="AD65" s="11" t="s">
        <v>6</v>
      </c>
      <c r="AE65" s="18" t="s">
        <v>455</v>
      </c>
      <c r="AF65" s="14" t="s">
        <v>1598</v>
      </c>
    </row>
    <row r="66" spans="1:32" ht="31.5" x14ac:dyDescent="0.25">
      <c r="A66" s="1">
        <v>1532</v>
      </c>
      <c r="B66" s="2">
        <v>46011</v>
      </c>
      <c r="C66" s="1" t="s">
        <v>264</v>
      </c>
      <c r="D66" s="1" t="s">
        <v>691</v>
      </c>
      <c r="E66" s="1">
        <v>2</v>
      </c>
      <c r="F66" s="83">
        <v>22512021</v>
      </c>
      <c r="G66" s="4">
        <v>1250</v>
      </c>
      <c r="H66" s="88" t="s">
        <v>225</v>
      </c>
      <c r="I66" s="16" t="s">
        <v>277</v>
      </c>
      <c r="J66" s="69" t="s">
        <v>1599</v>
      </c>
      <c r="K66" s="4">
        <v>1562</v>
      </c>
      <c r="L66" s="4">
        <v>1546</v>
      </c>
      <c r="M66" s="5">
        <v>1546</v>
      </c>
      <c r="N66" s="5">
        <v>1544</v>
      </c>
      <c r="O66" s="5">
        <v>1543</v>
      </c>
      <c r="P66" s="30">
        <v>1544.75</v>
      </c>
      <c r="Q66" s="7">
        <v>4.8</v>
      </c>
      <c r="R66" s="4">
        <v>38</v>
      </c>
      <c r="S66" s="8">
        <v>38</v>
      </c>
      <c r="T66" s="9">
        <v>163</v>
      </c>
      <c r="U66" s="7">
        <v>60</v>
      </c>
      <c r="V66" s="118">
        <v>103</v>
      </c>
      <c r="W66" s="11" t="s">
        <v>5</v>
      </c>
      <c r="X66" s="16">
        <v>56</v>
      </c>
      <c r="Y66" s="12">
        <v>2.6544000000000003</v>
      </c>
      <c r="Z66" s="7">
        <v>7.7</v>
      </c>
      <c r="AA66" s="7">
        <v>9</v>
      </c>
      <c r="AB66" s="13">
        <v>74</v>
      </c>
      <c r="AC66" s="13">
        <v>80</v>
      </c>
      <c r="AD66" s="11" t="s">
        <v>6</v>
      </c>
      <c r="AE66" s="18" t="s">
        <v>455</v>
      </c>
      <c r="AF66" s="14" t="s">
        <v>1600</v>
      </c>
    </row>
    <row r="67" spans="1:32" ht="15.75" x14ac:dyDescent="0.25">
      <c r="A67" s="1">
        <v>1534</v>
      </c>
      <c r="B67" s="2">
        <v>46011</v>
      </c>
      <c r="C67" s="1" t="s">
        <v>264</v>
      </c>
      <c r="D67" s="1" t="s">
        <v>691</v>
      </c>
      <c r="E67" s="1">
        <v>2</v>
      </c>
      <c r="F67" s="83">
        <v>22512021</v>
      </c>
      <c r="G67" s="4">
        <v>1250</v>
      </c>
      <c r="H67" s="88" t="s">
        <v>225</v>
      </c>
      <c r="I67" s="16" t="s">
        <v>303</v>
      </c>
      <c r="J67" s="16" t="s">
        <v>1601</v>
      </c>
      <c r="K67" s="4">
        <v>1563</v>
      </c>
      <c r="L67" s="4">
        <v>1543</v>
      </c>
      <c r="M67" s="5">
        <v>1548</v>
      </c>
      <c r="N67" s="5">
        <v>1547</v>
      </c>
      <c r="O67" s="5"/>
      <c r="P67" s="30">
        <v>1546</v>
      </c>
      <c r="Q67" s="7">
        <v>4.8</v>
      </c>
      <c r="R67" s="4">
        <v>40</v>
      </c>
      <c r="S67" s="8">
        <v>22</v>
      </c>
      <c r="T67" s="9">
        <v>164</v>
      </c>
      <c r="U67" s="7">
        <v>60</v>
      </c>
      <c r="V67" s="118">
        <v>104</v>
      </c>
      <c r="W67" s="11" t="s">
        <v>5</v>
      </c>
      <c r="X67" s="16">
        <v>56</v>
      </c>
      <c r="Y67" s="12">
        <v>2.6544000000000003</v>
      </c>
      <c r="Z67" s="7">
        <v>9.4</v>
      </c>
      <c r="AA67" s="7">
        <v>8.6999999999999993</v>
      </c>
      <c r="AB67" s="13">
        <v>68</v>
      </c>
      <c r="AC67" s="13">
        <v>72</v>
      </c>
      <c r="AD67" s="11" t="s">
        <v>6</v>
      </c>
      <c r="AE67" s="18" t="s">
        <v>455</v>
      </c>
      <c r="AF67" s="14" t="s">
        <v>284</v>
      </c>
    </row>
    <row r="68" spans="1:32" ht="15.75" x14ac:dyDescent="0.25">
      <c r="A68" s="1">
        <v>1537</v>
      </c>
      <c r="B68" s="2">
        <v>46011</v>
      </c>
      <c r="C68" s="1" t="s">
        <v>264</v>
      </c>
      <c r="D68" s="1" t="s">
        <v>691</v>
      </c>
      <c r="E68" s="1">
        <v>2</v>
      </c>
      <c r="F68" s="83">
        <v>22512021</v>
      </c>
      <c r="G68" s="4">
        <v>1250</v>
      </c>
      <c r="H68" s="88" t="s">
        <v>225</v>
      </c>
      <c r="I68" s="16" t="s">
        <v>138</v>
      </c>
      <c r="J68" s="16" t="s">
        <v>1602</v>
      </c>
      <c r="K68" s="4">
        <v>1565</v>
      </c>
      <c r="L68" s="4">
        <v>1543</v>
      </c>
      <c r="M68" s="5">
        <v>1544</v>
      </c>
      <c r="N68" s="5">
        <v>1540</v>
      </c>
      <c r="O68" s="5">
        <v>1536</v>
      </c>
      <c r="P68" s="30">
        <v>1540.75</v>
      </c>
      <c r="Q68" s="7">
        <v>4.9000000000000004</v>
      </c>
      <c r="R68" s="4">
        <v>34</v>
      </c>
      <c r="S68" s="8"/>
      <c r="T68" s="9">
        <v>160</v>
      </c>
      <c r="U68" s="7">
        <v>60</v>
      </c>
      <c r="V68" s="118">
        <v>100</v>
      </c>
      <c r="W68" s="11" t="s">
        <v>5</v>
      </c>
      <c r="X68" s="16">
        <v>56</v>
      </c>
      <c r="Y68" s="12">
        <v>2.7313776000000005</v>
      </c>
      <c r="Z68" s="7">
        <v>7.4</v>
      </c>
      <c r="AA68" s="7">
        <v>7.5</v>
      </c>
      <c r="AB68" s="13">
        <v>80</v>
      </c>
      <c r="AC68" s="13">
        <v>75</v>
      </c>
      <c r="AD68" s="11" t="s">
        <v>6</v>
      </c>
      <c r="AE68" s="18" t="s">
        <v>455</v>
      </c>
      <c r="AF68" s="14" t="s">
        <v>1603</v>
      </c>
    </row>
    <row r="69" spans="1:32" ht="15.75" x14ac:dyDescent="0.25">
      <c r="A69" s="1">
        <v>1538</v>
      </c>
      <c r="B69" s="2">
        <v>46011</v>
      </c>
      <c r="C69" s="1" t="s">
        <v>264</v>
      </c>
      <c r="D69" s="1" t="s">
        <v>691</v>
      </c>
      <c r="E69" s="1">
        <v>2</v>
      </c>
      <c r="F69" s="83">
        <v>22512021</v>
      </c>
      <c r="G69" s="4">
        <v>1250</v>
      </c>
      <c r="H69" s="88" t="s">
        <v>225</v>
      </c>
      <c r="I69" s="16" t="s">
        <v>59</v>
      </c>
      <c r="J69" s="16" t="s">
        <v>1604</v>
      </c>
      <c r="K69" s="4">
        <v>1572</v>
      </c>
      <c r="L69" s="4">
        <v>1544</v>
      </c>
      <c r="M69" s="5">
        <v>1544</v>
      </c>
      <c r="N69" s="5">
        <v>1543</v>
      </c>
      <c r="O69" s="5"/>
      <c r="P69" s="30">
        <v>1543.6666666666667</v>
      </c>
      <c r="Q69" s="7">
        <v>4.5</v>
      </c>
      <c r="R69" s="4">
        <v>45</v>
      </c>
      <c r="S69" s="8"/>
      <c r="T69" s="8">
        <v>164</v>
      </c>
      <c r="U69" s="7">
        <v>56</v>
      </c>
      <c r="V69" s="118">
        <v>108</v>
      </c>
      <c r="W69" s="11" t="s">
        <v>5</v>
      </c>
      <c r="X69" s="16">
        <v>56</v>
      </c>
      <c r="Y69" s="12">
        <v>2.5084080000000002</v>
      </c>
      <c r="Z69" s="7">
        <v>7.5</v>
      </c>
      <c r="AA69" s="7">
        <v>7.8</v>
      </c>
      <c r="AB69" s="13">
        <v>77</v>
      </c>
      <c r="AC69" s="13">
        <v>82</v>
      </c>
      <c r="AD69" s="11" t="s">
        <v>6</v>
      </c>
      <c r="AE69" s="18" t="s">
        <v>455</v>
      </c>
      <c r="AF69" s="14" t="s">
        <v>1605</v>
      </c>
    </row>
    <row r="70" spans="1:32" ht="15.75" x14ac:dyDescent="0.25">
      <c r="A70" s="1">
        <v>1547</v>
      </c>
      <c r="B70" s="2">
        <v>46011</v>
      </c>
      <c r="C70" s="1" t="s">
        <v>0</v>
      </c>
      <c r="D70" s="1" t="s">
        <v>258</v>
      </c>
      <c r="E70" s="1">
        <v>2</v>
      </c>
      <c r="F70" s="83">
        <v>22512022</v>
      </c>
      <c r="G70" s="4">
        <v>1260</v>
      </c>
      <c r="H70" s="88" t="s">
        <v>1588</v>
      </c>
      <c r="I70" s="16" t="s">
        <v>98</v>
      </c>
      <c r="J70" s="16" t="s">
        <v>1606</v>
      </c>
      <c r="K70" s="4">
        <v>1605</v>
      </c>
      <c r="L70" s="4">
        <v>1579</v>
      </c>
      <c r="M70" s="5">
        <v>1575</v>
      </c>
      <c r="N70" s="5">
        <v>1575</v>
      </c>
      <c r="O70" s="5">
        <v>1576</v>
      </c>
      <c r="P70" s="30">
        <v>1576.25</v>
      </c>
      <c r="Q70" s="7">
        <v>3.4</v>
      </c>
      <c r="R70" s="4">
        <v>41</v>
      </c>
      <c r="S70" s="8"/>
      <c r="T70" s="8">
        <v>158</v>
      </c>
      <c r="U70" s="7">
        <v>60</v>
      </c>
      <c r="V70" s="118">
        <v>98</v>
      </c>
      <c r="W70" s="11" t="s">
        <v>100</v>
      </c>
      <c r="X70" s="16">
        <v>58</v>
      </c>
      <c r="Y70" s="12">
        <v>1.9629288000000003</v>
      </c>
      <c r="Z70" s="7">
        <v>8.6</v>
      </c>
      <c r="AA70" s="7">
        <v>9.1999999999999993</v>
      </c>
      <c r="AB70" s="13">
        <v>81</v>
      </c>
      <c r="AC70" s="13">
        <v>87</v>
      </c>
      <c r="AD70" s="11" t="s">
        <v>6</v>
      </c>
      <c r="AE70" s="18" t="s">
        <v>53</v>
      </c>
      <c r="AF70" s="14" t="s">
        <v>397</v>
      </c>
    </row>
    <row r="71" spans="1:32" ht="15.75" x14ac:dyDescent="0.25">
      <c r="A71" s="1">
        <v>1548</v>
      </c>
      <c r="B71" s="2">
        <v>46011</v>
      </c>
      <c r="C71" s="1" t="s">
        <v>0</v>
      </c>
      <c r="D71" s="1" t="s">
        <v>258</v>
      </c>
      <c r="E71" s="1">
        <v>2</v>
      </c>
      <c r="F71" s="83">
        <v>22512022</v>
      </c>
      <c r="G71" s="4">
        <v>1260</v>
      </c>
      <c r="H71" s="88" t="s">
        <v>1588</v>
      </c>
      <c r="I71" s="16" t="s">
        <v>86</v>
      </c>
      <c r="J71" s="16" t="s">
        <v>1607</v>
      </c>
      <c r="K71" s="4">
        <v>1563</v>
      </c>
      <c r="L71" s="4">
        <v>1545</v>
      </c>
      <c r="M71" s="5">
        <v>1542</v>
      </c>
      <c r="N71" s="5">
        <v>1541</v>
      </c>
      <c r="O71" s="5">
        <v>1539</v>
      </c>
      <c r="P71" s="30">
        <v>1541.75</v>
      </c>
      <c r="Q71" s="7">
        <v>4.4000000000000004</v>
      </c>
      <c r="R71" s="4">
        <v>44</v>
      </c>
      <c r="S71" s="8"/>
      <c r="T71" s="8">
        <v>169</v>
      </c>
      <c r="U71" s="7">
        <v>60</v>
      </c>
      <c r="V71" s="118">
        <v>109</v>
      </c>
      <c r="W71" s="11" t="s">
        <v>5</v>
      </c>
      <c r="X71" s="16">
        <v>58</v>
      </c>
      <c r="Y71" s="12">
        <v>2.5402608000000004</v>
      </c>
      <c r="Z71" s="7">
        <v>9.3000000000000007</v>
      </c>
      <c r="AA71" s="7">
        <v>9</v>
      </c>
      <c r="AB71" s="13">
        <v>79</v>
      </c>
      <c r="AC71" s="13">
        <v>77</v>
      </c>
      <c r="AD71" s="11" t="s">
        <v>6</v>
      </c>
      <c r="AE71" s="18" t="s">
        <v>53</v>
      </c>
      <c r="AF71" s="14" t="s">
        <v>284</v>
      </c>
    </row>
    <row r="72" spans="1:32" ht="15.75" x14ac:dyDescent="0.25">
      <c r="A72" s="1">
        <v>1549</v>
      </c>
      <c r="B72" s="2">
        <v>46011</v>
      </c>
      <c r="C72" s="1" t="s">
        <v>0</v>
      </c>
      <c r="D72" s="1" t="s">
        <v>258</v>
      </c>
      <c r="E72" s="1">
        <v>2</v>
      </c>
      <c r="F72" s="83">
        <v>22512022</v>
      </c>
      <c r="G72" s="4">
        <v>1260</v>
      </c>
      <c r="H72" s="88" t="s">
        <v>1588</v>
      </c>
      <c r="I72" s="16" t="s">
        <v>77</v>
      </c>
      <c r="J72" s="16" t="s">
        <v>1608</v>
      </c>
      <c r="K72" s="4">
        <v>1584</v>
      </c>
      <c r="L72" s="4">
        <v>1538</v>
      </c>
      <c r="M72" s="5">
        <v>1560</v>
      </c>
      <c r="N72" s="5">
        <v>1561</v>
      </c>
      <c r="O72" s="5">
        <v>1561</v>
      </c>
      <c r="P72" s="30">
        <v>1555</v>
      </c>
      <c r="Q72" s="7">
        <v>4.8</v>
      </c>
      <c r="R72" s="4">
        <v>41</v>
      </c>
      <c r="S72" s="8">
        <v>34</v>
      </c>
      <c r="T72" s="9">
        <v>160</v>
      </c>
      <c r="U72" s="7">
        <v>53</v>
      </c>
      <c r="V72" s="118">
        <v>107</v>
      </c>
      <c r="W72" s="11" t="s">
        <v>5</v>
      </c>
      <c r="X72" s="16">
        <v>58</v>
      </c>
      <c r="Y72" s="12">
        <v>2.7711936000000001</v>
      </c>
      <c r="Z72" s="7">
        <v>10.1</v>
      </c>
      <c r="AA72" s="7">
        <v>10.4</v>
      </c>
      <c r="AB72" s="7">
        <v>81</v>
      </c>
      <c r="AC72" s="7">
        <v>85</v>
      </c>
      <c r="AD72" s="11" t="s">
        <v>6</v>
      </c>
      <c r="AE72" s="18" t="s">
        <v>455</v>
      </c>
      <c r="AF72" s="14" t="s">
        <v>480</v>
      </c>
    </row>
    <row r="73" spans="1:32" ht="31.5" x14ac:dyDescent="0.25">
      <c r="A73" s="1">
        <v>1561</v>
      </c>
      <c r="B73" s="2">
        <v>46012</v>
      </c>
      <c r="C73" s="1" t="s">
        <v>18</v>
      </c>
      <c r="D73" s="1" t="s">
        <v>19</v>
      </c>
      <c r="E73" s="1">
        <v>1</v>
      </c>
      <c r="F73" s="83">
        <v>12512023</v>
      </c>
      <c r="G73" s="4">
        <v>1260</v>
      </c>
      <c r="H73" s="88" t="s">
        <v>2</v>
      </c>
      <c r="I73" s="16" t="s">
        <v>261</v>
      </c>
      <c r="J73" s="16" t="s">
        <v>1609</v>
      </c>
      <c r="K73" s="16">
        <v>1565</v>
      </c>
      <c r="L73" s="4">
        <v>1544</v>
      </c>
      <c r="M73" s="4">
        <v>1545</v>
      </c>
      <c r="N73" s="5">
        <v>1542</v>
      </c>
      <c r="O73" s="5">
        <v>1542</v>
      </c>
      <c r="P73" s="30">
        <v>1543.25</v>
      </c>
      <c r="Q73" s="7">
        <v>4.3</v>
      </c>
      <c r="R73" s="4">
        <v>37</v>
      </c>
      <c r="S73" s="8" t="s">
        <v>5</v>
      </c>
      <c r="T73" s="9">
        <v>166</v>
      </c>
      <c r="U73" s="7">
        <v>63</v>
      </c>
      <c r="V73" s="118">
        <v>103</v>
      </c>
      <c r="W73" s="11" t="s">
        <v>5</v>
      </c>
      <c r="X73" s="16">
        <v>58</v>
      </c>
      <c r="Y73" s="12">
        <v>2.4825276000000001</v>
      </c>
      <c r="Z73" s="7">
        <v>6.4</v>
      </c>
      <c r="AA73" s="7">
        <v>6.5</v>
      </c>
      <c r="AB73" s="13">
        <v>67</v>
      </c>
      <c r="AC73" s="13">
        <v>67</v>
      </c>
      <c r="AD73" s="11" t="s">
        <v>6</v>
      </c>
      <c r="AE73" s="18" t="s">
        <v>53</v>
      </c>
      <c r="AF73" s="14" t="s">
        <v>1610</v>
      </c>
    </row>
    <row r="74" spans="1:32" ht="31.5" x14ac:dyDescent="0.25">
      <c r="A74" s="1">
        <v>1565</v>
      </c>
      <c r="B74" s="2">
        <v>46012</v>
      </c>
      <c r="C74" s="1" t="s">
        <v>18</v>
      </c>
      <c r="D74" s="1" t="s">
        <v>19</v>
      </c>
      <c r="E74" s="1">
        <v>2</v>
      </c>
      <c r="F74" s="83">
        <v>22512022</v>
      </c>
      <c r="G74" s="4">
        <v>1260</v>
      </c>
      <c r="H74" s="88" t="s">
        <v>2</v>
      </c>
      <c r="I74" s="16" t="s">
        <v>189</v>
      </c>
      <c r="J74" s="16" t="s">
        <v>1611</v>
      </c>
      <c r="K74" s="16">
        <v>1568</v>
      </c>
      <c r="L74" s="4">
        <v>1544</v>
      </c>
      <c r="M74" s="4">
        <v>1547</v>
      </c>
      <c r="N74" s="5">
        <v>1546</v>
      </c>
      <c r="O74" s="5">
        <v>1547</v>
      </c>
      <c r="P74" s="30">
        <v>1546</v>
      </c>
      <c r="Q74" s="7">
        <v>5</v>
      </c>
      <c r="R74" s="4">
        <v>38</v>
      </c>
      <c r="S74" s="8" t="s">
        <v>5</v>
      </c>
      <c r="T74" s="9">
        <v>170</v>
      </c>
      <c r="U74" s="9">
        <v>54</v>
      </c>
      <c r="V74" s="118">
        <v>116</v>
      </c>
      <c r="W74" s="11" t="s">
        <v>5</v>
      </c>
      <c r="X74" s="16">
        <v>58</v>
      </c>
      <c r="Y74" s="12">
        <v>2.8866600000000004</v>
      </c>
      <c r="Z74" s="7">
        <v>10.8</v>
      </c>
      <c r="AA74" s="7">
        <v>11.1</v>
      </c>
      <c r="AB74" s="13">
        <v>87</v>
      </c>
      <c r="AC74" s="13">
        <v>91</v>
      </c>
      <c r="AD74" s="11" t="s">
        <v>959</v>
      </c>
      <c r="AE74" s="18" t="s">
        <v>455</v>
      </c>
      <c r="AF74" s="14" t="s">
        <v>757</v>
      </c>
    </row>
    <row r="75" spans="1:32" ht="78.75" x14ac:dyDescent="0.25">
      <c r="A75" s="1">
        <v>1574</v>
      </c>
      <c r="B75" s="2">
        <v>46012</v>
      </c>
      <c r="C75" s="1" t="s">
        <v>18</v>
      </c>
      <c r="D75" s="1" t="s">
        <v>19</v>
      </c>
      <c r="E75" s="1">
        <v>2</v>
      </c>
      <c r="F75" s="83">
        <v>22512022</v>
      </c>
      <c r="G75" s="4">
        <v>1260</v>
      </c>
      <c r="H75" s="88" t="s">
        <v>2</v>
      </c>
      <c r="I75" s="16" t="s">
        <v>20</v>
      </c>
      <c r="J75" s="16" t="s">
        <v>1612</v>
      </c>
      <c r="K75" s="4">
        <v>1567</v>
      </c>
      <c r="L75" s="4">
        <v>1553</v>
      </c>
      <c r="M75" s="4">
        <v>1554</v>
      </c>
      <c r="N75" s="5">
        <v>1557</v>
      </c>
      <c r="O75" s="5">
        <v>1557</v>
      </c>
      <c r="P75" s="30">
        <v>1555.25</v>
      </c>
      <c r="Q75" s="7">
        <v>4</v>
      </c>
      <c r="R75" s="4">
        <v>30</v>
      </c>
      <c r="S75" s="8" t="s">
        <v>5</v>
      </c>
      <c r="T75" s="9">
        <v>167.2</v>
      </c>
      <c r="U75" s="7">
        <v>95</v>
      </c>
      <c r="V75" s="118">
        <v>72.199999999999989</v>
      </c>
      <c r="W75" s="11" t="s">
        <v>5</v>
      </c>
      <c r="X75" s="16">
        <v>58</v>
      </c>
      <c r="Y75" s="12">
        <v>2.3093280000000003</v>
      </c>
      <c r="Z75" s="7">
        <v>8.6999999999999993</v>
      </c>
      <c r="AA75" s="7">
        <v>8.5</v>
      </c>
      <c r="AB75" s="13">
        <v>82</v>
      </c>
      <c r="AC75" s="13">
        <v>90</v>
      </c>
      <c r="AD75" s="11" t="s">
        <v>959</v>
      </c>
      <c r="AE75" s="18" t="s">
        <v>455</v>
      </c>
      <c r="AF75" s="14" t="s">
        <v>1613</v>
      </c>
    </row>
    <row r="76" spans="1:32" ht="31.5" x14ac:dyDescent="0.25">
      <c r="A76" s="1">
        <v>1595</v>
      </c>
      <c r="B76" s="2">
        <v>46012</v>
      </c>
      <c r="C76" s="1" t="s">
        <v>264</v>
      </c>
      <c r="D76" s="1" t="s">
        <v>265</v>
      </c>
      <c r="E76" s="1">
        <v>2</v>
      </c>
      <c r="F76" s="83">
        <v>22512023</v>
      </c>
      <c r="G76" s="4">
        <v>1260</v>
      </c>
      <c r="H76" s="88" t="s">
        <v>2</v>
      </c>
      <c r="I76" s="16" t="s">
        <v>70</v>
      </c>
      <c r="J76" s="16" t="s">
        <v>1614</v>
      </c>
      <c r="K76" s="4">
        <v>1565</v>
      </c>
      <c r="L76" s="4">
        <v>1540</v>
      </c>
      <c r="M76" s="5">
        <v>1547</v>
      </c>
      <c r="N76" s="5">
        <v>1545</v>
      </c>
      <c r="O76" s="5">
        <v>1545</v>
      </c>
      <c r="P76" s="30">
        <v>1544.25</v>
      </c>
      <c r="Q76" s="7">
        <v>5.3</v>
      </c>
      <c r="R76" s="4">
        <v>34</v>
      </c>
      <c r="S76" s="8" t="s">
        <v>5</v>
      </c>
      <c r="T76" s="9">
        <v>171.6</v>
      </c>
      <c r="U76" s="7">
        <v>60</v>
      </c>
      <c r="V76" s="118">
        <v>111.6</v>
      </c>
      <c r="W76" s="11" t="s">
        <v>5</v>
      </c>
      <c r="X76" s="16">
        <v>58</v>
      </c>
      <c r="Y76" s="12">
        <v>3.0598596000000002</v>
      </c>
      <c r="Z76" s="7">
        <v>9.4</v>
      </c>
      <c r="AA76" s="7">
        <v>9.8000000000000007</v>
      </c>
      <c r="AB76" s="13">
        <v>82</v>
      </c>
      <c r="AC76" s="13">
        <v>85</v>
      </c>
      <c r="AD76" s="11" t="s">
        <v>959</v>
      </c>
      <c r="AE76" s="18" t="s">
        <v>455</v>
      </c>
      <c r="AF76" s="14" t="s">
        <v>983</v>
      </c>
    </row>
    <row r="77" spans="1:32" ht="31.5" x14ac:dyDescent="0.25">
      <c r="A77" s="1">
        <v>1597</v>
      </c>
      <c r="B77" s="2">
        <v>46012</v>
      </c>
      <c r="C77" s="1" t="s">
        <v>264</v>
      </c>
      <c r="D77" s="1" t="s">
        <v>265</v>
      </c>
      <c r="E77" s="1">
        <v>2</v>
      </c>
      <c r="F77" s="83">
        <v>22512023</v>
      </c>
      <c r="G77" s="4">
        <v>1260</v>
      </c>
      <c r="H77" s="88" t="s">
        <v>10</v>
      </c>
      <c r="I77" s="16" t="s">
        <v>74</v>
      </c>
      <c r="J77" s="16" t="s">
        <v>1615</v>
      </c>
      <c r="K77" s="4">
        <v>1562</v>
      </c>
      <c r="L77" s="4">
        <v>1548</v>
      </c>
      <c r="M77" s="5">
        <v>1547</v>
      </c>
      <c r="N77" s="5">
        <v>1545</v>
      </c>
      <c r="O77" s="5">
        <v>1545</v>
      </c>
      <c r="P77" s="30">
        <v>1546.25</v>
      </c>
      <c r="Q77" s="7">
        <v>5.0999999999999996</v>
      </c>
      <c r="R77" s="4">
        <v>39</v>
      </c>
      <c r="S77" s="8" t="s">
        <v>5</v>
      </c>
      <c r="T77" s="8">
        <v>174</v>
      </c>
      <c r="U77" s="7">
        <v>68</v>
      </c>
      <c r="V77" s="118">
        <v>106</v>
      </c>
      <c r="W77" s="11" t="s">
        <v>5</v>
      </c>
      <c r="X77" s="16">
        <v>58</v>
      </c>
      <c r="Y77" s="12">
        <v>2.9443931999999999</v>
      </c>
      <c r="Z77" s="7">
        <v>9.1</v>
      </c>
      <c r="AA77" s="7">
        <v>8.6999999999999993</v>
      </c>
      <c r="AB77" s="13">
        <v>77</v>
      </c>
      <c r="AC77" s="13">
        <v>75</v>
      </c>
      <c r="AD77" s="11" t="s">
        <v>959</v>
      </c>
      <c r="AE77" s="18" t="s">
        <v>455</v>
      </c>
      <c r="AF77" s="14" t="s">
        <v>1616</v>
      </c>
    </row>
    <row r="78" spans="1:32" ht="15.75" x14ac:dyDescent="0.25">
      <c r="A78" s="1">
        <v>1599</v>
      </c>
      <c r="B78" s="2">
        <v>46012</v>
      </c>
      <c r="C78" s="1" t="s">
        <v>264</v>
      </c>
      <c r="D78" s="1" t="s">
        <v>265</v>
      </c>
      <c r="E78" s="1">
        <v>2</v>
      </c>
      <c r="F78" s="83">
        <v>22512023</v>
      </c>
      <c r="G78" s="4">
        <v>1260</v>
      </c>
      <c r="H78" s="88" t="s">
        <v>10</v>
      </c>
      <c r="I78" s="16" t="s">
        <v>122</v>
      </c>
      <c r="J78" s="16" t="s">
        <v>1617</v>
      </c>
      <c r="K78" s="4">
        <v>1563</v>
      </c>
      <c r="L78" s="4">
        <v>1541</v>
      </c>
      <c r="M78" s="5">
        <v>1540</v>
      </c>
      <c r="N78" s="5">
        <v>1539</v>
      </c>
      <c r="O78" s="5">
        <v>1537</v>
      </c>
      <c r="P78" s="30">
        <v>1538.6666666666667</v>
      </c>
      <c r="Q78" s="7">
        <v>4.5</v>
      </c>
      <c r="R78" s="4">
        <v>34</v>
      </c>
      <c r="S78" s="8" t="s">
        <v>5</v>
      </c>
      <c r="T78" s="8">
        <v>159</v>
      </c>
      <c r="U78" s="7">
        <v>59</v>
      </c>
      <c r="V78" s="118">
        <v>100</v>
      </c>
      <c r="W78" s="11" t="s">
        <v>5</v>
      </c>
      <c r="X78" s="16">
        <v>58</v>
      </c>
      <c r="Y78" s="12">
        <v>2.5979940000000004</v>
      </c>
      <c r="Z78" s="7">
        <v>9.1</v>
      </c>
      <c r="AA78" s="7">
        <v>9.4</v>
      </c>
      <c r="AB78" s="13">
        <v>81</v>
      </c>
      <c r="AC78" s="13">
        <v>82</v>
      </c>
      <c r="AD78" s="11" t="s">
        <v>959</v>
      </c>
      <c r="AE78" s="18" t="s">
        <v>455</v>
      </c>
      <c r="AF78" s="14" t="s">
        <v>1618</v>
      </c>
    </row>
    <row r="79" spans="1:32" ht="15.75" x14ac:dyDescent="0.25">
      <c r="A79" s="1">
        <v>1620</v>
      </c>
      <c r="B79" s="2">
        <v>46012</v>
      </c>
      <c r="C79" s="1" t="s">
        <v>0</v>
      </c>
      <c r="D79" s="1" t="s">
        <v>19</v>
      </c>
      <c r="E79" s="1">
        <v>2</v>
      </c>
      <c r="F79" s="83">
        <v>22512023</v>
      </c>
      <c r="G79" s="4">
        <v>1252</v>
      </c>
      <c r="H79" s="88" t="s">
        <v>10</v>
      </c>
      <c r="I79" s="16" t="s">
        <v>103</v>
      </c>
      <c r="J79" s="16" t="s">
        <v>1619</v>
      </c>
      <c r="K79" s="4">
        <v>1568</v>
      </c>
      <c r="L79" s="4">
        <v>1542</v>
      </c>
      <c r="M79" s="5">
        <v>1541</v>
      </c>
      <c r="N79" s="5">
        <v>1539</v>
      </c>
      <c r="O79" s="5">
        <v>1539</v>
      </c>
      <c r="P79" s="30">
        <v>1540.25</v>
      </c>
      <c r="Q79" s="7">
        <v>5</v>
      </c>
      <c r="R79" s="4">
        <v>33</v>
      </c>
      <c r="S79" s="8" t="s">
        <v>5</v>
      </c>
      <c r="T79" s="9">
        <v>165</v>
      </c>
      <c r="U79" s="7">
        <v>60</v>
      </c>
      <c r="V79" s="118">
        <v>105</v>
      </c>
      <c r="W79" s="11" t="s">
        <v>5</v>
      </c>
      <c r="X79" s="16">
        <v>58</v>
      </c>
      <c r="Y79" s="12">
        <v>2.8683320000000001</v>
      </c>
      <c r="Z79" s="7">
        <v>8.8000000000000007</v>
      </c>
      <c r="AA79" s="7">
        <v>9.9</v>
      </c>
      <c r="AB79" s="13">
        <v>73</v>
      </c>
      <c r="AC79" s="13">
        <v>75</v>
      </c>
      <c r="AD79" s="11" t="s">
        <v>959</v>
      </c>
      <c r="AE79" s="18" t="s">
        <v>455</v>
      </c>
      <c r="AF79" s="14" t="s">
        <v>1618</v>
      </c>
    </row>
    <row r="80" spans="1:32" ht="31.5" x14ac:dyDescent="0.25">
      <c r="A80" s="1">
        <v>1624</v>
      </c>
      <c r="B80" s="2">
        <v>46012</v>
      </c>
      <c r="C80" s="1" t="s">
        <v>0</v>
      </c>
      <c r="D80" s="1" t="s">
        <v>19</v>
      </c>
      <c r="E80" s="1">
        <v>2</v>
      </c>
      <c r="F80" s="83">
        <v>22512023</v>
      </c>
      <c r="G80" s="4">
        <v>1252</v>
      </c>
      <c r="H80" s="88" t="s">
        <v>10</v>
      </c>
      <c r="I80" s="16" t="s">
        <v>113</v>
      </c>
      <c r="J80" s="16" t="s">
        <v>1620</v>
      </c>
      <c r="K80" s="4">
        <v>1566</v>
      </c>
      <c r="L80" s="5">
        <v>1545</v>
      </c>
      <c r="M80" s="5">
        <v>1543</v>
      </c>
      <c r="N80" s="5">
        <v>1541</v>
      </c>
      <c r="O80" s="5">
        <v>1537</v>
      </c>
      <c r="P80" s="30">
        <v>1540.3333333333333</v>
      </c>
      <c r="Q80" s="7">
        <v>4.8</v>
      </c>
      <c r="R80" s="4">
        <v>36</v>
      </c>
      <c r="S80" s="8" t="s">
        <v>5</v>
      </c>
      <c r="T80" s="9">
        <v>150</v>
      </c>
      <c r="U80" s="7">
        <v>57</v>
      </c>
      <c r="V80" s="118">
        <v>93</v>
      </c>
      <c r="W80" s="11" t="s">
        <v>5</v>
      </c>
      <c r="X80" s="16">
        <v>58</v>
      </c>
      <c r="Y80" s="12">
        <v>2.7535987199999998</v>
      </c>
      <c r="Z80" s="7">
        <v>9.5</v>
      </c>
      <c r="AA80" s="7">
        <v>9.5</v>
      </c>
      <c r="AB80" s="13">
        <v>78</v>
      </c>
      <c r="AC80" s="13">
        <v>78</v>
      </c>
      <c r="AD80" s="11" t="s">
        <v>959</v>
      </c>
      <c r="AE80" s="18" t="s">
        <v>455</v>
      </c>
      <c r="AF80" s="14" t="s">
        <v>1621</v>
      </c>
    </row>
    <row r="81" spans="1:32" ht="31.5" x14ac:dyDescent="0.25">
      <c r="A81" s="1">
        <v>1625</v>
      </c>
      <c r="B81" s="2">
        <v>46012</v>
      </c>
      <c r="C81" s="1" t="s">
        <v>0</v>
      </c>
      <c r="D81" s="1" t="s">
        <v>19</v>
      </c>
      <c r="E81" s="1">
        <v>2</v>
      </c>
      <c r="F81" s="83">
        <v>22512023</v>
      </c>
      <c r="G81" s="4">
        <v>1252</v>
      </c>
      <c r="H81" s="88" t="s">
        <v>10</v>
      </c>
      <c r="I81" s="16" t="s">
        <v>148</v>
      </c>
      <c r="J81" s="16" t="s">
        <v>1620</v>
      </c>
      <c r="K81" s="4">
        <v>1570</v>
      </c>
      <c r="L81" s="5">
        <v>1543</v>
      </c>
      <c r="M81" s="5">
        <v>1544</v>
      </c>
      <c r="N81" s="5">
        <v>1543</v>
      </c>
      <c r="O81" s="5">
        <v>1544</v>
      </c>
      <c r="P81" s="30">
        <v>1543.6666666666667</v>
      </c>
      <c r="Q81" s="7">
        <v>4.5999999999999996</v>
      </c>
      <c r="R81" s="4">
        <v>33</v>
      </c>
      <c r="S81" s="8" t="s">
        <v>5</v>
      </c>
      <c r="T81" s="9">
        <v>163</v>
      </c>
      <c r="U81" s="7">
        <v>56</v>
      </c>
      <c r="V81" s="118">
        <v>107</v>
      </c>
      <c r="W81" s="11" t="s">
        <v>5</v>
      </c>
      <c r="X81" s="16">
        <v>58</v>
      </c>
      <c r="Y81" s="12">
        <v>2.63886544</v>
      </c>
      <c r="Z81" s="7">
        <v>8.6999999999999993</v>
      </c>
      <c r="AA81" s="7">
        <v>9.6999999999999993</v>
      </c>
      <c r="AB81" s="13">
        <v>71</v>
      </c>
      <c r="AC81" s="13">
        <v>78</v>
      </c>
      <c r="AD81" s="11" t="s">
        <v>959</v>
      </c>
      <c r="AE81" s="18" t="s">
        <v>455</v>
      </c>
      <c r="AF81" s="14" t="s">
        <v>1622</v>
      </c>
    </row>
    <row r="82" spans="1:32" ht="15.75" x14ac:dyDescent="0.25">
      <c r="A82" s="1">
        <v>1641</v>
      </c>
      <c r="B82" s="2">
        <v>46013</v>
      </c>
      <c r="C82" s="1" t="s">
        <v>18</v>
      </c>
      <c r="D82" s="1" t="s">
        <v>9</v>
      </c>
      <c r="E82" s="1">
        <v>2</v>
      </c>
      <c r="F82" s="83">
        <v>22512023</v>
      </c>
      <c r="G82" s="4">
        <v>1240</v>
      </c>
      <c r="H82" s="88" t="s">
        <v>10</v>
      </c>
      <c r="I82" s="16" t="s">
        <v>371</v>
      </c>
      <c r="J82" s="16" t="s">
        <v>1623</v>
      </c>
      <c r="K82" s="16">
        <v>1568</v>
      </c>
      <c r="L82" s="4">
        <v>1550</v>
      </c>
      <c r="M82" s="4">
        <v>1552</v>
      </c>
      <c r="N82" s="5">
        <v>1551</v>
      </c>
      <c r="O82" s="5">
        <v>1551</v>
      </c>
      <c r="P82" s="30">
        <v>1551</v>
      </c>
      <c r="Q82" s="7">
        <v>5</v>
      </c>
      <c r="R82" s="4">
        <v>34</v>
      </c>
      <c r="S82" s="8"/>
      <c r="T82" s="9">
        <v>160</v>
      </c>
      <c r="U82" s="7">
        <v>63</v>
      </c>
      <c r="V82" s="118">
        <v>97</v>
      </c>
      <c r="W82" s="11" t="s">
        <v>5</v>
      </c>
      <c r="X82" s="16">
        <v>58</v>
      </c>
      <c r="Y82" s="12">
        <v>2.84084</v>
      </c>
      <c r="Z82" s="7">
        <v>9.9</v>
      </c>
      <c r="AA82" s="7">
        <v>10.1</v>
      </c>
      <c r="AB82" s="13">
        <v>85</v>
      </c>
      <c r="AC82" s="13">
        <v>89</v>
      </c>
      <c r="AD82" s="11" t="s">
        <v>6</v>
      </c>
      <c r="AE82" s="18" t="s">
        <v>455</v>
      </c>
      <c r="AF82" s="14" t="s">
        <v>418</v>
      </c>
    </row>
    <row r="83" spans="1:32" ht="31.5" x14ac:dyDescent="0.25">
      <c r="A83" s="1">
        <v>1725</v>
      </c>
      <c r="B83" s="2">
        <v>46014</v>
      </c>
      <c r="C83" s="1" t="s">
        <v>18</v>
      </c>
      <c r="D83" s="1" t="s">
        <v>9</v>
      </c>
      <c r="E83" s="1">
        <v>2</v>
      </c>
      <c r="F83" s="83">
        <v>22512025</v>
      </c>
      <c r="G83" s="4">
        <v>1230</v>
      </c>
      <c r="H83" s="88" t="s">
        <v>10</v>
      </c>
      <c r="I83" s="16" t="s">
        <v>122</v>
      </c>
      <c r="J83" s="16" t="s">
        <v>1624</v>
      </c>
      <c r="K83" s="4">
        <v>1567</v>
      </c>
      <c r="L83" s="4">
        <v>1542</v>
      </c>
      <c r="M83" s="4">
        <v>1542</v>
      </c>
      <c r="N83" s="5">
        <v>1545</v>
      </c>
      <c r="O83" s="5">
        <v>1548</v>
      </c>
      <c r="P83" s="30">
        <v>1544.25</v>
      </c>
      <c r="Q83" s="7">
        <v>4.7</v>
      </c>
      <c r="R83" s="4">
        <v>37</v>
      </c>
      <c r="S83" s="8">
        <v>36</v>
      </c>
      <c r="T83" s="9">
        <v>155</v>
      </c>
      <c r="U83" s="7">
        <v>60</v>
      </c>
      <c r="V83" s="118">
        <v>95</v>
      </c>
      <c r="W83" s="11" t="s">
        <v>5</v>
      </c>
      <c r="X83" s="16">
        <v>58</v>
      </c>
      <c r="Y83" s="12">
        <v>2.6488542000000002</v>
      </c>
      <c r="Z83" s="7">
        <v>8.9</v>
      </c>
      <c r="AA83" s="7">
        <v>9.6999999999999993</v>
      </c>
      <c r="AB83" s="13">
        <v>73</v>
      </c>
      <c r="AC83" s="13">
        <v>81</v>
      </c>
      <c r="AD83" s="11" t="s">
        <v>959</v>
      </c>
      <c r="AE83" s="18" t="s">
        <v>455</v>
      </c>
      <c r="AF83" s="14" t="s">
        <v>1625</v>
      </c>
    </row>
    <row r="84" spans="1:32" ht="15.75" x14ac:dyDescent="0.25">
      <c r="A84" s="1">
        <v>1771</v>
      </c>
      <c r="B84" s="2">
        <v>46014</v>
      </c>
      <c r="C84" s="1" t="s">
        <v>0</v>
      </c>
      <c r="D84" s="1" t="s">
        <v>19</v>
      </c>
      <c r="E84" s="1">
        <v>2</v>
      </c>
      <c r="F84" s="83">
        <v>22512025</v>
      </c>
      <c r="G84" s="4">
        <v>1230</v>
      </c>
      <c r="H84" s="88" t="s">
        <v>10</v>
      </c>
      <c r="I84" s="16" t="s">
        <v>66</v>
      </c>
      <c r="J84" s="16" t="s">
        <v>1626</v>
      </c>
      <c r="K84" s="1">
        <v>1562</v>
      </c>
      <c r="L84" s="5">
        <v>1546</v>
      </c>
      <c r="M84" s="5">
        <v>1545</v>
      </c>
      <c r="N84" s="5">
        <v>1544</v>
      </c>
      <c r="O84" s="5">
        <v>1544</v>
      </c>
      <c r="P84" s="30">
        <v>1544.75</v>
      </c>
      <c r="Q84" s="7">
        <v>5</v>
      </c>
      <c r="R84" s="4">
        <v>34</v>
      </c>
      <c r="S84" s="8" t="s">
        <v>5</v>
      </c>
      <c r="T84" s="9">
        <v>156</v>
      </c>
      <c r="U84" s="7">
        <v>62</v>
      </c>
      <c r="V84" s="118">
        <v>94</v>
      </c>
      <c r="W84" s="11" t="s">
        <v>5</v>
      </c>
      <c r="X84" s="16">
        <v>58</v>
      </c>
      <c r="Y84" s="12">
        <v>2.81793</v>
      </c>
      <c r="Z84" s="7">
        <v>9.6999999999999993</v>
      </c>
      <c r="AA84" s="7">
        <v>10.1</v>
      </c>
      <c r="AB84" s="13">
        <v>75</v>
      </c>
      <c r="AC84" s="13">
        <v>80</v>
      </c>
      <c r="AD84" s="11" t="s">
        <v>959</v>
      </c>
      <c r="AE84" s="18" t="s">
        <v>455</v>
      </c>
      <c r="AF84" s="14" t="s">
        <v>397</v>
      </c>
    </row>
    <row r="85" spans="1:32" ht="15.75" x14ac:dyDescent="0.25">
      <c r="A85" s="1">
        <v>1774</v>
      </c>
      <c r="B85" s="2">
        <v>46014</v>
      </c>
      <c r="C85" s="1" t="s">
        <v>0</v>
      </c>
      <c r="D85" s="1" t="s">
        <v>19</v>
      </c>
      <c r="E85" s="1">
        <v>2</v>
      </c>
      <c r="F85" s="83">
        <v>22512025</v>
      </c>
      <c r="G85" s="4">
        <v>1230</v>
      </c>
      <c r="H85" s="88" t="s">
        <v>55</v>
      </c>
      <c r="I85" s="16" t="s">
        <v>129</v>
      </c>
      <c r="J85" s="16" t="s">
        <v>1627</v>
      </c>
      <c r="K85" s="4">
        <v>1568</v>
      </c>
      <c r="L85" s="4">
        <v>1548</v>
      </c>
      <c r="M85" s="5">
        <v>1546</v>
      </c>
      <c r="N85" s="5">
        <v>1549</v>
      </c>
      <c r="O85" s="5">
        <v>1545</v>
      </c>
      <c r="P85" s="30">
        <v>1547</v>
      </c>
      <c r="Q85" s="7">
        <v>5</v>
      </c>
      <c r="R85" s="4">
        <v>34</v>
      </c>
      <c r="S85" s="8" t="s">
        <v>5</v>
      </c>
      <c r="T85" s="9">
        <v>161</v>
      </c>
      <c r="U85" s="7">
        <v>54</v>
      </c>
      <c r="V85" s="118">
        <v>107</v>
      </c>
      <c r="W85" s="11" t="s">
        <v>5</v>
      </c>
      <c r="X85" s="16">
        <v>58</v>
      </c>
      <c r="Y85" s="12">
        <v>2.81793</v>
      </c>
      <c r="Z85" s="7">
        <v>9.9</v>
      </c>
      <c r="AA85" s="7">
        <v>9.8000000000000007</v>
      </c>
      <c r="AB85" s="13">
        <v>81</v>
      </c>
      <c r="AC85" s="13">
        <v>82</v>
      </c>
      <c r="AD85" s="11" t="s">
        <v>959</v>
      </c>
      <c r="AE85" s="18" t="s">
        <v>455</v>
      </c>
      <c r="AF85" s="14" t="s">
        <v>397</v>
      </c>
    </row>
    <row r="86" spans="1:32" ht="15.75" x14ac:dyDescent="0.25">
      <c r="A86" s="1">
        <v>1809</v>
      </c>
      <c r="B86" s="2">
        <v>46015</v>
      </c>
      <c r="C86" s="1" t="s">
        <v>264</v>
      </c>
      <c r="D86" s="1" t="s">
        <v>377</v>
      </c>
      <c r="E86" s="1">
        <v>1</v>
      </c>
      <c r="F86" s="83">
        <v>12512026</v>
      </c>
      <c r="G86" s="4">
        <v>1250</v>
      </c>
      <c r="H86" s="88" t="s">
        <v>225</v>
      </c>
      <c r="I86" s="16" t="s">
        <v>194</v>
      </c>
      <c r="J86" s="16" t="s">
        <v>1628</v>
      </c>
      <c r="K86" s="99">
        <v>1567</v>
      </c>
      <c r="L86" s="4">
        <v>1544</v>
      </c>
      <c r="M86" s="4">
        <v>1547</v>
      </c>
      <c r="N86" s="5">
        <v>1547</v>
      </c>
      <c r="O86" s="5">
        <v>1540</v>
      </c>
      <c r="P86" s="30">
        <v>1544.5</v>
      </c>
      <c r="Q86" s="7">
        <v>5.3</v>
      </c>
      <c r="R86" s="4">
        <v>31</v>
      </c>
      <c r="S86" s="8"/>
      <c r="T86" s="9">
        <v>160</v>
      </c>
      <c r="U86" s="7">
        <v>62</v>
      </c>
      <c r="V86" s="118">
        <v>98</v>
      </c>
      <c r="W86" s="11" t="s">
        <v>5</v>
      </c>
      <c r="X86" s="16">
        <v>58</v>
      </c>
      <c r="Y86" s="12">
        <v>3.0355749999999997</v>
      </c>
      <c r="Z86" s="7">
        <v>9.6</v>
      </c>
      <c r="AA86" s="7">
        <v>11.6</v>
      </c>
      <c r="AB86" s="13">
        <v>84</v>
      </c>
      <c r="AC86" s="13">
        <v>94</v>
      </c>
      <c r="AD86" s="11" t="s">
        <v>6</v>
      </c>
      <c r="AE86" s="18" t="s">
        <v>455</v>
      </c>
      <c r="AF86" s="14" t="s">
        <v>480</v>
      </c>
    </row>
    <row r="87" spans="1:32" ht="31.5" x14ac:dyDescent="0.25">
      <c r="A87" s="1">
        <v>1812</v>
      </c>
      <c r="B87" s="2">
        <v>46015</v>
      </c>
      <c r="C87" s="1" t="s">
        <v>264</v>
      </c>
      <c r="D87" s="1" t="s">
        <v>377</v>
      </c>
      <c r="E87" s="1">
        <v>1</v>
      </c>
      <c r="F87" s="83">
        <v>12512026</v>
      </c>
      <c r="G87" s="4">
        <v>1250</v>
      </c>
      <c r="H87" s="88" t="s">
        <v>225</v>
      </c>
      <c r="I87" s="16" t="s">
        <v>70</v>
      </c>
      <c r="J87" s="16" t="s">
        <v>1629</v>
      </c>
      <c r="K87" s="99">
        <v>1567</v>
      </c>
      <c r="L87" s="99">
        <v>1541</v>
      </c>
      <c r="M87" s="5">
        <v>1544</v>
      </c>
      <c r="N87" s="5">
        <v>1544</v>
      </c>
      <c r="O87" s="5">
        <v>1543</v>
      </c>
      <c r="P87" s="30">
        <v>1543</v>
      </c>
      <c r="Q87" s="7">
        <v>5.4</v>
      </c>
      <c r="R87" s="4">
        <v>33</v>
      </c>
      <c r="S87" s="8"/>
      <c r="T87" s="9">
        <v>167</v>
      </c>
      <c r="U87" s="7">
        <v>62</v>
      </c>
      <c r="V87" s="118">
        <v>105</v>
      </c>
      <c r="W87" s="11" t="s">
        <v>5</v>
      </c>
      <c r="X87" s="16">
        <v>58</v>
      </c>
      <c r="Y87" s="12">
        <v>3.0928500000000003</v>
      </c>
      <c r="Z87" s="7">
        <v>9.8000000000000007</v>
      </c>
      <c r="AA87" s="7">
        <v>10.5</v>
      </c>
      <c r="AB87" s="13">
        <v>90</v>
      </c>
      <c r="AC87" s="13">
        <v>99</v>
      </c>
      <c r="AD87" s="11" t="s">
        <v>6</v>
      </c>
      <c r="AE87" s="18" t="s">
        <v>455</v>
      </c>
      <c r="AF87" s="14" t="s">
        <v>1630</v>
      </c>
    </row>
    <row r="88" spans="1:32" ht="47.25" x14ac:dyDescent="0.25">
      <c r="A88" s="1">
        <v>1830</v>
      </c>
      <c r="B88" s="2">
        <v>46015</v>
      </c>
      <c r="C88" s="1" t="s">
        <v>0</v>
      </c>
      <c r="D88" s="1" t="s">
        <v>19</v>
      </c>
      <c r="E88" s="1">
        <v>1</v>
      </c>
      <c r="F88" s="83">
        <v>12512026</v>
      </c>
      <c r="G88" s="4">
        <v>1250</v>
      </c>
      <c r="H88" s="88" t="s">
        <v>1631</v>
      </c>
      <c r="I88" s="83" t="s">
        <v>20</v>
      </c>
      <c r="J88" s="83" t="s">
        <v>1632</v>
      </c>
      <c r="K88" s="104">
        <v>1564</v>
      </c>
      <c r="L88" s="5">
        <v>1540</v>
      </c>
      <c r="M88" s="5">
        <v>1539</v>
      </c>
      <c r="N88" s="5">
        <v>1537</v>
      </c>
      <c r="O88" s="5"/>
      <c r="P88" s="30">
        <v>1538.6666666666667</v>
      </c>
      <c r="Q88" s="7">
        <v>4.3</v>
      </c>
      <c r="R88" s="4">
        <v>42</v>
      </c>
      <c r="S88" s="8"/>
      <c r="T88" s="9">
        <v>171</v>
      </c>
      <c r="U88" s="7">
        <v>58</v>
      </c>
      <c r="V88" s="118">
        <v>113</v>
      </c>
      <c r="W88" s="11" t="s">
        <v>5</v>
      </c>
      <c r="X88" s="16">
        <v>58</v>
      </c>
      <c r="Y88" s="12">
        <v>2.4628249999999996</v>
      </c>
      <c r="Z88" s="7">
        <v>9.4</v>
      </c>
      <c r="AA88" s="7">
        <v>9.8000000000000007</v>
      </c>
      <c r="AB88" s="7">
        <v>95</v>
      </c>
      <c r="AC88" s="7">
        <v>98</v>
      </c>
      <c r="AD88" s="11" t="s">
        <v>6</v>
      </c>
      <c r="AE88" s="18" t="s">
        <v>455</v>
      </c>
      <c r="AF88" s="14" t="s">
        <v>1633</v>
      </c>
    </row>
    <row r="89" spans="1:32" ht="31.5" x14ac:dyDescent="0.25">
      <c r="A89" s="1">
        <v>1879</v>
      </c>
      <c r="B89" s="2">
        <v>46016</v>
      </c>
      <c r="C89" s="1" t="s">
        <v>18</v>
      </c>
      <c r="D89" s="1" t="s">
        <v>9</v>
      </c>
      <c r="E89" s="1">
        <v>2</v>
      </c>
      <c r="F89" s="83">
        <v>22512026</v>
      </c>
      <c r="G89" s="4">
        <v>1260</v>
      </c>
      <c r="H89" s="88" t="s">
        <v>1588</v>
      </c>
      <c r="I89" s="16" t="s">
        <v>129</v>
      </c>
      <c r="J89" s="16" t="s">
        <v>1634</v>
      </c>
      <c r="K89" s="4">
        <v>1572</v>
      </c>
      <c r="L89" s="4">
        <v>1544</v>
      </c>
      <c r="M89" s="4">
        <v>1544</v>
      </c>
      <c r="N89" s="5">
        <v>1545</v>
      </c>
      <c r="O89" s="5">
        <v>1546</v>
      </c>
      <c r="P89" s="30">
        <v>1544.75</v>
      </c>
      <c r="Q89" s="7">
        <v>4.5</v>
      </c>
      <c r="R89" s="4">
        <v>34</v>
      </c>
      <c r="S89" s="8"/>
      <c r="T89" s="9">
        <v>155</v>
      </c>
      <c r="U89" s="7">
        <v>59</v>
      </c>
      <c r="V89" s="118">
        <v>96</v>
      </c>
      <c r="W89" s="11" t="s">
        <v>5</v>
      </c>
      <c r="X89" s="16">
        <v>58</v>
      </c>
      <c r="Y89" s="12">
        <v>2.5979940000000004</v>
      </c>
      <c r="Z89" s="7">
        <v>9</v>
      </c>
      <c r="AA89" s="7">
        <v>9</v>
      </c>
      <c r="AB89" s="13">
        <v>84</v>
      </c>
      <c r="AC89" s="13">
        <v>88</v>
      </c>
      <c r="AD89" s="11" t="s">
        <v>6</v>
      </c>
      <c r="AE89" s="18" t="s">
        <v>455</v>
      </c>
      <c r="AF89" s="14" t="s">
        <v>1635</v>
      </c>
    </row>
    <row r="90" spans="1:32" ht="15.75" x14ac:dyDescent="0.25">
      <c r="A90" s="1">
        <v>2078</v>
      </c>
      <c r="B90" s="2">
        <v>46018</v>
      </c>
      <c r="C90" s="1" t="s">
        <v>0</v>
      </c>
      <c r="D90" s="1" t="s">
        <v>258</v>
      </c>
      <c r="E90" s="1">
        <v>2</v>
      </c>
      <c r="F90" s="83">
        <v>22512028</v>
      </c>
      <c r="G90" s="4">
        <v>1250</v>
      </c>
      <c r="H90" s="88" t="s">
        <v>1636</v>
      </c>
      <c r="I90" s="16" t="s">
        <v>273</v>
      </c>
      <c r="J90" s="16" t="s">
        <v>1637</v>
      </c>
      <c r="K90" s="4">
        <v>15770</v>
      </c>
      <c r="L90" s="5">
        <v>1546</v>
      </c>
      <c r="M90" s="5">
        <v>1546</v>
      </c>
      <c r="N90" s="5">
        <v>1542</v>
      </c>
      <c r="O90" s="5">
        <v>1541</v>
      </c>
      <c r="P90" s="30">
        <v>1543</v>
      </c>
      <c r="Q90" s="7">
        <v>4.8</v>
      </c>
      <c r="R90" s="4">
        <v>37</v>
      </c>
      <c r="S90" s="8" t="s">
        <v>5</v>
      </c>
      <c r="T90" s="9">
        <v>160.5</v>
      </c>
      <c r="U90" s="9">
        <v>60</v>
      </c>
      <c r="V90" s="118">
        <v>100.5</v>
      </c>
      <c r="W90" s="11" t="s">
        <v>5</v>
      </c>
      <c r="X90" s="16">
        <v>58</v>
      </c>
      <c r="Y90" s="12">
        <v>2.7491999999999996</v>
      </c>
      <c r="Z90" s="7">
        <v>9.5</v>
      </c>
      <c r="AA90" s="7">
        <v>8.8000000000000007</v>
      </c>
      <c r="AB90" s="13">
        <v>84</v>
      </c>
      <c r="AC90" s="13">
        <v>77</v>
      </c>
      <c r="AD90" s="11" t="s">
        <v>6</v>
      </c>
      <c r="AE90" s="18" t="s">
        <v>455</v>
      </c>
      <c r="AF90" s="14" t="s">
        <v>706</v>
      </c>
    </row>
    <row r="91" spans="1:32" ht="47.25" x14ac:dyDescent="0.25">
      <c r="A91" s="1">
        <v>2124</v>
      </c>
      <c r="B91" s="2">
        <v>46019</v>
      </c>
      <c r="C91" s="1" t="s">
        <v>264</v>
      </c>
      <c r="D91" s="1" t="s">
        <v>19</v>
      </c>
      <c r="E91" s="1">
        <v>2</v>
      </c>
      <c r="F91" s="83">
        <v>22512029</v>
      </c>
      <c r="G91" s="4">
        <v>1252</v>
      </c>
      <c r="H91" s="88" t="s">
        <v>55</v>
      </c>
      <c r="I91" s="16" t="s">
        <v>152</v>
      </c>
      <c r="J91" s="16" t="s">
        <v>1638</v>
      </c>
      <c r="K91" s="99">
        <v>1565</v>
      </c>
      <c r="L91" s="4">
        <v>1545</v>
      </c>
      <c r="M91" s="5">
        <v>1546</v>
      </c>
      <c r="N91" s="5">
        <v>1543</v>
      </c>
      <c r="O91" s="5">
        <v>1540</v>
      </c>
      <c r="P91" s="30">
        <v>1543.5</v>
      </c>
      <c r="Q91" s="7">
        <v>5.5</v>
      </c>
      <c r="R91" s="4">
        <v>39</v>
      </c>
      <c r="S91" s="8">
        <v>36</v>
      </c>
      <c r="T91" s="9">
        <v>173</v>
      </c>
      <c r="U91" s="7">
        <v>61</v>
      </c>
      <c r="V91" s="118">
        <v>112</v>
      </c>
      <c r="W91" s="11" t="s">
        <v>5</v>
      </c>
      <c r="X91" s="16">
        <v>58</v>
      </c>
      <c r="Y91" s="12">
        <v>3.1551651999999999</v>
      </c>
      <c r="Z91" s="7">
        <v>11</v>
      </c>
      <c r="AA91" s="7">
        <v>11.5</v>
      </c>
      <c r="AB91" s="13">
        <v>86</v>
      </c>
      <c r="AC91" s="13">
        <v>91</v>
      </c>
      <c r="AD91" s="11" t="s">
        <v>6</v>
      </c>
      <c r="AE91" s="18" t="s">
        <v>53</v>
      </c>
      <c r="AF91" s="14" t="s">
        <v>1639</v>
      </c>
    </row>
    <row r="92" spans="1:32" ht="31.5" x14ac:dyDescent="0.25">
      <c r="A92" s="1">
        <v>2135</v>
      </c>
      <c r="B92" s="2">
        <v>46019</v>
      </c>
      <c r="C92" s="1" t="s">
        <v>264</v>
      </c>
      <c r="D92" s="1" t="s">
        <v>19</v>
      </c>
      <c r="E92" s="1">
        <v>2</v>
      </c>
      <c r="F92" s="83">
        <v>22512029</v>
      </c>
      <c r="G92" s="4">
        <v>1252</v>
      </c>
      <c r="H92" s="88" t="s">
        <v>1436</v>
      </c>
      <c r="I92" s="16" t="s">
        <v>83</v>
      </c>
      <c r="J92" s="16" t="s">
        <v>1640</v>
      </c>
      <c r="K92" s="4">
        <v>1570</v>
      </c>
      <c r="L92" s="4">
        <v>1542</v>
      </c>
      <c r="M92" s="5">
        <v>1544</v>
      </c>
      <c r="N92" s="5">
        <v>1544</v>
      </c>
      <c r="O92" s="5">
        <v>1543</v>
      </c>
      <c r="P92" s="30">
        <v>1543.25</v>
      </c>
      <c r="Q92" s="7">
        <v>5.3</v>
      </c>
      <c r="R92" s="4">
        <v>37</v>
      </c>
      <c r="S92" s="8">
        <v>23</v>
      </c>
      <c r="T92" s="8">
        <v>172</v>
      </c>
      <c r="U92" s="7">
        <v>58</v>
      </c>
      <c r="V92" s="118">
        <v>114</v>
      </c>
      <c r="W92" s="11" t="s">
        <v>5</v>
      </c>
      <c r="X92" s="16">
        <v>58</v>
      </c>
      <c r="Y92" s="12">
        <v>3.0404319200000001</v>
      </c>
      <c r="Z92" s="7">
        <v>9.3000000000000007</v>
      </c>
      <c r="AA92" s="7">
        <v>9.9</v>
      </c>
      <c r="AB92" s="13">
        <v>83</v>
      </c>
      <c r="AC92" s="13">
        <v>89</v>
      </c>
      <c r="AD92" s="11" t="s">
        <v>6</v>
      </c>
      <c r="AE92" s="18" t="s">
        <v>455</v>
      </c>
      <c r="AF92" s="14" t="s">
        <v>1641</v>
      </c>
    </row>
    <row r="93" spans="1:32" ht="15.75" x14ac:dyDescent="0.25">
      <c r="A93" s="1">
        <v>2178</v>
      </c>
      <c r="B93" s="2">
        <v>46020</v>
      </c>
      <c r="C93" s="1" t="s">
        <v>18</v>
      </c>
      <c r="D93" s="1" t="s">
        <v>1</v>
      </c>
      <c r="E93" s="1">
        <v>2</v>
      </c>
      <c r="F93" s="83">
        <v>22512029</v>
      </c>
      <c r="G93" s="4">
        <v>1250</v>
      </c>
      <c r="H93" s="88" t="s">
        <v>10</v>
      </c>
      <c r="I93" s="16" t="s">
        <v>416</v>
      </c>
      <c r="J93" s="16" t="s">
        <v>1642</v>
      </c>
      <c r="K93" s="16">
        <v>1569</v>
      </c>
      <c r="L93" s="4">
        <v>1545</v>
      </c>
      <c r="M93" s="5">
        <v>1545</v>
      </c>
      <c r="N93" s="5">
        <v>1545</v>
      </c>
      <c r="O93" s="5">
        <v>1545</v>
      </c>
      <c r="P93" s="30">
        <v>1545</v>
      </c>
      <c r="Q93" s="7">
        <v>5.0999999999999996</v>
      </c>
      <c r="R93" s="4">
        <v>33</v>
      </c>
      <c r="S93" s="8">
        <v>32</v>
      </c>
      <c r="T93" s="7">
        <v>164.7</v>
      </c>
      <c r="U93" s="7">
        <v>60</v>
      </c>
      <c r="V93" s="118">
        <v>104.69999999999999</v>
      </c>
      <c r="W93" s="11" t="s">
        <v>5</v>
      </c>
      <c r="X93" s="16">
        <v>58</v>
      </c>
      <c r="Y93" s="12">
        <v>2.9210249999999998</v>
      </c>
      <c r="Z93" s="7">
        <v>10.7</v>
      </c>
      <c r="AA93" s="7">
        <v>10.7</v>
      </c>
      <c r="AB93" s="13">
        <v>82</v>
      </c>
      <c r="AC93" s="13">
        <v>83</v>
      </c>
      <c r="AD93" s="11" t="s">
        <v>6</v>
      </c>
      <c r="AE93" s="94" t="s">
        <v>53</v>
      </c>
      <c r="AF93" s="14" t="s">
        <v>480</v>
      </c>
    </row>
    <row r="94" spans="1:32" ht="15.75" x14ac:dyDescent="0.25">
      <c r="A94" s="1">
        <v>2248</v>
      </c>
      <c r="B94" s="2">
        <v>46021</v>
      </c>
      <c r="C94" s="1" t="s">
        <v>18</v>
      </c>
      <c r="D94" s="1" t="s">
        <v>258</v>
      </c>
      <c r="E94" s="1">
        <v>1</v>
      </c>
      <c r="F94" s="83">
        <v>12512032</v>
      </c>
      <c r="G94" s="4">
        <v>1240</v>
      </c>
      <c r="H94" s="88" t="s">
        <v>10</v>
      </c>
      <c r="I94" s="16" t="s">
        <v>86</v>
      </c>
      <c r="J94" s="69" t="s">
        <v>1643</v>
      </c>
      <c r="K94" s="69">
        <v>1567</v>
      </c>
      <c r="L94" s="104">
        <v>1564</v>
      </c>
      <c r="M94" s="105">
        <v>1553</v>
      </c>
      <c r="N94" s="105">
        <v>1548</v>
      </c>
      <c r="O94" s="119">
        <v>1548</v>
      </c>
      <c r="P94" s="59">
        <v>1553.25</v>
      </c>
      <c r="Q94" s="120">
        <v>5.3</v>
      </c>
      <c r="R94" s="104">
        <v>36</v>
      </c>
      <c r="S94" s="8">
        <v>23</v>
      </c>
      <c r="T94" s="76">
        <v>169.3</v>
      </c>
      <c r="U94" s="107">
        <v>61.1</v>
      </c>
      <c r="V94" s="121">
        <v>108.20000000000002</v>
      </c>
      <c r="W94" s="11" t="s">
        <v>5</v>
      </c>
      <c r="X94" s="16">
        <v>58</v>
      </c>
      <c r="Y94" s="12">
        <v>3.0112904</v>
      </c>
      <c r="Z94" s="107">
        <v>8.3000000000000007</v>
      </c>
      <c r="AA94" s="107">
        <v>8.5</v>
      </c>
      <c r="AB94" s="109">
        <v>69</v>
      </c>
      <c r="AC94" s="109">
        <v>68</v>
      </c>
      <c r="AD94" s="14" t="s">
        <v>6</v>
      </c>
      <c r="AE94" s="94" t="s">
        <v>53</v>
      </c>
      <c r="AF94" s="14" t="s">
        <v>706</v>
      </c>
    </row>
    <row r="95" spans="1:32" ht="15.75" x14ac:dyDescent="0.25">
      <c r="A95" s="1">
        <v>2255</v>
      </c>
      <c r="B95" s="2">
        <v>46021</v>
      </c>
      <c r="C95" s="1" t="s">
        <v>18</v>
      </c>
      <c r="D95" s="1" t="s">
        <v>258</v>
      </c>
      <c r="E95" s="1">
        <v>1</v>
      </c>
      <c r="F95" s="83">
        <v>12512032</v>
      </c>
      <c r="G95" s="4">
        <v>1240</v>
      </c>
      <c r="H95" s="88" t="s">
        <v>10</v>
      </c>
      <c r="I95" s="16" t="s">
        <v>74</v>
      </c>
      <c r="J95" s="16" t="s">
        <v>1644</v>
      </c>
      <c r="K95" s="16">
        <v>1565</v>
      </c>
      <c r="L95" s="4">
        <v>1547</v>
      </c>
      <c r="M95" s="5">
        <v>1549</v>
      </c>
      <c r="N95" s="5">
        <v>1550</v>
      </c>
      <c r="O95" s="122">
        <v>1549</v>
      </c>
      <c r="P95" s="59">
        <v>1548.75</v>
      </c>
      <c r="Q95" s="123">
        <v>5.7</v>
      </c>
      <c r="R95" s="4">
        <v>32</v>
      </c>
      <c r="S95" s="8">
        <v>30</v>
      </c>
      <c r="T95" s="9">
        <v>165.3</v>
      </c>
      <c r="U95" s="7">
        <v>59.4</v>
      </c>
      <c r="V95" s="15">
        <v>105.9</v>
      </c>
      <c r="W95" s="11" t="s">
        <v>5</v>
      </c>
      <c r="X95" s="16">
        <v>58</v>
      </c>
      <c r="Y95" s="12">
        <v>3.2385576</v>
      </c>
      <c r="Z95" s="7">
        <v>8.6999999999999993</v>
      </c>
      <c r="AA95" s="7">
        <v>9</v>
      </c>
      <c r="AB95" s="13">
        <v>72</v>
      </c>
      <c r="AC95" s="13">
        <v>70</v>
      </c>
      <c r="AD95" s="14" t="s">
        <v>6</v>
      </c>
      <c r="AE95" s="94" t="s">
        <v>455</v>
      </c>
      <c r="AF95" s="14" t="s">
        <v>706</v>
      </c>
    </row>
    <row r="96" spans="1:32" ht="31.5" x14ac:dyDescent="0.25">
      <c r="A96" s="1">
        <v>2302</v>
      </c>
      <c r="B96" s="2">
        <v>46021</v>
      </c>
      <c r="C96" s="1" t="s">
        <v>264</v>
      </c>
      <c r="D96" s="1" t="s">
        <v>19</v>
      </c>
      <c r="E96" s="1">
        <v>2</v>
      </c>
      <c r="F96" s="83">
        <v>22512031</v>
      </c>
      <c r="G96" s="4">
        <v>1230</v>
      </c>
      <c r="H96" s="88" t="s">
        <v>10</v>
      </c>
      <c r="I96" s="16" t="s">
        <v>458</v>
      </c>
      <c r="J96" s="16" t="s">
        <v>1645</v>
      </c>
      <c r="K96" s="4">
        <v>1565</v>
      </c>
      <c r="L96" s="4">
        <v>1543</v>
      </c>
      <c r="M96" s="5">
        <v>1542</v>
      </c>
      <c r="N96" s="5">
        <v>1541</v>
      </c>
      <c r="O96" s="5">
        <v>1541</v>
      </c>
      <c r="P96" s="30">
        <v>1541.75</v>
      </c>
      <c r="Q96" s="7">
        <v>5.3</v>
      </c>
      <c r="R96" s="4">
        <v>32</v>
      </c>
      <c r="S96" s="8">
        <v>7</v>
      </c>
      <c r="T96" s="9">
        <v>156</v>
      </c>
      <c r="U96" s="7">
        <v>55</v>
      </c>
      <c r="V96" s="118">
        <v>101</v>
      </c>
      <c r="W96" s="11" t="s">
        <v>5</v>
      </c>
      <c r="X96" s="16">
        <v>58</v>
      </c>
      <c r="Y96" s="12">
        <v>2.9870057999999999</v>
      </c>
      <c r="Z96" s="7">
        <v>8.5</v>
      </c>
      <c r="AA96" s="7">
        <v>9</v>
      </c>
      <c r="AB96" s="13">
        <v>83</v>
      </c>
      <c r="AC96" s="13">
        <v>72</v>
      </c>
      <c r="AD96" s="14" t="s">
        <v>6</v>
      </c>
      <c r="AE96" s="18" t="s">
        <v>53</v>
      </c>
      <c r="AF96" s="14" t="s">
        <v>1646</v>
      </c>
    </row>
  </sheetData>
  <mergeCells count="28">
    <mergeCell ref="AE1:AE2"/>
    <mergeCell ref="AF1:AF2"/>
    <mergeCell ref="A3:K3"/>
    <mergeCell ref="Q3:AE3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3">
    <cfRule type="cellIs" dxfId="241" priority="43" stopIfTrue="1" operator="greaterThanOrEqual">
      <formula>1565</formula>
    </cfRule>
    <cfRule type="cellIs" dxfId="240" priority="44" stopIfTrue="1" operator="lessThanOrEqual">
      <formula>1545</formula>
    </cfRule>
  </conditionalFormatting>
  <conditionalFormatting sqref="L4:P4">
    <cfRule type="cellIs" dxfId="239" priority="41" stopIfTrue="1" operator="greaterThanOrEqual">
      <formula>1565</formula>
    </cfRule>
    <cfRule type="cellIs" dxfId="238" priority="42" stopIfTrue="1" operator="lessThanOrEqual">
      <formula>1545</formula>
    </cfRule>
  </conditionalFormatting>
  <conditionalFormatting sqref="L5:P5">
    <cfRule type="cellIs" dxfId="236" priority="39" stopIfTrue="1" operator="greaterThanOrEqual">
      <formula>1565</formula>
    </cfRule>
    <cfRule type="cellIs" dxfId="237" priority="40" stopIfTrue="1" operator="lessThanOrEqual">
      <formula>1545</formula>
    </cfRule>
  </conditionalFormatting>
  <conditionalFormatting sqref="L6:P10">
    <cfRule type="cellIs" dxfId="234" priority="37" stopIfTrue="1" operator="greaterThanOrEqual">
      <formula>1565</formula>
    </cfRule>
    <cfRule type="cellIs" dxfId="235" priority="38" stopIfTrue="1" operator="lessThanOrEqual">
      <formula>1545</formula>
    </cfRule>
  </conditionalFormatting>
  <conditionalFormatting sqref="M14:P14 L11:P13">
    <cfRule type="cellIs" dxfId="232" priority="35" stopIfTrue="1" operator="greaterThanOrEqual">
      <formula>1565</formula>
    </cfRule>
    <cfRule type="cellIs" dxfId="233" priority="36" stopIfTrue="1" operator="lessThanOrEqual">
      <formula>1545</formula>
    </cfRule>
  </conditionalFormatting>
  <conditionalFormatting sqref="M23:P23 L15:P22">
    <cfRule type="cellIs" dxfId="230" priority="33" stopIfTrue="1" operator="greaterThanOrEqual">
      <formula>1565</formula>
    </cfRule>
    <cfRule type="cellIs" dxfId="231" priority="34" stopIfTrue="1" operator="lessThanOrEqual">
      <formula>1545</formula>
    </cfRule>
  </conditionalFormatting>
  <conditionalFormatting sqref="L24:P24">
    <cfRule type="cellIs" dxfId="228" priority="31" stopIfTrue="1" operator="greaterThanOrEqual">
      <formula>1565</formula>
    </cfRule>
    <cfRule type="cellIs" dxfId="229" priority="32" stopIfTrue="1" operator="lessThanOrEqual">
      <formula>1545</formula>
    </cfRule>
  </conditionalFormatting>
  <conditionalFormatting sqref="L26:Q26 L25:P25">
    <cfRule type="cellIs" dxfId="226" priority="29" stopIfTrue="1" operator="greaterThanOrEqual">
      <formula>1565</formula>
    </cfRule>
    <cfRule type="cellIs" dxfId="227" priority="30" stopIfTrue="1" operator="lessThanOrEqual">
      <formula>1545</formula>
    </cfRule>
  </conditionalFormatting>
  <conditionalFormatting sqref="L27:P36">
    <cfRule type="cellIs" dxfId="224" priority="27" stopIfTrue="1" operator="greaterThanOrEqual">
      <formula>1565</formula>
    </cfRule>
    <cfRule type="cellIs" dxfId="225" priority="28" stopIfTrue="1" operator="lessThanOrEqual">
      <formula>1545</formula>
    </cfRule>
  </conditionalFormatting>
  <conditionalFormatting sqref="L37:P38">
    <cfRule type="cellIs" dxfId="222" priority="25" stopIfTrue="1" operator="greaterThanOrEqual">
      <formula>1565</formula>
    </cfRule>
    <cfRule type="cellIs" dxfId="223" priority="26" stopIfTrue="1" operator="lessThanOrEqual">
      <formula>1545</formula>
    </cfRule>
  </conditionalFormatting>
  <conditionalFormatting sqref="L39:P40">
    <cfRule type="cellIs" dxfId="221" priority="23" stopIfTrue="1" operator="greaterThanOrEqual">
      <formula>1565</formula>
    </cfRule>
    <cfRule type="cellIs" dxfId="220" priority="24" stopIfTrue="1" operator="lessThanOrEqual">
      <formula>1545</formula>
    </cfRule>
  </conditionalFormatting>
  <conditionalFormatting sqref="L41:P45">
    <cfRule type="cellIs" dxfId="218" priority="21" stopIfTrue="1" operator="greaterThanOrEqual">
      <formula>1565</formula>
    </cfRule>
    <cfRule type="cellIs" dxfId="219" priority="22" stopIfTrue="1" operator="lessThanOrEqual">
      <formula>1545</formula>
    </cfRule>
  </conditionalFormatting>
  <conditionalFormatting sqref="L46:P47">
    <cfRule type="cellIs" dxfId="216" priority="19" stopIfTrue="1" operator="greaterThanOrEqual">
      <formula>1565</formula>
    </cfRule>
    <cfRule type="cellIs" dxfId="217" priority="20" stopIfTrue="1" operator="lessThanOrEqual">
      <formula>1545</formula>
    </cfRule>
  </conditionalFormatting>
  <conditionalFormatting sqref="L48:P50">
    <cfRule type="cellIs" dxfId="215" priority="17" stopIfTrue="1" operator="greaterThanOrEqual">
      <formula>1565</formula>
    </cfRule>
    <cfRule type="cellIs" dxfId="214" priority="18" stopIfTrue="1" operator="lessThanOrEqual">
      <formula>1545</formula>
    </cfRule>
  </conditionalFormatting>
  <conditionalFormatting sqref="L51:P56">
    <cfRule type="cellIs" dxfId="212" priority="15" stopIfTrue="1" operator="greaterThanOrEqual">
      <formula>1565</formula>
    </cfRule>
    <cfRule type="cellIs" dxfId="213" priority="16" stopIfTrue="1" operator="lessThanOrEqual">
      <formula>1545</formula>
    </cfRule>
  </conditionalFormatting>
  <conditionalFormatting sqref="L57:P58">
    <cfRule type="cellIs" dxfId="210" priority="13" stopIfTrue="1" operator="greaterThanOrEqual">
      <formula>1565</formula>
    </cfRule>
    <cfRule type="cellIs" dxfId="211" priority="14" stopIfTrue="1" operator="lessThanOrEqual">
      <formula>1545</formula>
    </cfRule>
  </conditionalFormatting>
  <conditionalFormatting sqref="L59:P88">
    <cfRule type="cellIs" dxfId="209" priority="11" stopIfTrue="1" operator="greaterThanOrEqual">
      <formula>1565</formula>
    </cfRule>
    <cfRule type="cellIs" dxfId="208" priority="12" stopIfTrue="1" operator="lessThanOrEqual">
      <formula>1545</formula>
    </cfRule>
  </conditionalFormatting>
  <conditionalFormatting sqref="L89:P89">
    <cfRule type="cellIs" dxfId="207" priority="9" stopIfTrue="1" operator="greaterThanOrEqual">
      <formula>1565</formula>
    </cfRule>
    <cfRule type="cellIs" dxfId="206" priority="10" stopIfTrue="1" operator="lessThanOrEqual">
      <formula>1545</formula>
    </cfRule>
  </conditionalFormatting>
  <conditionalFormatting sqref="L90:P90">
    <cfRule type="cellIs" dxfId="204" priority="7" stopIfTrue="1" operator="greaterThanOrEqual">
      <formula>1565</formula>
    </cfRule>
    <cfRule type="cellIs" dxfId="205" priority="8" stopIfTrue="1" operator="lessThanOrEqual">
      <formula>1545</formula>
    </cfRule>
  </conditionalFormatting>
  <conditionalFormatting sqref="L91:P93">
    <cfRule type="cellIs" dxfId="202" priority="5" stopIfTrue="1" operator="greaterThanOrEqual">
      <formula>1565</formula>
    </cfRule>
    <cfRule type="cellIs" dxfId="203" priority="6" stopIfTrue="1" operator="lessThanOrEqual">
      <formula>1545</formula>
    </cfRule>
  </conditionalFormatting>
  <conditionalFormatting sqref="L94:P95">
    <cfRule type="cellIs" dxfId="201" priority="3" stopIfTrue="1" operator="greaterThanOrEqual">
      <formula>1565</formula>
    </cfRule>
    <cfRule type="cellIs" dxfId="200" priority="4" stopIfTrue="1" operator="lessThanOrEqual">
      <formula>1545</formula>
    </cfRule>
  </conditionalFormatting>
  <conditionalFormatting sqref="L96:P96">
    <cfRule type="cellIs" dxfId="198" priority="1" stopIfTrue="1" operator="greaterThanOrEqual">
      <formula>1565</formula>
    </cfRule>
    <cfRule type="cellIs" dxfId="199" priority="2" stopIfTrue="1" operator="lessThanOrEqual">
      <formula>1545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357D-4053-4FD2-A245-C1C36F3F38E7}">
  <dimension ref="A1:AF109"/>
  <sheetViews>
    <sheetView workbookViewId="0">
      <selection activeCell="A4" sqref="A4:AF109"/>
    </sheetView>
  </sheetViews>
  <sheetFormatPr defaultColWidth="9.140625" defaultRowHeight="15" x14ac:dyDescent="0.25"/>
  <cols>
    <col min="1" max="1" width="13.42578125" customWidth="1"/>
    <col min="2" max="2" width="18" customWidth="1"/>
    <col min="3" max="3" width="9.425781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5.25" customHeight="1" x14ac:dyDescent="0.2">
      <c r="A1" s="20" t="s">
        <v>1017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5.2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s="60" customFormat="1" ht="35.25" customHeight="1" x14ac:dyDescent="0.25">
      <c r="A3" s="89"/>
      <c r="B3" s="89"/>
      <c r="C3" s="89"/>
      <c r="D3" s="89"/>
      <c r="E3" s="89"/>
      <c r="F3" s="89"/>
      <c r="G3" s="117"/>
      <c r="H3" s="89"/>
      <c r="I3" s="89"/>
      <c r="J3" s="89"/>
      <c r="K3" s="89"/>
      <c r="L3" s="90" t="s">
        <v>780</v>
      </c>
      <c r="M3" s="90" t="s">
        <v>781</v>
      </c>
      <c r="N3" s="90" t="s">
        <v>782</v>
      </c>
      <c r="O3" s="90" t="s">
        <v>783</v>
      </c>
      <c r="P3" s="91" t="s">
        <v>784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31.5" x14ac:dyDescent="0.25">
      <c r="A4" s="1">
        <v>18</v>
      </c>
      <c r="B4" s="2">
        <v>46023</v>
      </c>
      <c r="C4" s="1" t="s">
        <v>18</v>
      </c>
      <c r="D4" s="1" t="s">
        <v>258</v>
      </c>
      <c r="E4" s="1">
        <v>2</v>
      </c>
      <c r="F4" s="83">
        <v>22601001</v>
      </c>
      <c r="G4" s="4">
        <v>1250</v>
      </c>
      <c r="H4" s="88" t="s">
        <v>10</v>
      </c>
      <c r="I4" s="16" t="s">
        <v>98</v>
      </c>
      <c r="J4" s="16" t="s">
        <v>1647</v>
      </c>
      <c r="K4" s="4">
        <v>1597</v>
      </c>
      <c r="L4" s="4">
        <v>1570</v>
      </c>
      <c r="M4" s="4">
        <v>1566</v>
      </c>
      <c r="N4" s="5">
        <v>1569</v>
      </c>
      <c r="O4" s="5">
        <v>1569</v>
      </c>
      <c r="P4" s="30">
        <v>1568</v>
      </c>
      <c r="Q4" s="7">
        <v>3.4</v>
      </c>
      <c r="R4" s="4">
        <v>41</v>
      </c>
      <c r="S4" s="8">
        <v>18</v>
      </c>
      <c r="T4" s="9">
        <v>163</v>
      </c>
      <c r="U4" s="9">
        <v>63</v>
      </c>
      <c r="V4" s="10">
        <v>100</v>
      </c>
      <c r="W4" s="11" t="s">
        <v>100</v>
      </c>
      <c r="X4" s="16">
        <v>58</v>
      </c>
      <c r="Y4" s="12">
        <v>1.9473499999999999</v>
      </c>
      <c r="Z4" s="7">
        <v>7.8</v>
      </c>
      <c r="AA4" s="7">
        <v>7.5</v>
      </c>
      <c r="AB4" s="13">
        <v>85</v>
      </c>
      <c r="AC4" s="13">
        <v>86</v>
      </c>
      <c r="AD4" s="11" t="s">
        <v>6</v>
      </c>
      <c r="AE4" s="18" t="s">
        <v>53</v>
      </c>
      <c r="AF4" s="14" t="s">
        <v>1648</v>
      </c>
    </row>
    <row r="5" spans="1:32" ht="31.5" x14ac:dyDescent="0.25">
      <c r="A5" s="1">
        <v>199</v>
      </c>
      <c r="B5" s="2">
        <v>46025</v>
      </c>
      <c r="C5" s="1" t="s">
        <v>264</v>
      </c>
      <c r="D5" s="1" t="s">
        <v>265</v>
      </c>
      <c r="E5" s="1">
        <v>2</v>
      </c>
      <c r="F5" s="83">
        <v>22601002</v>
      </c>
      <c r="G5" s="4">
        <v>1250</v>
      </c>
      <c r="H5" s="88" t="s">
        <v>222</v>
      </c>
      <c r="I5" s="16" t="s">
        <v>59</v>
      </c>
      <c r="J5" s="16" t="s">
        <v>1649</v>
      </c>
      <c r="K5" s="4">
        <v>1566</v>
      </c>
      <c r="L5" s="4">
        <v>1540</v>
      </c>
      <c r="M5" s="5">
        <v>1544</v>
      </c>
      <c r="N5" s="5">
        <v>1544</v>
      </c>
      <c r="O5" s="5" t="s">
        <v>5</v>
      </c>
      <c r="P5" s="30">
        <v>1544</v>
      </c>
      <c r="Q5" s="7">
        <v>5.3</v>
      </c>
      <c r="R5" s="4">
        <v>34</v>
      </c>
      <c r="S5" s="8" t="s">
        <v>5</v>
      </c>
      <c r="T5" s="8">
        <v>170.8</v>
      </c>
      <c r="U5" s="8">
        <v>55</v>
      </c>
      <c r="V5" s="10">
        <v>115.80000000000001</v>
      </c>
      <c r="W5" s="11" t="s">
        <v>5</v>
      </c>
      <c r="X5" s="16">
        <v>58</v>
      </c>
      <c r="Y5" s="12">
        <v>3.0355749999999997</v>
      </c>
      <c r="Z5" s="7">
        <v>8.8000000000000007</v>
      </c>
      <c r="AA5" s="7">
        <v>8</v>
      </c>
      <c r="AB5" s="13">
        <v>73</v>
      </c>
      <c r="AC5" s="13">
        <v>67</v>
      </c>
      <c r="AD5" s="11" t="s">
        <v>6</v>
      </c>
      <c r="AE5" s="18" t="s">
        <v>455</v>
      </c>
      <c r="AF5" s="14" t="s">
        <v>1650</v>
      </c>
    </row>
    <row r="6" spans="1:32" ht="31.5" x14ac:dyDescent="0.25">
      <c r="A6" s="1">
        <v>207</v>
      </c>
      <c r="B6" s="2">
        <v>46025</v>
      </c>
      <c r="C6" s="1" t="s">
        <v>264</v>
      </c>
      <c r="D6" s="1" t="s">
        <v>265</v>
      </c>
      <c r="E6" s="1">
        <v>2</v>
      </c>
      <c r="F6" s="83">
        <v>22601002</v>
      </c>
      <c r="G6" s="4">
        <v>1250</v>
      </c>
      <c r="H6" s="88" t="s">
        <v>225</v>
      </c>
      <c r="I6" s="16" t="s">
        <v>373</v>
      </c>
      <c r="J6" s="16" t="s">
        <v>1651</v>
      </c>
      <c r="K6" s="4">
        <v>1566</v>
      </c>
      <c r="L6" s="4">
        <v>1544</v>
      </c>
      <c r="M6" s="5">
        <v>1543</v>
      </c>
      <c r="N6" s="5">
        <v>1542</v>
      </c>
      <c r="O6" s="5">
        <v>1540</v>
      </c>
      <c r="P6" s="30">
        <v>1541.6666666666667</v>
      </c>
      <c r="Q6" s="7">
        <v>5.6</v>
      </c>
      <c r="R6" s="4">
        <v>32</v>
      </c>
      <c r="S6" s="8" t="s">
        <v>5</v>
      </c>
      <c r="T6" s="8">
        <v>170.8</v>
      </c>
      <c r="U6" s="8">
        <v>57</v>
      </c>
      <c r="V6" s="10">
        <v>113.80000000000001</v>
      </c>
      <c r="W6" s="11" t="s">
        <v>5</v>
      </c>
      <c r="X6" s="16">
        <v>58</v>
      </c>
      <c r="Y6" s="12">
        <v>3.2073999999999998</v>
      </c>
      <c r="Z6" s="7">
        <v>10.199999999999999</v>
      </c>
      <c r="AA6" s="7">
        <v>9.1</v>
      </c>
      <c r="AB6" s="13">
        <v>81</v>
      </c>
      <c r="AC6" s="13">
        <v>74</v>
      </c>
      <c r="AD6" s="11" t="s">
        <v>6</v>
      </c>
      <c r="AE6" s="18" t="s">
        <v>455</v>
      </c>
      <c r="AF6" s="14" t="s">
        <v>1652</v>
      </c>
    </row>
    <row r="7" spans="1:32" ht="47.25" x14ac:dyDescent="0.25">
      <c r="A7" s="1">
        <v>286</v>
      </c>
      <c r="B7" s="2">
        <v>46026</v>
      </c>
      <c r="C7" s="1" t="s">
        <v>18</v>
      </c>
      <c r="D7" s="1" t="s">
        <v>19</v>
      </c>
      <c r="E7" s="1">
        <v>1</v>
      </c>
      <c r="F7" s="1">
        <v>12601005</v>
      </c>
      <c r="G7" s="4">
        <v>1280</v>
      </c>
      <c r="H7" s="88" t="s">
        <v>1283</v>
      </c>
      <c r="I7" s="16" t="s">
        <v>93</v>
      </c>
      <c r="J7" s="16" t="s">
        <v>1653</v>
      </c>
      <c r="K7" s="16">
        <v>1563</v>
      </c>
      <c r="L7" s="4">
        <v>1542</v>
      </c>
      <c r="M7" s="5">
        <v>1540</v>
      </c>
      <c r="N7" s="5">
        <v>1538</v>
      </c>
      <c r="O7" s="5">
        <v>1533</v>
      </c>
      <c r="P7" s="30">
        <v>1537</v>
      </c>
      <c r="Q7" s="7">
        <v>5.3</v>
      </c>
      <c r="R7" s="4">
        <v>33</v>
      </c>
      <c r="S7" s="7">
        <v>32</v>
      </c>
      <c r="T7" s="9">
        <v>160.6</v>
      </c>
      <c r="U7" s="9">
        <v>62</v>
      </c>
      <c r="V7" s="10">
        <v>98.6</v>
      </c>
      <c r="W7" s="7" t="s">
        <v>5</v>
      </c>
      <c r="X7" s="7">
        <v>58</v>
      </c>
      <c r="Y7" s="12">
        <v>3.1084288</v>
      </c>
      <c r="Z7" s="7">
        <v>10.5</v>
      </c>
      <c r="AA7" s="7">
        <v>10.5</v>
      </c>
      <c r="AB7" s="13">
        <v>91</v>
      </c>
      <c r="AC7" s="13">
        <v>68</v>
      </c>
      <c r="AD7" s="11" t="s">
        <v>6</v>
      </c>
      <c r="AE7" s="7" t="s">
        <v>455</v>
      </c>
      <c r="AF7" s="14" t="s">
        <v>1654</v>
      </c>
    </row>
    <row r="8" spans="1:32" ht="31.5" x14ac:dyDescent="0.25">
      <c r="A8" s="1">
        <v>286</v>
      </c>
      <c r="B8" s="2">
        <v>46026</v>
      </c>
      <c r="C8" s="1" t="s">
        <v>0</v>
      </c>
      <c r="D8" s="1" t="s">
        <v>265</v>
      </c>
      <c r="E8" s="1">
        <v>2</v>
      </c>
      <c r="F8" s="83">
        <v>22601003</v>
      </c>
      <c r="G8" s="4">
        <v>1260</v>
      </c>
      <c r="H8" s="88" t="s">
        <v>1290</v>
      </c>
      <c r="I8" s="16" t="s">
        <v>331</v>
      </c>
      <c r="J8" s="16" t="s">
        <v>1655</v>
      </c>
      <c r="K8" s="4">
        <v>1568</v>
      </c>
      <c r="L8" s="5">
        <v>1550</v>
      </c>
      <c r="M8" s="5">
        <v>1549</v>
      </c>
      <c r="N8" s="5">
        <v>1548</v>
      </c>
      <c r="O8" s="5" t="s">
        <v>5</v>
      </c>
      <c r="P8" s="30">
        <v>1548.5</v>
      </c>
      <c r="Q8" s="7">
        <v>4.4000000000000004</v>
      </c>
      <c r="R8" s="4">
        <v>40</v>
      </c>
      <c r="S8" s="7">
        <v>8</v>
      </c>
      <c r="T8" s="9">
        <v>153.80000000000001</v>
      </c>
      <c r="U8" s="9">
        <v>60</v>
      </c>
      <c r="V8" s="10">
        <v>93.800000000000011</v>
      </c>
      <c r="W8" s="7" t="s">
        <v>5</v>
      </c>
      <c r="X8" s="7">
        <v>58</v>
      </c>
      <c r="Y8" s="12">
        <v>2.5402608000000004</v>
      </c>
      <c r="Z8" s="7">
        <v>10.7</v>
      </c>
      <c r="AA8" s="7">
        <v>11.3</v>
      </c>
      <c r="AB8" s="13">
        <v>89</v>
      </c>
      <c r="AC8" s="13">
        <v>94</v>
      </c>
      <c r="AD8" s="11" t="s">
        <v>6</v>
      </c>
      <c r="AE8" s="18" t="s">
        <v>455</v>
      </c>
      <c r="AF8" s="14" t="s">
        <v>1656</v>
      </c>
    </row>
    <row r="9" spans="1:32" ht="31.5" x14ac:dyDescent="0.25">
      <c r="A9" s="1">
        <v>294</v>
      </c>
      <c r="B9" s="2">
        <v>46026</v>
      </c>
      <c r="C9" s="1" t="s">
        <v>0</v>
      </c>
      <c r="D9" s="1" t="s">
        <v>265</v>
      </c>
      <c r="E9" s="1">
        <v>2</v>
      </c>
      <c r="F9" s="83">
        <v>22601003</v>
      </c>
      <c r="G9" s="4">
        <v>1260</v>
      </c>
      <c r="H9" s="88" t="s">
        <v>1290</v>
      </c>
      <c r="I9" s="16" t="s">
        <v>277</v>
      </c>
      <c r="J9" s="16" t="s">
        <v>1657</v>
      </c>
      <c r="K9" s="4">
        <v>1565</v>
      </c>
      <c r="L9" s="5">
        <v>1550</v>
      </c>
      <c r="M9" s="5">
        <v>1551</v>
      </c>
      <c r="N9" s="5">
        <v>1548</v>
      </c>
      <c r="O9" s="5" t="s">
        <v>5</v>
      </c>
      <c r="P9" s="30">
        <v>1549.5</v>
      </c>
      <c r="Q9" s="7">
        <v>5</v>
      </c>
      <c r="R9" s="4">
        <v>39</v>
      </c>
      <c r="S9" s="8">
        <v>25</v>
      </c>
      <c r="T9" s="8">
        <v>165.6</v>
      </c>
      <c r="U9" s="8">
        <v>63.4</v>
      </c>
      <c r="V9" s="10">
        <v>102.19999999999999</v>
      </c>
      <c r="W9" s="7" t="s">
        <v>5</v>
      </c>
      <c r="X9" s="7">
        <v>58</v>
      </c>
      <c r="Y9" s="12">
        <v>2.8866600000000004</v>
      </c>
      <c r="Z9" s="7">
        <v>10.6</v>
      </c>
      <c r="AA9" s="7">
        <v>11.6</v>
      </c>
      <c r="AB9" s="13">
        <v>84</v>
      </c>
      <c r="AC9" s="13">
        <v>95</v>
      </c>
      <c r="AD9" s="11" t="s">
        <v>6</v>
      </c>
      <c r="AE9" s="18" t="s">
        <v>455</v>
      </c>
      <c r="AF9" s="14" t="s">
        <v>757</v>
      </c>
    </row>
    <row r="10" spans="1:32" ht="63" x14ac:dyDescent="0.25">
      <c r="A10" s="1">
        <v>317</v>
      </c>
      <c r="B10" s="2">
        <v>46027</v>
      </c>
      <c r="C10" s="1" t="s">
        <v>18</v>
      </c>
      <c r="D10" s="1" t="s">
        <v>258</v>
      </c>
      <c r="E10" s="1">
        <v>2</v>
      </c>
      <c r="F10" s="1">
        <v>22601004</v>
      </c>
      <c r="G10" s="4">
        <v>1250</v>
      </c>
      <c r="H10" s="88" t="s">
        <v>1095</v>
      </c>
      <c r="I10" s="16" t="s">
        <v>93</v>
      </c>
      <c r="J10" s="16" t="s">
        <v>1658</v>
      </c>
      <c r="K10" s="4">
        <v>1568</v>
      </c>
      <c r="L10" s="4">
        <v>1536</v>
      </c>
      <c r="M10" s="4">
        <v>1536</v>
      </c>
      <c r="N10" s="5">
        <v>1534</v>
      </c>
      <c r="O10" s="5">
        <v>1531</v>
      </c>
      <c r="P10" s="30">
        <v>1533.6666666666667</v>
      </c>
      <c r="Q10" s="7">
        <v>5.6</v>
      </c>
      <c r="R10" s="4">
        <v>25</v>
      </c>
      <c r="S10" s="7">
        <v>31</v>
      </c>
      <c r="T10" s="9">
        <v>167</v>
      </c>
      <c r="U10" s="9">
        <v>85</v>
      </c>
      <c r="V10" s="10">
        <v>82</v>
      </c>
      <c r="W10" s="7" t="s">
        <v>5</v>
      </c>
      <c r="X10" s="7">
        <v>58</v>
      </c>
      <c r="Y10" s="12">
        <v>3.2073999999999998</v>
      </c>
      <c r="Z10" s="7">
        <v>9.3000000000000007</v>
      </c>
      <c r="AA10" s="7">
        <v>10</v>
      </c>
      <c r="AB10" s="13">
        <v>72</v>
      </c>
      <c r="AC10" s="13">
        <v>80</v>
      </c>
      <c r="AD10" s="11" t="s">
        <v>6</v>
      </c>
      <c r="AE10" s="7" t="s">
        <v>455</v>
      </c>
      <c r="AF10" s="14" t="s">
        <v>1659</v>
      </c>
    </row>
    <row r="11" spans="1:32" ht="31.5" x14ac:dyDescent="0.25">
      <c r="A11" s="1">
        <v>355</v>
      </c>
      <c r="B11" s="2">
        <v>46027</v>
      </c>
      <c r="C11" s="1" t="s">
        <v>0</v>
      </c>
      <c r="D11" s="1" t="s">
        <v>265</v>
      </c>
      <c r="E11" s="1">
        <v>1</v>
      </c>
      <c r="F11" s="83">
        <v>12601006</v>
      </c>
      <c r="G11" s="4">
        <v>1240</v>
      </c>
      <c r="H11" s="88" t="s">
        <v>10</v>
      </c>
      <c r="I11" s="16" t="s">
        <v>80</v>
      </c>
      <c r="J11" s="16" t="s">
        <v>1660</v>
      </c>
      <c r="K11" s="4">
        <v>1563</v>
      </c>
      <c r="L11" s="5">
        <v>1543</v>
      </c>
      <c r="M11" s="5">
        <v>1541</v>
      </c>
      <c r="N11" s="5">
        <v>1541</v>
      </c>
      <c r="O11" s="5">
        <v>1540</v>
      </c>
      <c r="P11" s="30">
        <v>1540.6666666666667</v>
      </c>
      <c r="Q11" s="7">
        <v>5</v>
      </c>
      <c r="R11" s="4">
        <v>37</v>
      </c>
      <c r="S11" s="7" t="s">
        <v>5</v>
      </c>
      <c r="T11" s="8">
        <v>167</v>
      </c>
      <c r="U11" s="8">
        <v>58</v>
      </c>
      <c r="V11" s="10">
        <v>109</v>
      </c>
      <c r="W11" s="7" t="s">
        <v>5</v>
      </c>
      <c r="X11" s="7">
        <v>58</v>
      </c>
      <c r="Y11" s="12">
        <v>2.84084</v>
      </c>
      <c r="Z11" s="7">
        <v>10.1</v>
      </c>
      <c r="AA11" s="7">
        <v>12.5</v>
      </c>
      <c r="AB11" s="13">
        <v>83</v>
      </c>
      <c r="AC11" s="13">
        <v>95</v>
      </c>
      <c r="AD11" s="11" t="s">
        <v>6</v>
      </c>
      <c r="AE11" s="40" t="s">
        <v>455</v>
      </c>
      <c r="AF11" s="14" t="s">
        <v>1535</v>
      </c>
    </row>
    <row r="12" spans="1:32" ht="15.75" x14ac:dyDescent="0.25">
      <c r="A12" s="1">
        <v>368</v>
      </c>
      <c r="B12" s="2">
        <v>46027</v>
      </c>
      <c r="C12" s="1" t="s">
        <v>0</v>
      </c>
      <c r="D12" s="1" t="s">
        <v>265</v>
      </c>
      <c r="E12" s="1">
        <v>2</v>
      </c>
      <c r="F12" s="83">
        <v>22601005</v>
      </c>
      <c r="G12" s="4">
        <v>1240</v>
      </c>
      <c r="H12" s="88" t="s">
        <v>10</v>
      </c>
      <c r="I12" s="16" t="s">
        <v>103</v>
      </c>
      <c r="J12" s="16" t="s">
        <v>1661</v>
      </c>
      <c r="K12" s="4">
        <v>1567</v>
      </c>
      <c r="L12" s="5">
        <v>1547</v>
      </c>
      <c r="M12" s="5">
        <v>1547</v>
      </c>
      <c r="N12" s="5">
        <v>1547</v>
      </c>
      <c r="O12" s="5">
        <v>1547</v>
      </c>
      <c r="P12" s="30">
        <v>1547</v>
      </c>
      <c r="Q12" s="7">
        <v>5.0999999999999996</v>
      </c>
      <c r="R12" s="4">
        <v>36</v>
      </c>
      <c r="S12" s="8">
        <v>33</v>
      </c>
      <c r="T12" s="8">
        <v>166.3</v>
      </c>
      <c r="U12" s="8">
        <v>60</v>
      </c>
      <c r="V12" s="10">
        <v>106.30000000000001</v>
      </c>
      <c r="W12" s="7" t="s">
        <v>5</v>
      </c>
      <c r="X12" s="7">
        <v>58</v>
      </c>
      <c r="Y12" s="12">
        <v>2.8976568</v>
      </c>
      <c r="Z12" s="7">
        <v>10.6</v>
      </c>
      <c r="AA12" s="7">
        <v>10.1</v>
      </c>
      <c r="AB12" s="13">
        <v>89</v>
      </c>
      <c r="AC12" s="13">
        <v>85</v>
      </c>
      <c r="AD12" s="11" t="s">
        <v>6</v>
      </c>
      <c r="AE12" s="40" t="s">
        <v>455</v>
      </c>
      <c r="AF12" s="14" t="s">
        <v>1662</v>
      </c>
    </row>
    <row r="13" spans="1:32" ht="15.75" x14ac:dyDescent="0.25">
      <c r="A13" s="1">
        <v>371</v>
      </c>
      <c r="B13" s="2">
        <v>46027</v>
      </c>
      <c r="C13" s="1" t="s">
        <v>0</v>
      </c>
      <c r="D13" s="1" t="s">
        <v>265</v>
      </c>
      <c r="E13" s="1">
        <v>2</v>
      </c>
      <c r="F13" s="83">
        <v>22601005</v>
      </c>
      <c r="G13" s="4">
        <v>1240</v>
      </c>
      <c r="H13" s="88" t="s">
        <v>10</v>
      </c>
      <c r="I13" s="16" t="s">
        <v>83</v>
      </c>
      <c r="J13" s="16" t="s">
        <v>1663</v>
      </c>
      <c r="K13" s="4">
        <v>1565</v>
      </c>
      <c r="L13" s="4">
        <v>1548</v>
      </c>
      <c r="M13" s="5">
        <v>1547</v>
      </c>
      <c r="N13" s="5">
        <v>1546</v>
      </c>
      <c r="O13" s="5" t="s">
        <v>5</v>
      </c>
      <c r="P13" s="30">
        <v>1546.5</v>
      </c>
      <c r="Q13" s="7">
        <v>5.2</v>
      </c>
      <c r="R13" s="4">
        <v>40</v>
      </c>
      <c r="S13" s="8" t="s">
        <v>5</v>
      </c>
      <c r="T13" s="8">
        <v>179.2</v>
      </c>
      <c r="U13" s="8">
        <v>60</v>
      </c>
      <c r="V13" s="10">
        <v>119.19999999999999</v>
      </c>
      <c r="W13" s="7" t="s">
        <v>5</v>
      </c>
      <c r="X13" s="7">
        <v>58</v>
      </c>
      <c r="Y13" s="12">
        <v>2.9544736</v>
      </c>
      <c r="Z13" s="7">
        <v>10.8</v>
      </c>
      <c r="AA13" s="7">
        <v>10.3</v>
      </c>
      <c r="AB13" s="13">
        <v>90</v>
      </c>
      <c r="AC13" s="13">
        <v>85</v>
      </c>
      <c r="AD13" s="11" t="s">
        <v>6</v>
      </c>
      <c r="AE13" s="40" t="s">
        <v>455</v>
      </c>
      <c r="AF13" s="14" t="s">
        <v>1664</v>
      </c>
    </row>
    <row r="14" spans="1:32" ht="15.75" x14ac:dyDescent="0.25">
      <c r="A14" s="1">
        <v>434</v>
      </c>
      <c r="B14" s="2">
        <v>46028</v>
      </c>
      <c r="C14" s="1" t="s">
        <v>0</v>
      </c>
      <c r="D14" s="1" t="s">
        <v>265</v>
      </c>
      <c r="E14" s="1">
        <v>1</v>
      </c>
      <c r="F14" s="83">
        <v>12601007</v>
      </c>
      <c r="G14" s="4">
        <v>1270</v>
      </c>
      <c r="H14" s="88" t="s">
        <v>10</v>
      </c>
      <c r="I14" s="16" t="s">
        <v>74</v>
      </c>
      <c r="J14" s="16" t="s">
        <v>1665</v>
      </c>
      <c r="K14" s="1">
        <v>1564</v>
      </c>
      <c r="L14" s="5">
        <v>1544</v>
      </c>
      <c r="M14" s="5">
        <v>1546</v>
      </c>
      <c r="N14" s="5">
        <v>1547</v>
      </c>
      <c r="O14" s="5">
        <v>1547</v>
      </c>
      <c r="P14" s="30">
        <v>1546.6666666666667</v>
      </c>
      <c r="Q14" s="7">
        <v>5.6</v>
      </c>
      <c r="R14" s="4">
        <v>31</v>
      </c>
      <c r="S14" s="7"/>
      <c r="T14" s="9">
        <v>160</v>
      </c>
      <c r="U14" s="9">
        <v>63</v>
      </c>
      <c r="V14" s="10">
        <v>97</v>
      </c>
      <c r="W14" s="7" t="s">
        <v>5</v>
      </c>
      <c r="X14" s="7">
        <v>58</v>
      </c>
      <c r="Y14" s="12">
        <v>3.2587184000000002</v>
      </c>
      <c r="Z14" s="7">
        <v>8.6999999999999993</v>
      </c>
      <c r="AA14" s="7">
        <v>10.3</v>
      </c>
      <c r="AB14" s="13">
        <v>76</v>
      </c>
      <c r="AC14" s="13">
        <v>89</v>
      </c>
      <c r="AD14" s="7" t="s">
        <v>6</v>
      </c>
      <c r="AE14" s="14" t="s">
        <v>455</v>
      </c>
      <c r="AF14" s="14" t="s">
        <v>706</v>
      </c>
    </row>
    <row r="15" spans="1:32" ht="31.5" x14ac:dyDescent="0.25">
      <c r="A15" s="1">
        <v>482</v>
      </c>
      <c r="B15" s="2">
        <v>46029</v>
      </c>
      <c r="C15" s="1" t="s">
        <v>18</v>
      </c>
      <c r="D15" s="1" t="s">
        <v>19</v>
      </c>
      <c r="E15" s="1">
        <v>2</v>
      </c>
      <c r="F15" s="1">
        <v>22601006</v>
      </c>
      <c r="G15" s="4">
        <v>1230</v>
      </c>
      <c r="H15" s="88" t="s">
        <v>10</v>
      </c>
      <c r="I15" s="16" t="s">
        <v>148</v>
      </c>
      <c r="J15" s="16" t="s">
        <v>1666</v>
      </c>
      <c r="K15" s="4">
        <v>1568</v>
      </c>
      <c r="L15" s="4">
        <v>1551</v>
      </c>
      <c r="M15" s="4">
        <v>1550</v>
      </c>
      <c r="N15" s="5">
        <v>1551</v>
      </c>
      <c r="O15" s="5">
        <v>1551</v>
      </c>
      <c r="P15" s="30">
        <v>1550.6666666666667</v>
      </c>
      <c r="Q15" s="7">
        <v>5.6</v>
      </c>
      <c r="R15" s="4">
        <v>34</v>
      </c>
      <c r="S15" s="7" t="s">
        <v>5</v>
      </c>
      <c r="T15" s="9">
        <v>166</v>
      </c>
      <c r="U15" s="9">
        <v>55</v>
      </c>
      <c r="V15" s="118">
        <v>111</v>
      </c>
      <c r="W15" s="7" t="s">
        <v>5</v>
      </c>
      <c r="X15" s="7">
        <v>58</v>
      </c>
      <c r="Y15" s="12">
        <v>3.1560815999999998</v>
      </c>
      <c r="Z15" s="7">
        <v>9.9</v>
      </c>
      <c r="AA15" s="7">
        <v>11</v>
      </c>
      <c r="AB15" s="13">
        <v>85</v>
      </c>
      <c r="AC15" s="13">
        <v>74</v>
      </c>
      <c r="AD15" s="7" t="s">
        <v>6</v>
      </c>
      <c r="AE15" s="14" t="s">
        <v>53</v>
      </c>
      <c r="AF15" s="14" t="s">
        <v>1667</v>
      </c>
    </row>
    <row r="16" spans="1:32" ht="15.75" x14ac:dyDescent="0.25">
      <c r="A16" s="1">
        <v>484</v>
      </c>
      <c r="B16" s="2">
        <v>46029</v>
      </c>
      <c r="C16" s="1" t="s">
        <v>18</v>
      </c>
      <c r="D16" s="1" t="s">
        <v>19</v>
      </c>
      <c r="E16" s="1">
        <v>2</v>
      </c>
      <c r="F16" s="1">
        <v>22601006</v>
      </c>
      <c r="G16" s="4">
        <v>1230</v>
      </c>
      <c r="H16" s="88" t="s">
        <v>10</v>
      </c>
      <c r="I16" s="16" t="s">
        <v>80</v>
      </c>
      <c r="J16" s="16" t="s">
        <v>1668</v>
      </c>
      <c r="K16" s="4">
        <v>1568</v>
      </c>
      <c r="L16" s="4">
        <v>1549</v>
      </c>
      <c r="M16" s="4">
        <v>1548</v>
      </c>
      <c r="N16" s="4">
        <v>1548</v>
      </c>
      <c r="O16" s="5">
        <v>1548</v>
      </c>
      <c r="P16" s="30">
        <v>1548</v>
      </c>
      <c r="Q16" s="7">
        <v>5.6</v>
      </c>
      <c r="R16" s="4">
        <v>34</v>
      </c>
      <c r="S16" s="7" t="s">
        <v>5</v>
      </c>
      <c r="T16" s="9">
        <v>163</v>
      </c>
      <c r="U16" s="9">
        <v>60</v>
      </c>
      <c r="V16" s="118">
        <v>103</v>
      </c>
      <c r="W16" s="7" t="s">
        <v>5</v>
      </c>
      <c r="X16" s="7">
        <v>58</v>
      </c>
      <c r="Y16" s="12">
        <v>3.1560815999999998</v>
      </c>
      <c r="Z16" s="7">
        <v>11.4</v>
      </c>
      <c r="AA16" s="7">
        <v>10</v>
      </c>
      <c r="AB16" s="13">
        <v>84</v>
      </c>
      <c r="AC16" s="13">
        <v>75</v>
      </c>
      <c r="AD16" s="7" t="s">
        <v>6</v>
      </c>
      <c r="AE16" s="14" t="s">
        <v>53</v>
      </c>
      <c r="AF16" s="14" t="s">
        <v>480</v>
      </c>
    </row>
    <row r="17" spans="1:32" ht="15.75" x14ac:dyDescent="0.25">
      <c r="A17" s="1">
        <v>485</v>
      </c>
      <c r="B17" s="2">
        <v>46029</v>
      </c>
      <c r="C17" s="1" t="s">
        <v>18</v>
      </c>
      <c r="D17" s="1" t="s">
        <v>19</v>
      </c>
      <c r="E17" s="1">
        <v>2</v>
      </c>
      <c r="F17" s="1">
        <v>22601006</v>
      </c>
      <c r="G17" s="4">
        <v>1230</v>
      </c>
      <c r="H17" s="88" t="s">
        <v>10</v>
      </c>
      <c r="I17" s="16" t="s">
        <v>126</v>
      </c>
      <c r="J17" s="69" t="s">
        <v>1669</v>
      </c>
      <c r="K17" s="4">
        <v>1566</v>
      </c>
      <c r="L17" s="4">
        <v>1549</v>
      </c>
      <c r="M17" s="4">
        <v>1549</v>
      </c>
      <c r="N17" s="5">
        <v>1548</v>
      </c>
      <c r="O17" s="5">
        <v>1548</v>
      </c>
      <c r="P17" s="30">
        <v>1548</v>
      </c>
      <c r="Q17" s="7">
        <v>5.6</v>
      </c>
      <c r="R17" s="4">
        <v>34</v>
      </c>
      <c r="S17" s="7" t="s">
        <v>5</v>
      </c>
      <c r="T17" s="9">
        <v>156</v>
      </c>
      <c r="U17" s="8">
        <v>58</v>
      </c>
      <c r="V17" s="118">
        <v>98</v>
      </c>
      <c r="W17" s="7" t="s">
        <v>5</v>
      </c>
      <c r="X17" s="7">
        <v>58</v>
      </c>
      <c r="Y17" s="12">
        <v>3.1560815999999998</v>
      </c>
      <c r="Z17" s="7">
        <v>11</v>
      </c>
      <c r="AA17" s="7">
        <v>10.199999999999999</v>
      </c>
      <c r="AB17" s="13">
        <v>87</v>
      </c>
      <c r="AC17" s="13">
        <v>76</v>
      </c>
      <c r="AD17" s="7" t="s">
        <v>6</v>
      </c>
      <c r="AE17" s="14" t="s">
        <v>53</v>
      </c>
      <c r="AF17" s="14" t="s">
        <v>1670</v>
      </c>
    </row>
    <row r="18" spans="1:32" ht="15.75" x14ac:dyDescent="0.25">
      <c r="A18" s="1">
        <v>490</v>
      </c>
      <c r="B18" s="2">
        <v>46029</v>
      </c>
      <c r="C18" s="1" t="s">
        <v>264</v>
      </c>
      <c r="D18" s="1" t="s">
        <v>1</v>
      </c>
      <c r="E18" s="1">
        <v>2</v>
      </c>
      <c r="F18" s="1">
        <v>22601006</v>
      </c>
      <c r="G18" s="4">
        <v>1230</v>
      </c>
      <c r="H18" s="88" t="s">
        <v>10</v>
      </c>
      <c r="I18" s="16" t="s">
        <v>331</v>
      </c>
      <c r="J18" s="16" t="s">
        <v>1671</v>
      </c>
      <c r="K18" s="99">
        <v>1568</v>
      </c>
      <c r="L18" s="4">
        <v>1549</v>
      </c>
      <c r="M18" s="5">
        <v>1549</v>
      </c>
      <c r="N18" s="5">
        <v>1550</v>
      </c>
      <c r="O18" s="5">
        <v>1550</v>
      </c>
      <c r="P18" s="30">
        <v>1549.6666666666667</v>
      </c>
      <c r="Q18" s="7">
        <v>5.4</v>
      </c>
      <c r="R18" s="4">
        <v>37</v>
      </c>
      <c r="S18" s="7" t="s">
        <v>5</v>
      </c>
      <c r="T18" s="9">
        <v>172</v>
      </c>
      <c r="U18" s="9">
        <v>56</v>
      </c>
      <c r="V18" s="118">
        <v>116</v>
      </c>
      <c r="W18" s="7" t="s">
        <v>5</v>
      </c>
      <c r="X18" s="7">
        <v>58</v>
      </c>
      <c r="Y18" s="12">
        <v>3.0433644000000002</v>
      </c>
      <c r="Z18" s="7">
        <v>11.6</v>
      </c>
      <c r="AA18" s="7">
        <v>11.1</v>
      </c>
      <c r="AB18" s="13">
        <v>87</v>
      </c>
      <c r="AC18" s="13">
        <v>83</v>
      </c>
      <c r="AD18" s="7" t="s">
        <v>6</v>
      </c>
      <c r="AE18" s="14" t="s">
        <v>53</v>
      </c>
      <c r="AF18" s="14" t="s">
        <v>397</v>
      </c>
    </row>
    <row r="19" spans="1:32" ht="15.75" x14ac:dyDescent="0.25">
      <c r="A19" s="1">
        <v>492</v>
      </c>
      <c r="B19" s="2">
        <v>46029</v>
      </c>
      <c r="C19" s="1" t="s">
        <v>264</v>
      </c>
      <c r="D19" s="1" t="s">
        <v>1</v>
      </c>
      <c r="E19" s="1">
        <v>2</v>
      </c>
      <c r="F19" s="1">
        <v>22601006</v>
      </c>
      <c r="G19" s="4">
        <v>1230</v>
      </c>
      <c r="H19" s="88" t="s">
        <v>10</v>
      </c>
      <c r="I19" s="16" t="s">
        <v>11</v>
      </c>
      <c r="J19" s="16" t="s">
        <v>1672</v>
      </c>
      <c r="K19" s="99">
        <v>1566</v>
      </c>
      <c r="L19" s="4">
        <v>1549</v>
      </c>
      <c r="M19" s="5">
        <v>1548</v>
      </c>
      <c r="N19" s="5">
        <v>1549</v>
      </c>
      <c r="O19" s="5">
        <v>1550</v>
      </c>
      <c r="P19" s="30">
        <v>1549</v>
      </c>
      <c r="Q19" s="7">
        <v>5.6</v>
      </c>
      <c r="R19" s="4">
        <v>30</v>
      </c>
      <c r="S19" s="7" t="s">
        <v>5</v>
      </c>
      <c r="T19" s="9">
        <v>163</v>
      </c>
      <c r="U19" s="9">
        <v>59</v>
      </c>
      <c r="V19" s="118">
        <v>104</v>
      </c>
      <c r="W19" s="7" t="s">
        <v>5</v>
      </c>
      <c r="X19" s="7">
        <v>58</v>
      </c>
      <c r="Y19" s="12">
        <v>3.1560815999999998</v>
      </c>
      <c r="Z19" s="7">
        <v>11.6</v>
      </c>
      <c r="AA19" s="7">
        <v>10.3</v>
      </c>
      <c r="AB19" s="13">
        <v>97</v>
      </c>
      <c r="AC19" s="13">
        <v>86</v>
      </c>
      <c r="AD19" s="7" t="s">
        <v>6</v>
      </c>
      <c r="AE19" s="14" t="s">
        <v>53</v>
      </c>
      <c r="AF19" s="14" t="s">
        <v>480</v>
      </c>
    </row>
    <row r="20" spans="1:32" ht="15.75" x14ac:dyDescent="0.25">
      <c r="A20" s="1">
        <v>501</v>
      </c>
      <c r="B20" s="2">
        <v>46030</v>
      </c>
      <c r="C20" s="1" t="s">
        <v>18</v>
      </c>
      <c r="D20" s="1" t="s">
        <v>19</v>
      </c>
      <c r="E20" s="1">
        <v>2</v>
      </c>
      <c r="F20" s="1">
        <v>22601007</v>
      </c>
      <c r="G20" s="4">
        <v>1040</v>
      </c>
      <c r="H20" s="88" t="s">
        <v>10</v>
      </c>
      <c r="I20" s="16" t="s">
        <v>98</v>
      </c>
      <c r="J20" s="16" t="s">
        <v>1673</v>
      </c>
      <c r="K20" s="16">
        <v>1600</v>
      </c>
      <c r="L20" s="16">
        <v>1578</v>
      </c>
      <c r="M20" s="5">
        <v>1566</v>
      </c>
      <c r="N20" s="5">
        <v>1567</v>
      </c>
      <c r="O20" s="5">
        <v>1565</v>
      </c>
      <c r="P20" s="30">
        <v>1532</v>
      </c>
      <c r="Q20" s="7">
        <v>3.6</v>
      </c>
      <c r="R20" s="4">
        <v>50</v>
      </c>
      <c r="S20" s="7" t="s">
        <v>5</v>
      </c>
      <c r="T20" s="9">
        <v>170</v>
      </c>
      <c r="U20" s="9">
        <v>64</v>
      </c>
      <c r="V20" s="118">
        <v>106</v>
      </c>
      <c r="W20" s="7" t="s">
        <v>100</v>
      </c>
      <c r="X20" s="7">
        <v>58</v>
      </c>
      <c r="Y20" s="12">
        <v>1.7155008</v>
      </c>
      <c r="Z20" s="7">
        <v>6.6</v>
      </c>
      <c r="AA20" s="7">
        <v>5.7</v>
      </c>
      <c r="AB20" s="13">
        <v>60</v>
      </c>
      <c r="AC20" s="13">
        <v>51</v>
      </c>
      <c r="AD20" s="7" t="s">
        <v>6</v>
      </c>
      <c r="AE20" s="14" t="s">
        <v>53</v>
      </c>
      <c r="AF20" s="14" t="s">
        <v>418</v>
      </c>
    </row>
    <row r="21" spans="1:32" ht="15.75" x14ac:dyDescent="0.25">
      <c r="A21" s="1">
        <v>571</v>
      </c>
      <c r="B21" s="2">
        <v>46031</v>
      </c>
      <c r="C21" s="1" t="s">
        <v>18</v>
      </c>
      <c r="D21" s="1" t="s">
        <v>258</v>
      </c>
      <c r="E21" s="1">
        <v>2</v>
      </c>
      <c r="F21" s="1">
        <v>22601007</v>
      </c>
      <c r="G21" s="4">
        <v>1010</v>
      </c>
      <c r="H21" s="88" t="s">
        <v>1159</v>
      </c>
      <c r="I21" s="16" t="s">
        <v>419</v>
      </c>
      <c r="J21" s="16" t="s">
        <v>1674</v>
      </c>
      <c r="K21" s="4">
        <v>1567</v>
      </c>
      <c r="L21" s="4">
        <v>1547</v>
      </c>
      <c r="M21" s="4">
        <v>1548</v>
      </c>
      <c r="N21" s="4">
        <v>1550</v>
      </c>
      <c r="O21" s="5"/>
      <c r="P21" s="30">
        <v>1549</v>
      </c>
      <c r="Q21" s="7">
        <v>5.5</v>
      </c>
      <c r="R21" s="4">
        <v>44</v>
      </c>
      <c r="S21" s="7">
        <v>34</v>
      </c>
      <c r="T21" s="9">
        <v>173</v>
      </c>
      <c r="U21" s="9">
        <v>60</v>
      </c>
      <c r="V21" s="118">
        <v>113</v>
      </c>
      <c r="W21" s="7" t="s">
        <v>5</v>
      </c>
      <c r="X21" s="7">
        <v>58</v>
      </c>
      <c r="Y21" s="12">
        <v>2.5453010000000003</v>
      </c>
      <c r="Z21" s="7">
        <v>9.9</v>
      </c>
      <c r="AA21" s="7">
        <v>9.4</v>
      </c>
      <c r="AB21" s="13">
        <v>76</v>
      </c>
      <c r="AC21" s="13">
        <v>69</v>
      </c>
      <c r="AD21" s="7" t="s">
        <v>6</v>
      </c>
      <c r="AE21" s="14" t="s">
        <v>53</v>
      </c>
      <c r="AF21" s="14" t="s">
        <v>721</v>
      </c>
    </row>
    <row r="22" spans="1:32" ht="15.75" x14ac:dyDescent="0.25">
      <c r="A22" s="1">
        <v>673</v>
      </c>
      <c r="B22" s="2">
        <v>46032</v>
      </c>
      <c r="C22" s="1" t="s">
        <v>264</v>
      </c>
      <c r="D22" s="1" t="s">
        <v>265</v>
      </c>
      <c r="E22" s="1">
        <v>2</v>
      </c>
      <c r="F22" s="1">
        <v>22601009</v>
      </c>
      <c r="G22" s="4">
        <v>1250</v>
      </c>
      <c r="H22" s="88" t="s">
        <v>55</v>
      </c>
      <c r="I22" s="16" t="s">
        <v>164</v>
      </c>
      <c r="J22" s="16" t="s">
        <v>1675</v>
      </c>
      <c r="K22" s="4">
        <v>1566</v>
      </c>
      <c r="L22" s="4">
        <v>1547</v>
      </c>
      <c r="M22" s="5">
        <v>1547</v>
      </c>
      <c r="N22" s="5">
        <v>1547</v>
      </c>
      <c r="O22" s="5">
        <v>1544</v>
      </c>
      <c r="P22" s="30">
        <v>1546</v>
      </c>
      <c r="Q22" s="7">
        <v>5.4</v>
      </c>
      <c r="R22" s="4">
        <v>32</v>
      </c>
      <c r="S22" s="7">
        <v>26</v>
      </c>
      <c r="T22" s="8">
        <v>165</v>
      </c>
      <c r="U22" s="8">
        <v>60</v>
      </c>
      <c r="V22" s="118">
        <v>105</v>
      </c>
      <c r="W22" s="7" t="s">
        <v>5</v>
      </c>
      <c r="X22" s="7">
        <v>58</v>
      </c>
      <c r="Y22" s="12">
        <v>3.0928500000000003</v>
      </c>
      <c r="Z22" s="7">
        <v>10.6</v>
      </c>
      <c r="AA22" s="7">
        <v>10.6</v>
      </c>
      <c r="AB22" s="13">
        <v>86</v>
      </c>
      <c r="AC22" s="13">
        <v>80</v>
      </c>
      <c r="AD22" s="7" t="s">
        <v>6</v>
      </c>
      <c r="AE22" s="14" t="s">
        <v>53</v>
      </c>
      <c r="AF22" s="14" t="s">
        <v>721</v>
      </c>
    </row>
    <row r="23" spans="1:32" ht="47.25" x14ac:dyDescent="0.25">
      <c r="A23" s="1">
        <v>683</v>
      </c>
      <c r="B23" s="2">
        <v>46032</v>
      </c>
      <c r="C23" s="1" t="s">
        <v>264</v>
      </c>
      <c r="D23" s="1" t="s">
        <v>265</v>
      </c>
      <c r="E23" s="1">
        <v>2</v>
      </c>
      <c r="F23" s="1">
        <v>22601009</v>
      </c>
      <c r="G23" s="4">
        <v>1170</v>
      </c>
      <c r="H23" s="88" t="s">
        <v>10</v>
      </c>
      <c r="I23" s="16" t="s">
        <v>138</v>
      </c>
      <c r="J23" s="16" t="s">
        <v>1676</v>
      </c>
      <c r="K23" s="4">
        <v>1569</v>
      </c>
      <c r="L23" s="5">
        <v>1550</v>
      </c>
      <c r="M23" s="5">
        <v>1549</v>
      </c>
      <c r="N23" s="5">
        <v>1549</v>
      </c>
      <c r="O23" s="5">
        <v>1549</v>
      </c>
      <c r="P23" s="30">
        <v>1549</v>
      </c>
      <c r="Q23" s="7">
        <v>5</v>
      </c>
      <c r="R23" s="4">
        <v>37</v>
      </c>
      <c r="S23" s="7" t="s">
        <v>5</v>
      </c>
      <c r="T23" s="8">
        <v>166</v>
      </c>
      <c r="U23" s="8">
        <v>55.2</v>
      </c>
      <c r="V23" s="118">
        <v>110.8</v>
      </c>
      <c r="W23" s="7" t="s">
        <v>5</v>
      </c>
      <c r="X23" s="7">
        <v>58</v>
      </c>
      <c r="Y23" s="12">
        <v>2.6804699999999997</v>
      </c>
      <c r="Z23" s="7">
        <v>10.4</v>
      </c>
      <c r="AA23" s="7">
        <v>10.4</v>
      </c>
      <c r="AB23" s="13">
        <v>89</v>
      </c>
      <c r="AC23" s="13">
        <v>85</v>
      </c>
      <c r="AD23" s="7" t="s">
        <v>6</v>
      </c>
      <c r="AE23" s="14" t="s">
        <v>455</v>
      </c>
      <c r="AF23" s="14" t="s">
        <v>1677</v>
      </c>
    </row>
    <row r="24" spans="1:32" ht="47.25" x14ac:dyDescent="0.25">
      <c r="A24" s="1">
        <v>776</v>
      </c>
      <c r="B24" s="2">
        <v>46033</v>
      </c>
      <c r="C24" s="1" t="s">
        <v>0</v>
      </c>
      <c r="D24" s="1" t="s">
        <v>19</v>
      </c>
      <c r="E24" s="1">
        <v>1</v>
      </c>
      <c r="F24" s="83">
        <v>12601011</v>
      </c>
      <c r="G24" s="4">
        <v>1250</v>
      </c>
      <c r="H24" s="88" t="s">
        <v>232</v>
      </c>
      <c r="I24" s="16" t="s">
        <v>122</v>
      </c>
      <c r="J24" s="16" t="s">
        <v>1678</v>
      </c>
      <c r="K24" s="16">
        <v>1566</v>
      </c>
      <c r="L24" s="4">
        <v>1547</v>
      </c>
      <c r="M24" s="4">
        <v>1545</v>
      </c>
      <c r="N24" s="5">
        <v>1545</v>
      </c>
      <c r="O24" s="5">
        <v>1540</v>
      </c>
      <c r="P24" s="30">
        <v>1543.3333333333333</v>
      </c>
      <c r="Q24" s="7">
        <v>4.8</v>
      </c>
      <c r="R24" s="4">
        <v>37</v>
      </c>
      <c r="S24" s="8"/>
      <c r="T24" s="9">
        <v>188</v>
      </c>
      <c r="U24" s="7">
        <v>71</v>
      </c>
      <c r="V24" s="10">
        <v>117</v>
      </c>
      <c r="W24" s="11" t="s">
        <v>5</v>
      </c>
      <c r="X24" s="16">
        <v>58</v>
      </c>
      <c r="Y24" s="12">
        <v>2.7491999999999996</v>
      </c>
      <c r="Z24" s="7">
        <v>10.6</v>
      </c>
      <c r="AA24" s="7">
        <v>10.8</v>
      </c>
      <c r="AB24" s="13">
        <v>92</v>
      </c>
      <c r="AC24" s="13">
        <v>91</v>
      </c>
      <c r="AD24" s="11" t="s">
        <v>6</v>
      </c>
      <c r="AE24" s="18" t="s">
        <v>72</v>
      </c>
      <c r="AF24" s="14" t="s">
        <v>1679</v>
      </c>
    </row>
    <row r="25" spans="1:32" ht="31.5" x14ac:dyDescent="0.25">
      <c r="A25" s="1">
        <v>778</v>
      </c>
      <c r="B25" s="2">
        <v>46033</v>
      </c>
      <c r="C25" s="1" t="s">
        <v>0</v>
      </c>
      <c r="D25" s="1" t="s">
        <v>19</v>
      </c>
      <c r="E25" s="1">
        <v>2</v>
      </c>
      <c r="F25" s="83">
        <v>22601010</v>
      </c>
      <c r="G25" s="4">
        <v>1250</v>
      </c>
      <c r="H25" s="88" t="s">
        <v>10</v>
      </c>
      <c r="I25" s="16" t="s">
        <v>11</v>
      </c>
      <c r="J25" s="16" t="s">
        <v>1680</v>
      </c>
      <c r="K25" s="4">
        <v>1566</v>
      </c>
      <c r="L25" s="4">
        <v>1541</v>
      </c>
      <c r="M25" s="4">
        <v>1540</v>
      </c>
      <c r="N25" s="5">
        <v>1541</v>
      </c>
      <c r="O25" s="5">
        <v>1543</v>
      </c>
      <c r="P25" s="30">
        <v>1541.3333333333333</v>
      </c>
      <c r="Q25" s="7">
        <v>5.7</v>
      </c>
      <c r="R25" s="4">
        <v>29</v>
      </c>
      <c r="S25" s="8" t="s">
        <v>5</v>
      </c>
      <c r="T25" s="9">
        <v>154.5</v>
      </c>
      <c r="U25" s="7">
        <v>59.3</v>
      </c>
      <c r="V25" s="10">
        <v>95.2</v>
      </c>
      <c r="W25" s="11" t="s">
        <v>5</v>
      </c>
      <c r="X25" s="16">
        <v>58</v>
      </c>
      <c r="Y25" s="12">
        <v>3.264675</v>
      </c>
      <c r="Z25" s="7">
        <v>9.9</v>
      </c>
      <c r="AA25" s="7">
        <v>11.6</v>
      </c>
      <c r="AB25" s="13">
        <v>83</v>
      </c>
      <c r="AC25" s="13">
        <v>98</v>
      </c>
      <c r="AD25" s="11" t="s">
        <v>959</v>
      </c>
      <c r="AE25" s="18" t="s">
        <v>53</v>
      </c>
      <c r="AF25" s="14" t="s">
        <v>1681</v>
      </c>
    </row>
    <row r="26" spans="1:32" ht="31.5" x14ac:dyDescent="0.25">
      <c r="A26" s="1">
        <v>786</v>
      </c>
      <c r="B26" s="2">
        <v>46033</v>
      </c>
      <c r="C26" s="1" t="s">
        <v>0</v>
      </c>
      <c r="D26" s="1" t="s">
        <v>19</v>
      </c>
      <c r="E26" s="1">
        <v>2</v>
      </c>
      <c r="F26" s="83">
        <v>22601010</v>
      </c>
      <c r="G26" s="4">
        <v>1250</v>
      </c>
      <c r="H26" s="88" t="s">
        <v>1095</v>
      </c>
      <c r="I26" s="16" t="s">
        <v>303</v>
      </c>
      <c r="J26" s="16" t="s">
        <v>1682</v>
      </c>
      <c r="K26" s="4">
        <v>1568</v>
      </c>
      <c r="L26" s="4">
        <v>1540</v>
      </c>
      <c r="M26" s="4">
        <v>1542</v>
      </c>
      <c r="N26" s="5">
        <v>1546</v>
      </c>
      <c r="O26" s="5">
        <v>1545</v>
      </c>
      <c r="P26" s="30">
        <v>1544.3333333333333</v>
      </c>
      <c r="Q26" s="7">
        <v>5.3</v>
      </c>
      <c r="R26" s="4">
        <v>42</v>
      </c>
      <c r="S26" s="8">
        <v>42</v>
      </c>
      <c r="T26" s="9">
        <v>173.7</v>
      </c>
      <c r="U26" s="7">
        <v>60.7</v>
      </c>
      <c r="V26" s="10">
        <v>112.99999999999999</v>
      </c>
      <c r="W26" s="11" t="s">
        <v>5</v>
      </c>
      <c r="X26" s="16">
        <v>58</v>
      </c>
      <c r="Y26" s="12">
        <v>3.0355749999999997</v>
      </c>
      <c r="Z26" s="7">
        <v>10</v>
      </c>
      <c r="AA26" s="7">
        <v>9.5</v>
      </c>
      <c r="AB26" s="13">
        <v>92</v>
      </c>
      <c r="AC26" s="13">
        <v>86</v>
      </c>
      <c r="AD26" s="11" t="s">
        <v>959</v>
      </c>
      <c r="AE26" s="18" t="s">
        <v>455</v>
      </c>
      <c r="AF26" s="14" t="s">
        <v>1683</v>
      </c>
    </row>
    <row r="27" spans="1:32" ht="31.5" x14ac:dyDescent="0.25">
      <c r="A27" s="1">
        <v>792</v>
      </c>
      <c r="B27" s="2">
        <v>46034</v>
      </c>
      <c r="C27" s="1" t="s">
        <v>18</v>
      </c>
      <c r="D27" s="1" t="s">
        <v>1</v>
      </c>
      <c r="E27" s="1">
        <v>1</v>
      </c>
      <c r="F27" s="83">
        <v>12601011</v>
      </c>
      <c r="G27" s="4">
        <v>1250</v>
      </c>
      <c r="H27" s="88" t="s">
        <v>1684</v>
      </c>
      <c r="I27" s="16" t="s">
        <v>20</v>
      </c>
      <c r="J27" s="16" t="s">
        <v>1685</v>
      </c>
      <c r="K27" s="99">
        <v>1564</v>
      </c>
      <c r="L27" s="4">
        <v>1543</v>
      </c>
      <c r="M27" s="4">
        <v>1543</v>
      </c>
      <c r="N27" s="5">
        <v>1542</v>
      </c>
      <c r="O27" s="5">
        <v>1541</v>
      </c>
      <c r="P27" s="30">
        <v>1542</v>
      </c>
      <c r="Q27" s="7">
        <v>4.5</v>
      </c>
      <c r="R27" s="4">
        <v>43</v>
      </c>
      <c r="S27" s="8" t="s">
        <v>5</v>
      </c>
      <c r="T27" s="9">
        <v>170.5</v>
      </c>
      <c r="U27" s="7">
        <v>59.1</v>
      </c>
      <c r="V27" s="10">
        <v>111.4</v>
      </c>
      <c r="W27" s="11" t="s">
        <v>5</v>
      </c>
      <c r="X27" s="16">
        <v>58</v>
      </c>
      <c r="Y27" s="12">
        <v>2.577375</v>
      </c>
      <c r="Z27" s="7">
        <v>9.6999999999999993</v>
      </c>
      <c r="AA27" s="7">
        <v>9.8000000000000007</v>
      </c>
      <c r="AB27" s="13">
        <v>90</v>
      </c>
      <c r="AC27" s="13">
        <v>90</v>
      </c>
      <c r="AD27" s="11" t="s">
        <v>6</v>
      </c>
      <c r="AE27" s="18" t="s">
        <v>72</v>
      </c>
      <c r="AF27" s="14" t="s">
        <v>1686</v>
      </c>
    </row>
    <row r="28" spans="1:32" ht="15.75" x14ac:dyDescent="0.25">
      <c r="A28" s="1">
        <v>794</v>
      </c>
      <c r="B28" s="2">
        <v>46034</v>
      </c>
      <c r="C28" s="1" t="s">
        <v>18</v>
      </c>
      <c r="D28" s="1" t="s">
        <v>1</v>
      </c>
      <c r="E28" s="1">
        <v>1</v>
      </c>
      <c r="F28" s="83">
        <v>12601011</v>
      </c>
      <c r="G28" s="4">
        <v>1250</v>
      </c>
      <c r="H28" s="88" t="s">
        <v>232</v>
      </c>
      <c r="I28" s="16" t="s">
        <v>315</v>
      </c>
      <c r="J28" s="16" t="s">
        <v>1687</v>
      </c>
      <c r="K28" s="99">
        <v>1562</v>
      </c>
      <c r="L28" s="4">
        <v>1537</v>
      </c>
      <c r="M28" s="5">
        <v>1536</v>
      </c>
      <c r="N28" s="5">
        <v>1535</v>
      </c>
      <c r="O28" s="5">
        <v>1535</v>
      </c>
      <c r="P28" s="30">
        <v>1535.3333333333333</v>
      </c>
      <c r="Q28" s="7">
        <v>4.5</v>
      </c>
      <c r="R28" s="4">
        <v>40</v>
      </c>
      <c r="S28" s="8" t="s">
        <v>5</v>
      </c>
      <c r="T28" s="9">
        <v>168.11</v>
      </c>
      <c r="U28" s="7">
        <v>60.6</v>
      </c>
      <c r="V28" s="10">
        <v>107.51000000000002</v>
      </c>
      <c r="W28" s="11" t="s">
        <v>5</v>
      </c>
      <c r="X28" s="16">
        <v>58</v>
      </c>
      <c r="Y28" s="12">
        <v>2.577375</v>
      </c>
      <c r="Z28" s="7">
        <v>9.1999999999999993</v>
      </c>
      <c r="AA28" s="7">
        <v>9</v>
      </c>
      <c r="AB28" s="13">
        <v>87</v>
      </c>
      <c r="AC28" s="13">
        <v>87</v>
      </c>
      <c r="AD28" s="11" t="s">
        <v>6</v>
      </c>
      <c r="AE28" s="18" t="s">
        <v>72</v>
      </c>
      <c r="AF28" s="18" t="s">
        <v>1688</v>
      </c>
    </row>
    <row r="29" spans="1:32" ht="15.75" x14ac:dyDescent="0.25">
      <c r="A29" s="1">
        <v>797</v>
      </c>
      <c r="B29" s="2">
        <v>46034</v>
      </c>
      <c r="C29" s="1" t="s">
        <v>18</v>
      </c>
      <c r="D29" s="1" t="s">
        <v>1</v>
      </c>
      <c r="E29" s="1">
        <v>1</v>
      </c>
      <c r="F29" s="83">
        <v>12601011</v>
      </c>
      <c r="G29" s="4">
        <v>1250</v>
      </c>
      <c r="H29" s="88" t="s">
        <v>232</v>
      </c>
      <c r="I29" s="16" t="s">
        <v>110</v>
      </c>
      <c r="J29" s="16" t="s">
        <v>1689</v>
      </c>
      <c r="K29" s="99">
        <v>1564</v>
      </c>
      <c r="L29" s="4">
        <v>1544</v>
      </c>
      <c r="M29" s="5">
        <v>1545</v>
      </c>
      <c r="N29" s="5">
        <v>1545</v>
      </c>
      <c r="O29" s="5">
        <v>1545</v>
      </c>
      <c r="P29" s="30">
        <v>1545</v>
      </c>
      <c r="Q29" s="7">
        <v>4.8</v>
      </c>
      <c r="R29" s="4">
        <v>37</v>
      </c>
      <c r="S29" s="8">
        <v>38</v>
      </c>
      <c r="T29" s="9">
        <v>178.3</v>
      </c>
      <c r="U29" s="7">
        <v>70.3</v>
      </c>
      <c r="V29" s="10">
        <v>108.00000000000001</v>
      </c>
      <c r="W29" s="11" t="s">
        <v>5</v>
      </c>
      <c r="X29" s="16">
        <v>58</v>
      </c>
      <c r="Y29" s="12">
        <v>2.7491999999999996</v>
      </c>
      <c r="Z29" s="7">
        <v>10</v>
      </c>
      <c r="AA29" s="7">
        <v>10</v>
      </c>
      <c r="AB29" s="13">
        <v>85</v>
      </c>
      <c r="AC29" s="13">
        <v>86</v>
      </c>
      <c r="AD29" s="11" t="s">
        <v>6</v>
      </c>
      <c r="AE29" s="18" t="s">
        <v>72</v>
      </c>
      <c r="AF29" s="14" t="s">
        <v>706</v>
      </c>
    </row>
    <row r="30" spans="1:32" ht="31.5" x14ac:dyDescent="0.25">
      <c r="A30" s="1">
        <v>798</v>
      </c>
      <c r="B30" s="2">
        <v>46034</v>
      </c>
      <c r="C30" s="1" t="s">
        <v>18</v>
      </c>
      <c r="D30" s="1" t="s">
        <v>1</v>
      </c>
      <c r="E30" s="1">
        <v>1</v>
      </c>
      <c r="F30" s="83">
        <v>12601011</v>
      </c>
      <c r="G30" s="4">
        <v>1250</v>
      </c>
      <c r="H30" s="88" t="s">
        <v>222</v>
      </c>
      <c r="I30" s="16" t="s">
        <v>261</v>
      </c>
      <c r="J30" s="16" t="s">
        <v>1690</v>
      </c>
      <c r="K30" s="99">
        <v>1563</v>
      </c>
      <c r="L30" s="4">
        <v>1546</v>
      </c>
      <c r="M30" s="5">
        <v>1546</v>
      </c>
      <c r="N30" s="5">
        <v>1545</v>
      </c>
      <c r="O30" s="5">
        <v>1544</v>
      </c>
      <c r="P30" s="30">
        <v>1545</v>
      </c>
      <c r="Q30" s="7">
        <v>4.3</v>
      </c>
      <c r="R30" s="4">
        <v>31</v>
      </c>
      <c r="S30" s="8" t="s">
        <v>5</v>
      </c>
      <c r="T30" s="9">
        <v>165.8</v>
      </c>
      <c r="U30" s="7">
        <v>58.2</v>
      </c>
      <c r="V30" s="10">
        <v>107.60000000000001</v>
      </c>
      <c r="W30" s="11" t="s">
        <v>5</v>
      </c>
      <c r="X30" s="16">
        <v>58</v>
      </c>
      <c r="Y30" s="12">
        <v>2.4628249999999996</v>
      </c>
      <c r="Z30" s="7">
        <v>9.4</v>
      </c>
      <c r="AA30" s="7">
        <v>9.1</v>
      </c>
      <c r="AB30" s="7">
        <v>82</v>
      </c>
      <c r="AC30" s="7">
        <v>78</v>
      </c>
      <c r="AD30" s="11" t="s">
        <v>6</v>
      </c>
      <c r="AE30" s="18" t="s">
        <v>1691</v>
      </c>
      <c r="AF30" s="14" t="s">
        <v>1692</v>
      </c>
    </row>
    <row r="31" spans="1:32" ht="31.5" x14ac:dyDescent="0.25">
      <c r="A31" s="1">
        <v>799</v>
      </c>
      <c r="B31" s="2">
        <v>46034</v>
      </c>
      <c r="C31" s="1" t="s">
        <v>18</v>
      </c>
      <c r="D31" s="1" t="s">
        <v>1</v>
      </c>
      <c r="E31" s="1">
        <v>1</v>
      </c>
      <c r="F31" s="83">
        <v>12601011</v>
      </c>
      <c r="G31" s="4">
        <v>1250</v>
      </c>
      <c r="H31" s="88" t="s">
        <v>222</v>
      </c>
      <c r="I31" s="16" t="s">
        <v>83</v>
      </c>
      <c r="J31" s="16" t="s">
        <v>1693</v>
      </c>
      <c r="K31" s="4">
        <v>1564</v>
      </c>
      <c r="L31" s="4">
        <v>1546</v>
      </c>
      <c r="M31" s="5">
        <v>1546</v>
      </c>
      <c r="N31" s="5">
        <v>1545</v>
      </c>
      <c r="O31" s="5">
        <v>1544</v>
      </c>
      <c r="P31" s="30">
        <v>1545</v>
      </c>
      <c r="Q31" s="7">
        <v>5</v>
      </c>
      <c r="R31" s="4">
        <v>40</v>
      </c>
      <c r="S31" s="8">
        <v>12</v>
      </c>
      <c r="T31" s="8">
        <v>171.8</v>
      </c>
      <c r="U31" s="7">
        <v>68.7</v>
      </c>
      <c r="V31" s="10">
        <v>103.10000000000001</v>
      </c>
      <c r="W31" s="11" t="s">
        <v>5</v>
      </c>
      <c r="X31" s="16">
        <v>58</v>
      </c>
      <c r="Y31" s="12">
        <v>2.86375</v>
      </c>
      <c r="Z31" s="7">
        <v>9.5</v>
      </c>
      <c r="AA31" s="7">
        <v>9.6</v>
      </c>
      <c r="AB31" s="13">
        <v>89</v>
      </c>
      <c r="AC31" s="13">
        <v>85</v>
      </c>
      <c r="AD31" s="11" t="s">
        <v>6</v>
      </c>
      <c r="AE31" s="18" t="s">
        <v>455</v>
      </c>
      <c r="AF31" s="14" t="s">
        <v>1694</v>
      </c>
    </row>
    <row r="32" spans="1:32" ht="31.5" x14ac:dyDescent="0.25">
      <c r="A32" s="1">
        <v>810</v>
      </c>
      <c r="B32" s="2">
        <v>46034</v>
      </c>
      <c r="C32" s="1" t="s">
        <v>18</v>
      </c>
      <c r="D32" s="1" t="s">
        <v>1</v>
      </c>
      <c r="E32" s="1">
        <v>2</v>
      </c>
      <c r="F32" s="83">
        <v>22601010</v>
      </c>
      <c r="G32" s="4">
        <v>1250</v>
      </c>
      <c r="H32" s="88" t="s">
        <v>222</v>
      </c>
      <c r="I32" s="16" t="s">
        <v>146</v>
      </c>
      <c r="J32" s="16" t="s">
        <v>1695</v>
      </c>
      <c r="K32" s="4">
        <v>1564</v>
      </c>
      <c r="L32" s="4">
        <v>1546</v>
      </c>
      <c r="M32" s="5">
        <v>1546</v>
      </c>
      <c r="N32" s="5">
        <v>1545</v>
      </c>
      <c r="O32" s="5">
        <v>1545</v>
      </c>
      <c r="P32" s="30">
        <v>1545.3333333333333</v>
      </c>
      <c r="Q32" s="7">
        <v>5</v>
      </c>
      <c r="R32" s="4">
        <v>39</v>
      </c>
      <c r="S32" s="8" t="s">
        <v>5</v>
      </c>
      <c r="T32" s="8">
        <v>176.2</v>
      </c>
      <c r="U32" s="7">
        <v>56.3</v>
      </c>
      <c r="V32" s="10">
        <v>119.89999999999999</v>
      </c>
      <c r="W32" s="11" t="s">
        <v>5</v>
      </c>
      <c r="X32" s="16">
        <v>58</v>
      </c>
      <c r="Y32" s="12">
        <v>2.86375</v>
      </c>
      <c r="Z32" s="7">
        <v>9.1999999999999993</v>
      </c>
      <c r="AA32" s="7">
        <v>10.9</v>
      </c>
      <c r="AB32" s="13">
        <v>81</v>
      </c>
      <c r="AC32" s="13">
        <v>93</v>
      </c>
      <c r="AD32" s="11" t="s">
        <v>6</v>
      </c>
      <c r="AE32" s="18" t="s">
        <v>72</v>
      </c>
      <c r="AF32" s="14" t="s">
        <v>1696</v>
      </c>
    </row>
    <row r="33" spans="1:32" ht="31.5" x14ac:dyDescent="0.25">
      <c r="A33" s="1">
        <v>816</v>
      </c>
      <c r="B33" s="2">
        <v>46034</v>
      </c>
      <c r="C33" s="1" t="s">
        <v>264</v>
      </c>
      <c r="D33" s="1" t="s">
        <v>265</v>
      </c>
      <c r="E33" s="1">
        <v>1</v>
      </c>
      <c r="F33" s="83">
        <v>12601011</v>
      </c>
      <c r="G33" s="4">
        <v>1250</v>
      </c>
      <c r="H33" s="88" t="s">
        <v>222</v>
      </c>
      <c r="I33" s="16" t="s">
        <v>155</v>
      </c>
      <c r="J33" s="16" t="s">
        <v>1697</v>
      </c>
      <c r="K33" s="4">
        <v>1565</v>
      </c>
      <c r="L33" s="4">
        <v>1542</v>
      </c>
      <c r="M33" s="5">
        <v>1541</v>
      </c>
      <c r="N33" s="5">
        <v>1539</v>
      </c>
      <c r="O33" s="5" t="s">
        <v>5</v>
      </c>
      <c r="P33" s="30">
        <v>1540</v>
      </c>
      <c r="Q33" s="7">
        <v>5</v>
      </c>
      <c r="R33" s="4">
        <v>39</v>
      </c>
      <c r="S33" s="8" t="s">
        <v>5</v>
      </c>
      <c r="T33" s="9">
        <v>171.2</v>
      </c>
      <c r="U33" s="7">
        <v>62.5</v>
      </c>
      <c r="V33" s="10">
        <v>108.69999999999999</v>
      </c>
      <c r="W33" s="11" t="s">
        <v>5</v>
      </c>
      <c r="X33" s="16">
        <v>58</v>
      </c>
      <c r="Y33" s="12">
        <v>2.86375</v>
      </c>
      <c r="Z33" s="7">
        <v>9.8000000000000007</v>
      </c>
      <c r="AA33" s="7">
        <v>9.4</v>
      </c>
      <c r="AB33" s="13">
        <v>85</v>
      </c>
      <c r="AC33" s="13">
        <v>86</v>
      </c>
      <c r="AD33" s="11" t="s">
        <v>6</v>
      </c>
      <c r="AE33" s="18" t="s">
        <v>455</v>
      </c>
      <c r="AF33" s="14" t="s">
        <v>983</v>
      </c>
    </row>
    <row r="34" spans="1:32" ht="31.5" x14ac:dyDescent="0.25">
      <c r="A34" s="1">
        <v>865</v>
      </c>
      <c r="B34" s="2">
        <v>46034</v>
      </c>
      <c r="C34" s="1" t="s">
        <v>0</v>
      </c>
      <c r="D34" s="1" t="s">
        <v>19</v>
      </c>
      <c r="E34" s="1">
        <v>2</v>
      </c>
      <c r="F34" s="83">
        <v>22601011</v>
      </c>
      <c r="G34" s="4">
        <v>1260</v>
      </c>
      <c r="H34" s="88" t="s">
        <v>10</v>
      </c>
      <c r="I34" s="16" t="s">
        <v>113</v>
      </c>
      <c r="J34" s="16" t="s">
        <v>1698</v>
      </c>
      <c r="K34" s="99">
        <v>1566</v>
      </c>
      <c r="L34" s="4">
        <v>1542</v>
      </c>
      <c r="M34" s="5">
        <v>1543</v>
      </c>
      <c r="N34" s="5">
        <v>1543</v>
      </c>
      <c r="O34" s="5">
        <v>1541</v>
      </c>
      <c r="P34" s="30">
        <v>1542.3333333333333</v>
      </c>
      <c r="Q34" s="7">
        <v>5</v>
      </c>
      <c r="R34" s="4">
        <v>37</v>
      </c>
      <c r="S34" s="8" t="s">
        <v>5</v>
      </c>
      <c r="T34" s="9">
        <v>170.54</v>
      </c>
      <c r="U34" s="7">
        <v>54.5</v>
      </c>
      <c r="V34" s="10">
        <v>116.03999999999999</v>
      </c>
      <c r="W34" s="11" t="s">
        <v>5</v>
      </c>
      <c r="X34" s="16">
        <v>58</v>
      </c>
      <c r="Y34" s="12">
        <v>2.8866600000000004</v>
      </c>
      <c r="Z34" s="7">
        <v>9.1999999999999993</v>
      </c>
      <c r="AA34" s="7">
        <v>9.1</v>
      </c>
      <c r="AB34" s="7">
        <v>87</v>
      </c>
      <c r="AC34" s="7">
        <v>78</v>
      </c>
      <c r="AD34" s="11" t="s">
        <v>6</v>
      </c>
      <c r="AE34" s="18" t="s">
        <v>53</v>
      </c>
      <c r="AF34" s="14" t="s">
        <v>1699</v>
      </c>
    </row>
    <row r="35" spans="1:32" ht="15.75" x14ac:dyDescent="0.25">
      <c r="A35" s="1">
        <v>872</v>
      </c>
      <c r="B35" s="2">
        <v>46035</v>
      </c>
      <c r="C35" s="1" t="s">
        <v>18</v>
      </c>
      <c r="D35" s="1" t="s">
        <v>9</v>
      </c>
      <c r="E35" s="1">
        <v>1</v>
      </c>
      <c r="F35" s="83">
        <v>12601012</v>
      </c>
      <c r="G35" s="4">
        <v>1250</v>
      </c>
      <c r="H35" s="88" t="s">
        <v>1283</v>
      </c>
      <c r="I35" s="16" t="s">
        <v>98</v>
      </c>
      <c r="J35" s="16" t="s">
        <v>1700</v>
      </c>
      <c r="K35" s="4">
        <v>1596</v>
      </c>
      <c r="L35" s="4">
        <v>1566</v>
      </c>
      <c r="M35" s="5">
        <v>1568</v>
      </c>
      <c r="N35" s="5">
        <v>1569</v>
      </c>
      <c r="O35" s="5">
        <v>1569</v>
      </c>
      <c r="P35" s="30">
        <v>1568.6666666666667</v>
      </c>
      <c r="Q35" s="7">
        <v>3</v>
      </c>
      <c r="R35" s="4">
        <v>50</v>
      </c>
      <c r="S35" s="8" t="s">
        <v>5</v>
      </c>
      <c r="T35" s="9">
        <v>175.41</v>
      </c>
      <c r="U35" s="7">
        <v>62.3</v>
      </c>
      <c r="V35" s="10" t="s">
        <v>5</v>
      </c>
      <c r="W35" s="11" t="s">
        <v>100</v>
      </c>
      <c r="X35" s="16">
        <v>58</v>
      </c>
      <c r="Y35" s="12">
        <v>1.7182499999999998</v>
      </c>
      <c r="Z35" s="7">
        <v>7.6</v>
      </c>
      <c r="AA35" s="7">
        <v>7.5</v>
      </c>
      <c r="AB35" s="13">
        <v>83</v>
      </c>
      <c r="AC35" s="13">
        <v>78</v>
      </c>
      <c r="AD35" s="11" t="s">
        <v>6</v>
      </c>
      <c r="AE35" s="18" t="s">
        <v>307</v>
      </c>
      <c r="AF35" s="14" t="s">
        <v>480</v>
      </c>
    </row>
    <row r="36" spans="1:32" ht="31.5" x14ac:dyDescent="0.25">
      <c r="A36" s="1">
        <v>876</v>
      </c>
      <c r="B36" s="2">
        <v>46035</v>
      </c>
      <c r="C36" s="1" t="s">
        <v>18</v>
      </c>
      <c r="D36" s="1" t="s">
        <v>9</v>
      </c>
      <c r="E36" s="1">
        <v>1</v>
      </c>
      <c r="F36" s="83">
        <v>12601012</v>
      </c>
      <c r="G36" s="4">
        <v>1250</v>
      </c>
      <c r="H36" s="88" t="s">
        <v>1701</v>
      </c>
      <c r="I36" s="16" t="s">
        <v>189</v>
      </c>
      <c r="J36" s="16" t="s">
        <v>1702</v>
      </c>
      <c r="K36" s="4">
        <v>1562</v>
      </c>
      <c r="L36" s="4">
        <v>1549</v>
      </c>
      <c r="M36" s="5">
        <v>1549</v>
      </c>
      <c r="N36" s="5">
        <v>1549</v>
      </c>
      <c r="O36" s="5">
        <v>1549</v>
      </c>
      <c r="P36" s="30">
        <v>1549</v>
      </c>
      <c r="Q36" s="7">
        <v>5.2</v>
      </c>
      <c r="R36" s="4">
        <v>34</v>
      </c>
      <c r="S36" s="8" t="s">
        <v>5</v>
      </c>
      <c r="T36" s="8" t="s">
        <v>5</v>
      </c>
      <c r="U36" s="7" t="s">
        <v>5</v>
      </c>
      <c r="V36" s="10" t="e">
        <v>#VALUE!</v>
      </c>
      <c r="W36" s="11" t="s">
        <v>5</v>
      </c>
      <c r="X36" s="16">
        <v>56</v>
      </c>
      <c r="Y36" s="12">
        <v>2.8756000000000004</v>
      </c>
      <c r="Z36" s="7">
        <v>8.4</v>
      </c>
      <c r="AA36" s="7">
        <v>8.3000000000000007</v>
      </c>
      <c r="AB36" s="13">
        <v>93</v>
      </c>
      <c r="AC36" s="13">
        <v>90</v>
      </c>
      <c r="AD36" s="11" t="s">
        <v>6</v>
      </c>
      <c r="AE36" s="18" t="s">
        <v>455</v>
      </c>
      <c r="AF36" s="14" t="s">
        <v>1703</v>
      </c>
    </row>
    <row r="37" spans="1:32" ht="15.75" x14ac:dyDescent="0.25">
      <c r="A37" s="1">
        <v>881</v>
      </c>
      <c r="B37" s="2">
        <v>46035</v>
      </c>
      <c r="C37" s="1" t="s">
        <v>18</v>
      </c>
      <c r="D37" s="1" t="s">
        <v>9</v>
      </c>
      <c r="E37" s="1">
        <v>1</v>
      </c>
      <c r="F37" s="83">
        <v>12601012</v>
      </c>
      <c r="G37" s="4">
        <v>1250</v>
      </c>
      <c r="H37" s="88" t="s">
        <v>1095</v>
      </c>
      <c r="I37" s="16" t="s">
        <v>152</v>
      </c>
      <c r="J37" s="16" t="s">
        <v>1704</v>
      </c>
      <c r="K37" s="4">
        <v>1565</v>
      </c>
      <c r="L37" s="4">
        <v>1544</v>
      </c>
      <c r="M37" s="5">
        <v>1544</v>
      </c>
      <c r="N37" s="5">
        <v>1543</v>
      </c>
      <c r="O37" s="5">
        <v>1542</v>
      </c>
      <c r="P37" s="30">
        <v>1543</v>
      </c>
      <c r="Q37" s="7">
        <v>5.2</v>
      </c>
      <c r="R37" s="4">
        <v>38</v>
      </c>
      <c r="S37" s="8">
        <v>12</v>
      </c>
      <c r="T37" s="8">
        <v>179.6</v>
      </c>
      <c r="U37" s="7">
        <v>61.5</v>
      </c>
      <c r="V37" s="10">
        <v>118.1</v>
      </c>
      <c r="W37" s="11" t="s">
        <v>5</v>
      </c>
      <c r="X37" s="16">
        <v>58</v>
      </c>
      <c r="Y37" s="12">
        <v>2.9782999999999999</v>
      </c>
      <c r="Z37" s="7">
        <v>9.4</v>
      </c>
      <c r="AA37" s="7">
        <v>10.7</v>
      </c>
      <c r="AB37" s="13">
        <v>88</v>
      </c>
      <c r="AC37" s="13">
        <v>100</v>
      </c>
      <c r="AD37" s="11" t="s">
        <v>6</v>
      </c>
      <c r="AE37" s="18" t="s">
        <v>455</v>
      </c>
      <c r="AF37" s="14" t="s">
        <v>480</v>
      </c>
    </row>
    <row r="38" spans="1:32" ht="47.25" x14ac:dyDescent="0.25">
      <c r="A38" s="1">
        <v>884</v>
      </c>
      <c r="B38" s="2">
        <v>46035</v>
      </c>
      <c r="C38" s="1" t="s">
        <v>18</v>
      </c>
      <c r="D38" s="1" t="s">
        <v>9</v>
      </c>
      <c r="E38" s="1">
        <v>2</v>
      </c>
      <c r="F38" s="83">
        <v>22601011</v>
      </c>
      <c r="G38" s="4">
        <v>1260</v>
      </c>
      <c r="H38" s="88" t="s">
        <v>10</v>
      </c>
      <c r="I38" s="16" t="s">
        <v>371</v>
      </c>
      <c r="J38" s="16" t="s">
        <v>1705</v>
      </c>
      <c r="K38" s="4">
        <v>1566</v>
      </c>
      <c r="L38" s="4">
        <v>1540</v>
      </c>
      <c r="M38" s="5">
        <v>1539</v>
      </c>
      <c r="N38" s="5">
        <v>1538</v>
      </c>
      <c r="O38" s="5">
        <v>1537</v>
      </c>
      <c r="P38" s="30">
        <v>1538</v>
      </c>
      <c r="Q38" s="7">
        <v>5</v>
      </c>
      <c r="R38" s="4">
        <v>29</v>
      </c>
      <c r="S38" s="8">
        <v>6</v>
      </c>
      <c r="T38" s="8">
        <v>158.19999999999999</v>
      </c>
      <c r="U38" s="7">
        <v>58.2</v>
      </c>
      <c r="V38" s="10">
        <v>99.999999999999986</v>
      </c>
      <c r="W38" s="11" t="s">
        <v>5</v>
      </c>
      <c r="X38" s="16">
        <v>58</v>
      </c>
      <c r="Y38" s="12">
        <v>2.8866600000000004</v>
      </c>
      <c r="Z38" s="7">
        <v>9.9</v>
      </c>
      <c r="AA38" s="7">
        <v>10.1</v>
      </c>
      <c r="AB38" s="13">
        <v>82</v>
      </c>
      <c r="AC38" s="13">
        <v>78</v>
      </c>
      <c r="AD38" s="11" t="s">
        <v>6</v>
      </c>
      <c r="AE38" s="18" t="s">
        <v>53</v>
      </c>
      <c r="AF38" s="14" t="s">
        <v>1706</v>
      </c>
    </row>
    <row r="39" spans="1:32" ht="15.75" x14ac:dyDescent="0.25">
      <c r="A39" s="1">
        <v>889</v>
      </c>
      <c r="B39" s="2">
        <v>46035</v>
      </c>
      <c r="C39" s="1" t="s">
        <v>18</v>
      </c>
      <c r="D39" s="1" t="s">
        <v>9</v>
      </c>
      <c r="E39" s="1">
        <v>2</v>
      </c>
      <c r="F39" s="83">
        <v>22601011</v>
      </c>
      <c r="G39" s="4">
        <v>1250</v>
      </c>
      <c r="H39" s="88" t="s">
        <v>1701</v>
      </c>
      <c r="I39" s="16" t="s">
        <v>269</v>
      </c>
      <c r="J39" s="83" t="s">
        <v>1707</v>
      </c>
      <c r="K39" s="104">
        <v>1565</v>
      </c>
      <c r="L39" s="5">
        <v>1542</v>
      </c>
      <c r="M39" s="5">
        <v>1543</v>
      </c>
      <c r="N39" s="5">
        <v>1543</v>
      </c>
      <c r="O39" s="5">
        <v>1542</v>
      </c>
      <c r="P39" s="30">
        <v>1542.6666666666667</v>
      </c>
      <c r="Q39" s="7">
        <v>5</v>
      </c>
      <c r="R39" s="4">
        <v>33</v>
      </c>
      <c r="S39" s="8" t="s">
        <v>5</v>
      </c>
      <c r="T39" s="9">
        <v>160</v>
      </c>
      <c r="U39" s="7">
        <v>61</v>
      </c>
      <c r="V39" s="10">
        <v>99</v>
      </c>
      <c r="W39" s="11" t="s">
        <v>5</v>
      </c>
      <c r="X39" s="16">
        <v>56</v>
      </c>
      <c r="Y39" s="12">
        <v>2.7650000000000001</v>
      </c>
      <c r="Z39" s="7">
        <v>8.5</v>
      </c>
      <c r="AA39" s="7">
        <v>7.4</v>
      </c>
      <c r="AB39" s="7">
        <v>88</v>
      </c>
      <c r="AC39" s="7">
        <v>73</v>
      </c>
      <c r="AD39" s="11" t="s">
        <v>6</v>
      </c>
      <c r="AE39" s="18" t="s">
        <v>455</v>
      </c>
      <c r="AF39" s="14" t="s">
        <v>1708</v>
      </c>
    </row>
    <row r="40" spans="1:32" ht="31.5" x14ac:dyDescent="0.25">
      <c r="A40" s="1">
        <v>890</v>
      </c>
      <c r="B40" s="2">
        <v>46035</v>
      </c>
      <c r="C40" s="1" t="s">
        <v>18</v>
      </c>
      <c r="D40" s="1" t="s">
        <v>9</v>
      </c>
      <c r="E40" s="1">
        <v>2</v>
      </c>
      <c r="F40" s="83">
        <v>22601011</v>
      </c>
      <c r="G40" s="4">
        <v>1250</v>
      </c>
      <c r="H40" s="88" t="s">
        <v>1701</v>
      </c>
      <c r="I40" s="16" t="s">
        <v>129</v>
      </c>
      <c r="J40" s="83" t="s">
        <v>1709</v>
      </c>
      <c r="K40" s="4">
        <v>1565</v>
      </c>
      <c r="L40" s="5">
        <v>1542</v>
      </c>
      <c r="M40" s="5">
        <v>1541</v>
      </c>
      <c r="N40" s="5">
        <v>1540</v>
      </c>
      <c r="O40" s="5" t="s">
        <v>5</v>
      </c>
      <c r="P40" s="30">
        <v>1540.5</v>
      </c>
      <c r="Q40" s="5">
        <v>5.5</v>
      </c>
      <c r="R40" s="4">
        <v>43</v>
      </c>
      <c r="S40" s="8">
        <v>30</v>
      </c>
      <c r="T40" s="9">
        <v>161.19999999999999</v>
      </c>
      <c r="U40" s="5">
        <v>57.6</v>
      </c>
      <c r="V40" s="10">
        <v>103.6</v>
      </c>
      <c r="W40" s="11" t="s">
        <v>5</v>
      </c>
      <c r="X40" s="16">
        <v>56</v>
      </c>
      <c r="Y40" s="12">
        <v>3.0415000000000001</v>
      </c>
      <c r="Z40" s="8">
        <v>9.9</v>
      </c>
      <c r="AA40" s="8">
        <v>9.5500000000000007</v>
      </c>
      <c r="AB40" s="8">
        <v>77</v>
      </c>
      <c r="AC40" s="8">
        <v>75</v>
      </c>
      <c r="AD40" s="11" t="s">
        <v>6</v>
      </c>
      <c r="AE40" s="18" t="s">
        <v>455</v>
      </c>
      <c r="AF40" s="14" t="s">
        <v>907</v>
      </c>
    </row>
    <row r="41" spans="1:32" ht="31.5" x14ac:dyDescent="0.25">
      <c r="A41" s="1">
        <v>894</v>
      </c>
      <c r="B41" s="2">
        <v>46035</v>
      </c>
      <c r="C41" s="1" t="s">
        <v>18</v>
      </c>
      <c r="D41" s="1" t="s">
        <v>9</v>
      </c>
      <c r="E41" s="1">
        <v>2</v>
      </c>
      <c r="F41" s="83">
        <v>22601011</v>
      </c>
      <c r="G41" s="4">
        <v>1250</v>
      </c>
      <c r="H41" s="88" t="s">
        <v>1701</v>
      </c>
      <c r="I41" s="16" t="s">
        <v>419</v>
      </c>
      <c r="J41" s="16" t="s">
        <v>1710</v>
      </c>
      <c r="K41" s="1">
        <v>1570</v>
      </c>
      <c r="L41" s="5">
        <v>1549</v>
      </c>
      <c r="M41" s="5">
        <v>1550</v>
      </c>
      <c r="N41" s="5">
        <v>1550</v>
      </c>
      <c r="O41" s="5">
        <v>1550</v>
      </c>
      <c r="P41" s="30">
        <v>1550</v>
      </c>
      <c r="Q41" s="7">
        <v>5.3</v>
      </c>
      <c r="R41" s="4">
        <v>32</v>
      </c>
      <c r="S41" s="8">
        <v>39</v>
      </c>
      <c r="T41" s="9">
        <v>161</v>
      </c>
      <c r="U41" s="7">
        <v>53</v>
      </c>
      <c r="V41" s="10">
        <v>108</v>
      </c>
      <c r="W41" s="11" t="s">
        <v>5</v>
      </c>
      <c r="X41" s="16">
        <v>58</v>
      </c>
      <c r="Y41" s="12">
        <v>3.0355749999999997</v>
      </c>
      <c r="Z41" s="7">
        <v>10.5</v>
      </c>
      <c r="AA41" s="7">
        <v>9.8000000000000007</v>
      </c>
      <c r="AB41" s="13">
        <v>84</v>
      </c>
      <c r="AC41" s="13">
        <v>71</v>
      </c>
      <c r="AD41" s="11" t="s">
        <v>6</v>
      </c>
      <c r="AE41" s="18" t="s">
        <v>455</v>
      </c>
      <c r="AF41" s="14" t="s">
        <v>897</v>
      </c>
    </row>
    <row r="42" spans="1:32" ht="31.5" x14ac:dyDescent="0.25">
      <c r="A42" s="1">
        <v>895</v>
      </c>
      <c r="B42" s="2">
        <v>46035</v>
      </c>
      <c r="C42" s="1" t="s">
        <v>18</v>
      </c>
      <c r="D42" s="1" t="s">
        <v>9</v>
      </c>
      <c r="E42" s="1">
        <v>2</v>
      </c>
      <c r="F42" s="83">
        <v>22601011</v>
      </c>
      <c r="G42" s="4">
        <v>1250</v>
      </c>
      <c r="H42" s="88" t="s">
        <v>1095</v>
      </c>
      <c r="I42" s="16" t="s">
        <v>3</v>
      </c>
      <c r="J42" s="16" t="s">
        <v>1711</v>
      </c>
      <c r="K42" s="1">
        <v>1568</v>
      </c>
      <c r="L42" s="5">
        <v>1546</v>
      </c>
      <c r="M42" s="5">
        <v>1546</v>
      </c>
      <c r="N42" s="5">
        <v>1546</v>
      </c>
      <c r="O42" s="5">
        <v>1546</v>
      </c>
      <c r="P42" s="30">
        <v>1546</v>
      </c>
      <c r="Q42" s="7">
        <v>5</v>
      </c>
      <c r="R42" s="4">
        <v>41</v>
      </c>
      <c r="S42" s="8">
        <v>2</v>
      </c>
      <c r="T42" s="9">
        <v>165.1</v>
      </c>
      <c r="U42" s="7">
        <v>61</v>
      </c>
      <c r="V42" s="10">
        <v>104.1</v>
      </c>
      <c r="W42" s="11" t="s">
        <v>5</v>
      </c>
      <c r="X42" s="16">
        <v>58</v>
      </c>
      <c r="Y42" s="12">
        <v>2.86375</v>
      </c>
      <c r="Z42" s="7">
        <v>10.4</v>
      </c>
      <c r="AA42" s="7">
        <v>9.1</v>
      </c>
      <c r="AB42" s="13">
        <v>81</v>
      </c>
      <c r="AC42" s="13">
        <v>74</v>
      </c>
      <c r="AD42" s="11" t="s">
        <v>6</v>
      </c>
      <c r="AE42" s="18" t="s">
        <v>455</v>
      </c>
      <c r="AF42" s="14" t="s">
        <v>1712</v>
      </c>
    </row>
    <row r="43" spans="1:32" ht="15.75" x14ac:dyDescent="0.25">
      <c r="A43" s="1">
        <v>915</v>
      </c>
      <c r="B43" s="2">
        <v>46035</v>
      </c>
      <c r="C43" s="1" t="s">
        <v>264</v>
      </c>
      <c r="D43" s="1" t="s">
        <v>265</v>
      </c>
      <c r="E43" s="1">
        <v>2</v>
      </c>
      <c r="F43" s="83">
        <v>22601011</v>
      </c>
      <c r="G43" s="4">
        <v>1250</v>
      </c>
      <c r="H43" s="88" t="s">
        <v>225</v>
      </c>
      <c r="I43" s="16" t="s">
        <v>273</v>
      </c>
      <c r="J43" s="16" t="s">
        <v>1713</v>
      </c>
      <c r="K43" s="16">
        <v>1564</v>
      </c>
      <c r="L43" s="4">
        <v>1549</v>
      </c>
      <c r="M43" s="5">
        <v>1550</v>
      </c>
      <c r="N43" s="5">
        <v>1549</v>
      </c>
      <c r="O43" s="5" t="s">
        <v>5</v>
      </c>
      <c r="P43" s="30">
        <v>1549.5</v>
      </c>
      <c r="Q43" s="7">
        <v>4.3</v>
      </c>
      <c r="R43" s="4">
        <v>39</v>
      </c>
      <c r="S43" s="8">
        <v>4</v>
      </c>
      <c r="T43" s="9">
        <v>161.1</v>
      </c>
      <c r="U43" s="7">
        <v>60</v>
      </c>
      <c r="V43" s="10">
        <v>101.1</v>
      </c>
      <c r="W43" s="11" t="s">
        <v>5</v>
      </c>
      <c r="X43" s="16">
        <v>58</v>
      </c>
      <c r="Y43" s="12">
        <v>2.4628249999999996</v>
      </c>
      <c r="Z43" s="7">
        <v>10.199999999999999</v>
      </c>
      <c r="AA43" s="7">
        <v>8.3000000000000007</v>
      </c>
      <c r="AB43" s="13">
        <v>89</v>
      </c>
      <c r="AC43" s="13">
        <v>71</v>
      </c>
      <c r="AD43" s="11" t="s">
        <v>6</v>
      </c>
      <c r="AE43" s="18" t="s">
        <v>455</v>
      </c>
      <c r="AF43" s="14" t="s">
        <v>1432</v>
      </c>
    </row>
    <row r="44" spans="1:32" ht="47.25" x14ac:dyDescent="0.25">
      <c r="A44" s="1">
        <v>1022</v>
      </c>
      <c r="B44" s="2">
        <v>46036</v>
      </c>
      <c r="C44" s="1" t="s">
        <v>0</v>
      </c>
      <c r="D44" s="1" t="s">
        <v>19</v>
      </c>
      <c r="E44" s="1">
        <v>2</v>
      </c>
      <c r="F44" s="1">
        <v>22601013</v>
      </c>
      <c r="G44" s="4">
        <v>1230</v>
      </c>
      <c r="H44" s="88" t="s">
        <v>10</v>
      </c>
      <c r="I44" s="16" t="s">
        <v>90</v>
      </c>
      <c r="J44" s="83" t="s">
        <v>1714</v>
      </c>
      <c r="K44" s="4">
        <v>1573</v>
      </c>
      <c r="L44" s="5">
        <v>1538</v>
      </c>
      <c r="M44" s="5">
        <v>1544</v>
      </c>
      <c r="N44" s="5">
        <v>1548</v>
      </c>
      <c r="O44" s="5">
        <v>1549</v>
      </c>
      <c r="P44" s="30">
        <v>1547</v>
      </c>
      <c r="Q44" s="7">
        <v>5</v>
      </c>
      <c r="R44" s="4">
        <v>34</v>
      </c>
      <c r="S44" s="7">
        <v>2</v>
      </c>
      <c r="T44" s="9">
        <v>153.99</v>
      </c>
      <c r="U44" s="9">
        <v>60.2</v>
      </c>
      <c r="V44" s="118">
        <v>93.79</v>
      </c>
      <c r="W44" s="7" t="s">
        <v>5</v>
      </c>
      <c r="X44" s="7">
        <v>58</v>
      </c>
      <c r="Y44" s="12">
        <v>2.81793</v>
      </c>
      <c r="Z44" s="7">
        <v>11.2</v>
      </c>
      <c r="AA44" s="7">
        <v>10.6</v>
      </c>
      <c r="AB44" s="13">
        <v>89</v>
      </c>
      <c r="AC44" s="13">
        <v>85</v>
      </c>
      <c r="AD44" s="11" t="s">
        <v>6</v>
      </c>
      <c r="AE44" s="14" t="s">
        <v>72</v>
      </c>
      <c r="AF44" s="14" t="s">
        <v>1715</v>
      </c>
    </row>
    <row r="45" spans="1:32" ht="47.25" x14ac:dyDescent="0.25">
      <c r="A45" s="1">
        <v>1023</v>
      </c>
      <c r="B45" s="2">
        <v>46036</v>
      </c>
      <c r="C45" s="1" t="s">
        <v>0</v>
      </c>
      <c r="D45" s="1" t="s">
        <v>19</v>
      </c>
      <c r="E45" s="1">
        <v>2</v>
      </c>
      <c r="F45" s="1">
        <v>22601013</v>
      </c>
      <c r="G45" s="4">
        <v>1230</v>
      </c>
      <c r="H45" s="88" t="s">
        <v>10</v>
      </c>
      <c r="I45" s="16" t="s">
        <v>70</v>
      </c>
      <c r="J45" s="16" t="s">
        <v>1716</v>
      </c>
      <c r="K45" s="4">
        <v>1569</v>
      </c>
      <c r="L45" s="5">
        <v>1546</v>
      </c>
      <c r="M45" s="5">
        <v>1544</v>
      </c>
      <c r="N45" s="5">
        <v>1545</v>
      </c>
      <c r="O45" s="5" t="s">
        <v>5</v>
      </c>
      <c r="P45" s="30">
        <v>1553</v>
      </c>
      <c r="Q45" s="7">
        <v>5</v>
      </c>
      <c r="R45" s="4">
        <v>35</v>
      </c>
      <c r="S45" s="7" t="s">
        <v>5</v>
      </c>
      <c r="T45" s="8">
        <v>156.69999999999999</v>
      </c>
      <c r="U45" s="8">
        <v>57</v>
      </c>
      <c r="V45" s="118">
        <v>99.699999999999989</v>
      </c>
      <c r="W45" s="7" t="s">
        <v>5</v>
      </c>
      <c r="X45" s="7">
        <v>58</v>
      </c>
      <c r="Y45" s="12">
        <v>2.81793</v>
      </c>
      <c r="Z45" s="7">
        <v>11.6</v>
      </c>
      <c r="AA45" s="7">
        <v>10.7</v>
      </c>
      <c r="AB45" s="13">
        <v>91</v>
      </c>
      <c r="AC45" s="13">
        <v>84</v>
      </c>
      <c r="AD45" s="11" t="s">
        <v>6</v>
      </c>
      <c r="AE45" s="14" t="s">
        <v>72</v>
      </c>
      <c r="AF45" s="14" t="s">
        <v>1717</v>
      </c>
    </row>
    <row r="46" spans="1:32" ht="47.25" x14ac:dyDescent="0.25">
      <c r="A46" s="1">
        <v>1024</v>
      </c>
      <c r="B46" s="2">
        <v>46036</v>
      </c>
      <c r="C46" s="1" t="s">
        <v>0</v>
      </c>
      <c r="D46" s="1" t="s">
        <v>19</v>
      </c>
      <c r="E46" s="1">
        <v>2</v>
      </c>
      <c r="F46" s="1">
        <v>22601013</v>
      </c>
      <c r="G46" s="4">
        <v>1230</v>
      </c>
      <c r="H46" s="88" t="s">
        <v>10</v>
      </c>
      <c r="I46" s="16" t="s">
        <v>93</v>
      </c>
      <c r="J46" s="16" t="s">
        <v>1718</v>
      </c>
      <c r="K46" s="4">
        <v>1574</v>
      </c>
      <c r="L46" s="4">
        <v>1545</v>
      </c>
      <c r="M46" s="5">
        <v>1548</v>
      </c>
      <c r="N46" s="5">
        <v>1547</v>
      </c>
      <c r="O46" s="5" t="s">
        <v>5</v>
      </c>
      <c r="P46" s="30">
        <v>1547.5</v>
      </c>
      <c r="Q46" s="7">
        <v>4.5</v>
      </c>
      <c r="R46" s="4">
        <v>38</v>
      </c>
      <c r="S46" s="7" t="s">
        <v>5</v>
      </c>
      <c r="T46" s="9">
        <v>154</v>
      </c>
      <c r="U46" s="9">
        <v>60.4</v>
      </c>
      <c r="V46" s="118">
        <v>93.6</v>
      </c>
      <c r="W46" s="7" t="s">
        <v>5</v>
      </c>
      <c r="X46" s="7">
        <v>58</v>
      </c>
      <c r="Y46" s="12">
        <v>2.5361370000000001</v>
      </c>
      <c r="Z46" s="7">
        <v>9.5</v>
      </c>
      <c r="AA46" s="7">
        <v>8.6999999999999993</v>
      </c>
      <c r="AB46" s="13">
        <v>95</v>
      </c>
      <c r="AC46" s="13">
        <v>74</v>
      </c>
      <c r="AD46" s="11" t="s">
        <v>6</v>
      </c>
      <c r="AE46" s="14" t="s">
        <v>72</v>
      </c>
      <c r="AF46" s="14" t="s">
        <v>1719</v>
      </c>
    </row>
    <row r="47" spans="1:32" ht="47.25" x14ac:dyDescent="0.25">
      <c r="A47" s="1">
        <v>1025</v>
      </c>
      <c r="B47" s="2">
        <v>46036</v>
      </c>
      <c r="C47" s="1" t="s">
        <v>0</v>
      </c>
      <c r="D47" s="1" t="s">
        <v>19</v>
      </c>
      <c r="E47" s="1">
        <v>2</v>
      </c>
      <c r="F47" s="1">
        <v>22601013</v>
      </c>
      <c r="G47" s="4">
        <v>1230</v>
      </c>
      <c r="H47" s="88" t="s">
        <v>10</v>
      </c>
      <c r="I47" s="16" t="s">
        <v>74</v>
      </c>
      <c r="J47" s="16" t="s">
        <v>1720</v>
      </c>
      <c r="K47" s="4" t="s">
        <v>5</v>
      </c>
      <c r="L47" s="4">
        <v>1549</v>
      </c>
      <c r="M47" s="5">
        <v>1550</v>
      </c>
      <c r="N47" s="5">
        <v>1547</v>
      </c>
      <c r="O47" s="5" t="s">
        <v>5</v>
      </c>
      <c r="P47" s="30">
        <v>1548.5</v>
      </c>
      <c r="Q47" s="7">
        <v>4.5</v>
      </c>
      <c r="R47" s="4">
        <v>40</v>
      </c>
      <c r="S47" s="7" t="s">
        <v>5</v>
      </c>
      <c r="T47" s="8">
        <v>159.26</v>
      </c>
      <c r="U47" s="8">
        <v>52</v>
      </c>
      <c r="V47" s="118">
        <v>107.25999999999999</v>
      </c>
      <c r="W47" s="7" t="s">
        <v>5</v>
      </c>
      <c r="X47" s="7">
        <v>58</v>
      </c>
      <c r="Y47" s="12">
        <v>2.5361370000000001</v>
      </c>
      <c r="Z47" s="7">
        <v>10.9</v>
      </c>
      <c r="AA47" s="7">
        <v>9.1999999999999993</v>
      </c>
      <c r="AB47" s="13">
        <v>95</v>
      </c>
      <c r="AC47" s="13">
        <v>82</v>
      </c>
      <c r="AD47" s="11" t="s">
        <v>6</v>
      </c>
      <c r="AE47" s="14" t="s">
        <v>72</v>
      </c>
      <c r="AF47" s="14" t="s">
        <v>1721</v>
      </c>
    </row>
    <row r="48" spans="1:32" ht="47.25" x14ac:dyDescent="0.25">
      <c r="A48" s="1">
        <v>1029</v>
      </c>
      <c r="B48" s="2">
        <v>46036</v>
      </c>
      <c r="C48" s="1" t="s">
        <v>0</v>
      </c>
      <c r="D48" s="1" t="s">
        <v>19</v>
      </c>
      <c r="E48" s="1">
        <v>2</v>
      </c>
      <c r="F48" s="1">
        <v>22601014</v>
      </c>
      <c r="G48" s="4">
        <v>1230</v>
      </c>
      <c r="H48" s="88" t="s">
        <v>10</v>
      </c>
      <c r="I48" s="16" t="s">
        <v>194</v>
      </c>
      <c r="J48" s="16" t="s">
        <v>1722</v>
      </c>
      <c r="K48" s="4">
        <v>1567</v>
      </c>
      <c r="L48" s="4">
        <v>1546</v>
      </c>
      <c r="M48" s="5">
        <v>1547</v>
      </c>
      <c r="N48" s="5">
        <v>1543</v>
      </c>
      <c r="O48" s="5">
        <v>1544</v>
      </c>
      <c r="P48" s="30">
        <v>1544.6666666666667</v>
      </c>
      <c r="Q48" s="7">
        <v>5</v>
      </c>
      <c r="R48" s="4">
        <v>38</v>
      </c>
      <c r="S48" s="8">
        <v>36</v>
      </c>
      <c r="T48" s="8">
        <v>166</v>
      </c>
      <c r="U48" s="8">
        <v>53</v>
      </c>
      <c r="V48" s="118">
        <v>113</v>
      </c>
      <c r="W48" s="7" t="s">
        <v>5</v>
      </c>
      <c r="X48" s="7">
        <v>58</v>
      </c>
      <c r="Y48" s="12">
        <v>2.81793</v>
      </c>
      <c r="Z48" s="7">
        <v>9.1999999999999993</v>
      </c>
      <c r="AA48" s="7">
        <v>9.9</v>
      </c>
      <c r="AB48" s="13">
        <v>75</v>
      </c>
      <c r="AC48" s="13">
        <v>79</v>
      </c>
      <c r="AD48" s="11" t="s">
        <v>6</v>
      </c>
      <c r="AE48" s="14" t="s">
        <v>72</v>
      </c>
      <c r="AF48" s="14" t="s">
        <v>1723</v>
      </c>
    </row>
    <row r="49" spans="1:32" ht="31.5" x14ac:dyDescent="0.25">
      <c r="A49" s="1">
        <v>1055</v>
      </c>
      <c r="B49" s="2">
        <v>46037</v>
      </c>
      <c r="C49" s="1" t="s">
        <v>18</v>
      </c>
      <c r="D49" s="1" t="s">
        <v>1</v>
      </c>
      <c r="E49" s="1">
        <v>2</v>
      </c>
      <c r="F49" s="1">
        <v>22601014</v>
      </c>
      <c r="G49" s="4">
        <v>1230</v>
      </c>
      <c r="H49" s="88" t="s">
        <v>10</v>
      </c>
      <c r="I49" s="16" t="s">
        <v>315</v>
      </c>
      <c r="J49" s="16" t="s">
        <v>1724</v>
      </c>
      <c r="K49" s="4">
        <v>1566</v>
      </c>
      <c r="L49" s="99">
        <v>1547</v>
      </c>
      <c r="M49" s="4">
        <v>1549</v>
      </c>
      <c r="N49" s="5">
        <v>1548</v>
      </c>
      <c r="O49" s="5">
        <v>1548</v>
      </c>
      <c r="P49" s="30">
        <v>1548.3333333333333</v>
      </c>
      <c r="Q49" s="7">
        <v>4.8</v>
      </c>
      <c r="R49" s="4">
        <v>42</v>
      </c>
      <c r="S49" s="7">
        <v>2</v>
      </c>
      <c r="T49" s="9">
        <v>164.9</v>
      </c>
      <c r="U49" s="9">
        <v>51.2</v>
      </c>
      <c r="V49" s="118">
        <v>113.7</v>
      </c>
      <c r="W49" s="7" t="s">
        <v>5</v>
      </c>
      <c r="X49" s="7">
        <v>58</v>
      </c>
      <c r="Y49" s="12">
        <v>2.7052128</v>
      </c>
      <c r="Z49" s="7">
        <v>9.6999999999999993</v>
      </c>
      <c r="AA49" s="7">
        <v>9.9</v>
      </c>
      <c r="AB49" s="13">
        <v>75</v>
      </c>
      <c r="AC49" s="13">
        <v>77</v>
      </c>
      <c r="AD49" s="7" t="s">
        <v>6</v>
      </c>
      <c r="AE49" s="94" t="s">
        <v>1725</v>
      </c>
      <c r="AF49" s="14" t="s">
        <v>1726</v>
      </c>
    </row>
    <row r="50" spans="1:32" ht="15.75" x14ac:dyDescent="0.25">
      <c r="A50" s="1">
        <v>1080</v>
      </c>
      <c r="B50" s="2">
        <v>46037</v>
      </c>
      <c r="C50" s="1" t="s">
        <v>264</v>
      </c>
      <c r="D50" s="1" t="s">
        <v>265</v>
      </c>
      <c r="E50" s="1">
        <v>2</v>
      </c>
      <c r="F50" s="1">
        <v>22601014</v>
      </c>
      <c r="G50" s="4">
        <v>1230</v>
      </c>
      <c r="H50" s="88" t="s">
        <v>10</v>
      </c>
      <c r="I50" s="16" t="s">
        <v>331</v>
      </c>
      <c r="J50" s="16" t="s">
        <v>1727</v>
      </c>
      <c r="K50" s="4">
        <v>1563</v>
      </c>
      <c r="L50" s="4">
        <v>1548</v>
      </c>
      <c r="M50" s="5">
        <v>1549</v>
      </c>
      <c r="N50" s="5">
        <v>1547</v>
      </c>
      <c r="O50" s="5">
        <v>1548</v>
      </c>
      <c r="P50" s="30">
        <v>1548</v>
      </c>
      <c r="Q50" s="7">
        <v>5</v>
      </c>
      <c r="R50" s="4">
        <v>35</v>
      </c>
      <c r="S50" s="7">
        <v>31</v>
      </c>
      <c r="T50" s="8">
        <v>163</v>
      </c>
      <c r="U50" s="8">
        <v>65</v>
      </c>
      <c r="V50" s="118">
        <v>98</v>
      </c>
      <c r="W50" s="7" t="s">
        <v>5</v>
      </c>
      <c r="X50" s="7">
        <v>58</v>
      </c>
      <c r="Y50" s="12">
        <v>2.81793</v>
      </c>
      <c r="Z50" s="7">
        <v>10.199999999999999</v>
      </c>
      <c r="AA50" s="7">
        <v>10.4</v>
      </c>
      <c r="AB50" s="13">
        <v>75</v>
      </c>
      <c r="AC50" s="13">
        <v>77</v>
      </c>
      <c r="AD50" s="7" t="s">
        <v>6</v>
      </c>
      <c r="AE50" s="14" t="s">
        <v>1725</v>
      </c>
      <c r="AF50" s="14" t="s">
        <v>397</v>
      </c>
    </row>
    <row r="51" spans="1:32" ht="15.75" x14ac:dyDescent="0.25">
      <c r="A51" s="1">
        <v>1082</v>
      </c>
      <c r="B51" s="2">
        <v>46037</v>
      </c>
      <c r="C51" s="1" t="s">
        <v>264</v>
      </c>
      <c r="D51" s="1" t="s">
        <v>265</v>
      </c>
      <c r="E51" s="1">
        <v>2</v>
      </c>
      <c r="F51" s="1">
        <v>22601014</v>
      </c>
      <c r="G51" s="4">
        <v>1230</v>
      </c>
      <c r="H51" s="88" t="s">
        <v>10</v>
      </c>
      <c r="I51" s="16" t="s">
        <v>11</v>
      </c>
      <c r="J51" s="16" t="s">
        <v>1728</v>
      </c>
      <c r="K51" s="4">
        <v>1564</v>
      </c>
      <c r="L51" s="4">
        <v>1549</v>
      </c>
      <c r="M51" s="5">
        <v>1551</v>
      </c>
      <c r="N51" s="5">
        <v>1551</v>
      </c>
      <c r="O51" s="5">
        <v>1550</v>
      </c>
      <c r="P51" s="30">
        <v>1550.6666666666667</v>
      </c>
      <c r="Q51" s="7">
        <v>5.5</v>
      </c>
      <c r="R51" s="4">
        <v>32</v>
      </c>
      <c r="S51" s="7">
        <v>17</v>
      </c>
      <c r="T51" s="9">
        <v>162.69999999999999</v>
      </c>
      <c r="U51" s="9">
        <v>58.7</v>
      </c>
      <c r="V51" s="118">
        <v>103.99999999999999</v>
      </c>
      <c r="W51" s="7" t="s">
        <v>5</v>
      </c>
      <c r="X51" s="7">
        <v>58</v>
      </c>
      <c r="Y51" s="12">
        <v>3.099723</v>
      </c>
      <c r="Z51" s="7">
        <v>9.6</v>
      </c>
      <c r="AA51" s="7">
        <v>9.3000000000000007</v>
      </c>
      <c r="AB51" s="13">
        <v>78</v>
      </c>
      <c r="AC51" s="13">
        <v>73</v>
      </c>
      <c r="AD51" s="7" t="s">
        <v>6</v>
      </c>
      <c r="AE51" s="14" t="s">
        <v>455</v>
      </c>
      <c r="AF51" s="14" t="s">
        <v>706</v>
      </c>
    </row>
    <row r="52" spans="1:32" ht="15.75" x14ac:dyDescent="0.25">
      <c r="A52" s="1">
        <v>1084</v>
      </c>
      <c r="B52" s="2">
        <v>46037</v>
      </c>
      <c r="C52" s="1" t="s">
        <v>264</v>
      </c>
      <c r="D52" s="1" t="s">
        <v>265</v>
      </c>
      <c r="E52" s="1">
        <v>2</v>
      </c>
      <c r="F52" s="1">
        <v>22601014</v>
      </c>
      <c r="G52" s="4">
        <v>1230</v>
      </c>
      <c r="H52" s="88" t="s">
        <v>10</v>
      </c>
      <c r="I52" s="16" t="s">
        <v>66</v>
      </c>
      <c r="J52" s="16" t="s">
        <v>1729</v>
      </c>
      <c r="K52" s="4">
        <v>1562</v>
      </c>
      <c r="L52" s="5">
        <v>1548</v>
      </c>
      <c r="M52" s="5">
        <v>1551</v>
      </c>
      <c r="N52" s="5">
        <v>1552</v>
      </c>
      <c r="O52" s="5">
        <v>1553</v>
      </c>
      <c r="P52" s="30">
        <v>1552</v>
      </c>
      <c r="Q52" s="7">
        <v>5.5</v>
      </c>
      <c r="R52" s="4">
        <v>33</v>
      </c>
      <c r="S52" s="7">
        <v>29</v>
      </c>
      <c r="T52" s="8">
        <v>162.9</v>
      </c>
      <c r="U52" s="8">
        <v>63.6</v>
      </c>
      <c r="V52" s="118">
        <v>99.300000000000011</v>
      </c>
      <c r="W52" s="7" t="s">
        <v>5</v>
      </c>
      <c r="X52" s="7">
        <v>58</v>
      </c>
      <c r="Y52" s="12">
        <v>3.099723</v>
      </c>
      <c r="Z52" s="7">
        <v>8.4</v>
      </c>
      <c r="AA52" s="7">
        <v>7.6</v>
      </c>
      <c r="AB52" s="13">
        <v>69</v>
      </c>
      <c r="AC52" s="13">
        <v>66</v>
      </c>
      <c r="AD52" s="7" t="s">
        <v>6</v>
      </c>
      <c r="AE52" s="14" t="s">
        <v>1725</v>
      </c>
      <c r="AF52" s="14" t="s">
        <v>1730</v>
      </c>
    </row>
    <row r="53" spans="1:32" ht="15.75" x14ac:dyDescent="0.25">
      <c r="A53" s="1">
        <v>1085</v>
      </c>
      <c r="B53" s="2">
        <v>46037</v>
      </c>
      <c r="C53" s="1" t="s">
        <v>264</v>
      </c>
      <c r="D53" s="1" t="s">
        <v>265</v>
      </c>
      <c r="E53" s="1">
        <v>2</v>
      </c>
      <c r="F53" s="1">
        <v>22601014</v>
      </c>
      <c r="G53" s="4">
        <v>1230</v>
      </c>
      <c r="H53" s="88" t="s">
        <v>10</v>
      </c>
      <c r="I53" s="16" t="s">
        <v>15</v>
      </c>
      <c r="J53" s="16" t="s">
        <v>1731</v>
      </c>
      <c r="K53" s="4">
        <v>1563</v>
      </c>
      <c r="L53" s="5">
        <v>1545</v>
      </c>
      <c r="M53" s="5">
        <v>1542</v>
      </c>
      <c r="N53" s="5">
        <v>1540</v>
      </c>
      <c r="O53" s="5" t="s">
        <v>5</v>
      </c>
      <c r="P53" s="30">
        <v>1541</v>
      </c>
      <c r="Q53" s="7">
        <v>4.3</v>
      </c>
      <c r="R53" s="4">
        <v>41</v>
      </c>
      <c r="S53" s="7">
        <v>32</v>
      </c>
      <c r="T53" s="9">
        <v>165.3</v>
      </c>
      <c r="U53" s="9">
        <v>58.7</v>
      </c>
      <c r="V53" s="118">
        <v>106.60000000000001</v>
      </c>
      <c r="W53" s="7" t="s">
        <v>5</v>
      </c>
      <c r="X53" s="7">
        <v>58</v>
      </c>
      <c r="Y53" s="12">
        <v>2.4234198</v>
      </c>
      <c r="Z53" s="7">
        <v>9.5</v>
      </c>
      <c r="AA53" s="7">
        <v>9.1999999999999993</v>
      </c>
      <c r="AB53" s="13">
        <v>85</v>
      </c>
      <c r="AC53" s="13">
        <v>79</v>
      </c>
      <c r="AD53" s="7" t="s">
        <v>6</v>
      </c>
      <c r="AE53" s="14" t="s">
        <v>72</v>
      </c>
      <c r="AF53" s="14" t="s">
        <v>397</v>
      </c>
    </row>
    <row r="54" spans="1:32" ht="31.5" x14ac:dyDescent="0.25">
      <c r="A54" s="1">
        <v>1102</v>
      </c>
      <c r="B54" s="2">
        <v>46037</v>
      </c>
      <c r="C54" s="1" t="s">
        <v>0</v>
      </c>
      <c r="D54" s="1" t="s">
        <v>258</v>
      </c>
      <c r="E54" s="1">
        <v>2</v>
      </c>
      <c r="F54" s="1">
        <v>22601014</v>
      </c>
      <c r="G54" s="4">
        <v>1230</v>
      </c>
      <c r="H54" s="88" t="s">
        <v>10</v>
      </c>
      <c r="I54" s="16" t="s">
        <v>416</v>
      </c>
      <c r="J54" s="83" t="s">
        <v>1732</v>
      </c>
      <c r="K54" s="4">
        <v>1566</v>
      </c>
      <c r="L54" s="5">
        <v>1549</v>
      </c>
      <c r="M54" s="5">
        <v>1550</v>
      </c>
      <c r="N54" s="5">
        <v>1547</v>
      </c>
      <c r="O54" s="5">
        <v>1548</v>
      </c>
      <c r="P54" s="30">
        <v>1548.3333333333333</v>
      </c>
      <c r="Q54" s="7">
        <v>5.2</v>
      </c>
      <c r="R54" s="4">
        <v>37</v>
      </c>
      <c r="S54" s="7">
        <v>39</v>
      </c>
      <c r="T54" s="9">
        <v>171.4</v>
      </c>
      <c r="U54" s="9">
        <v>50.4</v>
      </c>
      <c r="V54" s="118">
        <v>121</v>
      </c>
      <c r="W54" s="7" t="s">
        <v>5</v>
      </c>
      <c r="X54" s="7">
        <v>58</v>
      </c>
      <c r="Y54" s="12">
        <v>2.9306472000000001</v>
      </c>
      <c r="Z54" s="7">
        <v>10.8</v>
      </c>
      <c r="AA54" s="7">
        <v>10.4</v>
      </c>
      <c r="AB54" s="13">
        <v>87</v>
      </c>
      <c r="AC54" s="13">
        <v>83</v>
      </c>
      <c r="AD54" s="11" t="s">
        <v>6</v>
      </c>
      <c r="AE54" s="14" t="s">
        <v>455</v>
      </c>
      <c r="AF54" s="14" t="s">
        <v>1733</v>
      </c>
    </row>
    <row r="55" spans="1:32" ht="15.75" x14ac:dyDescent="0.25">
      <c r="A55" s="1">
        <v>1103</v>
      </c>
      <c r="B55" s="2">
        <v>46037</v>
      </c>
      <c r="C55" s="1" t="s">
        <v>0</v>
      </c>
      <c r="D55" s="1" t="s">
        <v>258</v>
      </c>
      <c r="E55" s="1">
        <v>2</v>
      </c>
      <c r="F55" s="1">
        <v>22601014</v>
      </c>
      <c r="G55" s="4">
        <v>1230</v>
      </c>
      <c r="H55" s="88" t="s">
        <v>10</v>
      </c>
      <c r="I55" s="16" t="s">
        <v>303</v>
      </c>
      <c r="J55" s="16" t="s">
        <v>1734</v>
      </c>
      <c r="K55" s="4">
        <v>1567</v>
      </c>
      <c r="L55" s="5">
        <v>1546</v>
      </c>
      <c r="M55" s="5">
        <v>1547</v>
      </c>
      <c r="N55" s="5">
        <v>1545</v>
      </c>
      <c r="O55" s="5">
        <v>1547</v>
      </c>
      <c r="P55" s="30">
        <v>1553</v>
      </c>
      <c r="Q55" s="7">
        <v>5.7</v>
      </c>
      <c r="R55" s="4">
        <v>27</v>
      </c>
      <c r="S55" s="7">
        <v>2</v>
      </c>
      <c r="T55" s="8">
        <v>155.19999999999999</v>
      </c>
      <c r="U55" s="8">
        <v>61.1</v>
      </c>
      <c r="V55" s="118">
        <v>94.1</v>
      </c>
      <c r="W55" s="7" t="s">
        <v>5</v>
      </c>
      <c r="X55" s="7">
        <v>58</v>
      </c>
      <c r="Y55" s="12">
        <v>3.2124402000000001</v>
      </c>
      <c r="Z55" s="7">
        <v>9.6</v>
      </c>
      <c r="AA55" s="7">
        <v>9.1999999999999993</v>
      </c>
      <c r="AB55" s="13">
        <v>93</v>
      </c>
      <c r="AC55" s="13">
        <v>96</v>
      </c>
      <c r="AD55" s="11" t="s">
        <v>6</v>
      </c>
      <c r="AE55" s="14" t="s">
        <v>455</v>
      </c>
      <c r="AF55" s="14" t="s">
        <v>706</v>
      </c>
    </row>
    <row r="56" spans="1:32" ht="31.5" x14ac:dyDescent="0.25">
      <c r="A56" s="1">
        <v>1135</v>
      </c>
      <c r="B56" s="2">
        <v>46038</v>
      </c>
      <c r="C56" s="1" t="s">
        <v>18</v>
      </c>
      <c r="D56" s="1" t="s">
        <v>1</v>
      </c>
      <c r="E56" s="1">
        <v>2</v>
      </c>
      <c r="F56" s="83">
        <v>22601015</v>
      </c>
      <c r="G56" s="4">
        <v>1345</v>
      </c>
      <c r="H56" s="88" t="s">
        <v>1588</v>
      </c>
      <c r="I56" s="16" t="s">
        <v>229</v>
      </c>
      <c r="J56" s="83" t="s">
        <v>1735</v>
      </c>
      <c r="K56" s="1">
        <v>1564</v>
      </c>
      <c r="L56" s="5">
        <v>1549</v>
      </c>
      <c r="M56" s="5">
        <v>1549</v>
      </c>
      <c r="N56" s="5">
        <v>1550</v>
      </c>
      <c r="O56" s="5">
        <v>1550</v>
      </c>
      <c r="P56" s="30">
        <v>1549.6666666666667</v>
      </c>
      <c r="Q56" s="7">
        <v>5.3</v>
      </c>
      <c r="R56" s="4">
        <v>38</v>
      </c>
      <c r="S56" s="8">
        <v>12</v>
      </c>
      <c r="T56" s="9">
        <v>165</v>
      </c>
      <c r="U56" s="5">
        <v>51</v>
      </c>
      <c r="V56" s="118">
        <v>114</v>
      </c>
      <c r="W56" s="11" t="s">
        <v>5</v>
      </c>
      <c r="X56" s="16">
        <v>56</v>
      </c>
      <c r="Y56" s="12">
        <v>3.1536483999999998</v>
      </c>
      <c r="Z56" s="8">
        <v>11</v>
      </c>
      <c r="AA56" s="8">
        <v>11.2</v>
      </c>
      <c r="AB56" s="8">
        <v>74</v>
      </c>
      <c r="AC56" s="8">
        <v>87</v>
      </c>
      <c r="AD56" s="11" t="s">
        <v>6</v>
      </c>
      <c r="AE56" s="18" t="s">
        <v>455</v>
      </c>
      <c r="AF56" s="14" t="s">
        <v>1736</v>
      </c>
    </row>
    <row r="57" spans="1:32" ht="31.5" x14ac:dyDescent="0.25">
      <c r="A57" s="1">
        <v>1187</v>
      </c>
      <c r="B57" s="2">
        <v>46038</v>
      </c>
      <c r="C57" s="1" t="s">
        <v>0</v>
      </c>
      <c r="D57" s="1" t="s">
        <v>258</v>
      </c>
      <c r="E57" s="1">
        <v>2</v>
      </c>
      <c r="F57" s="83">
        <v>22601015</v>
      </c>
      <c r="G57" s="4">
        <v>1320</v>
      </c>
      <c r="H57" s="88" t="s">
        <v>1159</v>
      </c>
      <c r="I57" s="16" t="s">
        <v>277</v>
      </c>
      <c r="J57" s="16" t="s">
        <v>1737</v>
      </c>
      <c r="K57" s="99">
        <v>1562</v>
      </c>
      <c r="L57" s="4">
        <v>1550</v>
      </c>
      <c r="M57" s="5">
        <v>1551</v>
      </c>
      <c r="N57" s="5">
        <v>1550</v>
      </c>
      <c r="O57" s="5">
        <v>1549</v>
      </c>
      <c r="P57" s="30">
        <v>1550</v>
      </c>
      <c r="Q57" s="7">
        <v>5.5</v>
      </c>
      <c r="R57" s="4">
        <v>32</v>
      </c>
      <c r="S57" s="8">
        <v>27</v>
      </c>
      <c r="T57" s="9">
        <v>166</v>
      </c>
      <c r="U57" s="7">
        <v>53</v>
      </c>
      <c r="V57" s="118">
        <v>113</v>
      </c>
      <c r="W57" s="11" t="s">
        <v>5</v>
      </c>
      <c r="X57" s="16">
        <v>56</v>
      </c>
      <c r="Y57" s="12">
        <v>3.211824</v>
      </c>
      <c r="Z57" s="7">
        <v>10.5</v>
      </c>
      <c r="AA57" s="7">
        <v>10.5</v>
      </c>
      <c r="AB57" s="7">
        <v>80</v>
      </c>
      <c r="AC57" s="7">
        <v>80</v>
      </c>
      <c r="AD57" s="11" t="s">
        <v>6</v>
      </c>
      <c r="AE57" s="18" t="s">
        <v>455</v>
      </c>
      <c r="AF57" s="14" t="s">
        <v>1738</v>
      </c>
    </row>
    <row r="58" spans="1:32" ht="31.5" x14ac:dyDescent="0.25">
      <c r="A58" s="1">
        <v>1218</v>
      </c>
      <c r="B58" s="2">
        <v>46039</v>
      </c>
      <c r="C58" s="1" t="s">
        <v>18</v>
      </c>
      <c r="D58" s="1" t="s">
        <v>1</v>
      </c>
      <c r="E58" s="1">
        <v>2</v>
      </c>
      <c r="F58" s="1">
        <v>22601016</v>
      </c>
      <c r="G58" s="4">
        <v>1260</v>
      </c>
      <c r="H58" s="88" t="s">
        <v>222</v>
      </c>
      <c r="I58" s="16" t="s">
        <v>77</v>
      </c>
      <c r="J58" s="16" t="s">
        <v>1739</v>
      </c>
      <c r="K58" s="4">
        <v>1564</v>
      </c>
      <c r="L58" s="4">
        <v>1546</v>
      </c>
      <c r="M58" s="4">
        <v>1540</v>
      </c>
      <c r="N58" s="4">
        <v>1536</v>
      </c>
      <c r="O58" s="5">
        <v>1536</v>
      </c>
      <c r="P58" s="30">
        <v>1537.3333333333333</v>
      </c>
      <c r="Q58" s="7">
        <v>4.8</v>
      </c>
      <c r="R58" s="4">
        <v>35</v>
      </c>
      <c r="S58" s="7">
        <v>29</v>
      </c>
      <c r="T58" s="9">
        <v>155.4</v>
      </c>
      <c r="U58" s="9">
        <v>61</v>
      </c>
      <c r="V58" s="118">
        <v>94.4</v>
      </c>
      <c r="W58" s="7" t="s">
        <v>5</v>
      </c>
      <c r="X58" s="7">
        <v>58</v>
      </c>
      <c r="Y58" s="12">
        <v>2.7711936000000001</v>
      </c>
      <c r="Z58" s="7">
        <v>10.1</v>
      </c>
      <c r="AA58" s="7">
        <v>9.5</v>
      </c>
      <c r="AB58" s="13">
        <v>81</v>
      </c>
      <c r="AC58" s="13">
        <v>66</v>
      </c>
      <c r="AD58" s="7" t="s">
        <v>6</v>
      </c>
      <c r="AE58" s="18" t="s">
        <v>455</v>
      </c>
      <c r="AF58" s="14" t="s">
        <v>600</v>
      </c>
    </row>
    <row r="59" spans="1:32" ht="47.25" x14ac:dyDescent="0.25">
      <c r="A59" s="1">
        <v>1219</v>
      </c>
      <c r="B59" s="2">
        <v>46039</v>
      </c>
      <c r="C59" s="1" t="s">
        <v>18</v>
      </c>
      <c r="D59" s="1" t="s">
        <v>1</v>
      </c>
      <c r="E59" s="1">
        <v>2</v>
      </c>
      <c r="F59" s="1">
        <v>22601016</v>
      </c>
      <c r="G59" s="4">
        <v>1260</v>
      </c>
      <c r="H59" s="88" t="s">
        <v>222</v>
      </c>
      <c r="I59" s="16" t="s">
        <v>194</v>
      </c>
      <c r="J59" s="16" t="s">
        <v>1740</v>
      </c>
      <c r="K59" s="4">
        <v>1562</v>
      </c>
      <c r="L59" s="4">
        <v>1540</v>
      </c>
      <c r="M59" s="4">
        <v>1540</v>
      </c>
      <c r="N59" s="5">
        <v>1547</v>
      </c>
      <c r="O59" s="5">
        <v>1547</v>
      </c>
      <c r="P59" s="30">
        <v>1544.6666666666667</v>
      </c>
      <c r="Q59" s="7">
        <v>4.2</v>
      </c>
      <c r="R59" s="4">
        <v>45</v>
      </c>
      <c r="S59" s="7">
        <v>31</v>
      </c>
      <c r="T59" s="9">
        <v>164</v>
      </c>
      <c r="U59" s="9">
        <v>54</v>
      </c>
      <c r="V59" s="118">
        <v>110</v>
      </c>
      <c r="W59" s="7" t="s">
        <v>5</v>
      </c>
      <c r="X59" s="7">
        <v>58</v>
      </c>
      <c r="Y59" s="12">
        <v>2.4247944000000006</v>
      </c>
      <c r="Z59" s="7">
        <v>9.1</v>
      </c>
      <c r="AA59" s="7">
        <v>8</v>
      </c>
      <c r="AB59" s="13">
        <v>80</v>
      </c>
      <c r="AC59" s="13">
        <v>68</v>
      </c>
      <c r="AD59" s="7" t="s">
        <v>6</v>
      </c>
      <c r="AE59" s="18" t="s">
        <v>72</v>
      </c>
      <c r="AF59" s="14" t="s">
        <v>1741</v>
      </c>
    </row>
    <row r="60" spans="1:32" ht="63" x14ac:dyDescent="0.25">
      <c r="A60" s="1">
        <v>1242</v>
      </c>
      <c r="B60" s="2">
        <v>46039</v>
      </c>
      <c r="C60" s="1" t="s">
        <v>264</v>
      </c>
      <c r="D60" s="1" t="s">
        <v>276</v>
      </c>
      <c r="E60" s="1">
        <v>2</v>
      </c>
      <c r="F60" s="1">
        <v>22601016</v>
      </c>
      <c r="G60" s="4">
        <v>1260</v>
      </c>
      <c r="H60" s="88" t="s">
        <v>225</v>
      </c>
      <c r="I60" s="16" t="s">
        <v>229</v>
      </c>
      <c r="J60" s="16" t="s">
        <v>1742</v>
      </c>
      <c r="K60" s="4">
        <v>1565</v>
      </c>
      <c r="L60" s="4">
        <v>1536</v>
      </c>
      <c r="M60" s="5">
        <v>1535</v>
      </c>
      <c r="N60" s="5">
        <v>1532</v>
      </c>
      <c r="O60" s="5" t="s">
        <v>5</v>
      </c>
      <c r="P60" s="30">
        <v>1533.5</v>
      </c>
      <c r="Q60" s="7">
        <v>4.8</v>
      </c>
      <c r="R60" s="4">
        <v>28</v>
      </c>
      <c r="S60" s="7" t="s">
        <v>5</v>
      </c>
      <c r="T60" s="9">
        <v>160.1</v>
      </c>
      <c r="U60" s="9">
        <v>86</v>
      </c>
      <c r="V60" s="118">
        <v>74.099999999999994</v>
      </c>
      <c r="W60" s="7" t="s">
        <v>5</v>
      </c>
      <c r="X60" s="7">
        <v>58</v>
      </c>
      <c r="Y60" s="12">
        <v>2.7711936000000001</v>
      </c>
      <c r="Z60" s="7">
        <v>7.4</v>
      </c>
      <c r="AA60" s="7">
        <v>8.9</v>
      </c>
      <c r="AB60" s="7">
        <v>85</v>
      </c>
      <c r="AC60" s="7">
        <v>71</v>
      </c>
      <c r="AD60" s="7" t="s">
        <v>6</v>
      </c>
      <c r="AE60" s="18" t="s">
        <v>455</v>
      </c>
      <c r="AF60" s="14" t="s">
        <v>1743</v>
      </c>
    </row>
    <row r="61" spans="1:32" ht="15.75" x14ac:dyDescent="0.25">
      <c r="A61" s="1">
        <v>1249</v>
      </c>
      <c r="B61" s="2">
        <v>46039</v>
      </c>
      <c r="C61" s="1" t="s">
        <v>264</v>
      </c>
      <c r="D61" s="1" t="s">
        <v>276</v>
      </c>
      <c r="E61" s="1">
        <v>2</v>
      </c>
      <c r="F61" s="1">
        <v>22601017</v>
      </c>
      <c r="G61" s="4">
        <v>1250</v>
      </c>
      <c r="H61" s="88" t="s">
        <v>225</v>
      </c>
      <c r="I61" s="16" t="s">
        <v>70</v>
      </c>
      <c r="J61" s="16" t="s">
        <v>1744</v>
      </c>
      <c r="K61" s="4">
        <v>1565</v>
      </c>
      <c r="L61" s="4">
        <v>1545</v>
      </c>
      <c r="M61" s="5">
        <v>1545</v>
      </c>
      <c r="N61" s="5">
        <v>1545</v>
      </c>
      <c r="O61" s="5" t="s">
        <v>5</v>
      </c>
      <c r="P61" s="30">
        <v>1545</v>
      </c>
      <c r="Q61" s="7">
        <v>5</v>
      </c>
      <c r="R61" s="4">
        <v>42</v>
      </c>
      <c r="S61" s="7">
        <v>39</v>
      </c>
      <c r="T61" s="8">
        <v>162</v>
      </c>
      <c r="U61" s="8">
        <v>58</v>
      </c>
      <c r="V61" s="118">
        <v>104</v>
      </c>
      <c r="W61" s="7" t="s">
        <v>5</v>
      </c>
      <c r="X61" s="7">
        <v>56</v>
      </c>
      <c r="Y61" s="12">
        <v>2.7650000000000001</v>
      </c>
      <c r="Z61" s="7">
        <v>10</v>
      </c>
      <c r="AA61" s="7">
        <v>9.6</v>
      </c>
      <c r="AB61" s="13">
        <v>98</v>
      </c>
      <c r="AC61" s="13">
        <v>85</v>
      </c>
      <c r="AD61" s="7" t="s">
        <v>6</v>
      </c>
      <c r="AE61" s="18" t="s">
        <v>455</v>
      </c>
      <c r="AF61" s="14" t="s">
        <v>1432</v>
      </c>
    </row>
    <row r="62" spans="1:32" ht="47.25" x14ac:dyDescent="0.25">
      <c r="A62" s="1">
        <v>1253</v>
      </c>
      <c r="B62" s="2">
        <v>46039</v>
      </c>
      <c r="C62" s="1" t="s">
        <v>0</v>
      </c>
      <c r="D62" s="1" t="s">
        <v>258</v>
      </c>
      <c r="E62" s="1">
        <v>1</v>
      </c>
      <c r="F62" s="1">
        <v>12601015</v>
      </c>
      <c r="G62" s="4">
        <v>1250</v>
      </c>
      <c r="H62" s="88" t="s">
        <v>225</v>
      </c>
      <c r="I62" s="16" t="s">
        <v>155</v>
      </c>
      <c r="J62" s="16" t="s">
        <v>1745</v>
      </c>
      <c r="K62" s="4">
        <v>1564</v>
      </c>
      <c r="L62" s="4">
        <v>1537</v>
      </c>
      <c r="M62" s="5">
        <v>1536</v>
      </c>
      <c r="N62" s="5">
        <v>1539</v>
      </c>
      <c r="O62" s="5">
        <v>1536</v>
      </c>
      <c r="P62" s="30">
        <v>1537</v>
      </c>
      <c r="Q62" s="7">
        <v>5</v>
      </c>
      <c r="R62" s="4">
        <v>37</v>
      </c>
      <c r="S62" s="7" t="s">
        <v>5</v>
      </c>
      <c r="T62" s="8">
        <v>174.8</v>
      </c>
      <c r="U62" s="8">
        <v>67.7</v>
      </c>
      <c r="V62" s="118">
        <v>107.10000000000001</v>
      </c>
      <c r="W62" s="7" t="s">
        <v>5</v>
      </c>
      <c r="X62" s="7">
        <v>56</v>
      </c>
      <c r="Y62" s="12">
        <v>2.7650000000000001</v>
      </c>
      <c r="Z62" s="7">
        <v>9.4</v>
      </c>
      <c r="AA62" s="7">
        <v>10.9</v>
      </c>
      <c r="AB62" s="7">
        <v>89</v>
      </c>
      <c r="AC62" s="7">
        <v>95</v>
      </c>
      <c r="AD62" s="7" t="s">
        <v>6</v>
      </c>
      <c r="AE62" s="18" t="s">
        <v>455</v>
      </c>
      <c r="AF62" s="14" t="s">
        <v>1746</v>
      </c>
    </row>
    <row r="63" spans="1:32" ht="15.75" x14ac:dyDescent="0.25">
      <c r="A63" s="1">
        <v>1264</v>
      </c>
      <c r="B63" s="2">
        <v>46039</v>
      </c>
      <c r="C63" s="1" t="s">
        <v>0</v>
      </c>
      <c r="D63" s="1" t="s">
        <v>258</v>
      </c>
      <c r="E63" s="1">
        <v>2</v>
      </c>
      <c r="F63" s="1">
        <v>22601017</v>
      </c>
      <c r="G63" s="4">
        <v>1250</v>
      </c>
      <c r="H63" s="88" t="s">
        <v>225</v>
      </c>
      <c r="I63" s="16" t="s">
        <v>93</v>
      </c>
      <c r="J63" s="16" t="s">
        <v>1747</v>
      </c>
      <c r="K63" s="4">
        <v>1568</v>
      </c>
      <c r="L63" s="5">
        <v>1540</v>
      </c>
      <c r="M63" s="5">
        <v>1543</v>
      </c>
      <c r="N63" s="5">
        <v>1542</v>
      </c>
      <c r="O63" s="5">
        <v>1542</v>
      </c>
      <c r="P63" s="30">
        <v>1542.3333333333333</v>
      </c>
      <c r="Q63" s="7">
        <v>5.3</v>
      </c>
      <c r="R63" s="4">
        <v>36</v>
      </c>
      <c r="S63" s="7" t="s">
        <v>5</v>
      </c>
      <c r="T63" s="9">
        <v>163</v>
      </c>
      <c r="U63" s="9">
        <v>52.7</v>
      </c>
      <c r="V63" s="118">
        <v>110.3</v>
      </c>
      <c r="W63" s="7" t="s">
        <v>5</v>
      </c>
      <c r="X63" s="7">
        <v>56</v>
      </c>
      <c r="Y63" s="12">
        <v>2.9309000000000003</v>
      </c>
      <c r="Z63" s="7">
        <v>10.9</v>
      </c>
      <c r="AA63" s="7">
        <v>10.1</v>
      </c>
      <c r="AB63" s="13">
        <v>99</v>
      </c>
      <c r="AC63" s="13">
        <v>87</v>
      </c>
      <c r="AD63" s="7" t="s">
        <v>747</v>
      </c>
      <c r="AE63" s="18" t="s">
        <v>455</v>
      </c>
      <c r="AF63" s="18" t="s">
        <v>721</v>
      </c>
    </row>
    <row r="64" spans="1:32" ht="31.5" x14ac:dyDescent="0.25">
      <c r="A64" s="1">
        <v>1266</v>
      </c>
      <c r="B64" s="2">
        <v>46039</v>
      </c>
      <c r="C64" s="1" t="s">
        <v>0</v>
      </c>
      <c r="D64" s="1" t="s">
        <v>258</v>
      </c>
      <c r="E64" s="1">
        <v>2</v>
      </c>
      <c r="F64" s="1">
        <v>22601017</v>
      </c>
      <c r="G64" s="4">
        <v>1250</v>
      </c>
      <c r="H64" s="88" t="s">
        <v>225</v>
      </c>
      <c r="I64" s="16" t="s">
        <v>152</v>
      </c>
      <c r="J64" s="16" t="s">
        <v>1748</v>
      </c>
      <c r="K64" s="4">
        <v>1567</v>
      </c>
      <c r="L64" s="5">
        <v>1541</v>
      </c>
      <c r="M64" s="5">
        <v>1540</v>
      </c>
      <c r="N64" s="5">
        <v>1538</v>
      </c>
      <c r="O64" s="5">
        <v>1534</v>
      </c>
      <c r="P64" s="30">
        <v>1537.3333333333333</v>
      </c>
      <c r="Q64" s="7">
        <v>4.5</v>
      </c>
      <c r="R64" s="4" t="s">
        <v>5</v>
      </c>
      <c r="S64" s="7" t="s">
        <v>5</v>
      </c>
      <c r="T64" s="9">
        <v>175</v>
      </c>
      <c r="U64" s="9">
        <v>57.7</v>
      </c>
      <c r="V64" s="118">
        <v>117.3</v>
      </c>
      <c r="W64" s="7" t="s">
        <v>5</v>
      </c>
      <c r="X64" s="7">
        <v>56</v>
      </c>
      <c r="Y64" s="12">
        <v>2.4885000000000002</v>
      </c>
      <c r="Z64" s="7">
        <v>10.6</v>
      </c>
      <c r="AA64" s="7">
        <v>8.6999999999999993</v>
      </c>
      <c r="AB64" s="13">
        <v>93</v>
      </c>
      <c r="AC64" s="13">
        <v>78</v>
      </c>
      <c r="AD64" s="7" t="s">
        <v>6</v>
      </c>
      <c r="AE64" s="18" t="s">
        <v>72</v>
      </c>
      <c r="AF64" s="14" t="s">
        <v>1749</v>
      </c>
    </row>
    <row r="65" spans="1:32" ht="31.5" x14ac:dyDescent="0.25">
      <c r="A65" s="1">
        <v>1267</v>
      </c>
      <c r="B65" s="2">
        <v>46039</v>
      </c>
      <c r="C65" s="1" t="s">
        <v>0</v>
      </c>
      <c r="D65" s="1" t="s">
        <v>258</v>
      </c>
      <c r="E65" s="1">
        <v>2</v>
      </c>
      <c r="F65" s="1">
        <v>22601017</v>
      </c>
      <c r="G65" s="4">
        <v>1250</v>
      </c>
      <c r="H65" s="88" t="s">
        <v>225</v>
      </c>
      <c r="I65" s="16" t="s">
        <v>122</v>
      </c>
      <c r="J65" s="16" t="s">
        <v>1750</v>
      </c>
      <c r="K65" s="4">
        <v>1568</v>
      </c>
      <c r="L65" s="5">
        <v>1546</v>
      </c>
      <c r="M65" s="5">
        <v>1547</v>
      </c>
      <c r="N65" s="5">
        <v>1546</v>
      </c>
      <c r="O65" s="5">
        <v>1546</v>
      </c>
      <c r="P65" s="30">
        <v>1546.3333333333333</v>
      </c>
      <c r="Q65" s="7">
        <v>4.3</v>
      </c>
      <c r="R65" s="4">
        <v>40</v>
      </c>
      <c r="S65" s="7" t="s">
        <v>5</v>
      </c>
      <c r="T65" s="9">
        <v>156</v>
      </c>
      <c r="U65" s="9">
        <v>61</v>
      </c>
      <c r="V65" s="118">
        <v>95</v>
      </c>
      <c r="W65" s="7" t="s">
        <v>5</v>
      </c>
      <c r="X65" s="7">
        <v>56</v>
      </c>
      <c r="Y65" s="12">
        <v>2.3778999999999999</v>
      </c>
      <c r="Z65" s="7">
        <v>10.3</v>
      </c>
      <c r="AA65" s="7">
        <v>8.6999999999999993</v>
      </c>
      <c r="AB65" s="13">
        <v>92</v>
      </c>
      <c r="AC65" s="13">
        <v>75</v>
      </c>
      <c r="AD65" s="7" t="s">
        <v>6</v>
      </c>
      <c r="AE65" s="18" t="s">
        <v>72</v>
      </c>
      <c r="AF65" s="14" t="s">
        <v>983</v>
      </c>
    </row>
    <row r="66" spans="1:32" ht="47.25" x14ac:dyDescent="0.25">
      <c r="A66" s="1">
        <v>1268</v>
      </c>
      <c r="B66" s="2">
        <v>46039</v>
      </c>
      <c r="C66" s="1" t="s">
        <v>0</v>
      </c>
      <c r="D66" s="1" t="s">
        <v>258</v>
      </c>
      <c r="E66" s="1">
        <v>2</v>
      </c>
      <c r="F66" s="1">
        <v>22601017</v>
      </c>
      <c r="G66" s="4">
        <v>1240</v>
      </c>
      <c r="H66" s="88" t="s">
        <v>1357</v>
      </c>
      <c r="I66" s="16" t="s">
        <v>182</v>
      </c>
      <c r="J66" s="16" t="s">
        <v>1751</v>
      </c>
      <c r="K66" s="4">
        <v>1570</v>
      </c>
      <c r="L66" s="5">
        <v>1543</v>
      </c>
      <c r="M66" s="5">
        <v>1543</v>
      </c>
      <c r="N66" s="5">
        <v>1543</v>
      </c>
      <c r="O66" s="5">
        <v>1541</v>
      </c>
      <c r="P66" s="30">
        <v>1542.3333333333333</v>
      </c>
      <c r="Q66" s="7">
        <v>4.7</v>
      </c>
      <c r="R66" s="4">
        <v>41</v>
      </c>
      <c r="S66" s="7" t="s">
        <v>5</v>
      </c>
      <c r="T66" s="9">
        <v>168.9</v>
      </c>
      <c r="U66" s="9">
        <v>56.4</v>
      </c>
      <c r="V66" s="118">
        <v>112.5</v>
      </c>
      <c r="W66" s="7" t="s">
        <v>5</v>
      </c>
      <c r="X66" s="7">
        <v>56</v>
      </c>
      <c r="Y66" s="12">
        <v>2.5783072000000002</v>
      </c>
      <c r="Z66" s="7">
        <v>9.9</v>
      </c>
      <c r="AA66" s="7">
        <v>8.8000000000000007</v>
      </c>
      <c r="AB66" s="13">
        <v>84</v>
      </c>
      <c r="AC66" s="13">
        <v>77</v>
      </c>
      <c r="AD66" s="7" t="s">
        <v>6</v>
      </c>
      <c r="AE66" s="18" t="s">
        <v>72</v>
      </c>
      <c r="AF66" s="14" t="s">
        <v>1752</v>
      </c>
    </row>
    <row r="67" spans="1:32" ht="31.5" x14ac:dyDescent="0.25">
      <c r="A67" s="1">
        <v>1271</v>
      </c>
      <c r="B67" s="2">
        <v>46039</v>
      </c>
      <c r="C67" s="1" t="s">
        <v>0</v>
      </c>
      <c r="D67" s="1" t="s">
        <v>258</v>
      </c>
      <c r="E67" s="1">
        <v>2</v>
      </c>
      <c r="F67" s="1">
        <v>22601017</v>
      </c>
      <c r="G67" s="4">
        <v>1240</v>
      </c>
      <c r="H67" s="88" t="s">
        <v>1357</v>
      </c>
      <c r="I67" s="16" t="s">
        <v>132</v>
      </c>
      <c r="J67" s="16" t="s">
        <v>1753</v>
      </c>
      <c r="K67" s="4">
        <v>1568</v>
      </c>
      <c r="L67" s="5">
        <v>1544</v>
      </c>
      <c r="M67" s="5">
        <v>1544</v>
      </c>
      <c r="N67" s="5">
        <v>1546</v>
      </c>
      <c r="O67" s="5">
        <v>1546</v>
      </c>
      <c r="P67" s="30">
        <v>1545.3333333333333</v>
      </c>
      <c r="Q67" s="7">
        <v>5.2</v>
      </c>
      <c r="R67" s="4">
        <v>33</v>
      </c>
      <c r="S67" s="7" t="s">
        <v>5</v>
      </c>
      <c r="T67" s="9">
        <v>167</v>
      </c>
      <c r="U67" s="9">
        <v>70</v>
      </c>
      <c r="V67" s="118">
        <v>97</v>
      </c>
      <c r="W67" s="7" t="s">
        <v>5</v>
      </c>
      <c r="X67" s="7">
        <v>56</v>
      </c>
      <c r="Y67" s="12">
        <v>2.8525952000000006</v>
      </c>
      <c r="Z67" s="7">
        <v>11.2</v>
      </c>
      <c r="AA67" s="7">
        <v>9.8000000000000007</v>
      </c>
      <c r="AB67" s="13">
        <v>98</v>
      </c>
      <c r="AC67" s="13">
        <v>85</v>
      </c>
      <c r="AD67" s="7" t="s">
        <v>6</v>
      </c>
      <c r="AE67" s="40" t="s">
        <v>455</v>
      </c>
      <c r="AF67" s="14" t="s">
        <v>757</v>
      </c>
    </row>
    <row r="68" spans="1:32" ht="31.5" x14ac:dyDescent="0.25">
      <c r="A68" s="1">
        <v>1274</v>
      </c>
      <c r="B68" s="2">
        <v>46039</v>
      </c>
      <c r="C68" s="1" t="s">
        <v>0</v>
      </c>
      <c r="D68" s="1" t="s">
        <v>258</v>
      </c>
      <c r="E68" s="1">
        <v>2</v>
      </c>
      <c r="F68" s="1">
        <v>22601017</v>
      </c>
      <c r="G68" s="4">
        <v>1240</v>
      </c>
      <c r="H68" s="88" t="s">
        <v>1357</v>
      </c>
      <c r="I68" s="16" t="s">
        <v>103</v>
      </c>
      <c r="J68" s="16" t="s">
        <v>1754</v>
      </c>
      <c r="K68" s="4">
        <v>1565</v>
      </c>
      <c r="L68" s="5">
        <v>1544</v>
      </c>
      <c r="M68" s="5">
        <v>1545</v>
      </c>
      <c r="N68" s="5">
        <v>1546</v>
      </c>
      <c r="O68" s="5">
        <v>1543</v>
      </c>
      <c r="P68" s="30">
        <v>1553</v>
      </c>
      <c r="Q68" s="7">
        <v>5</v>
      </c>
      <c r="R68" s="4">
        <v>41</v>
      </c>
      <c r="S68" s="7">
        <v>29</v>
      </c>
      <c r="T68" s="8">
        <v>167</v>
      </c>
      <c r="U68" s="8">
        <v>54</v>
      </c>
      <c r="V68" s="118">
        <v>113</v>
      </c>
      <c r="W68" s="7" t="s">
        <v>5</v>
      </c>
      <c r="X68" s="7">
        <v>56</v>
      </c>
      <c r="Y68" s="12">
        <v>2.7428800000000004</v>
      </c>
      <c r="Z68" s="7">
        <v>11.3</v>
      </c>
      <c r="AA68" s="7">
        <v>10</v>
      </c>
      <c r="AB68" s="13">
        <v>100</v>
      </c>
      <c r="AC68" s="13">
        <v>93</v>
      </c>
      <c r="AD68" s="7" t="s">
        <v>6</v>
      </c>
      <c r="AE68" s="40" t="s">
        <v>455</v>
      </c>
      <c r="AF68" s="14" t="s">
        <v>1755</v>
      </c>
    </row>
    <row r="69" spans="1:32" ht="31.5" x14ac:dyDescent="0.25">
      <c r="A69" s="1">
        <v>1275</v>
      </c>
      <c r="B69" s="2">
        <v>46039</v>
      </c>
      <c r="C69" s="1" t="s">
        <v>0</v>
      </c>
      <c r="D69" s="1" t="s">
        <v>258</v>
      </c>
      <c r="E69" s="1">
        <v>2</v>
      </c>
      <c r="F69" s="1">
        <v>22601017</v>
      </c>
      <c r="G69" s="4">
        <v>1240</v>
      </c>
      <c r="H69" s="88" t="s">
        <v>1357</v>
      </c>
      <c r="I69" s="16" t="s">
        <v>110</v>
      </c>
      <c r="J69" s="16" t="s">
        <v>1756</v>
      </c>
      <c r="K69" s="4">
        <v>1575</v>
      </c>
      <c r="L69" s="5">
        <v>1545</v>
      </c>
      <c r="M69" s="5">
        <v>1544</v>
      </c>
      <c r="N69" s="5">
        <v>1544</v>
      </c>
      <c r="O69" s="5">
        <v>1546</v>
      </c>
      <c r="P69" s="30">
        <v>1553</v>
      </c>
      <c r="Q69" s="7">
        <v>4.5</v>
      </c>
      <c r="R69" s="4">
        <v>37</v>
      </c>
      <c r="S69" s="7">
        <v>23</v>
      </c>
      <c r="T69" s="8">
        <v>163.6</v>
      </c>
      <c r="U69" s="8">
        <v>60.7</v>
      </c>
      <c r="V69" s="118">
        <v>102.89999999999999</v>
      </c>
      <c r="W69" s="7" t="s">
        <v>5</v>
      </c>
      <c r="X69" s="7">
        <v>56</v>
      </c>
      <c r="Y69" s="12">
        <v>2.4685920000000001</v>
      </c>
      <c r="Z69" s="7">
        <v>10.3</v>
      </c>
      <c r="AA69" s="7">
        <v>9.3000000000000007</v>
      </c>
      <c r="AB69" s="13">
        <v>98</v>
      </c>
      <c r="AC69" s="13">
        <v>86</v>
      </c>
      <c r="AD69" s="7" t="s">
        <v>6</v>
      </c>
      <c r="AE69" s="40" t="s">
        <v>455</v>
      </c>
      <c r="AF69" s="14" t="s">
        <v>1755</v>
      </c>
    </row>
    <row r="70" spans="1:32" ht="47.25" x14ac:dyDescent="0.25">
      <c r="A70" s="1">
        <v>1288</v>
      </c>
      <c r="B70" s="2">
        <v>46040</v>
      </c>
      <c r="C70" s="1" t="s">
        <v>18</v>
      </c>
      <c r="D70" s="1" t="s">
        <v>265</v>
      </c>
      <c r="E70" s="1">
        <v>1</v>
      </c>
      <c r="F70" s="1">
        <v>12601015</v>
      </c>
      <c r="G70" s="4">
        <v>1230</v>
      </c>
      <c r="H70" s="88" t="s">
        <v>10</v>
      </c>
      <c r="I70" s="16" t="s">
        <v>56</v>
      </c>
      <c r="J70" s="16" t="s">
        <v>1757</v>
      </c>
      <c r="K70" s="16">
        <v>1565</v>
      </c>
      <c r="L70" s="16">
        <v>1541</v>
      </c>
      <c r="M70" s="4">
        <v>1536</v>
      </c>
      <c r="N70" s="5">
        <v>1533</v>
      </c>
      <c r="O70" s="5" t="s">
        <v>5</v>
      </c>
      <c r="P70" s="30">
        <v>1534.5</v>
      </c>
      <c r="Q70" s="7">
        <v>5</v>
      </c>
      <c r="R70" s="4">
        <v>35</v>
      </c>
      <c r="S70" s="7" t="s">
        <v>5</v>
      </c>
      <c r="T70" s="9">
        <v>163.80000000000001</v>
      </c>
      <c r="U70" s="9">
        <v>62.4</v>
      </c>
      <c r="V70" s="118">
        <v>101.4</v>
      </c>
      <c r="W70" s="7" t="s">
        <v>5</v>
      </c>
      <c r="X70" s="7">
        <v>58</v>
      </c>
      <c r="Y70" s="12">
        <v>2.81793</v>
      </c>
      <c r="Z70" s="7">
        <v>9.3000000000000007</v>
      </c>
      <c r="AA70" s="7">
        <v>9.6999999999999993</v>
      </c>
      <c r="AB70" s="13">
        <v>81</v>
      </c>
      <c r="AC70" s="13">
        <v>79</v>
      </c>
      <c r="AD70" s="7" t="s">
        <v>6</v>
      </c>
      <c r="AE70" s="18" t="s">
        <v>53</v>
      </c>
      <c r="AF70" s="14" t="s">
        <v>1758</v>
      </c>
    </row>
    <row r="71" spans="1:32" ht="15.75" x14ac:dyDescent="0.25">
      <c r="A71" s="1">
        <v>1443</v>
      </c>
      <c r="B71" s="2">
        <v>46042</v>
      </c>
      <c r="C71" s="1" t="s">
        <v>18</v>
      </c>
      <c r="D71" s="1" t="s">
        <v>265</v>
      </c>
      <c r="E71" s="1">
        <v>1</v>
      </c>
      <c r="F71" s="1">
        <v>12601018</v>
      </c>
      <c r="G71" s="4">
        <v>1250</v>
      </c>
      <c r="H71" s="88" t="s">
        <v>1098</v>
      </c>
      <c r="I71" s="16" t="s">
        <v>74</v>
      </c>
      <c r="J71" s="16" t="s">
        <v>1759</v>
      </c>
      <c r="K71" s="16">
        <v>1565</v>
      </c>
      <c r="L71" s="16">
        <v>1546</v>
      </c>
      <c r="M71" s="5">
        <v>1537</v>
      </c>
      <c r="N71" s="5">
        <v>1536</v>
      </c>
      <c r="O71" s="5">
        <v>1535</v>
      </c>
      <c r="P71" s="30">
        <v>1536</v>
      </c>
      <c r="Q71" s="7">
        <v>5</v>
      </c>
      <c r="R71" s="4">
        <v>38</v>
      </c>
      <c r="S71" s="7" t="s">
        <v>5</v>
      </c>
      <c r="T71" s="9">
        <v>169.6</v>
      </c>
      <c r="U71" s="9">
        <v>62</v>
      </c>
      <c r="V71" s="118">
        <v>107.6</v>
      </c>
      <c r="W71" s="7" t="s">
        <v>5</v>
      </c>
      <c r="X71" s="7">
        <v>58</v>
      </c>
      <c r="Y71" s="12">
        <v>2.86375</v>
      </c>
      <c r="Z71" s="7">
        <v>7.5</v>
      </c>
      <c r="AA71" s="7">
        <v>7.5</v>
      </c>
      <c r="AB71" s="13">
        <v>84</v>
      </c>
      <c r="AC71" s="13">
        <v>65</v>
      </c>
      <c r="AD71" s="7" t="s">
        <v>6</v>
      </c>
      <c r="AE71" s="40" t="s">
        <v>72</v>
      </c>
      <c r="AF71" s="14" t="s">
        <v>721</v>
      </c>
    </row>
    <row r="72" spans="1:32" ht="31.5" x14ac:dyDescent="0.25">
      <c r="A72" s="1">
        <v>1454</v>
      </c>
      <c r="B72" s="2">
        <v>46042</v>
      </c>
      <c r="C72" s="1" t="s">
        <v>18</v>
      </c>
      <c r="D72" s="1" t="s">
        <v>265</v>
      </c>
      <c r="E72" s="1">
        <v>2</v>
      </c>
      <c r="F72" s="1">
        <v>22601019</v>
      </c>
      <c r="G72" s="4">
        <v>1250</v>
      </c>
      <c r="H72" s="88" t="s">
        <v>222</v>
      </c>
      <c r="I72" s="16" t="s">
        <v>11</v>
      </c>
      <c r="J72" s="16" t="s">
        <v>1760</v>
      </c>
      <c r="K72" s="4">
        <v>1562</v>
      </c>
      <c r="L72" s="99">
        <v>1540</v>
      </c>
      <c r="M72" s="4">
        <v>1543</v>
      </c>
      <c r="N72" s="5">
        <v>1544</v>
      </c>
      <c r="O72" s="5">
        <v>1541</v>
      </c>
      <c r="P72" s="30">
        <v>1542.6666666666667</v>
      </c>
      <c r="Q72" s="7">
        <v>5</v>
      </c>
      <c r="R72" s="4">
        <v>36</v>
      </c>
      <c r="S72" s="7">
        <v>35</v>
      </c>
      <c r="T72" s="9">
        <v>167.5</v>
      </c>
      <c r="U72" s="9">
        <v>52</v>
      </c>
      <c r="V72" s="118">
        <v>115.5</v>
      </c>
      <c r="W72" s="7" t="s">
        <v>5</v>
      </c>
      <c r="X72" s="7">
        <v>58</v>
      </c>
      <c r="Y72" s="12">
        <v>2.86375</v>
      </c>
      <c r="Z72" s="7">
        <v>10.5</v>
      </c>
      <c r="AA72" s="7">
        <v>10</v>
      </c>
      <c r="AB72" s="13">
        <v>83</v>
      </c>
      <c r="AC72" s="13">
        <v>80</v>
      </c>
      <c r="AD72" s="7" t="s">
        <v>6</v>
      </c>
      <c r="AE72" s="18" t="s">
        <v>72</v>
      </c>
      <c r="AF72" s="14" t="s">
        <v>1419</v>
      </c>
    </row>
    <row r="73" spans="1:32" ht="15.75" x14ac:dyDescent="0.25">
      <c r="A73" s="1">
        <v>1528</v>
      </c>
      <c r="B73" s="2">
        <v>46043</v>
      </c>
      <c r="C73" s="1" t="s">
        <v>18</v>
      </c>
      <c r="D73" s="1" t="s">
        <v>265</v>
      </c>
      <c r="E73" s="1">
        <v>2</v>
      </c>
      <c r="F73" s="1">
        <v>22601020</v>
      </c>
      <c r="G73" s="4">
        <v>1250</v>
      </c>
      <c r="H73" s="88" t="s">
        <v>55</v>
      </c>
      <c r="I73" s="16" t="s">
        <v>132</v>
      </c>
      <c r="J73" s="16" t="s">
        <v>1761</v>
      </c>
      <c r="K73" s="4">
        <v>1568</v>
      </c>
      <c r="L73" s="99">
        <v>1542</v>
      </c>
      <c r="M73" s="4">
        <v>1546</v>
      </c>
      <c r="N73" s="5">
        <v>1548</v>
      </c>
      <c r="O73" s="5">
        <v>1546</v>
      </c>
      <c r="P73" s="30">
        <v>1546.6666666666667</v>
      </c>
      <c r="Q73" s="7">
        <v>5.0999999999999996</v>
      </c>
      <c r="R73" s="4">
        <v>36</v>
      </c>
      <c r="S73" s="7">
        <v>32</v>
      </c>
      <c r="T73" s="9">
        <v>162.6</v>
      </c>
      <c r="U73" s="9">
        <v>61.3</v>
      </c>
      <c r="V73" s="118">
        <v>101.3</v>
      </c>
      <c r="W73" s="7">
        <v>18</v>
      </c>
      <c r="X73" s="7">
        <v>56</v>
      </c>
      <c r="Y73" s="12">
        <v>2.8203</v>
      </c>
      <c r="Z73" s="7">
        <v>11.3</v>
      </c>
      <c r="AA73" s="7">
        <v>11</v>
      </c>
      <c r="AB73" s="13">
        <v>85</v>
      </c>
      <c r="AC73" s="13">
        <v>79</v>
      </c>
      <c r="AD73" s="7" t="s">
        <v>6</v>
      </c>
      <c r="AE73" s="18" t="s">
        <v>53</v>
      </c>
      <c r="AF73" s="14" t="s">
        <v>721</v>
      </c>
    </row>
    <row r="74" spans="1:32" ht="31.5" x14ac:dyDescent="0.25">
      <c r="A74" s="1">
        <v>1584</v>
      </c>
      <c r="B74" s="2">
        <v>46043</v>
      </c>
      <c r="C74" s="1" t="s">
        <v>0</v>
      </c>
      <c r="D74" s="1" t="s">
        <v>9</v>
      </c>
      <c r="E74" s="1">
        <v>2</v>
      </c>
      <c r="F74" s="1">
        <v>22601020</v>
      </c>
      <c r="G74" s="4">
        <v>1250</v>
      </c>
      <c r="H74" s="88" t="s">
        <v>10</v>
      </c>
      <c r="I74" s="16" t="s">
        <v>346</v>
      </c>
      <c r="J74" s="16" t="s">
        <v>1762</v>
      </c>
      <c r="K74" s="4">
        <v>157</v>
      </c>
      <c r="L74" s="4">
        <v>1544</v>
      </c>
      <c r="M74" s="5">
        <v>1545</v>
      </c>
      <c r="N74" s="5">
        <v>1542</v>
      </c>
      <c r="O74" s="5">
        <v>1552</v>
      </c>
      <c r="P74" s="30">
        <v>1546.3333333333333</v>
      </c>
      <c r="Q74" s="7">
        <v>4.2</v>
      </c>
      <c r="R74" s="4">
        <v>35</v>
      </c>
      <c r="S74" s="7" t="s">
        <v>5</v>
      </c>
      <c r="T74" s="8">
        <v>153.30000000000001</v>
      </c>
      <c r="U74" s="8">
        <v>59</v>
      </c>
      <c r="V74" s="118">
        <v>94.300000000000011</v>
      </c>
      <c r="W74" s="7" t="s">
        <v>5</v>
      </c>
      <c r="X74" s="7">
        <v>58</v>
      </c>
      <c r="Y74" s="12">
        <v>2.4055499999999999</v>
      </c>
      <c r="Z74" s="7">
        <v>9.1999999999999993</v>
      </c>
      <c r="AA74" s="7">
        <v>9.1999999999999993</v>
      </c>
      <c r="AB74" s="13">
        <v>87</v>
      </c>
      <c r="AC74" s="13">
        <v>84</v>
      </c>
      <c r="AD74" s="7" t="s">
        <v>6</v>
      </c>
      <c r="AE74" s="40" t="s">
        <v>455</v>
      </c>
      <c r="AF74" s="14" t="s">
        <v>1763</v>
      </c>
    </row>
    <row r="75" spans="1:32" ht="15.75" x14ac:dyDescent="0.25">
      <c r="A75" s="1">
        <v>1722</v>
      </c>
      <c r="B75" s="2">
        <v>46045</v>
      </c>
      <c r="C75" s="1" t="s">
        <v>264</v>
      </c>
      <c r="D75" s="1" t="s">
        <v>377</v>
      </c>
      <c r="E75" s="1">
        <v>2</v>
      </c>
      <c r="F75" s="1">
        <v>22601022</v>
      </c>
      <c r="G75" s="4">
        <v>1240</v>
      </c>
      <c r="H75" s="88" t="s">
        <v>10</v>
      </c>
      <c r="I75" s="16" t="s">
        <v>110</v>
      </c>
      <c r="J75" s="16" t="s">
        <v>1764</v>
      </c>
      <c r="K75" s="4">
        <v>1568</v>
      </c>
      <c r="L75" s="4">
        <v>1547</v>
      </c>
      <c r="M75" s="5">
        <v>1545</v>
      </c>
      <c r="N75" s="5">
        <v>1544</v>
      </c>
      <c r="O75" s="5">
        <v>1545</v>
      </c>
      <c r="P75" s="30">
        <v>1544.6666666666667</v>
      </c>
      <c r="Q75" s="7">
        <v>5.4</v>
      </c>
      <c r="R75" s="4">
        <v>34</v>
      </c>
      <c r="S75" s="7"/>
      <c r="T75" s="8">
        <v>164</v>
      </c>
      <c r="U75" s="8">
        <v>60</v>
      </c>
      <c r="V75" s="118">
        <v>104</v>
      </c>
      <c r="W75" s="7" t="s">
        <v>5</v>
      </c>
      <c r="X75" s="7">
        <v>58</v>
      </c>
      <c r="Y75" s="12">
        <v>3.0681072</v>
      </c>
      <c r="Z75" s="7">
        <v>9.3000000000000007</v>
      </c>
      <c r="AA75" s="7">
        <v>10.3</v>
      </c>
      <c r="AB75" s="7">
        <v>80</v>
      </c>
      <c r="AC75" s="7">
        <v>89</v>
      </c>
      <c r="AD75" s="7" t="s">
        <v>6</v>
      </c>
      <c r="AE75" s="18" t="s">
        <v>455</v>
      </c>
      <c r="AF75" s="14" t="s">
        <v>397</v>
      </c>
    </row>
    <row r="76" spans="1:32" ht="15.75" x14ac:dyDescent="0.25">
      <c r="A76" s="1">
        <v>1748</v>
      </c>
      <c r="B76" s="2">
        <v>46045</v>
      </c>
      <c r="C76" s="1" t="s">
        <v>0</v>
      </c>
      <c r="D76" s="1" t="s">
        <v>9</v>
      </c>
      <c r="E76" s="1">
        <v>2</v>
      </c>
      <c r="F76" s="1">
        <v>22601022</v>
      </c>
      <c r="G76" s="4">
        <v>1240</v>
      </c>
      <c r="H76" s="88" t="s">
        <v>10</v>
      </c>
      <c r="I76" s="16" t="s">
        <v>15</v>
      </c>
      <c r="J76" s="16" t="s">
        <v>1765</v>
      </c>
      <c r="K76" s="4">
        <v>1569</v>
      </c>
      <c r="L76" s="4">
        <v>1550</v>
      </c>
      <c r="M76" s="5">
        <v>1550</v>
      </c>
      <c r="N76" s="5">
        <v>1550</v>
      </c>
      <c r="O76" s="5">
        <v>1549</v>
      </c>
      <c r="P76" s="30">
        <v>1549.6666666666667</v>
      </c>
      <c r="Q76" s="7">
        <v>5.2</v>
      </c>
      <c r="R76" s="4">
        <v>34</v>
      </c>
      <c r="S76" s="7">
        <v>26</v>
      </c>
      <c r="T76" s="8">
        <v>164</v>
      </c>
      <c r="U76" s="8">
        <v>58</v>
      </c>
      <c r="V76" s="118">
        <v>106</v>
      </c>
      <c r="W76" s="7" t="s">
        <v>5</v>
      </c>
      <c r="X76" s="7">
        <v>58</v>
      </c>
      <c r="Y76" s="12">
        <v>2.9544736</v>
      </c>
      <c r="Z76" s="7">
        <v>8.3000000000000007</v>
      </c>
      <c r="AA76" s="7">
        <v>8.8000000000000007</v>
      </c>
      <c r="AB76" s="13">
        <v>81</v>
      </c>
      <c r="AC76" s="13">
        <v>85</v>
      </c>
      <c r="AD76" s="7" t="s">
        <v>6</v>
      </c>
      <c r="AE76" s="18" t="s">
        <v>455</v>
      </c>
      <c r="AF76" s="14" t="s">
        <v>721</v>
      </c>
    </row>
    <row r="77" spans="1:32" ht="15.75" x14ac:dyDescent="0.25">
      <c r="A77" s="1">
        <v>1773</v>
      </c>
      <c r="B77" s="2">
        <v>46046</v>
      </c>
      <c r="C77" s="1" t="s">
        <v>18</v>
      </c>
      <c r="D77" s="1" t="s">
        <v>276</v>
      </c>
      <c r="E77" s="1">
        <v>2</v>
      </c>
      <c r="F77" s="1">
        <v>22601022</v>
      </c>
      <c r="G77" s="4">
        <v>1230</v>
      </c>
      <c r="H77" s="88" t="s">
        <v>10</v>
      </c>
      <c r="I77" s="16" t="s">
        <v>240</v>
      </c>
      <c r="J77" s="16" t="s">
        <v>1766</v>
      </c>
      <c r="K77" s="4">
        <v>1565</v>
      </c>
      <c r="L77" s="99">
        <v>1547</v>
      </c>
      <c r="M77" s="4">
        <v>1546</v>
      </c>
      <c r="N77" s="5">
        <v>1546</v>
      </c>
      <c r="O77" s="5">
        <v>1544</v>
      </c>
      <c r="P77" s="30">
        <v>1545.3333333333333</v>
      </c>
      <c r="Q77" s="7">
        <v>5.7</v>
      </c>
      <c r="R77" s="4">
        <v>34</v>
      </c>
      <c r="S77" s="7" t="s">
        <v>5</v>
      </c>
      <c r="T77" s="9">
        <v>167.59</v>
      </c>
      <c r="U77" s="9">
        <v>56.48</v>
      </c>
      <c r="V77" s="118">
        <v>111.11000000000001</v>
      </c>
      <c r="W77" s="7" t="s">
        <v>5</v>
      </c>
      <c r="X77" s="7">
        <v>58</v>
      </c>
      <c r="Y77" s="12">
        <v>3.2124402000000001</v>
      </c>
      <c r="Z77" s="7">
        <v>10.3</v>
      </c>
      <c r="AA77" s="7">
        <v>9.4</v>
      </c>
      <c r="AB77" s="13">
        <v>83</v>
      </c>
      <c r="AC77" s="13">
        <v>81</v>
      </c>
      <c r="AD77" s="7" t="s">
        <v>6</v>
      </c>
      <c r="AE77" s="18" t="s">
        <v>53</v>
      </c>
      <c r="AF77" s="14" t="s">
        <v>721</v>
      </c>
    </row>
    <row r="78" spans="1:32" ht="15.75" x14ac:dyDescent="0.25">
      <c r="A78" s="1">
        <v>1777</v>
      </c>
      <c r="B78" s="2">
        <v>46046</v>
      </c>
      <c r="C78" s="1" t="s">
        <v>18</v>
      </c>
      <c r="D78" s="1" t="s">
        <v>276</v>
      </c>
      <c r="E78" s="1">
        <v>2</v>
      </c>
      <c r="F78" s="1">
        <v>22601022</v>
      </c>
      <c r="G78" s="4">
        <v>1230</v>
      </c>
      <c r="H78" s="88" t="s">
        <v>10</v>
      </c>
      <c r="I78" s="16" t="s">
        <v>159</v>
      </c>
      <c r="J78" s="16" t="s">
        <v>1767</v>
      </c>
      <c r="K78" s="4">
        <v>1565</v>
      </c>
      <c r="L78" s="99">
        <v>1546</v>
      </c>
      <c r="M78" s="4">
        <v>1547</v>
      </c>
      <c r="N78" s="5">
        <v>1547</v>
      </c>
      <c r="O78" s="5">
        <v>1545</v>
      </c>
      <c r="P78" s="30">
        <v>1546.3333333333333</v>
      </c>
      <c r="Q78" s="7">
        <v>5.7</v>
      </c>
      <c r="R78" s="4">
        <v>39</v>
      </c>
      <c r="S78" s="7">
        <v>31</v>
      </c>
      <c r="T78" s="9">
        <v>177.2</v>
      </c>
      <c r="U78" s="9">
        <v>59</v>
      </c>
      <c r="V78" s="118">
        <v>118.19999999999999</v>
      </c>
      <c r="W78" s="7" t="s">
        <v>5</v>
      </c>
      <c r="X78" s="7">
        <v>58</v>
      </c>
      <c r="Y78" s="12">
        <v>3.2124402000000001</v>
      </c>
      <c r="Z78" s="7">
        <v>10.3</v>
      </c>
      <c r="AA78" s="7">
        <v>9.9</v>
      </c>
      <c r="AB78" s="13">
        <v>85</v>
      </c>
      <c r="AC78" s="13">
        <v>77</v>
      </c>
      <c r="AD78" s="7" t="s">
        <v>6</v>
      </c>
      <c r="AE78" s="18" t="s">
        <v>53</v>
      </c>
      <c r="AF78" s="14" t="s">
        <v>480</v>
      </c>
    </row>
    <row r="79" spans="1:32" ht="31.5" x14ac:dyDescent="0.25">
      <c r="A79" s="1">
        <v>1830</v>
      </c>
      <c r="B79" s="2">
        <v>46046</v>
      </c>
      <c r="C79" s="1" t="s">
        <v>0</v>
      </c>
      <c r="D79" s="1" t="s">
        <v>265</v>
      </c>
      <c r="E79" s="1">
        <v>2</v>
      </c>
      <c r="F79" s="1">
        <v>22601024</v>
      </c>
      <c r="G79" s="4">
        <v>1250</v>
      </c>
      <c r="H79" s="88" t="s">
        <v>225</v>
      </c>
      <c r="I79" s="16" t="s">
        <v>122</v>
      </c>
      <c r="J79" s="16" t="s">
        <v>1768</v>
      </c>
      <c r="K79" s="4">
        <v>1565</v>
      </c>
      <c r="L79" s="4">
        <v>1543</v>
      </c>
      <c r="M79" s="5">
        <v>1545</v>
      </c>
      <c r="N79" s="5">
        <v>1545</v>
      </c>
      <c r="O79" s="5" t="s">
        <v>5</v>
      </c>
      <c r="P79" s="30">
        <v>1545</v>
      </c>
      <c r="Q79" s="7">
        <v>5.3</v>
      </c>
      <c r="R79" s="4">
        <v>38</v>
      </c>
      <c r="S79" s="7">
        <v>33</v>
      </c>
      <c r="T79" s="8">
        <v>168.2</v>
      </c>
      <c r="U79" s="8">
        <v>60.2</v>
      </c>
      <c r="V79" s="118">
        <v>107.99999999999999</v>
      </c>
      <c r="W79" s="7" t="s">
        <v>5</v>
      </c>
      <c r="X79" s="7">
        <v>58</v>
      </c>
      <c r="Y79" s="12">
        <v>3.0355749999999997</v>
      </c>
      <c r="Z79" s="7">
        <v>9.3000000000000007</v>
      </c>
      <c r="AA79" s="7">
        <v>10.3</v>
      </c>
      <c r="AB79" s="13">
        <v>71</v>
      </c>
      <c r="AC79" s="13">
        <v>79</v>
      </c>
      <c r="AD79" s="7" t="s">
        <v>6</v>
      </c>
      <c r="AE79" s="18" t="s">
        <v>72</v>
      </c>
      <c r="AF79" s="14" t="s">
        <v>1769</v>
      </c>
    </row>
    <row r="80" spans="1:32" ht="47.25" x14ac:dyDescent="0.25">
      <c r="A80" s="1">
        <v>1854</v>
      </c>
      <c r="B80" s="2">
        <v>46047</v>
      </c>
      <c r="C80" s="1" t="s">
        <v>18</v>
      </c>
      <c r="D80" s="1" t="s">
        <v>276</v>
      </c>
      <c r="E80" s="1">
        <v>2</v>
      </c>
      <c r="F80" s="1">
        <v>22601024</v>
      </c>
      <c r="G80" s="4">
        <v>1250</v>
      </c>
      <c r="H80" s="88" t="s">
        <v>10</v>
      </c>
      <c r="I80" s="16" t="s">
        <v>83</v>
      </c>
      <c r="J80" s="16" t="s">
        <v>1770</v>
      </c>
      <c r="K80" s="4">
        <v>1570</v>
      </c>
      <c r="L80" s="99">
        <v>1543</v>
      </c>
      <c r="M80" s="4">
        <v>1541</v>
      </c>
      <c r="N80" s="5">
        <v>1540</v>
      </c>
      <c r="O80" s="5">
        <v>1537</v>
      </c>
      <c r="P80" s="30">
        <v>1539.3333333333333</v>
      </c>
      <c r="Q80" s="7">
        <v>5.5</v>
      </c>
      <c r="R80" s="4">
        <v>37</v>
      </c>
      <c r="S80" s="7">
        <v>2</v>
      </c>
      <c r="T80" s="9">
        <v>169.5</v>
      </c>
      <c r="U80" s="9">
        <v>60</v>
      </c>
      <c r="V80" s="118">
        <v>109.5</v>
      </c>
      <c r="W80" s="7" t="s">
        <v>5</v>
      </c>
      <c r="X80" s="7">
        <v>58</v>
      </c>
      <c r="Y80" s="12">
        <v>3.1501250000000001</v>
      </c>
      <c r="Z80" s="7">
        <v>9.3000000000000007</v>
      </c>
      <c r="AA80" s="7">
        <v>9.5</v>
      </c>
      <c r="AB80" s="13">
        <v>72</v>
      </c>
      <c r="AC80" s="13">
        <v>74</v>
      </c>
      <c r="AD80" s="7" t="s">
        <v>6</v>
      </c>
      <c r="AE80" s="18" t="s">
        <v>53</v>
      </c>
      <c r="AF80" s="14" t="s">
        <v>1771</v>
      </c>
    </row>
    <row r="81" spans="1:32" ht="15.75" x14ac:dyDescent="0.25">
      <c r="A81" s="1">
        <v>1856</v>
      </c>
      <c r="B81" s="2">
        <v>46047</v>
      </c>
      <c r="C81" s="1" t="s">
        <v>18</v>
      </c>
      <c r="D81" s="1" t="s">
        <v>276</v>
      </c>
      <c r="E81" s="1">
        <v>2</v>
      </c>
      <c r="F81" s="1">
        <v>22601024</v>
      </c>
      <c r="G81" s="4">
        <v>1250</v>
      </c>
      <c r="H81" s="88" t="s">
        <v>10</v>
      </c>
      <c r="I81" s="16" t="s">
        <v>148</v>
      </c>
      <c r="J81" s="16" t="s">
        <v>1772</v>
      </c>
      <c r="K81" s="4">
        <v>1565</v>
      </c>
      <c r="L81" s="99">
        <v>1544</v>
      </c>
      <c r="M81" s="4">
        <v>1544</v>
      </c>
      <c r="N81" s="5">
        <v>1543</v>
      </c>
      <c r="O81" s="5">
        <v>1544</v>
      </c>
      <c r="P81" s="30">
        <v>1543.6666666666667</v>
      </c>
      <c r="Q81" s="7">
        <v>5.7</v>
      </c>
      <c r="R81" s="4">
        <v>36</v>
      </c>
      <c r="S81" s="7" t="s">
        <v>5</v>
      </c>
      <c r="T81" s="9">
        <v>166</v>
      </c>
      <c r="U81" s="9">
        <v>162</v>
      </c>
      <c r="V81" s="118">
        <v>4</v>
      </c>
      <c r="W81" s="7" t="s">
        <v>5</v>
      </c>
      <c r="X81" s="7">
        <v>58</v>
      </c>
      <c r="Y81" s="12">
        <v>3.264675</v>
      </c>
      <c r="Z81" s="7">
        <v>9.1</v>
      </c>
      <c r="AA81" s="7">
        <v>9.4</v>
      </c>
      <c r="AB81" s="13">
        <v>70</v>
      </c>
      <c r="AC81" s="13">
        <v>74</v>
      </c>
      <c r="AD81" s="7" t="s">
        <v>6</v>
      </c>
      <c r="AE81" s="18" t="s">
        <v>53</v>
      </c>
      <c r="AF81" s="14" t="s">
        <v>1773</v>
      </c>
    </row>
    <row r="82" spans="1:32" ht="15.75" x14ac:dyDescent="0.25">
      <c r="A82" s="1">
        <v>1857</v>
      </c>
      <c r="B82" s="2">
        <v>46047</v>
      </c>
      <c r="C82" s="1" t="s">
        <v>18</v>
      </c>
      <c r="D82" s="1" t="s">
        <v>276</v>
      </c>
      <c r="E82" s="1">
        <v>2</v>
      </c>
      <c r="F82" s="1">
        <v>22601024</v>
      </c>
      <c r="G82" s="4">
        <v>1250</v>
      </c>
      <c r="H82" s="88" t="s">
        <v>10</v>
      </c>
      <c r="I82" s="16" t="s">
        <v>155</v>
      </c>
      <c r="J82" s="16" t="s">
        <v>1774</v>
      </c>
      <c r="K82" s="4">
        <v>1568</v>
      </c>
      <c r="L82" s="99">
        <v>1545</v>
      </c>
      <c r="M82" s="4">
        <v>1544</v>
      </c>
      <c r="N82" s="5">
        <v>1543</v>
      </c>
      <c r="O82" s="5">
        <v>1543</v>
      </c>
      <c r="P82" s="30">
        <v>1543.3333333333333</v>
      </c>
      <c r="Q82" s="7">
        <v>5</v>
      </c>
      <c r="R82" s="4">
        <v>35</v>
      </c>
      <c r="S82" s="7">
        <v>12</v>
      </c>
      <c r="T82" s="9">
        <v>165</v>
      </c>
      <c r="U82" s="9">
        <v>57</v>
      </c>
      <c r="V82" s="118">
        <v>108</v>
      </c>
      <c r="W82" s="7" t="s">
        <v>5</v>
      </c>
      <c r="X82" s="7">
        <v>58</v>
      </c>
      <c r="Y82" s="12">
        <v>2.86375</v>
      </c>
      <c r="Z82" s="7">
        <v>8.4</v>
      </c>
      <c r="AA82" s="7">
        <v>9.3000000000000007</v>
      </c>
      <c r="AB82" s="13">
        <v>68</v>
      </c>
      <c r="AC82" s="13">
        <v>70</v>
      </c>
      <c r="AD82" s="7" t="s">
        <v>6</v>
      </c>
      <c r="AE82" s="18" t="s">
        <v>72</v>
      </c>
      <c r="AF82" s="14" t="s">
        <v>1775</v>
      </c>
    </row>
    <row r="83" spans="1:32" ht="47.25" x14ac:dyDescent="0.25">
      <c r="A83" s="1">
        <v>1872</v>
      </c>
      <c r="B83" s="2">
        <v>46047</v>
      </c>
      <c r="C83" s="1" t="s">
        <v>264</v>
      </c>
      <c r="D83" s="1" t="s">
        <v>9</v>
      </c>
      <c r="E83" s="1">
        <v>2</v>
      </c>
      <c r="F83" s="1">
        <v>22601024</v>
      </c>
      <c r="G83" s="4">
        <v>1250</v>
      </c>
      <c r="H83" s="88" t="s">
        <v>10</v>
      </c>
      <c r="I83" s="16" t="s">
        <v>331</v>
      </c>
      <c r="J83" s="16" t="s">
        <v>1776</v>
      </c>
      <c r="K83" s="4">
        <v>1571</v>
      </c>
      <c r="L83" s="4">
        <v>1544</v>
      </c>
      <c r="M83" s="4">
        <v>1543</v>
      </c>
      <c r="N83" s="4">
        <v>1543</v>
      </c>
      <c r="O83" s="5">
        <v>1544</v>
      </c>
      <c r="P83" s="30">
        <v>1543.3333333333333</v>
      </c>
      <c r="Q83" s="7">
        <v>4.5</v>
      </c>
      <c r="R83" s="7">
        <v>34</v>
      </c>
      <c r="S83" s="7" t="s">
        <v>5</v>
      </c>
      <c r="T83" s="7">
        <v>157</v>
      </c>
      <c r="U83" s="7">
        <v>61</v>
      </c>
      <c r="V83" s="118">
        <v>96</v>
      </c>
      <c r="W83" s="7" t="s">
        <v>5</v>
      </c>
      <c r="X83" s="7">
        <v>58</v>
      </c>
      <c r="Y83" s="12">
        <v>2.577375</v>
      </c>
      <c r="Z83" s="7">
        <v>8.1</v>
      </c>
      <c r="AA83" s="7">
        <v>9.1</v>
      </c>
      <c r="AB83" s="13">
        <v>58</v>
      </c>
      <c r="AC83" s="13">
        <v>80</v>
      </c>
      <c r="AD83" s="7" t="s">
        <v>6</v>
      </c>
      <c r="AE83" s="18" t="s">
        <v>53</v>
      </c>
      <c r="AF83" s="14" t="s">
        <v>1777</v>
      </c>
    </row>
    <row r="84" spans="1:32" ht="15.75" x14ac:dyDescent="0.25">
      <c r="A84" s="1">
        <v>1876</v>
      </c>
      <c r="B84" s="2">
        <v>46047</v>
      </c>
      <c r="C84" s="1" t="s">
        <v>264</v>
      </c>
      <c r="D84" s="1" t="s">
        <v>9</v>
      </c>
      <c r="E84" s="1">
        <v>2</v>
      </c>
      <c r="F84" s="1">
        <v>22601024</v>
      </c>
      <c r="G84" s="4">
        <v>1230</v>
      </c>
      <c r="H84" s="88" t="s">
        <v>10</v>
      </c>
      <c r="I84" s="16" t="s">
        <v>66</v>
      </c>
      <c r="J84" s="16" t="s">
        <v>1778</v>
      </c>
      <c r="K84" s="4">
        <v>1567</v>
      </c>
      <c r="L84" s="4">
        <v>1546</v>
      </c>
      <c r="M84" s="5">
        <v>1548</v>
      </c>
      <c r="N84" s="5">
        <v>1548</v>
      </c>
      <c r="O84" s="5">
        <v>1547</v>
      </c>
      <c r="P84" s="30">
        <v>1547.6666666666667</v>
      </c>
      <c r="Q84" s="7">
        <v>5.5</v>
      </c>
      <c r="R84" s="4">
        <v>40</v>
      </c>
      <c r="S84" s="7">
        <v>7</v>
      </c>
      <c r="T84" s="8">
        <v>173</v>
      </c>
      <c r="U84" s="8">
        <v>59</v>
      </c>
      <c r="V84" s="118">
        <v>114</v>
      </c>
      <c r="W84" s="7" t="s">
        <v>5</v>
      </c>
      <c r="X84" s="7">
        <v>58</v>
      </c>
      <c r="Y84" s="12">
        <v>3.099723</v>
      </c>
      <c r="Z84" s="7">
        <v>8.1</v>
      </c>
      <c r="AA84" s="7">
        <v>8.5</v>
      </c>
      <c r="AB84" s="13">
        <v>64</v>
      </c>
      <c r="AC84" s="13">
        <v>69</v>
      </c>
      <c r="AD84" s="7" t="s">
        <v>6</v>
      </c>
      <c r="AE84" s="102" t="s">
        <v>53</v>
      </c>
      <c r="AF84" s="124" t="s">
        <v>721</v>
      </c>
    </row>
    <row r="85" spans="1:32" ht="31.5" x14ac:dyDescent="0.25">
      <c r="A85" s="1">
        <v>1877</v>
      </c>
      <c r="B85" s="2">
        <v>46047</v>
      </c>
      <c r="C85" s="1" t="s">
        <v>264</v>
      </c>
      <c r="D85" s="1" t="s">
        <v>9</v>
      </c>
      <c r="E85" s="1">
        <v>2</v>
      </c>
      <c r="F85" s="1">
        <v>22601024</v>
      </c>
      <c r="G85" s="4">
        <v>1230</v>
      </c>
      <c r="H85" s="88" t="s">
        <v>10</v>
      </c>
      <c r="I85" s="16" t="s">
        <v>15</v>
      </c>
      <c r="J85" s="16" t="s">
        <v>1779</v>
      </c>
      <c r="K85" s="4">
        <v>1565</v>
      </c>
      <c r="L85" s="4">
        <v>1546</v>
      </c>
      <c r="M85" s="5">
        <v>1546</v>
      </c>
      <c r="N85" s="5">
        <v>1545</v>
      </c>
      <c r="O85" s="5">
        <v>1545</v>
      </c>
      <c r="P85" s="30">
        <v>1545.3333333333333</v>
      </c>
      <c r="Q85" s="7">
        <v>4</v>
      </c>
      <c r="R85" s="4">
        <v>43</v>
      </c>
      <c r="S85" s="7">
        <v>18</v>
      </c>
      <c r="T85" s="8">
        <v>168</v>
      </c>
      <c r="U85" s="8">
        <v>55</v>
      </c>
      <c r="V85" s="118">
        <v>113</v>
      </c>
      <c r="W85" s="7" t="s">
        <v>5</v>
      </c>
      <c r="X85" s="7">
        <v>58</v>
      </c>
      <c r="Y85" s="12">
        <v>2.2543440000000001</v>
      </c>
      <c r="Z85" s="7">
        <v>8.5</v>
      </c>
      <c r="AA85" s="7">
        <v>9.1</v>
      </c>
      <c r="AB85" s="13">
        <v>66</v>
      </c>
      <c r="AC85" s="13">
        <v>72</v>
      </c>
      <c r="AD85" s="7" t="s">
        <v>6</v>
      </c>
      <c r="AE85" s="40" t="s">
        <v>53</v>
      </c>
      <c r="AF85" s="79" t="s">
        <v>1780</v>
      </c>
    </row>
    <row r="86" spans="1:32" ht="15.75" x14ac:dyDescent="0.25">
      <c r="A86" s="1">
        <v>1879</v>
      </c>
      <c r="B86" s="2">
        <v>46047</v>
      </c>
      <c r="C86" s="1" t="s">
        <v>264</v>
      </c>
      <c r="D86" s="1" t="s">
        <v>9</v>
      </c>
      <c r="E86" s="1">
        <v>2</v>
      </c>
      <c r="F86" s="1">
        <v>22601024</v>
      </c>
      <c r="G86" s="4">
        <v>1230</v>
      </c>
      <c r="H86" s="88" t="s">
        <v>10</v>
      </c>
      <c r="I86" s="16" t="s">
        <v>129</v>
      </c>
      <c r="J86" s="16" t="s">
        <v>1781</v>
      </c>
      <c r="K86" s="4">
        <v>1566</v>
      </c>
      <c r="L86" s="4">
        <v>1547</v>
      </c>
      <c r="M86" s="5">
        <v>1544</v>
      </c>
      <c r="N86" s="5">
        <v>1544</v>
      </c>
      <c r="O86" s="5">
        <v>1543</v>
      </c>
      <c r="P86" s="30">
        <v>1543.6666666666667</v>
      </c>
      <c r="Q86" s="7">
        <v>5.6</v>
      </c>
      <c r="R86" s="4">
        <v>38</v>
      </c>
      <c r="S86" s="7" t="s">
        <v>5</v>
      </c>
      <c r="T86" s="8">
        <v>175</v>
      </c>
      <c r="U86" s="8">
        <v>57</v>
      </c>
      <c r="V86" s="118">
        <v>118</v>
      </c>
      <c r="W86" s="7" t="s">
        <v>5</v>
      </c>
      <c r="X86" s="7">
        <v>58</v>
      </c>
      <c r="Y86" s="12">
        <v>3.1560815999999998</v>
      </c>
      <c r="Z86" s="7">
        <v>9.1999999999999993</v>
      </c>
      <c r="AA86" s="7">
        <v>9.1</v>
      </c>
      <c r="AB86" s="13">
        <v>61</v>
      </c>
      <c r="AC86" s="13">
        <v>79</v>
      </c>
      <c r="AD86" s="7" t="s">
        <v>6</v>
      </c>
      <c r="AE86" s="40" t="s">
        <v>53</v>
      </c>
      <c r="AF86" s="14" t="s">
        <v>480</v>
      </c>
    </row>
    <row r="87" spans="1:32" ht="15.75" x14ac:dyDescent="0.25">
      <c r="A87" s="1">
        <v>1880</v>
      </c>
      <c r="B87" s="2">
        <v>46047</v>
      </c>
      <c r="C87" s="1" t="s">
        <v>264</v>
      </c>
      <c r="D87" s="1" t="s">
        <v>9</v>
      </c>
      <c r="E87" s="1">
        <v>2</v>
      </c>
      <c r="F87" s="1">
        <v>22601024</v>
      </c>
      <c r="G87" s="4">
        <v>1230</v>
      </c>
      <c r="H87" s="88" t="s">
        <v>10</v>
      </c>
      <c r="I87" s="16" t="s">
        <v>277</v>
      </c>
      <c r="J87" s="16" t="s">
        <v>1782</v>
      </c>
      <c r="K87" s="4">
        <v>1565</v>
      </c>
      <c r="L87" s="4">
        <v>1541</v>
      </c>
      <c r="M87" s="5">
        <v>1541</v>
      </c>
      <c r="N87" s="5">
        <v>1540</v>
      </c>
      <c r="O87" s="5" t="s">
        <v>5</v>
      </c>
      <c r="P87" s="30">
        <v>1540.5</v>
      </c>
      <c r="Q87" s="7">
        <v>5.3</v>
      </c>
      <c r="R87" s="4">
        <v>37</v>
      </c>
      <c r="S87" s="7" t="s">
        <v>5</v>
      </c>
      <c r="T87" s="8">
        <v>171</v>
      </c>
      <c r="U87" s="8">
        <v>62</v>
      </c>
      <c r="V87" s="118">
        <v>109</v>
      </c>
      <c r="W87" s="7" t="s">
        <v>5</v>
      </c>
      <c r="X87" s="7">
        <v>58</v>
      </c>
      <c r="Y87" s="12">
        <v>2.9870057999999999</v>
      </c>
      <c r="Z87" s="7">
        <v>7.5</v>
      </c>
      <c r="AA87" s="7">
        <v>8.8000000000000007</v>
      </c>
      <c r="AB87" s="13">
        <v>64</v>
      </c>
      <c r="AC87" s="13">
        <v>77</v>
      </c>
      <c r="AD87" s="7" t="s">
        <v>6</v>
      </c>
      <c r="AE87" s="40" t="s">
        <v>53</v>
      </c>
      <c r="AF87" s="14" t="s">
        <v>721</v>
      </c>
    </row>
    <row r="88" spans="1:32" ht="15.75" x14ac:dyDescent="0.25">
      <c r="A88" s="1">
        <v>1881</v>
      </c>
      <c r="B88" s="2">
        <v>46047</v>
      </c>
      <c r="C88" s="1" t="s">
        <v>264</v>
      </c>
      <c r="D88" s="1" t="s">
        <v>9</v>
      </c>
      <c r="E88" s="1">
        <v>2</v>
      </c>
      <c r="F88" s="1">
        <v>22601024</v>
      </c>
      <c r="G88" s="4">
        <v>1230</v>
      </c>
      <c r="H88" s="88" t="s">
        <v>10</v>
      </c>
      <c r="I88" s="16" t="s">
        <v>416</v>
      </c>
      <c r="J88" s="16" t="s">
        <v>1783</v>
      </c>
      <c r="K88" s="4">
        <v>1569</v>
      </c>
      <c r="L88" s="4">
        <v>1539</v>
      </c>
      <c r="M88" s="5">
        <v>1540</v>
      </c>
      <c r="N88" s="5">
        <v>1541</v>
      </c>
      <c r="O88" s="5" t="s">
        <v>5</v>
      </c>
      <c r="P88" s="30">
        <v>1540.5</v>
      </c>
      <c r="Q88" s="7">
        <v>5.5</v>
      </c>
      <c r="R88" s="4">
        <v>38</v>
      </c>
      <c r="S88" s="7">
        <v>12</v>
      </c>
      <c r="T88" s="8">
        <v>169</v>
      </c>
      <c r="U88" s="8">
        <v>52</v>
      </c>
      <c r="V88" s="118">
        <v>117</v>
      </c>
      <c r="W88" s="7" t="s">
        <v>5</v>
      </c>
      <c r="X88" s="7">
        <v>58</v>
      </c>
      <c r="Y88" s="12">
        <v>3.099723</v>
      </c>
      <c r="Z88" s="7">
        <v>6.1</v>
      </c>
      <c r="AA88" s="7">
        <v>6.8</v>
      </c>
      <c r="AB88" s="7">
        <v>71</v>
      </c>
      <c r="AC88" s="7">
        <v>73</v>
      </c>
      <c r="AD88" s="7" t="s">
        <v>6</v>
      </c>
      <c r="AE88" s="40" t="s">
        <v>53</v>
      </c>
      <c r="AF88" s="14" t="s">
        <v>397</v>
      </c>
    </row>
    <row r="89" spans="1:32" ht="15.75" x14ac:dyDescent="0.25">
      <c r="A89" s="1">
        <v>1896</v>
      </c>
      <c r="B89" s="2">
        <v>46047</v>
      </c>
      <c r="C89" s="1" t="s">
        <v>0</v>
      </c>
      <c r="D89" s="1" t="s">
        <v>265</v>
      </c>
      <c r="E89" s="1">
        <v>2</v>
      </c>
      <c r="F89" s="1">
        <v>22601024</v>
      </c>
      <c r="G89" s="4">
        <v>1230</v>
      </c>
      <c r="H89" s="88" t="s">
        <v>10</v>
      </c>
      <c r="I89" s="16" t="s">
        <v>303</v>
      </c>
      <c r="J89" s="16" t="s">
        <v>1784</v>
      </c>
      <c r="K89" s="4">
        <v>1570</v>
      </c>
      <c r="L89" s="5">
        <v>1545</v>
      </c>
      <c r="M89" s="5">
        <v>1546</v>
      </c>
      <c r="N89" s="5">
        <v>1546</v>
      </c>
      <c r="O89" s="5" t="s">
        <v>5</v>
      </c>
      <c r="P89" s="30">
        <v>1544.1818181818182</v>
      </c>
      <c r="Q89" s="7">
        <v>5.0999999999999996</v>
      </c>
      <c r="R89" s="4">
        <v>37</v>
      </c>
      <c r="S89" s="7">
        <v>27</v>
      </c>
      <c r="T89" s="9">
        <v>170</v>
      </c>
      <c r="U89" s="9">
        <v>60</v>
      </c>
      <c r="V89" s="118">
        <v>110</v>
      </c>
      <c r="W89" s="7" t="s">
        <v>5</v>
      </c>
      <c r="X89" s="7">
        <v>58</v>
      </c>
      <c r="Y89" s="12">
        <v>2.8742885999999999</v>
      </c>
      <c r="Z89" s="7">
        <v>8.8000000000000007</v>
      </c>
      <c r="AA89" s="7">
        <v>9</v>
      </c>
      <c r="AB89" s="13">
        <v>66</v>
      </c>
      <c r="AC89" s="13">
        <v>75</v>
      </c>
      <c r="AD89" s="7" t="s">
        <v>6</v>
      </c>
      <c r="AE89" s="40" t="s">
        <v>53</v>
      </c>
      <c r="AF89" s="14" t="s">
        <v>721</v>
      </c>
    </row>
    <row r="90" spans="1:32" ht="15.75" x14ac:dyDescent="0.25">
      <c r="A90" s="1">
        <v>1898</v>
      </c>
      <c r="B90" s="2">
        <v>46047</v>
      </c>
      <c r="C90" s="1" t="s">
        <v>0</v>
      </c>
      <c r="D90" s="1" t="s">
        <v>265</v>
      </c>
      <c r="E90" s="1">
        <v>2</v>
      </c>
      <c r="F90" s="1">
        <v>22601024</v>
      </c>
      <c r="G90" s="4">
        <v>1230</v>
      </c>
      <c r="H90" s="88" t="s">
        <v>10</v>
      </c>
      <c r="I90" s="16" t="s">
        <v>3</v>
      </c>
      <c r="J90" s="16" t="s">
        <v>1785</v>
      </c>
      <c r="K90" s="4">
        <v>1570</v>
      </c>
      <c r="L90" s="5">
        <v>1546</v>
      </c>
      <c r="M90" s="5">
        <v>1548</v>
      </c>
      <c r="N90" s="5">
        <v>1545</v>
      </c>
      <c r="O90" s="5">
        <v>1543</v>
      </c>
      <c r="P90" s="30">
        <v>1545.3333333333333</v>
      </c>
      <c r="Q90" s="7">
        <v>4.8</v>
      </c>
      <c r="R90" s="4">
        <v>39</v>
      </c>
      <c r="S90" s="7">
        <v>39</v>
      </c>
      <c r="T90" s="9">
        <v>171.3</v>
      </c>
      <c r="U90" s="9">
        <v>62.8</v>
      </c>
      <c r="V90" s="118">
        <v>108.50000000000001</v>
      </c>
      <c r="W90" s="7" t="s">
        <v>5</v>
      </c>
      <c r="X90" s="7">
        <v>58</v>
      </c>
      <c r="Y90" s="12">
        <v>2.7052128</v>
      </c>
      <c r="Z90" s="7">
        <v>8</v>
      </c>
      <c r="AA90" s="7">
        <v>8.9</v>
      </c>
      <c r="AB90" s="13">
        <v>58</v>
      </c>
      <c r="AC90" s="13">
        <v>70</v>
      </c>
      <c r="AD90" s="7" t="s">
        <v>6</v>
      </c>
      <c r="AE90" s="40" t="s">
        <v>53</v>
      </c>
      <c r="AF90" s="14" t="s">
        <v>1786</v>
      </c>
    </row>
    <row r="91" spans="1:32" ht="15.75" x14ac:dyDescent="0.25">
      <c r="A91" s="1">
        <v>1899</v>
      </c>
      <c r="B91" s="2">
        <v>46047</v>
      </c>
      <c r="C91" s="1" t="s">
        <v>0</v>
      </c>
      <c r="D91" s="1" t="s">
        <v>265</v>
      </c>
      <c r="E91" s="1">
        <v>2</v>
      </c>
      <c r="F91" s="1">
        <v>22601024</v>
      </c>
      <c r="G91" s="4">
        <v>1230</v>
      </c>
      <c r="H91" s="88" t="s">
        <v>10</v>
      </c>
      <c r="I91" s="16" t="s">
        <v>138</v>
      </c>
      <c r="J91" s="16" t="s">
        <v>1787</v>
      </c>
      <c r="K91" s="4">
        <v>1568</v>
      </c>
      <c r="L91" s="5">
        <v>1540</v>
      </c>
      <c r="M91" s="5">
        <v>1542</v>
      </c>
      <c r="N91" s="5">
        <v>1543</v>
      </c>
      <c r="O91" s="5">
        <v>1543</v>
      </c>
      <c r="P91" s="30">
        <v>1542.6666666666667</v>
      </c>
      <c r="Q91" s="7">
        <v>4.8</v>
      </c>
      <c r="R91" s="4">
        <v>39</v>
      </c>
      <c r="S91" s="7">
        <v>12</v>
      </c>
      <c r="T91" s="8">
        <v>169.2</v>
      </c>
      <c r="U91" s="7">
        <v>51.5</v>
      </c>
      <c r="V91" s="118">
        <v>117.69999999999999</v>
      </c>
      <c r="W91" s="7" t="s">
        <v>5</v>
      </c>
      <c r="X91" s="7">
        <v>58</v>
      </c>
      <c r="Y91" s="12">
        <v>2.7052128</v>
      </c>
      <c r="Z91" s="7">
        <v>8</v>
      </c>
      <c r="AA91" s="7">
        <v>9.5</v>
      </c>
      <c r="AB91" s="7">
        <v>64</v>
      </c>
      <c r="AC91" s="7">
        <v>74</v>
      </c>
      <c r="AD91" s="7" t="s">
        <v>6</v>
      </c>
      <c r="AE91" s="40" t="s">
        <v>53</v>
      </c>
      <c r="AF91" s="14" t="s">
        <v>480</v>
      </c>
    </row>
    <row r="92" spans="1:32" ht="15.75" x14ac:dyDescent="0.25">
      <c r="A92" s="1">
        <v>1923</v>
      </c>
      <c r="B92" s="2">
        <v>46048</v>
      </c>
      <c r="C92" s="1" t="s">
        <v>18</v>
      </c>
      <c r="D92" s="1" t="s">
        <v>276</v>
      </c>
      <c r="E92" s="1">
        <v>2</v>
      </c>
      <c r="F92" s="1">
        <v>22601025</v>
      </c>
      <c r="G92" s="4">
        <v>1230</v>
      </c>
      <c r="H92" s="88" t="s">
        <v>10</v>
      </c>
      <c r="I92" s="16" t="s">
        <v>70</v>
      </c>
      <c r="J92" s="16" t="s">
        <v>1788</v>
      </c>
      <c r="K92" s="16">
        <v>1565</v>
      </c>
      <c r="L92" s="4">
        <v>1540</v>
      </c>
      <c r="M92" s="4">
        <v>1544</v>
      </c>
      <c r="N92" s="5">
        <v>1543</v>
      </c>
      <c r="O92" s="5">
        <v>1544</v>
      </c>
      <c r="P92" s="30">
        <v>1543.6666666666667</v>
      </c>
      <c r="Q92" s="7">
        <v>5.7</v>
      </c>
      <c r="R92" s="4">
        <v>32</v>
      </c>
      <c r="S92" s="7">
        <v>27</v>
      </c>
      <c r="T92" s="9">
        <v>161.52000000000001</v>
      </c>
      <c r="U92" s="9">
        <v>60.3</v>
      </c>
      <c r="V92" s="118">
        <v>101.22000000000001</v>
      </c>
      <c r="W92" s="7" t="s">
        <v>5</v>
      </c>
      <c r="X92" s="7">
        <v>58</v>
      </c>
      <c r="Y92" s="12">
        <v>3.2124402000000001</v>
      </c>
      <c r="Z92" s="7">
        <v>8.9</v>
      </c>
      <c r="AA92" s="7">
        <v>9.1</v>
      </c>
      <c r="AB92" s="13">
        <v>66</v>
      </c>
      <c r="AC92" s="13">
        <v>67</v>
      </c>
      <c r="AD92" s="7" t="s">
        <v>6</v>
      </c>
      <c r="AE92" s="40" t="s">
        <v>53</v>
      </c>
      <c r="AF92" s="14" t="s">
        <v>721</v>
      </c>
    </row>
    <row r="93" spans="1:32" ht="31.5" x14ac:dyDescent="0.25">
      <c r="A93" s="1">
        <v>1981</v>
      </c>
      <c r="B93" s="2">
        <v>46048</v>
      </c>
      <c r="C93" s="1" t="s">
        <v>0</v>
      </c>
      <c r="D93" s="1" t="s">
        <v>265</v>
      </c>
      <c r="E93" s="1">
        <v>2</v>
      </c>
      <c r="F93" s="1">
        <v>22601025</v>
      </c>
      <c r="G93" s="4">
        <v>1260</v>
      </c>
      <c r="H93" s="88" t="s">
        <v>10</v>
      </c>
      <c r="I93" s="16" t="s">
        <v>419</v>
      </c>
      <c r="J93" s="16" t="s">
        <v>1789</v>
      </c>
      <c r="K93" s="4">
        <v>1567</v>
      </c>
      <c r="L93" s="5">
        <v>1543</v>
      </c>
      <c r="M93" s="5">
        <v>1542</v>
      </c>
      <c r="N93" s="5">
        <v>1539</v>
      </c>
      <c r="O93" s="5">
        <v>1539</v>
      </c>
      <c r="P93" s="30">
        <v>1541.5</v>
      </c>
      <c r="Q93" s="7">
        <v>4.7</v>
      </c>
      <c r="R93" s="4">
        <v>29</v>
      </c>
      <c r="S93" s="7"/>
      <c r="T93" s="8">
        <v>164.4</v>
      </c>
      <c r="U93" s="8">
        <v>75.2</v>
      </c>
      <c r="V93" s="118">
        <v>89.2</v>
      </c>
      <c r="W93" s="7" t="s">
        <v>5</v>
      </c>
      <c r="X93" s="7">
        <v>58</v>
      </c>
      <c r="Y93" s="12">
        <v>2.7134604000000002</v>
      </c>
      <c r="Z93" s="7">
        <v>9.1</v>
      </c>
      <c r="AA93" s="7">
        <v>9.6</v>
      </c>
      <c r="AB93" s="13">
        <v>69</v>
      </c>
      <c r="AC93" s="13">
        <v>73</v>
      </c>
      <c r="AD93" s="7" t="s">
        <v>6</v>
      </c>
      <c r="AE93" s="40" t="s">
        <v>53</v>
      </c>
      <c r="AF93" s="14" t="s">
        <v>1790</v>
      </c>
    </row>
    <row r="94" spans="1:32" ht="15.75" x14ac:dyDescent="0.25">
      <c r="A94" s="1">
        <v>2061</v>
      </c>
      <c r="B94" s="2">
        <v>46049</v>
      </c>
      <c r="C94" s="1" t="s">
        <v>0</v>
      </c>
      <c r="D94" s="1" t="s">
        <v>265</v>
      </c>
      <c r="E94" s="1">
        <v>1</v>
      </c>
      <c r="F94" s="1">
        <v>12601024</v>
      </c>
      <c r="G94" s="4">
        <v>1270</v>
      </c>
      <c r="H94" s="88" t="s">
        <v>55</v>
      </c>
      <c r="I94" s="16" t="s">
        <v>1791</v>
      </c>
      <c r="J94" s="16" t="s">
        <v>1792</v>
      </c>
      <c r="K94" s="4">
        <v>1565</v>
      </c>
      <c r="L94" s="5">
        <v>1548</v>
      </c>
      <c r="M94" s="5">
        <v>1544</v>
      </c>
      <c r="N94" s="5">
        <v>1544</v>
      </c>
      <c r="O94" s="5">
        <v>1544</v>
      </c>
      <c r="P94" s="30">
        <v>1544</v>
      </c>
      <c r="Q94" s="7">
        <v>5.5</v>
      </c>
      <c r="R94" s="4">
        <v>31</v>
      </c>
      <c r="S94" s="7" t="s">
        <v>5</v>
      </c>
      <c r="T94" s="9">
        <v>168.5</v>
      </c>
      <c r="U94" s="9">
        <v>64.3</v>
      </c>
      <c r="V94" s="118">
        <v>104.2</v>
      </c>
      <c r="W94" s="7" t="s">
        <v>5</v>
      </c>
      <c r="X94" s="7">
        <v>58</v>
      </c>
      <c r="Y94" s="12">
        <v>3.2005270000000001</v>
      </c>
      <c r="Z94" s="7">
        <v>10.9</v>
      </c>
      <c r="AA94" s="7">
        <v>10.3</v>
      </c>
      <c r="AB94" s="13">
        <v>94</v>
      </c>
      <c r="AC94" s="13">
        <v>80</v>
      </c>
      <c r="AD94" s="7" t="s">
        <v>6</v>
      </c>
      <c r="AE94" s="40" t="s">
        <v>53</v>
      </c>
      <c r="AF94" s="14" t="s">
        <v>706</v>
      </c>
    </row>
    <row r="95" spans="1:32" ht="15.75" x14ac:dyDescent="0.25">
      <c r="A95" s="1">
        <v>2070</v>
      </c>
      <c r="B95" s="2">
        <v>46049</v>
      </c>
      <c r="C95" s="1" t="s">
        <v>0</v>
      </c>
      <c r="D95" s="1" t="s">
        <v>265</v>
      </c>
      <c r="E95" s="1">
        <v>2</v>
      </c>
      <c r="F95" s="1">
        <v>22601025</v>
      </c>
      <c r="G95" s="4">
        <v>1270</v>
      </c>
      <c r="H95" s="88" t="s">
        <v>55</v>
      </c>
      <c r="I95" s="16" t="s">
        <v>331</v>
      </c>
      <c r="J95" s="16" t="s">
        <v>1793</v>
      </c>
      <c r="K95" s="4">
        <v>1570</v>
      </c>
      <c r="L95" s="4">
        <v>1545</v>
      </c>
      <c r="M95" s="5">
        <v>1546</v>
      </c>
      <c r="N95" s="5">
        <v>1546</v>
      </c>
      <c r="O95" s="5">
        <v>1545</v>
      </c>
      <c r="P95" s="30">
        <v>1543.3333333333333</v>
      </c>
      <c r="Q95" s="7">
        <v>4.9000000000000004</v>
      </c>
      <c r="R95" s="4">
        <v>33</v>
      </c>
      <c r="S95" s="7" t="s">
        <v>5</v>
      </c>
      <c r="T95" s="9">
        <v>162.69999999999999</v>
      </c>
      <c r="U95" s="9">
        <v>55.3</v>
      </c>
      <c r="V95" s="118">
        <v>107.39999999999999</v>
      </c>
      <c r="W95" s="7" t="s">
        <v>5</v>
      </c>
      <c r="X95" s="7">
        <v>58</v>
      </c>
      <c r="Y95" s="12">
        <v>2.8513786000000003</v>
      </c>
      <c r="Z95" s="7">
        <v>9.6999999999999993</v>
      </c>
      <c r="AA95" s="7">
        <v>9.6</v>
      </c>
      <c r="AB95" s="13">
        <v>77</v>
      </c>
      <c r="AC95" s="13">
        <v>77</v>
      </c>
      <c r="AD95" s="7" t="s">
        <v>6</v>
      </c>
      <c r="AE95" s="40" t="s">
        <v>53</v>
      </c>
      <c r="AF95" s="14" t="s">
        <v>397</v>
      </c>
    </row>
    <row r="96" spans="1:32" ht="15.75" x14ac:dyDescent="0.25">
      <c r="A96" s="1">
        <v>2074</v>
      </c>
      <c r="B96" s="2">
        <v>46049</v>
      </c>
      <c r="C96" s="1" t="s">
        <v>0</v>
      </c>
      <c r="D96" s="1" t="s">
        <v>265</v>
      </c>
      <c r="E96" s="1">
        <v>2</v>
      </c>
      <c r="F96" s="1">
        <v>22601025</v>
      </c>
      <c r="G96" s="4">
        <v>1270</v>
      </c>
      <c r="H96" s="88" t="s">
        <v>55</v>
      </c>
      <c r="I96" s="16" t="s">
        <v>66</v>
      </c>
      <c r="J96" s="16" t="s">
        <v>1794</v>
      </c>
      <c r="K96" s="4">
        <v>1570</v>
      </c>
      <c r="L96" s="5">
        <v>1546</v>
      </c>
      <c r="M96" s="5">
        <v>1544</v>
      </c>
      <c r="N96" s="5">
        <v>1544</v>
      </c>
      <c r="O96" s="5">
        <v>1543</v>
      </c>
      <c r="P96" s="30">
        <v>1542.6666666666667</v>
      </c>
      <c r="Q96" s="7">
        <v>5.7</v>
      </c>
      <c r="R96" s="4">
        <v>29</v>
      </c>
      <c r="S96" s="7" t="s">
        <v>5</v>
      </c>
      <c r="T96" s="9">
        <v>160.9</v>
      </c>
      <c r="U96" s="9">
        <v>50.1</v>
      </c>
      <c r="V96" s="118">
        <v>110.80000000000001</v>
      </c>
      <c r="W96" s="7" t="s">
        <v>5</v>
      </c>
      <c r="X96" s="7">
        <v>58</v>
      </c>
      <c r="Y96" s="12">
        <v>3.3169098000000004</v>
      </c>
      <c r="Z96" s="7">
        <v>8.6999999999999993</v>
      </c>
      <c r="AA96" s="7">
        <v>8.6999999999999993</v>
      </c>
      <c r="AB96" s="13">
        <v>77</v>
      </c>
      <c r="AC96" s="13">
        <v>78</v>
      </c>
      <c r="AD96" s="7" t="s">
        <v>6</v>
      </c>
      <c r="AE96" s="40" t="s">
        <v>53</v>
      </c>
      <c r="AF96" s="14" t="s">
        <v>706</v>
      </c>
    </row>
    <row r="97" spans="1:32" ht="15.75" x14ac:dyDescent="0.25">
      <c r="A97" s="1">
        <v>2179</v>
      </c>
      <c r="B97" s="2">
        <v>46051</v>
      </c>
      <c r="C97" s="1" t="s">
        <v>18</v>
      </c>
      <c r="D97" s="1" t="s">
        <v>19</v>
      </c>
      <c r="E97" s="1">
        <v>2</v>
      </c>
      <c r="F97" s="1">
        <v>22601027</v>
      </c>
      <c r="G97" s="4">
        <v>1230</v>
      </c>
      <c r="H97" s="88" t="s">
        <v>10</v>
      </c>
      <c r="I97" s="16" t="s">
        <v>371</v>
      </c>
      <c r="J97" s="16" t="s">
        <v>1795</v>
      </c>
      <c r="K97" s="4">
        <v>1565</v>
      </c>
      <c r="L97" s="99">
        <v>1543</v>
      </c>
      <c r="M97" s="4">
        <v>1542</v>
      </c>
      <c r="N97" s="5">
        <v>1542</v>
      </c>
      <c r="O97" s="5" t="s">
        <v>5</v>
      </c>
      <c r="P97" s="30">
        <v>1542</v>
      </c>
      <c r="Q97" s="7">
        <v>5.7</v>
      </c>
      <c r="R97" s="4">
        <v>31</v>
      </c>
      <c r="S97" s="7">
        <v>37</v>
      </c>
      <c r="T97" s="9">
        <v>165.8</v>
      </c>
      <c r="U97" s="9">
        <v>64.400000000000006</v>
      </c>
      <c r="V97" s="118">
        <v>101.4</v>
      </c>
      <c r="W97" s="7" t="s">
        <v>5</v>
      </c>
      <c r="X97" s="7">
        <v>58</v>
      </c>
      <c r="Y97" s="12">
        <v>3.2124402000000001</v>
      </c>
      <c r="Z97" s="7">
        <v>7.5</v>
      </c>
      <c r="AA97" s="7">
        <v>8.6</v>
      </c>
      <c r="AB97" s="13">
        <v>82</v>
      </c>
      <c r="AC97" s="13">
        <v>85</v>
      </c>
      <c r="AD97" s="7" t="s">
        <v>6</v>
      </c>
      <c r="AE97" s="40" t="s">
        <v>53</v>
      </c>
      <c r="AF97" s="14" t="s">
        <v>706</v>
      </c>
    </row>
    <row r="98" spans="1:32" ht="31.5" x14ac:dyDescent="0.25">
      <c r="A98" s="1">
        <v>2197</v>
      </c>
      <c r="B98" s="2">
        <v>46051</v>
      </c>
      <c r="C98" s="1" t="s">
        <v>264</v>
      </c>
      <c r="D98" s="1" t="s">
        <v>9</v>
      </c>
      <c r="E98" s="1">
        <v>2</v>
      </c>
      <c r="F98" s="1">
        <v>22601027</v>
      </c>
      <c r="G98" s="4">
        <v>1230</v>
      </c>
      <c r="H98" s="88" t="s">
        <v>10</v>
      </c>
      <c r="I98" s="16" t="s">
        <v>269</v>
      </c>
      <c r="J98" s="16" t="s">
        <v>1796</v>
      </c>
      <c r="K98" s="4">
        <v>1566</v>
      </c>
      <c r="L98" s="4">
        <v>1541</v>
      </c>
      <c r="M98" s="5">
        <v>1541</v>
      </c>
      <c r="N98" s="5">
        <v>1541</v>
      </c>
      <c r="O98" s="5" t="s">
        <v>5</v>
      </c>
      <c r="P98" s="30">
        <v>1541</v>
      </c>
      <c r="Q98" s="7">
        <v>5.6</v>
      </c>
      <c r="R98" s="4">
        <v>32</v>
      </c>
      <c r="S98" s="7" t="s">
        <v>5</v>
      </c>
      <c r="T98" s="9">
        <v>170</v>
      </c>
      <c r="U98" s="9">
        <v>52</v>
      </c>
      <c r="V98" s="118">
        <v>118</v>
      </c>
      <c r="W98" s="7" t="s">
        <v>5</v>
      </c>
      <c r="X98" s="7">
        <v>58</v>
      </c>
      <c r="Y98" s="12">
        <v>3.1560815999999998</v>
      </c>
      <c r="Z98" s="7">
        <v>9.1999999999999993</v>
      </c>
      <c r="AA98" s="7">
        <v>10</v>
      </c>
      <c r="AB98" s="13">
        <v>85</v>
      </c>
      <c r="AC98" s="13">
        <v>91</v>
      </c>
      <c r="AD98" s="7" t="s">
        <v>6</v>
      </c>
      <c r="AE98" s="40" t="s">
        <v>53</v>
      </c>
      <c r="AF98" s="14" t="s">
        <v>1797</v>
      </c>
    </row>
    <row r="99" spans="1:32" ht="47.25" x14ac:dyDescent="0.25">
      <c r="A99" s="1">
        <v>2225</v>
      </c>
      <c r="B99" s="2">
        <v>46051</v>
      </c>
      <c r="C99" s="1" t="s">
        <v>0</v>
      </c>
      <c r="D99" s="1" t="s">
        <v>265</v>
      </c>
      <c r="E99" s="1">
        <v>2</v>
      </c>
      <c r="F99" s="1">
        <v>22601027</v>
      </c>
      <c r="G99" s="4">
        <v>1260</v>
      </c>
      <c r="H99" s="88" t="s">
        <v>1798</v>
      </c>
      <c r="I99" s="16" t="s">
        <v>458</v>
      </c>
      <c r="J99" s="16" t="s">
        <v>1799</v>
      </c>
      <c r="K99" s="4">
        <v>567</v>
      </c>
      <c r="L99" s="5">
        <v>1545</v>
      </c>
      <c r="M99" s="5">
        <v>1547</v>
      </c>
      <c r="N99" s="5">
        <v>1547</v>
      </c>
      <c r="O99" s="5" t="s">
        <v>5</v>
      </c>
      <c r="P99" s="30">
        <v>1547</v>
      </c>
      <c r="Q99" s="7">
        <v>4.7</v>
      </c>
      <c r="R99" s="4">
        <v>38</v>
      </c>
      <c r="S99" s="7">
        <v>18</v>
      </c>
      <c r="T99" s="9">
        <v>164</v>
      </c>
      <c r="U99" s="9">
        <v>60</v>
      </c>
      <c r="V99" s="118">
        <v>104</v>
      </c>
      <c r="W99" s="7" t="s">
        <v>5</v>
      </c>
      <c r="X99" s="7">
        <v>58</v>
      </c>
      <c r="Y99" s="12">
        <v>2.7134604000000002</v>
      </c>
      <c r="Z99" s="7">
        <v>9.5</v>
      </c>
      <c r="AA99" s="7">
        <v>9.8000000000000007</v>
      </c>
      <c r="AB99" s="13">
        <v>79</v>
      </c>
      <c r="AC99" s="13">
        <v>80</v>
      </c>
      <c r="AD99" s="7" t="s">
        <v>6</v>
      </c>
      <c r="AE99" s="40" t="s">
        <v>72</v>
      </c>
      <c r="AF99" s="14" t="s">
        <v>1800</v>
      </c>
    </row>
    <row r="100" spans="1:32" ht="31.5" x14ac:dyDescent="0.25">
      <c r="A100" s="1">
        <v>2254</v>
      </c>
      <c r="B100" s="2">
        <v>46052</v>
      </c>
      <c r="C100" s="1" t="s">
        <v>18</v>
      </c>
      <c r="D100" s="1" t="s">
        <v>258</v>
      </c>
      <c r="E100" s="1">
        <v>2</v>
      </c>
      <c r="F100" s="1">
        <v>22601028</v>
      </c>
      <c r="G100" s="4">
        <v>1255</v>
      </c>
      <c r="H100" s="88" t="s">
        <v>55</v>
      </c>
      <c r="I100" s="16" t="s">
        <v>20</v>
      </c>
      <c r="J100" s="16" t="s">
        <v>1801</v>
      </c>
      <c r="K100" s="4">
        <v>1564</v>
      </c>
      <c r="L100" s="99">
        <v>1541</v>
      </c>
      <c r="M100" s="4">
        <v>1539</v>
      </c>
      <c r="N100" s="5">
        <v>1538</v>
      </c>
      <c r="O100" s="5" t="s">
        <v>5</v>
      </c>
      <c r="P100" s="30">
        <v>1538.5</v>
      </c>
      <c r="Q100" s="7">
        <v>4.7</v>
      </c>
      <c r="R100" s="4">
        <v>32</v>
      </c>
      <c r="S100" s="7" t="s">
        <v>5</v>
      </c>
      <c r="T100" s="9">
        <v>157.5</v>
      </c>
      <c r="U100" s="9">
        <v>62.6</v>
      </c>
      <c r="V100" s="118">
        <v>94.9</v>
      </c>
      <c r="W100" s="7" t="s">
        <v>5</v>
      </c>
      <c r="X100" s="7">
        <v>56</v>
      </c>
      <c r="Y100" s="12">
        <v>2.6094964000000003</v>
      </c>
      <c r="Z100" s="7">
        <v>7.9</v>
      </c>
      <c r="AA100" s="7">
        <v>7.8</v>
      </c>
      <c r="AB100" s="13">
        <v>64</v>
      </c>
      <c r="AC100" s="13">
        <v>64</v>
      </c>
      <c r="AD100" s="7" t="s">
        <v>6</v>
      </c>
      <c r="AE100" s="40" t="s">
        <v>53</v>
      </c>
      <c r="AF100" s="14" t="s">
        <v>983</v>
      </c>
    </row>
    <row r="101" spans="1:32" ht="15.75" x14ac:dyDescent="0.25">
      <c r="A101" s="1">
        <v>2257</v>
      </c>
      <c r="B101" s="2">
        <v>46052</v>
      </c>
      <c r="C101" s="1" t="s">
        <v>18</v>
      </c>
      <c r="D101" s="1" t="s">
        <v>258</v>
      </c>
      <c r="E101" s="1">
        <v>2</v>
      </c>
      <c r="F101" s="1">
        <v>22601028</v>
      </c>
      <c r="G101" s="4">
        <v>1250</v>
      </c>
      <c r="H101" s="88" t="s">
        <v>1194</v>
      </c>
      <c r="I101" s="16" t="s">
        <v>120</v>
      </c>
      <c r="J101" s="16" t="s">
        <v>1802</v>
      </c>
      <c r="K101" s="4">
        <v>1569</v>
      </c>
      <c r="L101" s="99">
        <v>1552</v>
      </c>
      <c r="M101" s="4">
        <v>1549</v>
      </c>
      <c r="N101" s="5">
        <v>1548</v>
      </c>
      <c r="O101" s="5" t="s">
        <v>5</v>
      </c>
      <c r="P101" s="30">
        <v>1548.5</v>
      </c>
      <c r="Q101" s="7">
        <v>5.5</v>
      </c>
      <c r="R101" s="4">
        <v>36</v>
      </c>
      <c r="S101" s="7" t="s">
        <v>5</v>
      </c>
      <c r="T101" s="8">
        <v>169.39</v>
      </c>
      <c r="U101" s="8">
        <v>62.73</v>
      </c>
      <c r="V101" s="118">
        <v>106.66</v>
      </c>
      <c r="W101" s="7" t="s">
        <v>5</v>
      </c>
      <c r="X101" s="7">
        <v>56</v>
      </c>
      <c r="Y101" s="12">
        <v>3.0415000000000001</v>
      </c>
      <c r="Z101" s="7">
        <v>7.6</v>
      </c>
      <c r="AA101" s="7">
        <v>8</v>
      </c>
      <c r="AB101" s="13">
        <v>62</v>
      </c>
      <c r="AC101" s="13">
        <v>62</v>
      </c>
      <c r="AD101" s="7" t="s">
        <v>6</v>
      </c>
      <c r="AE101" s="40" t="s">
        <v>455</v>
      </c>
      <c r="AF101" s="14" t="s">
        <v>418</v>
      </c>
    </row>
    <row r="102" spans="1:32" ht="15.75" x14ac:dyDescent="0.25">
      <c r="A102" s="1">
        <v>2258</v>
      </c>
      <c r="B102" s="2">
        <v>46052</v>
      </c>
      <c r="C102" s="1" t="s">
        <v>18</v>
      </c>
      <c r="D102" s="1" t="s">
        <v>258</v>
      </c>
      <c r="E102" s="1">
        <v>2</v>
      </c>
      <c r="F102" s="1">
        <v>22601028</v>
      </c>
      <c r="G102" s="4">
        <v>1250</v>
      </c>
      <c r="H102" s="88" t="s">
        <v>1194</v>
      </c>
      <c r="I102" s="16" t="s">
        <v>103</v>
      </c>
      <c r="J102" s="16" t="s">
        <v>1803</v>
      </c>
      <c r="K102" s="4">
        <v>1565</v>
      </c>
      <c r="L102" s="99">
        <v>1549</v>
      </c>
      <c r="M102" s="4">
        <v>1550</v>
      </c>
      <c r="N102" s="5">
        <v>1549</v>
      </c>
      <c r="O102" s="5" t="s">
        <v>5</v>
      </c>
      <c r="P102" s="30">
        <v>1549.5</v>
      </c>
      <c r="Q102" s="7">
        <v>5.5</v>
      </c>
      <c r="R102" s="4">
        <v>38</v>
      </c>
      <c r="S102" s="7">
        <v>18</v>
      </c>
      <c r="T102" s="9">
        <v>169.2</v>
      </c>
      <c r="U102" s="9">
        <v>59.62</v>
      </c>
      <c r="V102" s="118">
        <v>109.57999999999998</v>
      </c>
      <c r="W102" s="7" t="s">
        <v>5</v>
      </c>
      <c r="X102" s="7">
        <v>56</v>
      </c>
      <c r="Y102" s="12">
        <v>3.0415000000000001</v>
      </c>
      <c r="Z102" s="7">
        <v>8.3000000000000007</v>
      </c>
      <c r="AA102" s="7">
        <v>7.6</v>
      </c>
      <c r="AB102" s="13">
        <v>69</v>
      </c>
      <c r="AC102" s="13">
        <v>62</v>
      </c>
      <c r="AD102" s="7" t="s">
        <v>6</v>
      </c>
      <c r="AE102" s="40" t="s">
        <v>455</v>
      </c>
      <c r="AF102" s="14" t="s">
        <v>418</v>
      </c>
    </row>
    <row r="103" spans="1:32" ht="15.75" x14ac:dyDescent="0.25">
      <c r="A103" s="1">
        <v>2260</v>
      </c>
      <c r="B103" s="2">
        <v>46052</v>
      </c>
      <c r="C103" s="1" t="s">
        <v>18</v>
      </c>
      <c r="D103" s="1" t="s">
        <v>258</v>
      </c>
      <c r="E103" s="1">
        <v>2</v>
      </c>
      <c r="F103" s="1">
        <v>22601028</v>
      </c>
      <c r="G103" s="4">
        <v>1250</v>
      </c>
      <c r="H103" s="88" t="s">
        <v>1194</v>
      </c>
      <c r="I103" s="16" t="s">
        <v>261</v>
      </c>
      <c r="J103" s="16" t="s">
        <v>1804</v>
      </c>
      <c r="K103" s="4">
        <v>1565</v>
      </c>
      <c r="L103" s="99">
        <v>1546</v>
      </c>
      <c r="M103" s="4">
        <v>1543</v>
      </c>
      <c r="N103" s="5">
        <v>1549</v>
      </c>
      <c r="O103" s="5" t="s">
        <v>5</v>
      </c>
      <c r="P103" s="30">
        <v>1546</v>
      </c>
      <c r="Q103" s="7">
        <v>4.5</v>
      </c>
      <c r="R103" s="4">
        <v>41</v>
      </c>
      <c r="S103" s="7">
        <v>26</v>
      </c>
      <c r="T103" s="9">
        <v>164.29</v>
      </c>
      <c r="U103" s="9">
        <v>53.94</v>
      </c>
      <c r="V103" s="118">
        <v>110.35</v>
      </c>
      <c r="W103" s="7" t="s">
        <v>5</v>
      </c>
      <c r="X103" s="7">
        <v>56</v>
      </c>
      <c r="Y103" s="12">
        <v>2.4885000000000002</v>
      </c>
      <c r="Z103" s="7">
        <v>7.4</v>
      </c>
      <c r="AA103" s="7">
        <v>7.4</v>
      </c>
      <c r="AB103" s="13">
        <v>60</v>
      </c>
      <c r="AC103" s="13">
        <v>60</v>
      </c>
      <c r="AD103" s="7" t="s">
        <v>6</v>
      </c>
      <c r="AE103" s="40" t="s">
        <v>72</v>
      </c>
      <c r="AF103" s="14" t="s">
        <v>1805</v>
      </c>
    </row>
    <row r="104" spans="1:32" ht="15.75" x14ac:dyDescent="0.25">
      <c r="A104" s="1">
        <v>2261</v>
      </c>
      <c r="B104" s="2">
        <v>46052</v>
      </c>
      <c r="C104" s="1" t="s">
        <v>18</v>
      </c>
      <c r="D104" s="1" t="s">
        <v>258</v>
      </c>
      <c r="E104" s="1">
        <v>2</v>
      </c>
      <c r="F104" s="1">
        <v>22601028</v>
      </c>
      <c r="G104" s="4">
        <v>1250</v>
      </c>
      <c r="H104" s="88" t="s">
        <v>1194</v>
      </c>
      <c r="I104" s="16" t="s">
        <v>83</v>
      </c>
      <c r="J104" s="16" t="s">
        <v>1806</v>
      </c>
      <c r="K104" s="4">
        <v>1567</v>
      </c>
      <c r="L104" s="99">
        <v>1547</v>
      </c>
      <c r="M104" s="4">
        <v>1545</v>
      </c>
      <c r="N104" s="5">
        <v>1545</v>
      </c>
      <c r="O104" s="5" t="s">
        <v>5</v>
      </c>
      <c r="P104" s="30">
        <v>1545</v>
      </c>
      <c r="Q104" s="7">
        <v>5.2</v>
      </c>
      <c r="R104" s="4">
        <v>34</v>
      </c>
      <c r="S104" s="7">
        <v>8</v>
      </c>
      <c r="T104" s="9">
        <v>159.55000000000001</v>
      </c>
      <c r="U104" s="9">
        <v>58.74</v>
      </c>
      <c r="V104" s="118">
        <v>100.81</v>
      </c>
      <c r="W104" s="7" t="s">
        <v>5</v>
      </c>
      <c r="X104" s="7">
        <v>56</v>
      </c>
      <c r="Y104" s="12">
        <v>2.8756000000000004</v>
      </c>
      <c r="Z104" s="7">
        <v>7.1</v>
      </c>
      <c r="AA104" s="7">
        <v>7.9</v>
      </c>
      <c r="AB104" s="13">
        <v>57</v>
      </c>
      <c r="AC104" s="13">
        <v>60</v>
      </c>
      <c r="AD104" s="7" t="s">
        <v>6</v>
      </c>
      <c r="AE104" s="40" t="s">
        <v>72</v>
      </c>
      <c r="AF104" s="14" t="s">
        <v>418</v>
      </c>
    </row>
    <row r="105" spans="1:32" ht="15.75" x14ac:dyDescent="0.25">
      <c r="A105" s="1">
        <v>2282</v>
      </c>
      <c r="B105" s="2">
        <v>46052</v>
      </c>
      <c r="C105" s="1" t="s">
        <v>264</v>
      </c>
      <c r="D105" s="1" t="s">
        <v>9</v>
      </c>
      <c r="E105" s="1">
        <v>2</v>
      </c>
      <c r="F105" s="1">
        <v>22601028</v>
      </c>
      <c r="G105" s="4">
        <v>1250</v>
      </c>
      <c r="H105" s="88" t="s">
        <v>222</v>
      </c>
      <c r="I105" s="16" t="s">
        <v>11</v>
      </c>
      <c r="J105" s="16" t="s">
        <v>1807</v>
      </c>
      <c r="K105" s="4">
        <v>1570</v>
      </c>
      <c r="L105" s="4">
        <v>1551</v>
      </c>
      <c r="M105" s="5">
        <v>1551</v>
      </c>
      <c r="N105" s="5">
        <v>1550</v>
      </c>
      <c r="O105" s="5">
        <v>1549</v>
      </c>
      <c r="P105" s="30">
        <v>1550</v>
      </c>
      <c r="Q105" s="7">
        <v>4.3</v>
      </c>
      <c r="R105" s="4">
        <v>44</v>
      </c>
      <c r="S105" s="7">
        <v>37</v>
      </c>
      <c r="T105" s="8">
        <v>167</v>
      </c>
      <c r="U105" s="8">
        <v>61</v>
      </c>
      <c r="V105" s="118">
        <v>106</v>
      </c>
      <c r="W105" s="7" t="s">
        <v>5</v>
      </c>
      <c r="X105" s="7">
        <v>58</v>
      </c>
      <c r="Y105" s="12">
        <v>2.4628249999999996</v>
      </c>
      <c r="Z105" s="7">
        <v>8.8000000000000007</v>
      </c>
      <c r="AA105" s="7">
        <v>8.1</v>
      </c>
      <c r="AB105" s="13">
        <v>73</v>
      </c>
      <c r="AC105" s="13">
        <v>68</v>
      </c>
      <c r="AD105" s="7" t="s">
        <v>6</v>
      </c>
      <c r="AE105" s="40" t="s">
        <v>72</v>
      </c>
      <c r="AF105" s="14" t="s">
        <v>1808</v>
      </c>
    </row>
    <row r="106" spans="1:32" ht="15.75" x14ac:dyDescent="0.25">
      <c r="A106" s="1">
        <v>2283</v>
      </c>
      <c r="B106" s="2">
        <v>46052</v>
      </c>
      <c r="C106" s="1" t="s">
        <v>264</v>
      </c>
      <c r="D106" s="1" t="s">
        <v>9</v>
      </c>
      <c r="E106" s="1">
        <v>2</v>
      </c>
      <c r="F106" s="1">
        <v>22601028</v>
      </c>
      <c r="G106" s="4">
        <v>1250</v>
      </c>
      <c r="H106" s="88" t="s">
        <v>232</v>
      </c>
      <c r="I106" s="16" t="s">
        <v>164</v>
      </c>
      <c r="J106" s="16" t="s">
        <v>1809</v>
      </c>
      <c r="K106" s="4">
        <v>1572</v>
      </c>
      <c r="L106" s="4">
        <v>1550</v>
      </c>
      <c r="M106" s="5">
        <v>1550</v>
      </c>
      <c r="N106" s="5">
        <v>1548</v>
      </c>
      <c r="O106" s="5">
        <v>1548</v>
      </c>
      <c r="P106" s="30">
        <v>1548.6666666666667</v>
      </c>
      <c r="Q106" s="7">
        <v>4.5</v>
      </c>
      <c r="R106" s="4">
        <v>46</v>
      </c>
      <c r="S106" s="7">
        <v>18</v>
      </c>
      <c r="T106" s="9">
        <v>173</v>
      </c>
      <c r="U106" s="8">
        <v>51</v>
      </c>
      <c r="V106" s="118">
        <v>122</v>
      </c>
      <c r="W106" s="7" t="s">
        <v>5</v>
      </c>
      <c r="X106" s="7">
        <v>58</v>
      </c>
      <c r="Y106" s="12">
        <v>2.577375</v>
      </c>
      <c r="Z106" s="7">
        <v>8.9</v>
      </c>
      <c r="AA106" s="7">
        <v>8.3000000000000007</v>
      </c>
      <c r="AB106" s="13">
        <v>72</v>
      </c>
      <c r="AC106" s="13">
        <v>67</v>
      </c>
      <c r="AD106" s="7" t="s">
        <v>6</v>
      </c>
      <c r="AE106" s="40" t="s">
        <v>72</v>
      </c>
      <c r="AF106" s="14" t="s">
        <v>397</v>
      </c>
    </row>
    <row r="107" spans="1:32" ht="47.25" x14ac:dyDescent="0.25">
      <c r="A107" s="1">
        <v>2299</v>
      </c>
      <c r="B107" s="2">
        <v>46052</v>
      </c>
      <c r="C107" s="1" t="s">
        <v>0</v>
      </c>
      <c r="D107" s="1" t="s">
        <v>19</v>
      </c>
      <c r="E107" s="1">
        <v>1</v>
      </c>
      <c r="F107" s="1">
        <v>12601027</v>
      </c>
      <c r="G107" s="4">
        <v>1250</v>
      </c>
      <c r="H107" s="88" t="s">
        <v>1095</v>
      </c>
      <c r="I107" s="16" t="s">
        <v>152</v>
      </c>
      <c r="J107" s="16" t="s">
        <v>1810</v>
      </c>
      <c r="K107" s="4">
        <v>1572</v>
      </c>
      <c r="L107" s="5">
        <v>1540</v>
      </c>
      <c r="M107" s="5">
        <v>1537</v>
      </c>
      <c r="N107" s="5">
        <v>1535</v>
      </c>
      <c r="O107" s="5">
        <v>1528</v>
      </c>
      <c r="P107" s="30">
        <v>1544.8888888888889</v>
      </c>
      <c r="Q107" s="7">
        <v>4.2</v>
      </c>
      <c r="R107" s="4">
        <v>34</v>
      </c>
      <c r="S107" s="7">
        <v>8</v>
      </c>
      <c r="T107" s="9">
        <v>154.19999999999999</v>
      </c>
      <c r="U107" s="9">
        <v>58</v>
      </c>
      <c r="V107" s="118">
        <v>96.199999999999989</v>
      </c>
      <c r="W107" s="7" t="s">
        <v>5</v>
      </c>
      <c r="X107" s="7">
        <v>58</v>
      </c>
      <c r="Y107" s="12">
        <v>2.4055499999999999</v>
      </c>
      <c r="Z107" s="7">
        <v>10</v>
      </c>
      <c r="AA107" s="7">
        <v>10.3</v>
      </c>
      <c r="AB107" s="13">
        <v>81</v>
      </c>
      <c r="AC107" s="13">
        <v>89</v>
      </c>
      <c r="AD107" s="7" t="s">
        <v>6</v>
      </c>
      <c r="AE107" s="40" t="s">
        <v>72</v>
      </c>
      <c r="AF107" s="14" t="s">
        <v>1811</v>
      </c>
    </row>
    <row r="108" spans="1:32" ht="31.5" x14ac:dyDescent="0.25">
      <c r="A108" s="1">
        <v>2309</v>
      </c>
      <c r="B108" s="2">
        <v>46052</v>
      </c>
      <c r="C108" s="1" t="s">
        <v>0</v>
      </c>
      <c r="D108" s="1" t="s">
        <v>19</v>
      </c>
      <c r="E108" s="1">
        <v>2</v>
      </c>
      <c r="F108" s="1">
        <v>22601029</v>
      </c>
      <c r="G108" s="4">
        <v>1250</v>
      </c>
      <c r="H108" s="88" t="s">
        <v>1095</v>
      </c>
      <c r="I108" s="16" t="s">
        <v>182</v>
      </c>
      <c r="J108" s="16" t="s">
        <v>1812</v>
      </c>
      <c r="K108" s="4">
        <v>1574</v>
      </c>
      <c r="L108" s="5">
        <v>1545</v>
      </c>
      <c r="M108" s="5">
        <v>1548</v>
      </c>
      <c r="N108" s="5">
        <v>1549</v>
      </c>
      <c r="O108" s="5">
        <v>1550</v>
      </c>
      <c r="P108" s="30">
        <v>1546.6666666666667</v>
      </c>
      <c r="Q108" s="7">
        <v>5</v>
      </c>
      <c r="R108" s="4">
        <v>34</v>
      </c>
      <c r="S108" s="7">
        <v>30</v>
      </c>
      <c r="T108" s="9">
        <v>158.6</v>
      </c>
      <c r="U108" s="9">
        <v>63</v>
      </c>
      <c r="V108" s="118">
        <v>95.6</v>
      </c>
      <c r="W108" s="7" t="s">
        <v>5</v>
      </c>
      <c r="X108" s="7">
        <v>58</v>
      </c>
      <c r="Y108" s="12">
        <v>2.86375</v>
      </c>
      <c r="Z108" s="7">
        <v>10.6</v>
      </c>
      <c r="AA108" s="7">
        <v>9.6</v>
      </c>
      <c r="AB108" s="13">
        <v>80</v>
      </c>
      <c r="AC108" s="13">
        <v>80</v>
      </c>
      <c r="AD108" s="7" t="s">
        <v>6</v>
      </c>
      <c r="AE108" s="40" t="s">
        <v>72</v>
      </c>
      <c r="AF108" s="14" t="s">
        <v>1813</v>
      </c>
    </row>
    <row r="109" spans="1:32" ht="31.5" x14ac:dyDescent="0.25">
      <c r="A109" s="1">
        <v>2378</v>
      </c>
      <c r="B109" s="2">
        <v>46053</v>
      </c>
      <c r="C109" s="1" t="s">
        <v>0</v>
      </c>
      <c r="D109" s="1" t="s">
        <v>19</v>
      </c>
      <c r="E109" s="1">
        <v>1</v>
      </c>
      <c r="F109" s="1">
        <v>12601027</v>
      </c>
      <c r="G109" s="4">
        <v>1230</v>
      </c>
      <c r="H109" s="88" t="s">
        <v>1588</v>
      </c>
      <c r="I109" s="16" t="s">
        <v>159</v>
      </c>
      <c r="J109" s="16" t="s">
        <v>1814</v>
      </c>
      <c r="K109" s="4">
        <v>1567</v>
      </c>
      <c r="L109" s="5">
        <v>1541</v>
      </c>
      <c r="M109" s="5">
        <v>1540</v>
      </c>
      <c r="N109" s="5">
        <v>1539</v>
      </c>
      <c r="O109" s="5"/>
      <c r="P109" s="30">
        <v>1547.3888888888889</v>
      </c>
      <c r="Q109" s="7">
        <v>4.3</v>
      </c>
      <c r="R109" s="4">
        <v>37</v>
      </c>
      <c r="S109" s="7"/>
      <c r="T109" s="9">
        <v>171</v>
      </c>
      <c r="U109" s="9">
        <v>80</v>
      </c>
      <c r="V109" s="118">
        <v>91</v>
      </c>
      <c r="W109" s="7" t="s">
        <v>5</v>
      </c>
      <c r="X109" s="7">
        <v>58</v>
      </c>
      <c r="Y109" s="12">
        <v>2.4234198</v>
      </c>
      <c r="Z109" s="7">
        <v>9.1999999999999993</v>
      </c>
      <c r="AA109" s="7">
        <v>10</v>
      </c>
      <c r="AB109" s="13">
        <v>87</v>
      </c>
      <c r="AC109" s="13">
        <v>95</v>
      </c>
      <c r="AD109" s="7" t="s">
        <v>6</v>
      </c>
      <c r="AE109" s="40" t="s">
        <v>53</v>
      </c>
      <c r="AF109" s="14" t="s">
        <v>1815</v>
      </c>
    </row>
  </sheetData>
  <mergeCells count="28">
    <mergeCell ref="AE1:AE2"/>
    <mergeCell ref="AF1:AF2"/>
    <mergeCell ref="A3:K3"/>
    <mergeCell ref="Q3:AE3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3">
    <cfRule type="cellIs" dxfId="194" priority="73" stopIfTrue="1" operator="greaterThanOrEqual">
      <formula>1565</formula>
    </cfRule>
    <cfRule type="cellIs" dxfId="195" priority="74" stopIfTrue="1" operator="lessThanOrEqual">
      <formula>1545</formula>
    </cfRule>
  </conditionalFormatting>
  <conditionalFormatting sqref="L4:P4">
    <cfRule type="cellIs" dxfId="192" priority="71" stopIfTrue="1" operator="greaterThanOrEqual">
      <formula>1565</formula>
    </cfRule>
    <cfRule type="cellIs" dxfId="193" priority="72" stopIfTrue="1" operator="lessThanOrEqual">
      <formula>1545</formula>
    </cfRule>
  </conditionalFormatting>
  <conditionalFormatting sqref="L5:P6">
    <cfRule type="cellIs" dxfId="191" priority="69" stopIfTrue="1" operator="greaterThanOrEqual">
      <formula>1565</formula>
    </cfRule>
    <cfRule type="cellIs" dxfId="190" priority="70" stopIfTrue="1" operator="lessThanOrEqual">
      <formula>1545</formula>
    </cfRule>
  </conditionalFormatting>
  <conditionalFormatting sqref="P8:P9 L7:P7">
    <cfRule type="cellIs" dxfId="189" priority="67" stopIfTrue="1" operator="greaterThanOrEqual">
      <formula>1565</formula>
    </cfRule>
    <cfRule type="cellIs" dxfId="188" priority="68" stopIfTrue="1" operator="lessThanOrEqual">
      <formula>1545</formula>
    </cfRule>
  </conditionalFormatting>
  <conditionalFormatting sqref="L8:O9">
    <cfRule type="cellIs" dxfId="187" priority="65" stopIfTrue="1" operator="greaterThanOrEqual">
      <formula>1565</formula>
    </cfRule>
    <cfRule type="cellIs" dxfId="186" priority="66" stopIfTrue="1" operator="lessThanOrEqual">
      <formula>1545</formula>
    </cfRule>
  </conditionalFormatting>
  <conditionalFormatting sqref="M13:O13 P11:P13 L10:P10">
    <cfRule type="cellIs" dxfId="185" priority="63" stopIfTrue="1" operator="greaterThanOrEqual">
      <formula>1565</formula>
    </cfRule>
    <cfRule type="cellIs" dxfId="184" priority="64" stopIfTrue="1" operator="lessThanOrEqual">
      <formula>1545</formula>
    </cfRule>
  </conditionalFormatting>
  <conditionalFormatting sqref="L11:O12">
    <cfRule type="cellIs" dxfId="183" priority="61" stopIfTrue="1" operator="greaterThanOrEqual">
      <formula>1565</formula>
    </cfRule>
    <cfRule type="cellIs" dxfId="182" priority="62" stopIfTrue="1" operator="lessThanOrEqual">
      <formula>1545</formula>
    </cfRule>
  </conditionalFormatting>
  <conditionalFormatting sqref="L14:O14">
    <cfRule type="cellIs" dxfId="181" priority="57" stopIfTrue="1" operator="greaterThanOrEqual">
      <formula>1565</formula>
    </cfRule>
    <cfRule type="cellIs" dxfId="180" priority="58" stopIfTrue="1" operator="lessThanOrEqual">
      <formula>1545</formula>
    </cfRule>
  </conditionalFormatting>
  <conditionalFormatting sqref="P14">
    <cfRule type="cellIs" dxfId="179" priority="59" stopIfTrue="1" operator="greaterThanOrEqual">
      <formula>1565</formula>
    </cfRule>
    <cfRule type="cellIs" dxfId="178" priority="60" stopIfTrue="1" operator="lessThanOrEqual">
      <formula>1545</formula>
    </cfRule>
  </conditionalFormatting>
  <conditionalFormatting sqref="M20:P20 L15:P19">
    <cfRule type="cellIs" dxfId="177" priority="55" stopIfTrue="1" operator="greaterThanOrEqual">
      <formula>1565</formula>
    </cfRule>
    <cfRule type="cellIs" dxfId="176" priority="56" stopIfTrue="1" operator="lessThanOrEqual">
      <formula>1545</formula>
    </cfRule>
  </conditionalFormatting>
  <conditionalFormatting sqref="M21:P21">
    <cfRule type="cellIs" dxfId="174" priority="53" stopIfTrue="1" operator="greaterThanOrEqual">
      <formula>1565</formula>
    </cfRule>
    <cfRule type="cellIs" dxfId="175" priority="54" stopIfTrue="1" operator="lessThanOrEqual">
      <formula>1545</formula>
    </cfRule>
  </conditionalFormatting>
  <conditionalFormatting sqref="L22:P23">
    <cfRule type="cellIs" dxfId="173" priority="51" stopIfTrue="1" operator="greaterThanOrEqual">
      <formula>1565</formula>
    </cfRule>
    <cfRule type="cellIs" dxfId="172" priority="52" stopIfTrue="1" operator="lessThanOrEqual">
      <formula>1545</formula>
    </cfRule>
  </conditionalFormatting>
  <conditionalFormatting sqref="L24:P33">
    <cfRule type="cellIs" dxfId="171" priority="49" stopIfTrue="1" operator="greaterThanOrEqual">
      <formula>1565</formula>
    </cfRule>
    <cfRule type="cellIs" dxfId="170" priority="50" stopIfTrue="1" operator="lessThanOrEqual">
      <formula>1545</formula>
    </cfRule>
  </conditionalFormatting>
  <conditionalFormatting sqref="L34:P39 L40:Q40 U40">
    <cfRule type="cellIs" dxfId="169" priority="47" stopIfTrue="1" operator="greaterThanOrEqual">
      <formula>1565</formula>
    </cfRule>
    <cfRule type="cellIs" dxfId="168" priority="48" stopIfTrue="1" operator="lessThanOrEqual">
      <formula>1545</formula>
    </cfRule>
  </conditionalFormatting>
  <conditionalFormatting sqref="L41:P43">
    <cfRule type="cellIs" dxfId="167" priority="45" stopIfTrue="1" operator="greaterThanOrEqual">
      <formula>1565</formula>
    </cfRule>
    <cfRule type="cellIs" dxfId="166" priority="46" stopIfTrue="1" operator="lessThanOrEqual">
      <formula>1545</formula>
    </cfRule>
  </conditionalFormatting>
  <conditionalFormatting sqref="O44:P48 L44:N45 M46:N48">
    <cfRule type="cellIs" dxfId="164" priority="43" stopIfTrue="1" operator="greaterThanOrEqual">
      <formula>1565</formula>
    </cfRule>
    <cfRule type="cellIs" dxfId="165" priority="44" stopIfTrue="1" operator="lessThanOrEqual">
      <formula>1545</formula>
    </cfRule>
  </conditionalFormatting>
  <conditionalFormatting sqref="L50:P55 M49:P49">
    <cfRule type="cellIs" dxfId="162" priority="41" stopIfTrue="1" operator="greaterThanOrEqual">
      <formula>1565</formula>
    </cfRule>
    <cfRule type="cellIs" dxfId="163" priority="42" stopIfTrue="1" operator="lessThanOrEqual">
      <formula>1545</formula>
    </cfRule>
  </conditionalFormatting>
  <conditionalFormatting sqref="L56:P57">
    <cfRule type="cellIs" dxfId="161" priority="37" stopIfTrue="1" operator="greaterThanOrEqual">
      <formula>1565</formula>
    </cfRule>
    <cfRule type="cellIs" dxfId="160" priority="38" stopIfTrue="1" operator="lessThanOrEqual">
      <formula>1545</formula>
    </cfRule>
  </conditionalFormatting>
  <conditionalFormatting sqref="U56">
    <cfRule type="cellIs" dxfId="159" priority="39" stopIfTrue="1" operator="greaterThanOrEqual">
      <formula>1565</formula>
    </cfRule>
    <cfRule type="cellIs" dxfId="158" priority="40" stopIfTrue="1" operator="lessThanOrEqual">
      <formula>1545</formula>
    </cfRule>
  </conditionalFormatting>
  <conditionalFormatting sqref="L60:P62 M58:P59">
    <cfRule type="cellIs" dxfId="156" priority="35" stopIfTrue="1" operator="greaterThanOrEqual">
      <formula>1565</formula>
    </cfRule>
    <cfRule type="cellIs" dxfId="157" priority="36" stopIfTrue="1" operator="lessThanOrEqual">
      <formula>1545</formula>
    </cfRule>
  </conditionalFormatting>
  <conditionalFormatting sqref="L63:P69">
    <cfRule type="cellIs" dxfId="154" priority="33" stopIfTrue="1" operator="greaterThanOrEqual">
      <formula>1565</formula>
    </cfRule>
    <cfRule type="cellIs" dxfId="155" priority="34" stopIfTrue="1" operator="lessThanOrEqual">
      <formula>1545</formula>
    </cfRule>
  </conditionalFormatting>
  <conditionalFormatting sqref="M70:P70">
    <cfRule type="cellIs" dxfId="152" priority="31" stopIfTrue="1" operator="greaterThanOrEqual">
      <formula>1565</formula>
    </cfRule>
    <cfRule type="cellIs" dxfId="153" priority="32" stopIfTrue="1" operator="lessThanOrEqual">
      <formula>1545</formula>
    </cfRule>
  </conditionalFormatting>
  <conditionalFormatting sqref="M71:P72">
    <cfRule type="cellIs" dxfId="151" priority="29" stopIfTrue="1" operator="greaterThanOrEqual">
      <formula>1565</formula>
    </cfRule>
    <cfRule type="cellIs" dxfId="150" priority="30" stopIfTrue="1" operator="lessThanOrEqual">
      <formula>1545</formula>
    </cfRule>
  </conditionalFormatting>
  <conditionalFormatting sqref="M73:P74">
    <cfRule type="cellIs" dxfId="148" priority="27" stopIfTrue="1" operator="greaterThanOrEqual">
      <formula>1565</formula>
    </cfRule>
    <cfRule type="cellIs" dxfId="149" priority="28" stopIfTrue="1" operator="lessThanOrEqual">
      <formula>1545</formula>
    </cfRule>
  </conditionalFormatting>
  <conditionalFormatting sqref="M76:P76 L75:P75">
    <cfRule type="cellIs" dxfId="147" priority="25" stopIfTrue="1" operator="greaterThanOrEqual">
      <formula>1565</formula>
    </cfRule>
    <cfRule type="cellIs" dxfId="146" priority="26" stopIfTrue="1" operator="lessThanOrEqual">
      <formula>1545</formula>
    </cfRule>
  </conditionalFormatting>
  <conditionalFormatting sqref="M77:P79">
    <cfRule type="cellIs" dxfId="144" priority="23" stopIfTrue="1" operator="greaterThanOrEqual">
      <formula>1565</formula>
    </cfRule>
    <cfRule type="cellIs" dxfId="145" priority="24" stopIfTrue="1" operator="lessThanOrEqual">
      <formula>1545</formula>
    </cfRule>
  </conditionalFormatting>
  <conditionalFormatting sqref="P89:P91 L83:P88 M80:P82">
    <cfRule type="cellIs" dxfId="142" priority="21" stopIfTrue="1" operator="greaterThanOrEqual">
      <formula>1565</formula>
    </cfRule>
    <cfRule type="cellIs" dxfId="143" priority="22" stopIfTrue="1" operator="lessThanOrEqual">
      <formula>1545</formula>
    </cfRule>
  </conditionalFormatting>
  <conditionalFormatting sqref="L89:O91">
    <cfRule type="cellIs" dxfId="140" priority="19" stopIfTrue="1" operator="greaterThanOrEqual">
      <formula>1565</formula>
    </cfRule>
    <cfRule type="cellIs" dxfId="141" priority="20" stopIfTrue="1" operator="lessThanOrEqual">
      <formula>1545</formula>
    </cfRule>
  </conditionalFormatting>
  <conditionalFormatting sqref="L93:P93 M92:P92">
    <cfRule type="cellIs" dxfId="139" priority="17" stopIfTrue="1" operator="greaterThanOrEqual">
      <formula>1565</formula>
    </cfRule>
    <cfRule type="cellIs" dxfId="138" priority="18" stopIfTrue="1" operator="lessThanOrEqual">
      <formula>1545</formula>
    </cfRule>
  </conditionalFormatting>
  <conditionalFormatting sqref="O96 M95:O95 P94:P96">
    <cfRule type="cellIs" dxfId="137" priority="15" stopIfTrue="1" operator="greaterThanOrEqual">
      <formula>1565</formula>
    </cfRule>
    <cfRule type="cellIs" dxfId="136" priority="16" stopIfTrue="1" operator="lessThanOrEqual">
      <formula>1545</formula>
    </cfRule>
  </conditionalFormatting>
  <conditionalFormatting sqref="L94:O94">
    <cfRule type="cellIs" dxfId="134" priority="13" stopIfTrue="1" operator="greaterThanOrEqual">
      <formula>1565</formula>
    </cfRule>
    <cfRule type="cellIs" dxfId="135" priority="14" stopIfTrue="1" operator="lessThanOrEqual">
      <formula>1545</formula>
    </cfRule>
  </conditionalFormatting>
  <conditionalFormatting sqref="L96:N96">
    <cfRule type="cellIs" dxfId="132" priority="11" stopIfTrue="1" operator="greaterThanOrEqual">
      <formula>1565</formula>
    </cfRule>
    <cfRule type="cellIs" dxfId="133" priority="12" stopIfTrue="1" operator="lessThanOrEqual">
      <formula>1545</formula>
    </cfRule>
  </conditionalFormatting>
  <conditionalFormatting sqref="P99 L98:P98 M97:P97">
    <cfRule type="cellIs" dxfId="131" priority="9" stopIfTrue="1" operator="greaterThanOrEqual">
      <formula>1565</formula>
    </cfRule>
    <cfRule type="cellIs" dxfId="130" priority="10" stopIfTrue="1" operator="lessThanOrEqual">
      <formula>1545</formula>
    </cfRule>
  </conditionalFormatting>
  <conditionalFormatting sqref="L99:O99">
    <cfRule type="cellIs" dxfId="129" priority="7" stopIfTrue="1" operator="greaterThanOrEqual">
      <formula>1565</formula>
    </cfRule>
    <cfRule type="cellIs" dxfId="128" priority="8" stopIfTrue="1" operator="lessThanOrEqual">
      <formula>1545</formula>
    </cfRule>
  </conditionalFormatting>
  <conditionalFormatting sqref="L105:P106 M100:P104">
    <cfRule type="cellIs" dxfId="126" priority="5" stopIfTrue="1" operator="greaterThanOrEqual">
      <formula>1565</formula>
    </cfRule>
    <cfRule type="cellIs" dxfId="127" priority="6" stopIfTrue="1" operator="lessThanOrEqual">
      <formula>1545</formula>
    </cfRule>
  </conditionalFormatting>
  <conditionalFormatting sqref="L107:P108">
    <cfRule type="cellIs" dxfId="124" priority="3" stopIfTrue="1" operator="greaterThanOrEqual">
      <formula>1565</formula>
    </cfRule>
    <cfRule type="cellIs" dxfId="125" priority="4" stopIfTrue="1" operator="lessThanOrEqual">
      <formula>1545</formula>
    </cfRule>
  </conditionalFormatting>
  <conditionalFormatting sqref="L109:P109">
    <cfRule type="cellIs" dxfId="123" priority="1" stopIfTrue="1" operator="greaterThanOrEqual">
      <formula>1565</formula>
    </cfRule>
    <cfRule type="cellIs" dxfId="122" priority="2" stopIfTrue="1" operator="lessThanOrEqual">
      <formula>1545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79D-5D28-46C8-897F-4C05237F20B1}">
  <dimension ref="A1:AF126"/>
  <sheetViews>
    <sheetView workbookViewId="0">
      <selection activeCell="A4" sqref="A4:AF126"/>
    </sheetView>
  </sheetViews>
  <sheetFormatPr defaultColWidth="9.140625" defaultRowHeight="15" x14ac:dyDescent="0.25"/>
  <cols>
    <col min="1" max="1" width="14.140625" customWidth="1"/>
    <col min="2" max="2" width="28.28515625" customWidth="1"/>
    <col min="3" max="3" width="9.425781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5.2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5.2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s="60" customFormat="1" ht="35.25" customHeight="1" x14ac:dyDescent="0.25">
      <c r="A3" s="89"/>
      <c r="B3" s="89"/>
      <c r="C3" s="89"/>
      <c r="D3" s="89"/>
      <c r="E3" s="89"/>
      <c r="F3" s="89"/>
      <c r="G3" s="117"/>
      <c r="H3" s="89"/>
      <c r="I3" s="89"/>
      <c r="J3" s="89"/>
      <c r="K3" s="89"/>
      <c r="L3" s="90" t="s">
        <v>780</v>
      </c>
      <c r="M3" s="90" t="s">
        <v>781</v>
      </c>
      <c r="N3" s="90" t="s">
        <v>782</v>
      </c>
      <c r="O3" s="90" t="s">
        <v>783</v>
      </c>
      <c r="P3" s="91" t="s">
        <v>784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15.75" x14ac:dyDescent="0.25">
      <c r="A4" s="1">
        <v>14</v>
      </c>
      <c r="B4" s="2">
        <v>46054</v>
      </c>
      <c r="C4" s="1" t="s">
        <v>18</v>
      </c>
      <c r="D4" s="1" t="s">
        <v>258</v>
      </c>
      <c r="E4" s="1">
        <v>2</v>
      </c>
      <c r="F4" s="83">
        <v>22601030</v>
      </c>
      <c r="G4" s="4">
        <v>1230</v>
      </c>
      <c r="H4" s="88" t="s">
        <v>10</v>
      </c>
      <c r="I4" s="16" t="s">
        <v>70</v>
      </c>
      <c r="J4" s="16" t="s">
        <v>1816</v>
      </c>
      <c r="K4" s="16">
        <v>1567</v>
      </c>
      <c r="L4" s="4">
        <v>1542</v>
      </c>
      <c r="M4" s="4">
        <v>1540</v>
      </c>
      <c r="N4" s="5">
        <v>1541</v>
      </c>
      <c r="O4" s="5">
        <v>1542</v>
      </c>
      <c r="P4" s="30">
        <v>1541</v>
      </c>
      <c r="Q4" s="7">
        <v>5.5</v>
      </c>
      <c r="R4" s="4">
        <v>34</v>
      </c>
      <c r="S4" s="8" t="s">
        <v>5</v>
      </c>
      <c r="T4" s="9">
        <v>161.30000000000001</v>
      </c>
      <c r="U4" s="9">
        <v>60</v>
      </c>
      <c r="V4" s="10">
        <v>101.30000000000001</v>
      </c>
      <c r="W4" s="11" t="s">
        <v>5</v>
      </c>
      <c r="X4" s="16">
        <v>58</v>
      </c>
      <c r="Y4" s="12">
        <v>3.099723</v>
      </c>
      <c r="Z4" s="7">
        <v>9.6999999999999993</v>
      </c>
      <c r="AA4" s="7">
        <v>10</v>
      </c>
      <c r="AB4" s="13">
        <v>80</v>
      </c>
      <c r="AC4" s="13">
        <v>82</v>
      </c>
      <c r="AD4" s="11" t="s">
        <v>6</v>
      </c>
      <c r="AE4" s="18" t="s">
        <v>53</v>
      </c>
      <c r="AF4" s="14" t="s">
        <v>397</v>
      </c>
    </row>
    <row r="5" spans="1:32" ht="47.25" x14ac:dyDescent="0.25">
      <c r="A5" s="1">
        <v>18</v>
      </c>
      <c r="B5" s="2">
        <v>46054</v>
      </c>
      <c r="C5" s="1" t="s">
        <v>18</v>
      </c>
      <c r="D5" s="1" t="s">
        <v>258</v>
      </c>
      <c r="E5" s="1">
        <v>2</v>
      </c>
      <c r="F5" s="83">
        <v>22601030</v>
      </c>
      <c r="G5" s="4">
        <v>1230</v>
      </c>
      <c r="H5" s="88" t="s">
        <v>10</v>
      </c>
      <c r="I5" s="16" t="s">
        <v>122</v>
      </c>
      <c r="J5" s="16" t="s">
        <v>1817</v>
      </c>
      <c r="K5" s="4">
        <v>1567</v>
      </c>
      <c r="L5" s="4">
        <v>1545</v>
      </c>
      <c r="M5" s="4">
        <v>1543</v>
      </c>
      <c r="N5" s="5">
        <v>1542</v>
      </c>
      <c r="O5" s="5" t="s">
        <v>5</v>
      </c>
      <c r="P5" s="30">
        <v>1542.5</v>
      </c>
      <c r="Q5" s="7">
        <v>5.3</v>
      </c>
      <c r="R5" s="4">
        <v>40</v>
      </c>
      <c r="S5" s="8">
        <v>27</v>
      </c>
      <c r="T5" s="9">
        <v>172.57</v>
      </c>
      <c r="U5" s="9">
        <v>64</v>
      </c>
      <c r="V5" s="10">
        <v>108.57</v>
      </c>
      <c r="W5" s="11" t="s">
        <v>5</v>
      </c>
      <c r="X5" s="16">
        <v>58</v>
      </c>
      <c r="Y5" s="12">
        <v>2.9870057999999999</v>
      </c>
      <c r="Z5" s="7">
        <v>8.8000000000000007</v>
      </c>
      <c r="AA5" s="7">
        <v>9.9</v>
      </c>
      <c r="AB5" s="13">
        <v>70</v>
      </c>
      <c r="AC5" s="13">
        <v>77</v>
      </c>
      <c r="AD5" s="11" t="s">
        <v>6</v>
      </c>
      <c r="AE5" s="18" t="s">
        <v>53</v>
      </c>
      <c r="AF5" s="14" t="s">
        <v>1818</v>
      </c>
    </row>
    <row r="6" spans="1:32" ht="31.5" x14ac:dyDescent="0.25">
      <c r="A6" s="1">
        <v>19</v>
      </c>
      <c r="B6" s="2">
        <v>46054</v>
      </c>
      <c r="C6" s="1" t="s">
        <v>18</v>
      </c>
      <c r="D6" s="1" t="s">
        <v>258</v>
      </c>
      <c r="E6" s="1">
        <v>2</v>
      </c>
      <c r="F6" s="83">
        <v>22601030</v>
      </c>
      <c r="G6" s="4">
        <v>1230</v>
      </c>
      <c r="H6" s="88" t="s">
        <v>10</v>
      </c>
      <c r="I6" s="16" t="s">
        <v>182</v>
      </c>
      <c r="J6" s="16" t="s">
        <v>1819</v>
      </c>
      <c r="K6" s="4">
        <v>1567</v>
      </c>
      <c r="L6" s="4">
        <v>1543</v>
      </c>
      <c r="M6" s="4">
        <v>1543</v>
      </c>
      <c r="N6" s="5">
        <v>1543</v>
      </c>
      <c r="O6" s="5" t="s">
        <v>5</v>
      </c>
      <c r="P6" s="30">
        <v>1543</v>
      </c>
      <c r="Q6" s="7">
        <v>5.4</v>
      </c>
      <c r="R6" s="4">
        <v>41</v>
      </c>
      <c r="S6" s="8" t="s">
        <v>5</v>
      </c>
      <c r="T6" s="9">
        <v>169.25</v>
      </c>
      <c r="U6" s="9">
        <v>60</v>
      </c>
      <c r="V6" s="10">
        <v>109.25</v>
      </c>
      <c r="W6" s="11" t="s">
        <v>5</v>
      </c>
      <c r="X6" s="16">
        <v>58</v>
      </c>
      <c r="Y6" s="12">
        <v>3.0433644000000002</v>
      </c>
      <c r="Z6" s="7">
        <v>8.5</v>
      </c>
      <c r="AA6" s="7">
        <v>9.6999999999999993</v>
      </c>
      <c r="AB6" s="13">
        <v>70</v>
      </c>
      <c r="AC6" s="13">
        <v>76</v>
      </c>
      <c r="AD6" s="11" t="s">
        <v>6</v>
      </c>
      <c r="AE6" s="18" t="s">
        <v>53</v>
      </c>
      <c r="AF6" s="14" t="s">
        <v>1820</v>
      </c>
    </row>
    <row r="7" spans="1:32" ht="15.75" x14ac:dyDescent="0.25">
      <c r="A7" s="1">
        <v>20</v>
      </c>
      <c r="B7" s="2">
        <v>46054</v>
      </c>
      <c r="C7" s="1" t="s">
        <v>18</v>
      </c>
      <c r="D7" s="1" t="s">
        <v>258</v>
      </c>
      <c r="E7" s="1">
        <v>2</v>
      </c>
      <c r="F7" s="83">
        <v>22601030</v>
      </c>
      <c r="G7" s="4">
        <v>1230</v>
      </c>
      <c r="H7" s="88" t="s">
        <v>10</v>
      </c>
      <c r="I7" s="16" t="s">
        <v>229</v>
      </c>
      <c r="J7" s="16" t="s">
        <v>1821</v>
      </c>
      <c r="K7" s="4">
        <v>1565</v>
      </c>
      <c r="L7" s="4">
        <v>1546</v>
      </c>
      <c r="M7" s="4">
        <v>1545</v>
      </c>
      <c r="N7" s="5">
        <v>1545</v>
      </c>
      <c r="O7" s="5">
        <v>1543</v>
      </c>
      <c r="P7" s="30">
        <v>1544.3333333333333</v>
      </c>
      <c r="Q7" s="7">
        <v>5.7</v>
      </c>
      <c r="R7" s="4">
        <v>28</v>
      </c>
      <c r="S7" s="8">
        <v>27</v>
      </c>
      <c r="T7" s="8">
        <v>161.19999999999999</v>
      </c>
      <c r="U7" s="8">
        <v>61</v>
      </c>
      <c r="V7" s="10">
        <v>100.19999999999999</v>
      </c>
      <c r="W7" s="11" t="s">
        <v>5</v>
      </c>
      <c r="X7" s="16">
        <v>58</v>
      </c>
      <c r="Y7" s="12">
        <v>3.2124402000000001</v>
      </c>
      <c r="Z7" s="7">
        <v>9.1999999999999993</v>
      </c>
      <c r="AA7" s="7">
        <v>10</v>
      </c>
      <c r="AB7" s="13">
        <v>54</v>
      </c>
      <c r="AC7" s="13">
        <v>78</v>
      </c>
      <c r="AD7" s="11" t="s">
        <v>6</v>
      </c>
      <c r="AE7" s="18" t="s">
        <v>53</v>
      </c>
      <c r="AF7" s="14" t="s">
        <v>480</v>
      </c>
    </row>
    <row r="8" spans="1:32" ht="31.5" x14ac:dyDescent="0.25">
      <c r="A8" s="1">
        <v>21</v>
      </c>
      <c r="B8" s="2">
        <v>46054</v>
      </c>
      <c r="C8" s="1" t="s">
        <v>18</v>
      </c>
      <c r="D8" s="1" t="s">
        <v>258</v>
      </c>
      <c r="E8" s="1">
        <v>2</v>
      </c>
      <c r="F8" s="83">
        <v>22601030</v>
      </c>
      <c r="G8" s="4">
        <v>1230</v>
      </c>
      <c r="H8" s="88" t="s">
        <v>10</v>
      </c>
      <c r="I8" s="16" t="s">
        <v>20</v>
      </c>
      <c r="J8" s="16" t="s">
        <v>1822</v>
      </c>
      <c r="K8" s="4">
        <v>1565</v>
      </c>
      <c r="L8" s="4">
        <v>1543</v>
      </c>
      <c r="M8" s="4">
        <v>1543</v>
      </c>
      <c r="N8" s="5">
        <v>1541</v>
      </c>
      <c r="O8" s="5" t="s">
        <v>5</v>
      </c>
      <c r="P8" s="30">
        <v>1542</v>
      </c>
      <c r="Q8" s="7">
        <v>5.4</v>
      </c>
      <c r="R8" s="4">
        <v>35</v>
      </c>
      <c r="S8" s="8" t="s">
        <v>5</v>
      </c>
      <c r="T8" s="9">
        <v>156</v>
      </c>
      <c r="U8" s="9">
        <v>54</v>
      </c>
      <c r="V8" s="10">
        <v>102</v>
      </c>
      <c r="W8" s="11" t="s">
        <v>5</v>
      </c>
      <c r="X8" s="16">
        <v>58</v>
      </c>
      <c r="Y8" s="12">
        <v>3.0433644000000002</v>
      </c>
      <c r="Z8" s="7">
        <v>7.1</v>
      </c>
      <c r="AA8" s="7">
        <v>8.3000000000000007</v>
      </c>
      <c r="AB8" s="13">
        <v>73</v>
      </c>
      <c r="AC8" s="13">
        <v>81</v>
      </c>
      <c r="AD8" s="11" t="s">
        <v>6</v>
      </c>
      <c r="AE8" s="18" t="s">
        <v>53</v>
      </c>
      <c r="AF8" s="14" t="s">
        <v>833</v>
      </c>
    </row>
    <row r="9" spans="1:32" ht="15.75" x14ac:dyDescent="0.25">
      <c r="A9" s="1">
        <v>24</v>
      </c>
      <c r="B9" s="2">
        <v>46054</v>
      </c>
      <c r="C9" s="1" t="s">
        <v>18</v>
      </c>
      <c r="D9" s="1" t="s">
        <v>258</v>
      </c>
      <c r="E9" s="1">
        <v>2</v>
      </c>
      <c r="F9" s="83">
        <v>22601030</v>
      </c>
      <c r="G9" s="4">
        <v>1230</v>
      </c>
      <c r="H9" s="88" t="s">
        <v>10</v>
      </c>
      <c r="I9" s="16" t="s">
        <v>120</v>
      </c>
      <c r="J9" s="16" t="s">
        <v>1823</v>
      </c>
      <c r="K9" s="4">
        <v>1565</v>
      </c>
      <c r="L9" s="4">
        <v>1547</v>
      </c>
      <c r="M9" s="4">
        <v>1549</v>
      </c>
      <c r="N9" s="5">
        <v>1549</v>
      </c>
      <c r="O9" s="5" t="s">
        <v>5</v>
      </c>
      <c r="P9" s="30">
        <v>1549</v>
      </c>
      <c r="Q9" s="7">
        <v>5.2</v>
      </c>
      <c r="R9" s="4">
        <v>35</v>
      </c>
      <c r="S9" s="8" t="s">
        <v>5</v>
      </c>
      <c r="T9" s="9">
        <v>157.12</v>
      </c>
      <c r="U9" s="9">
        <v>62.91</v>
      </c>
      <c r="V9" s="10">
        <v>94.210000000000008</v>
      </c>
      <c r="W9" s="11" t="s">
        <v>5</v>
      </c>
      <c r="X9" s="16">
        <v>58</v>
      </c>
      <c r="Y9" s="12">
        <v>2.9306472000000001</v>
      </c>
      <c r="Z9" s="7">
        <v>8.8000000000000007</v>
      </c>
      <c r="AA9" s="7">
        <v>9.3000000000000007</v>
      </c>
      <c r="AB9" s="13">
        <v>67</v>
      </c>
      <c r="AC9" s="13">
        <v>78</v>
      </c>
      <c r="AD9" s="11" t="s">
        <v>6</v>
      </c>
      <c r="AE9" s="18" t="s">
        <v>53</v>
      </c>
      <c r="AF9" s="14" t="s">
        <v>397</v>
      </c>
    </row>
    <row r="10" spans="1:32" ht="31.5" x14ac:dyDescent="0.25">
      <c r="A10" s="1">
        <v>41</v>
      </c>
      <c r="B10" s="2">
        <v>46054</v>
      </c>
      <c r="C10" s="1" t="s">
        <v>264</v>
      </c>
      <c r="D10" s="1" t="s">
        <v>265</v>
      </c>
      <c r="E10" s="1">
        <v>2</v>
      </c>
      <c r="F10" s="83">
        <v>22601030</v>
      </c>
      <c r="G10" s="4">
        <v>1230</v>
      </c>
      <c r="H10" s="88" t="s">
        <v>10</v>
      </c>
      <c r="I10" s="16" t="s">
        <v>261</v>
      </c>
      <c r="J10" s="16" t="s">
        <v>1824</v>
      </c>
      <c r="K10" s="4">
        <v>1566</v>
      </c>
      <c r="L10" s="4">
        <v>1546</v>
      </c>
      <c r="M10" s="5">
        <v>1546</v>
      </c>
      <c r="N10" s="5">
        <v>1546</v>
      </c>
      <c r="O10" s="5" t="s">
        <v>5</v>
      </c>
      <c r="P10" s="30">
        <v>1546</v>
      </c>
      <c r="Q10" s="7">
        <v>5.5</v>
      </c>
      <c r="R10" s="4">
        <v>33</v>
      </c>
      <c r="S10" s="8">
        <v>17</v>
      </c>
      <c r="T10" s="8">
        <v>167</v>
      </c>
      <c r="U10" s="8">
        <v>53.8</v>
      </c>
      <c r="V10" s="10">
        <v>113.2</v>
      </c>
      <c r="W10" s="11" t="s">
        <v>5</v>
      </c>
      <c r="X10" s="16">
        <v>58</v>
      </c>
      <c r="Y10" s="12">
        <v>3.099723</v>
      </c>
      <c r="Z10" s="7">
        <v>9</v>
      </c>
      <c r="AA10" s="7">
        <v>9.8000000000000007</v>
      </c>
      <c r="AB10" s="13">
        <v>70</v>
      </c>
      <c r="AC10" s="13">
        <v>78</v>
      </c>
      <c r="AD10" s="11" t="s">
        <v>6</v>
      </c>
      <c r="AE10" s="18" t="s">
        <v>53</v>
      </c>
      <c r="AF10" s="14" t="s">
        <v>1825</v>
      </c>
    </row>
    <row r="11" spans="1:32" ht="15.75" x14ac:dyDescent="0.25">
      <c r="A11" s="1">
        <v>42</v>
      </c>
      <c r="B11" s="2">
        <v>46054</v>
      </c>
      <c r="C11" s="1" t="s">
        <v>264</v>
      </c>
      <c r="D11" s="1" t="s">
        <v>265</v>
      </c>
      <c r="E11" s="1">
        <v>2</v>
      </c>
      <c r="F11" s="83">
        <v>22601030</v>
      </c>
      <c r="G11" s="4">
        <v>1230</v>
      </c>
      <c r="H11" s="88" t="s">
        <v>10</v>
      </c>
      <c r="I11" s="16" t="s">
        <v>83</v>
      </c>
      <c r="J11" s="16" t="s">
        <v>1826</v>
      </c>
      <c r="K11" s="4">
        <v>1569</v>
      </c>
      <c r="L11" s="4">
        <v>1546</v>
      </c>
      <c r="M11" s="5">
        <v>1548</v>
      </c>
      <c r="N11" s="5">
        <v>1548</v>
      </c>
      <c r="O11" s="5" t="s">
        <v>5</v>
      </c>
      <c r="P11" s="30">
        <v>1548</v>
      </c>
      <c r="Q11" s="7">
        <v>4.7</v>
      </c>
      <c r="R11" s="4">
        <v>38</v>
      </c>
      <c r="S11" s="8">
        <v>30</v>
      </c>
      <c r="T11" s="9">
        <v>166.2</v>
      </c>
      <c r="U11" s="9">
        <v>61.8</v>
      </c>
      <c r="V11" s="10">
        <v>104.39999999999999</v>
      </c>
      <c r="W11" s="11" t="s">
        <v>5</v>
      </c>
      <c r="X11" s="16">
        <v>58</v>
      </c>
      <c r="Y11" s="12">
        <v>2.6488542000000002</v>
      </c>
      <c r="Z11" s="7">
        <v>9.1999999999999993</v>
      </c>
      <c r="AA11" s="7">
        <v>9.8000000000000007</v>
      </c>
      <c r="AB11" s="13">
        <v>58</v>
      </c>
      <c r="AC11" s="13">
        <v>83</v>
      </c>
      <c r="AD11" s="11" t="s">
        <v>6</v>
      </c>
      <c r="AE11" s="18" t="s">
        <v>53</v>
      </c>
      <c r="AF11" s="14" t="s">
        <v>480</v>
      </c>
    </row>
    <row r="12" spans="1:32" ht="15.75" x14ac:dyDescent="0.25">
      <c r="A12" s="1">
        <v>45</v>
      </c>
      <c r="B12" s="2">
        <v>46054</v>
      </c>
      <c r="C12" s="1" t="s">
        <v>264</v>
      </c>
      <c r="D12" s="1" t="s">
        <v>265</v>
      </c>
      <c r="E12" s="1">
        <v>2</v>
      </c>
      <c r="F12" s="83">
        <v>22601030</v>
      </c>
      <c r="G12" s="4">
        <v>1230</v>
      </c>
      <c r="H12" s="88" t="s">
        <v>10</v>
      </c>
      <c r="I12" s="16" t="s">
        <v>155</v>
      </c>
      <c r="J12" s="16" t="s">
        <v>1827</v>
      </c>
      <c r="K12" s="4">
        <v>1570</v>
      </c>
      <c r="L12" s="4">
        <v>1552</v>
      </c>
      <c r="M12" s="5">
        <v>1552</v>
      </c>
      <c r="N12" s="5">
        <v>1551</v>
      </c>
      <c r="O12" s="5">
        <v>1551</v>
      </c>
      <c r="P12" s="30">
        <v>1551.3333333333333</v>
      </c>
      <c r="Q12" s="7">
        <v>4.7</v>
      </c>
      <c r="R12" s="4">
        <v>37</v>
      </c>
      <c r="S12" s="8" t="s">
        <v>5</v>
      </c>
      <c r="T12" s="8">
        <v>169.8</v>
      </c>
      <c r="U12" s="8">
        <v>56.2</v>
      </c>
      <c r="V12" s="10">
        <v>113.60000000000001</v>
      </c>
      <c r="W12" s="11" t="s">
        <v>5</v>
      </c>
      <c r="X12" s="16">
        <v>58</v>
      </c>
      <c r="Y12" s="12">
        <v>2.6488542000000002</v>
      </c>
      <c r="Z12" s="7">
        <v>8.9</v>
      </c>
      <c r="AA12" s="7">
        <v>9.3000000000000007</v>
      </c>
      <c r="AB12" s="13">
        <v>72</v>
      </c>
      <c r="AC12" s="13">
        <v>77</v>
      </c>
      <c r="AD12" s="11" t="s">
        <v>6</v>
      </c>
      <c r="AE12" s="18" t="s">
        <v>53</v>
      </c>
      <c r="AF12" s="18" t="s">
        <v>480</v>
      </c>
    </row>
    <row r="13" spans="1:32" ht="31.5" x14ac:dyDescent="0.25">
      <c r="A13" s="1">
        <v>46</v>
      </c>
      <c r="B13" s="2">
        <v>46054</v>
      </c>
      <c r="C13" s="1" t="s">
        <v>264</v>
      </c>
      <c r="D13" s="1" t="s">
        <v>265</v>
      </c>
      <c r="E13" s="1">
        <v>2</v>
      </c>
      <c r="F13" s="83">
        <v>22601030</v>
      </c>
      <c r="G13" s="4">
        <v>1230</v>
      </c>
      <c r="H13" s="88" t="s">
        <v>10</v>
      </c>
      <c r="I13" s="16" t="s">
        <v>80</v>
      </c>
      <c r="J13" s="16" t="s">
        <v>1828</v>
      </c>
      <c r="K13" s="4">
        <v>1577</v>
      </c>
      <c r="L13" s="4">
        <v>1546</v>
      </c>
      <c r="M13" s="5">
        <v>1546</v>
      </c>
      <c r="N13" s="5">
        <v>1545</v>
      </c>
      <c r="O13" s="5">
        <v>1545</v>
      </c>
      <c r="P13" s="30">
        <v>1545.3333333333333</v>
      </c>
      <c r="Q13" s="7">
        <v>4.8</v>
      </c>
      <c r="R13" s="4">
        <v>38</v>
      </c>
      <c r="S13" s="8" t="s">
        <v>5</v>
      </c>
      <c r="T13" s="8">
        <v>163.1</v>
      </c>
      <c r="U13" s="8">
        <v>60.2</v>
      </c>
      <c r="V13" s="10">
        <v>102.89999999999999</v>
      </c>
      <c r="W13" s="11" t="s">
        <v>5</v>
      </c>
      <c r="X13" s="16">
        <v>58</v>
      </c>
      <c r="Y13" s="12">
        <v>2.7052128</v>
      </c>
      <c r="Z13" s="7">
        <v>8.3000000000000007</v>
      </c>
      <c r="AA13" s="7">
        <v>9.1999999999999993</v>
      </c>
      <c r="AB13" s="13">
        <v>70</v>
      </c>
      <c r="AC13" s="13">
        <v>74</v>
      </c>
      <c r="AD13" s="11" t="s">
        <v>6</v>
      </c>
      <c r="AE13" s="18" t="s">
        <v>53</v>
      </c>
      <c r="AF13" s="14" t="s">
        <v>1829</v>
      </c>
    </row>
    <row r="14" spans="1:32" ht="15.75" x14ac:dyDescent="0.25">
      <c r="A14" s="1">
        <v>47</v>
      </c>
      <c r="B14" s="2">
        <v>46054</v>
      </c>
      <c r="C14" s="1" t="s">
        <v>264</v>
      </c>
      <c r="D14" s="1" t="s">
        <v>265</v>
      </c>
      <c r="E14" s="1">
        <v>2</v>
      </c>
      <c r="F14" s="83">
        <v>22601030</v>
      </c>
      <c r="G14" s="4">
        <v>1230</v>
      </c>
      <c r="H14" s="88" t="s">
        <v>10</v>
      </c>
      <c r="I14" s="16" t="s">
        <v>126</v>
      </c>
      <c r="J14" s="16" t="s">
        <v>1830</v>
      </c>
      <c r="K14" s="4">
        <v>1568</v>
      </c>
      <c r="L14" s="4">
        <v>1548</v>
      </c>
      <c r="M14" s="5">
        <v>1547</v>
      </c>
      <c r="N14" s="5">
        <v>1547</v>
      </c>
      <c r="O14" s="5">
        <v>1547</v>
      </c>
      <c r="P14" s="30">
        <v>1547</v>
      </c>
      <c r="Q14" s="7">
        <v>5.0999999999999996</v>
      </c>
      <c r="R14" s="4">
        <v>35</v>
      </c>
      <c r="S14" s="8" t="s">
        <v>5</v>
      </c>
      <c r="T14" s="8">
        <v>166.3</v>
      </c>
      <c r="U14" s="8">
        <v>56.3</v>
      </c>
      <c r="V14" s="10">
        <v>110.00000000000001</v>
      </c>
      <c r="W14" s="11" t="s">
        <v>5</v>
      </c>
      <c r="X14" s="16">
        <v>58</v>
      </c>
      <c r="Y14" s="12">
        <v>2.8742885999999999</v>
      </c>
      <c r="Z14" s="7">
        <v>8.8000000000000007</v>
      </c>
      <c r="AA14" s="7">
        <v>9.4</v>
      </c>
      <c r="AB14" s="13">
        <v>68</v>
      </c>
      <c r="AC14" s="13">
        <v>75</v>
      </c>
      <c r="AD14" s="11" t="s">
        <v>6</v>
      </c>
      <c r="AE14" s="18" t="s">
        <v>53</v>
      </c>
      <c r="AF14" s="14" t="s">
        <v>418</v>
      </c>
    </row>
    <row r="15" spans="1:32" ht="31.5" x14ac:dyDescent="0.25">
      <c r="A15" s="1">
        <v>48</v>
      </c>
      <c r="B15" s="2">
        <v>46054</v>
      </c>
      <c r="C15" s="1" t="s">
        <v>264</v>
      </c>
      <c r="D15" s="1" t="s">
        <v>265</v>
      </c>
      <c r="E15" s="1">
        <v>2</v>
      </c>
      <c r="F15" s="83">
        <v>22601030</v>
      </c>
      <c r="G15" s="4">
        <v>1230</v>
      </c>
      <c r="H15" s="88" t="s">
        <v>10</v>
      </c>
      <c r="I15" s="16" t="s">
        <v>331</v>
      </c>
      <c r="J15" s="16" t="s">
        <v>1831</v>
      </c>
      <c r="K15" s="4">
        <v>1567</v>
      </c>
      <c r="L15" s="4">
        <v>1542</v>
      </c>
      <c r="M15" s="5">
        <v>1541</v>
      </c>
      <c r="N15" s="5">
        <v>1539</v>
      </c>
      <c r="O15" s="5">
        <v>1539</v>
      </c>
      <c r="P15" s="30">
        <v>1539.6666666666667</v>
      </c>
      <c r="Q15" s="7">
        <v>4.7</v>
      </c>
      <c r="R15" s="4">
        <v>34</v>
      </c>
      <c r="S15" s="8" t="s">
        <v>5</v>
      </c>
      <c r="T15" s="8">
        <v>160</v>
      </c>
      <c r="U15" s="8">
        <v>60</v>
      </c>
      <c r="V15" s="10">
        <v>100</v>
      </c>
      <c r="W15" s="11" t="s">
        <v>5</v>
      </c>
      <c r="X15" s="16">
        <v>58</v>
      </c>
      <c r="Y15" s="12">
        <v>2.6488542000000002</v>
      </c>
      <c r="Z15" s="7">
        <v>8.6999999999999993</v>
      </c>
      <c r="AA15" s="7">
        <v>9.4</v>
      </c>
      <c r="AB15" s="13">
        <v>70</v>
      </c>
      <c r="AC15" s="13">
        <v>79</v>
      </c>
      <c r="AD15" s="11" t="s">
        <v>747</v>
      </c>
      <c r="AE15" s="18" t="s">
        <v>53</v>
      </c>
      <c r="AF15" s="14" t="s">
        <v>1832</v>
      </c>
    </row>
    <row r="16" spans="1:32" ht="15.75" x14ac:dyDescent="0.25">
      <c r="A16" s="1">
        <v>50</v>
      </c>
      <c r="B16" s="2">
        <v>46054</v>
      </c>
      <c r="C16" s="1" t="s">
        <v>264</v>
      </c>
      <c r="D16" s="1" t="s">
        <v>265</v>
      </c>
      <c r="E16" s="1">
        <v>2</v>
      </c>
      <c r="F16" s="83">
        <v>22601030</v>
      </c>
      <c r="G16" s="4">
        <v>1230</v>
      </c>
      <c r="H16" s="88" t="s">
        <v>10</v>
      </c>
      <c r="I16" s="16" t="s">
        <v>11</v>
      </c>
      <c r="J16" s="16" t="s">
        <v>1833</v>
      </c>
      <c r="K16" s="4">
        <v>1567</v>
      </c>
      <c r="L16" s="4">
        <v>1543</v>
      </c>
      <c r="M16" s="5">
        <v>1543</v>
      </c>
      <c r="N16" s="5">
        <v>1542</v>
      </c>
      <c r="O16" s="5">
        <v>1542</v>
      </c>
      <c r="P16" s="30">
        <v>1542.3333333333333</v>
      </c>
      <c r="Q16" s="7">
        <v>4.8</v>
      </c>
      <c r="R16" s="4">
        <v>39</v>
      </c>
      <c r="S16" s="8" t="s">
        <v>5</v>
      </c>
      <c r="T16" s="9">
        <v>167.3</v>
      </c>
      <c r="U16" s="9">
        <v>64.3</v>
      </c>
      <c r="V16" s="10">
        <v>103.00000000000001</v>
      </c>
      <c r="W16" s="11" t="s">
        <v>5</v>
      </c>
      <c r="X16" s="16">
        <v>58</v>
      </c>
      <c r="Y16" s="12">
        <v>2.7052128</v>
      </c>
      <c r="Z16" s="7">
        <v>9.9</v>
      </c>
      <c r="AA16" s="7">
        <v>10</v>
      </c>
      <c r="AB16" s="13">
        <v>72</v>
      </c>
      <c r="AC16" s="13">
        <v>75</v>
      </c>
      <c r="AD16" s="11" t="s">
        <v>6</v>
      </c>
      <c r="AE16" s="18" t="s">
        <v>53</v>
      </c>
      <c r="AF16" s="14" t="s">
        <v>1432</v>
      </c>
    </row>
    <row r="17" spans="1:32" ht="15.75" x14ac:dyDescent="0.25">
      <c r="A17" s="1">
        <v>51</v>
      </c>
      <c r="B17" s="2">
        <v>46054</v>
      </c>
      <c r="C17" s="1" t="s">
        <v>264</v>
      </c>
      <c r="D17" s="1" t="s">
        <v>265</v>
      </c>
      <c r="E17" s="1">
        <v>2</v>
      </c>
      <c r="F17" s="83">
        <v>22601030</v>
      </c>
      <c r="G17" s="4">
        <v>1230</v>
      </c>
      <c r="H17" s="88" t="s">
        <v>10</v>
      </c>
      <c r="I17" s="16" t="s">
        <v>164</v>
      </c>
      <c r="J17" s="16" t="s">
        <v>1834</v>
      </c>
      <c r="K17" s="4">
        <v>1566</v>
      </c>
      <c r="L17" s="4">
        <v>1538</v>
      </c>
      <c r="M17" s="5">
        <v>1558</v>
      </c>
      <c r="N17" s="5">
        <v>1539</v>
      </c>
      <c r="O17" s="5">
        <v>1539</v>
      </c>
      <c r="P17" s="30">
        <v>1545.3333333333333</v>
      </c>
      <c r="Q17" s="7">
        <v>5.2</v>
      </c>
      <c r="R17" s="4">
        <v>37</v>
      </c>
      <c r="S17" s="8">
        <v>35</v>
      </c>
      <c r="T17" s="8">
        <v>164.3</v>
      </c>
      <c r="U17" s="8">
        <v>55.2</v>
      </c>
      <c r="V17" s="10">
        <v>109.10000000000001</v>
      </c>
      <c r="W17" s="11" t="s">
        <v>5</v>
      </c>
      <c r="X17" s="16">
        <v>58</v>
      </c>
      <c r="Y17" s="12">
        <v>2.9306472000000001</v>
      </c>
      <c r="Z17" s="7">
        <v>9.6999999999999993</v>
      </c>
      <c r="AA17" s="7">
        <v>10</v>
      </c>
      <c r="AB17" s="13">
        <v>81</v>
      </c>
      <c r="AC17" s="13">
        <v>84</v>
      </c>
      <c r="AD17" s="11" t="s">
        <v>6</v>
      </c>
      <c r="AE17" s="18" t="s">
        <v>53</v>
      </c>
      <c r="AF17" s="14" t="s">
        <v>397</v>
      </c>
    </row>
    <row r="18" spans="1:32" ht="31.5" x14ac:dyDescent="0.25">
      <c r="A18" s="1">
        <v>73</v>
      </c>
      <c r="B18" s="2">
        <v>46054</v>
      </c>
      <c r="C18" s="1" t="s">
        <v>0</v>
      </c>
      <c r="D18" s="1" t="s">
        <v>19</v>
      </c>
      <c r="E18" s="1">
        <v>2</v>
      </c>
      <c r="F18" s="83">
        <v>22601030</v>
      </c>
      <c r="G18" s="4">
        <v>1260</v>
      </c>
      <c r="H18" s="88" t="s">
        <v>10</v>
      </c>
      <c r="I18" s="16" t="s">
        <v>303</v>
      </c>
      <c r="J18" s="16" t="s">
        <v>1835</v>
      </c>
      <c r="K18" s="4">
        <v>1570</v>
      </c>
      <c r="L18" s="5">
        <v>1544</v>
      </c>
      <c r="M18" s="5">
        <v>1543</v>
      </c>
      <c r="N18" s="5">
        <v>1542</v>
      </c>
      <c r="O18" s="5" t="s">
        <v>5</v>
      </c>
      <c r="P18" s="30">
        <v>1542.5</v>
      </c>
      <c r="Q18" s="7">
        <v>5.3</v>
      </c>
      <c r="R18" s="4">
        <v>37</v>
      </c>
      <c r="S18" s="8" t="s">
        <v>5</v>
      </c>
      <c r="T18" s="9">
        <v>164.6</v>
      </c>
      <c r="U18" s="9">
        <v>61</v>
      </c>
      <c r="V18" s="10">
        <v>103.6</v>
      </c>
      <c r="W18" s="11" t="s">
        <v>5</v>
      </c>
      <c r="X18" s="16">
        <v>58</v>
      </c>
      <c r="Y18" s="12">
        <v>3.0598596000000002</v>
      </c>
      <c r="Z18" s="7">
        <v>9</v>
      </c>
      <c r="AA18" s="7">
        <v>9.4</v>
      </c>
      <c r="AB18" s="13">
        <v>82</v>
      </c>
      <c r="AC18" s="13">
        <v>84</v>
      </c>
      <c r="AD18" s="11" t="s">
        <v>6</v>
      </c>
      <c r="AE18" s="18" t="s">
        <v>53</v>
      </c>
      <c r="AF18" s="14" t="s">
        <v>1836</v>
      </c>
    </row>
    <row r="19" spans="1:32" ht="15.75" x14ac:dyDescent="0.25">
      <c r="A19" s="1">
        <v>77</v>
      </c>
      <c r="B19" s="2">
        <v>46054</v>
      </c>
      <c r="C19" s="1" t="s">
        <v>0</v>
      </c>
      <c r="D19" s="1" t="s">
        <v>19</v>
      </c>
      <c r="E19" s="1">
        <v>2</v>
      </c>
      <c r="F19" s="83">
        <v>22601030</v>
      </c>
      <c r="G19" s="4">
        <v>1260</v>
      </c>
      <c r="H19" s="88" t="s">
        <v>55</v>
      </c>
      <c r="I19" s="16" t="s">
        <v>59</v>
      </c>
      <c r="J19" s="16" t="s">
        <v>1837</v>
      </c>
      <c r="K19" s="4">
        <v>1571</v>
      </c>
      <c r="L19" s="4">
        <v>1541</v>
      </c>
      <c r="M19" s="5">
        <v>1540</v>
      </c>
      <c r="N19" s="5">
        <v>1542</v>
      </c>
      <c r="O19" s="5">
        <v>1542</v>
      </c>
      <c r="P19" s="30">
        <v>1541.3333333333333</v>
      </c>
      <c r="Q19" s="7">
        <v>5.6</v>
      </c>
      <c r="R19" s="4">
        <v>29</v>
      </c>
      <c r="S19" s="8" t="s">
        <v>5</v>
      </c>
      <c r="T19" s="8">
        <v>150.4</v>
      </c>
      <c r="U19" s="8">
        <v>60</v>
      </c>
      <c r="V19" s="10">
        <v>90.4</v>
      </c>
      <c r="W19" s="11" t="s">
        <v>5</v>
      </c>
      <c r="X19" s="16">
        <v>58</v>
      </c>
      <c r="Y19" s="12">
        <v>3.2330592</v>
      </c>
      <c r="Z19" s="7">
        <v>9.1999999999999993</v>
      </c>
      <c r="AA19" s="7">
        <v>10</v>
      </c>
      <c r="AB19" s="13">
        <v>79</v>
      </c>
      <c r="AC19" s="13">
        <v>82</v>
      </c>
      <c r="AD19" s="11" t="s">
        <v>6</v>
      </c>
      <c r="AE19" s="18" t="s">
        <v>53</v>
      </c>
      <c r="AF19" s="14" t="s">
        <v>397</v>
      </c>
    </row>
    <row r="20" spans="1:32" ht="31.5" x14ac:dyDescent="0.25">
      <c r="A20" s="1">
        <v>92</v>
      </c>
      <c r="B20" s="2">
        <v>46055</v>
      </c>
      <c r="C20" s="1" t="s">
        <v>18</v>
      </c>
      <c r="D20" s="1" t="s">
        <v>9</v>
      </c>
      <c r="E20" s="1">
        <v>1</v>
      </c>
      <c r="F20" s="83">
        <v>12602002</v>
      </c>
      <c r="G20" s="4">
        <v>1170</v>
      </c>
      <c r="H20" s="88" t="s">
        <v>707</v>
      </c>
      <c r="I20" s="16" t="s">
        <v>77</v>
      </c>
      <c r="J20" s="16" t="s">
        <v>1838</v>
      </c>
      <c r="K20" s="16">
        <v>1570</v>
      </c>
      <c r="L20" s="4">
        <v>1546</v>
      </c>
      <c r="M20" s="4">
        <v>1545</v>
      </c>
      <c r="N20" s="5">
        <v>1544</v>
      </c>
      <c r="O20" s="5" t="s">
        <v>5</v>
      </c>
      <c r="P20" s="30">
        <v>1544.5</v>
      </c>
      <c r="Q20" s="7">
        <v>5.3</v>
      </c>
      <c r="R20" s="4">
        <v>37</v>
      </c>
      <c r="S20" s="8" t="s">
        <v>5</v>
      </c>
      <c r="T20" s="9">
        <v>161.5</v>
      </c>
      <c r="U20" s="9">
        <v>61.3</v>
      </c>
      <c r="V20" s="10">
        <v>100.2</v>
      </c>
      <c r="W20" s="11" t="s">
        <v>5</v>
      </c>
      <c r="X20" s="16">
        <v>56</v>
      </c>
      <c r="Y20" s="12">
        <v>2.7433224000000003</v>
      </c>
      <c r="Z20" s="7">
        <v>6.7</v>
      </c>
      <c r="AA20" s="7">
        <v>7.6</v>
      </c>
      <c r="AB20" s="13">
        <v>61</v>
      </c>
      <c r="AC20" s="13">
        <v>70</v>
      </c>
      <c r="AD20" s="11" t="s">
        <v>6</v>
      </c>
      <c r="AE20" s="18" t="s">
        <v>455</v>
      </c>
      <c r="AF20" s="14" t="s">
        <v>833</v>
      </c>
    </row>
    <row r="21" spans="1:32" ht="15.75" x14ac:dyDescent="0.25">
      <c r="A21" s="1">
        <v>93</v>
      </c>
      <c r="B21" s="2">
        <v>46055</v>
      </c>
      <c r="C21" s="1" t="s">
        <v>18</v>
      </c>
      <c r="D21" s="1" t="s">
        <v>9</v>
      </c>
      <c r="E21" s="1">
        <v>1</v>
      </c>
      <c r="F21" s="83">
        <v>12602002</v>
      </c>
      <c r="G21" s="4">
        <v>1170</v>
      </c>
      <c r="H21" s="88" t="s">
        <v>707</v>
      </c>
      <c r="I21" s="16" t="s">
        <v>194</v>
      </c>
      <c r="J21" s="16" t="s">
        <v>1839</v>
      </c>
      <c r="K21" s="16">
        <v>1564</v>
      </c>
      <c r="L21" s="4">
        <v>1544</v>
      </c>
      <c r="M21" s="4">
        <v>1542</v>
      </c>
      <c r="N21" s="5">
        <v>1542</v>
      </c>
      <c r="O21" s="5" t="s">
        <v>5</v>
      </c>
      <c r="P21" s="30">
        <v>1542</v>
      </c>
      <c r="Q21" s="7">
        <v>5</v>
      </c>
      <c r="R21" s="4">
        <v>35</v>
      </c>
      <c r="S21" s="8" t="s">
        <v>5</v>
      </c>
      <c r="T21" s="9">
        <v>160</v>
      </c>
      <c r="U21" s="9">
        <v>61</v>
      </c>
      <c r="V21" s="10">
        <v>99</v>
      </c>
      <c r="W21" s="11" t="s">
        <v>5</v>
      </c>
      <c r="X21" s="16">
        <v>56</v>
      </c>
      <c r="Y21" s="12">
        <v>2.5880400000000003</v>
      </c>
      <c r="Z21" s="7">
        <v>7.1</v>
      </c>
      <c r="AA21" s="7">
        <v>7.5</v>
      </c>
      <c r="AB21" s="13">
        <v>65</v>
      </c>
      <c r="AC21" s="13">
        <v>68</v>
      </c>
      <c r="AD21" s="11" t="s">
        <v>6</v>
      </c>
      <c r="AE21" s="18" t="s">
        <v>455</v>
      </c>
      <c r="AF21" s="14" t="s">
        <v>721</v>
      </c>
    </row>
    <row r="22" spans="1:32" ht="63" x14ac:dyDescent="0.25">
      <c r="A22" s="1">
        <v>107</v>
      </c>
      <c r="B22" s="2">
        <v>46055</v>
      </c>
      <c r="C22" s="1" t="s">
        <v>264</v>
      </c>
      <c r="D22" s="1" t="s">
        <v>265</v>
      </c>
      <c r="E22" s="1">
        <v>1</v>
      </c>
      <c r="F22" s="83">
        <v>12602002</v>
      </c>
      <c r="G22" s="4">
        <v>1170</v>
      </c>
      <c r="H22" s="88" t="s">
        <v>707</v>
      </c>
      <c r="I22" s="16" t="s">
        <v>90</v>
      </c>
      <c r="J22" s="16" t="s">
        <v>1840</v>
      </c>
      <c r="K22" s="99">
        <v>1568</v>
      </c>
      <c r="L22" s="4">
        <v>1537</v>
      </c>
      <c r="M22" s="4">
        <v>1538</v>
      </c>
      <c r="N22" s="5">
        <v>1537</v>
      </c>
      <c r="O22" s="5">
        <v>1538</v>
      </c>
      <c r="P22" s="30">
        <v>1537.6666666666667</v>
      </c>
      <c r="Q22" s="7">
        <v>4.8</v>
      </c>
      <c r="R22" s="4">
        <v>41</v>
      </c>
      <c r="S22" s="8" t="s">
        <v>5</v>
      </c>
      <c r="T22" s="9">
        <v>165</v>
      </c>
      <c r="U22" s="9">
        <v>62.7</v>
      </c>
      <c r="V22" s="10">
        <v>102.3</v>
      </c>
      <c r="W22" s="11" t="s">
        <v>5</v>
      </c>
      <c r="X22" s="16">
        <v>56</v>
      </c>
      <c r="Y22" s="12">
        <v>2.4845184000000002</v>
      </c>
      <c r="Z22" s="7">
        <v>5.8</v>
      </c>
      <c r="AA22" s="7">
        <v>7</v>
      </c>
      <c r="AB22" s="13">
        <v>62</v>
      </c>
      <c r="AC22" s="13">
        <v>74</v>
      </c>
      <c r="AD22" s="11" t="s">
        <v>6</v>
      </c>
      <c r="AE22" s="18" t="s">
        <v>455</v>
      </c>
      <c r="AF22" s="14" t="s">
        <v>1841</v>
      </c>
    </row>
    <row r="23" spans="1:32" ht="15.75" x14ac:dyDescent="0.25">
      <c r="A23" s="1">
        <v>108</v>
      </c>
      <c r="B23" s="2">
        <v>46055</v>
      </c>
      <c r="C23" s="1" t="s">
        <v>264</v>
      </c>
      <c r="D23" s="1" t="s">
        <v>265</v>
      </c>
      <c r="E23" s="1">
        <v>1</v>
      </c>
      <c r="F23" s="83">
        <v>12602002</v>
      </c>
      <c r="G23" s="4">
        <v>1170</v>
      </c>
      <c r="H23" s="88" t="s">
        <v>707</v>
      </c>
      <c r="I23" s="16" t="s">
        <v>70</v>
      </c>
      <c r="J23" s="16" t="s">
        <v>1842</v>
      </c>
      <c r="K23" s="99">
        <v>1572</v>
      </c>
      <c r="L23" s="4">
        <v>1545</v>
      </c>
      <c r="M23" s="4">
        <v>1545</v>
      </c>
      <c r="N23" s="5">
        <v>1549</v>
      </c>
      <c r="O23" s="5">
        <v>1549</v>
      </c>
      <c r="P23" s="30">
        <v>1547.6666666666667</v>
      </c>
      <c r="Q23" s="7">
        <v>5</v>
      </c>
      <c r="R23" s="4">
        <v>44</v>
      </c>
      <c r="S23" s="8" t="s">
        <v>5</v>
      </c>
      <c r="T23" s="9">
        <v>172.7</v>
      </c>
      <c r="U23" s="9">
        <v>60.3</v>
      </c>
      <c r="V23" s="10">
        <v>112.39999999999999</v>
      </c>
      <c r="W23" s="11" t="s">
        <v>5</v>
      </c>
      <c r="X23" s="16">
        <v>56</v>
      </c>
      <c r="Y23" s="12">
        <v>2.7650000000000001</v>
      </c>
      <c r="Z23" s="7">
        <v>7.7</v>
      </c>
      <c r="AA23" s="7">
        <v>8.9</v>
      </c>
      <c r="AB23" s="13">
        <v>64</v>
      </c>
      <c r="AC23" s="13">
        <v>75</v>
      </c>
      <c r="AD23" s="11" t="s">
        <v>6</v>
      </c>
      <c r="AE23" s="18" t="s">
        <v>455</v>
      </c>
      <c r="AF23" s="14" t="s">
        <v>1843</v>
      </c>
    </row>
    <row r="24" spans="1:32" ht="31.5" x14ac:dyDescent="0.25">
      <c r="A24" s="1">
        <v>175</v>
      </c>
      <c r="B24" s="2">
        <v>46056</v>
      </c>
      <c r="C24" s="1" t="s">
        <v>18</v>
      </c>
      <c r="D24" s="1" t="s">
        <v>9</v>
      </c>
      <c r="E24" s="1">
        <v>2</v>
      </c>
      <c r="F24" s="83">
        <v>22602001</v>
      </c>
      <c r="G24" s="4">
        <v>1250</v>
      </c>
      <c r="H24" s="88" t="s">
        <v>10</v>
      </c>
      <c r="I24" s="16" t="s">
        <v>138</v>
      </c>
      <c r="J24" s="16" t="s">
        <v>1844</v>
      </c>
      <c r="K24" s="4">
        <v>1570</v>
      </c>
      <c r="L24" s="4">
        <v>1549</v>
      </c>
      <c r="M24" s="4">
        <v>1544</v>
      </c>
      <c r="N24" s="5">
        <v>1544</v>
      </c>
      <c r="O24" s="5">
        <v>1543</v>
      </c>
      <c r="P24" s="30">
        <v>1543.6666666666667</v>
      </c>
      <c r="Q24" s="7">
        <v>5</v>
      </c>
      <c r="R24" s="4">
        <v>34</v>
      </c>
      <c r="S24" s="8">
        <v>20</v>
      </c>
      <c r="T24" s="9">
        <v>165.5</v>
      </c>
      <c r="U24" s="9">
        <v>61.4</v>
      </c>
      <c r="V24" s="10">
        <v>104.1</v>
      </c>
      <c r="W24" s="11" t="s">
        <v>5</v>
      </c>
      <c r="X24" s="16">
        <v>58</v>
      </c>
      <c r="Y24" s="12">
        <v>2.86375</v>
      </c>
      <c r="Z24" s="7">
        <v>10.8</v>
      </c>
      <c r="AA24" s="7">
        <v>10.3</v>
      </c>
      <c r="AB24" s="13">
        <v>96</v>
      </c>
      <c r="AC24" s="13">
        <v>97</v>
      </c>
      <c r="AD24" s="11" t="s">
        <v>6</v>
      </c>
      <c r="AE24" s="18" t="s">
        <v>53</v>
      </c>
      <c r="AF24" s="14" t="s">
        <v>1845</v>
      </c>
    </row>
    <row r="25" spans="1:32" ht="31.5" x14ac:dyDescent="0.25">
      <c r="A25" s="1">
        <v>208</v>
      </c>
      <c r="B25" s="2">
        <v>46056</v>
      </c>
      <c r="C25" s="1" t="s">
        <v>0</v>
      </c>
      <c r="D25" s="1" t="s">
        <v>19</v>
      </c>
      <c r="E25" s="1">
        <v>1</v>
      </c>
      <c r="F25" s="83">
        <v>12602003</v>
      </c>
      <c r="G25" s="4">
        <v>1260</v>
      </c>
      <c r="H25" s="88" t="s">
        <v>1798</v>
      </c>
      <c r="I25" s="16" t="s">
        <v>56</v>
      </c>
      <c r="J25" s="16" t="s">
        <v>1846</v>
      </c>
      <c r="K25" s="4">
        <v>1570</v>
      </c>
      <c r="L25" s="5">
        <v>1549</v>
      </c>
      <c r="M25" s="5">
        <v>1552</v>
      </c>
      <c r="N25" s="5">
        <v>1553</v>
      </c>
      <c r="O25" s="5">
        <v>1553</v>
      </c>
      <c r="P25" s="30">
        <v>1552.6666666666667</v>
      </c>
      <c r="Q25" s="7">
        <v>4.8</v>
      </c>
      <c r="R25" s="4">
        <v>32</v>
      </c>
      <c r="S25" s="8">
        <v>36</v>
      </c>
      <c r="T25" s="9">
        <v>161.80000000000001</v>
      </c>
      <c r="U25" s="9">
        <v>63.7</v>
      </c>
      <c r="V25" s="10">
        <v>98.100000000000009</v>
      </c>
      <c r="W25" s="11" t="s">
        <v>5</v>
      </c>
      <c r="X25" s="16">
        <v>58</v>
      </c>
      <c r="Y25" s="12">
        <v>2.7711936000000001</v>
      </c>
      <c r="Z25" s="7">
        <v>11.3</v>
      </c>
      <c r="AA25" s="7">
        <v>11.4</v>
      </c>
      <c r="AB25" s="13">
        <v>94</v>
      </c>
      <c r="AC25" s="13">
        <v>96</v>
      </c>
      <c r="AD25" s="11" t="s">
        <v>6</v>
      </c>
      <c r="AE25" s="18" t="s">
        <v>455</v>
      </c>
      <c r="AF25" s="14" t="s">
        <v>1847</v>
      </c>
    </row>
    <row r="26" spans="1:32" ht="47.25" x14ac:dyDescent="0.25">
      <c r="A26" s="1">
        <v>286</v>
      </c>
      <c r="B26" s="2">
        <v>46057</v>
      </c>
      <c r="C26" s="1" t="s">
        <v>18</v>
      </c>
      <c r="D26" s="1" t="s">
        <v>9</v>
      </c>
      <c r="E26" s="1">
        <v>2</v>
      </c>
      <c r="F26" s="83">
        <v>22602003</v>
      </c>
      <c r="G26" s="4">
        <v>1260</v>
      </c>
      <c r="H26" s="88" t="s">
        <v>55</v>
      </c>
      <c r="I26" s="16" t="s">
        <v>103</v>
      </c>
      <c r="J26" s="16" t="s">
        <v>1848</v>
      </c>
      <c r="K26" s="4">
        <v>1570</v>
      </c>
      <c r="L26" s="4">
        <v>1552</v>
      </c>
      <c r="M26" s="4">
        <v>1548</v>
      </c>
      <c r="N26" s="5">
        <v>1546</v>
      </c>
      <c r="O26" s="5">
        <v>1546</v>
      </c>
      <c r="P26" s="30">
        <v>1546.6666666666667</v>
      </c>
      <c r="Q26" s="7">
        <v>5.3</v>
      </c>
      <c r="R26" s="4">
        <v>34</v>
      </c>
      <c r="S26" s="8" t="s">
        <v>5</v>
      </c>
      <c r="T26" s="9">
        <v>165.2</v>
      </c>
      <c r="U26" s="9">
        <v>55</v>
      </c>
      <c r="V26" s="10">
        <v>110.19999999999999</v>
      </c>
      <c r="W26" s="11" t="s">
        <v>5</v>
      </c>
      <c r="X26" s="16">
        <v>58</v>
      </c>
      <c r="Y26" s="12">
        <v>3.0598596000000002</v>
      </c>
      <c r="Z26" s="7">
        <v>9.6</v>
      </c>
      <c r="AA26" s="7">
        <v>10.199999999999999</v>
      </c>
      <c r="AB26" s="13">
        <v>74</v>
      </c>
      <c r="AC26" s="13">
        <v>75</v>
      </c>
      <c r="AD26" s="11" t="s">
        <v>6</v>
      </c>
      <c r="AE26" s="18" t="s">
        <v>53</v>
      </c>
      <c r="AF26" s="14" t="s">
        <v>1849</v>
      </c>
    </row>
    <row r="27" spans="1:32" ht="31.5" x14ac:dyDescent="0.25">
      <c r="A27" s="1">
        <v>286</v>
      </c>
      <c r="B27" s="2">
        <v>46057</v>
      </c>
      <c r="C27" s="1" t="s">
        <v>264</v>
      </c>
      <c r="D27" s="1" t="s">
        <v>265</v>
      </c>
      <c r="E27" s="1">
        <v>2</v>
      </c>
      <c r="F27" s="83">
        <v>22602003</v>
      </c>
      <c r="G27" s="4">
        <v>1260</v>
      </c>
      <c r="H27" s="88" t="s">
        <v>55</v>
      </c>
      <c r="I27" s="16" t="s">
        <v>129</v>
      </c>
      <c r="J27" s="16" t="s">
        <v>1850</v>
      </c>
      <c r="K27" s="4">
        <v>1565</v>
      </c>
      <c r="L27" s="5">
        <v>1548</v>
      </c>
      <c r="M27" s="5">
        <v>1547</v>
      </c>
      <c r="N27" s="5">
        <v>1546</v>
      </c>
      <c r="O27" s="5" t="s">
        <v>5</v>
      </c>
      <c r="P27" s="30">
        <v>1546.5</v>
      </c>
      <c r="Q27" s="7">
        <v>4.5</v>
      </c>
      <c r="R27" s="4">
        <v>34</v>
      </c>
      <c r="S27" s="8">
        <v>29</v>
      </c>
      <c r="T27" s="9">
        <v>162.96</v>
      </c>
      <c r="U27" s="9">
        <v>58</v>
      </c>
      <c r="V27" s="10">
        <v>104.96000000000001</v>
      </c>
      <c r="W27" s="11" t="s">
        <v>5</v>
      </c>
      <c r="X27" s="16">
        <v>58</v>
      </c>
      <c r="Y27" s="12">
        <v>2.5979940000000004</v>
      </c>
      <c r="Z27" s="7">
        <v>9.1999999999999993</v>
      </c>
      <c r="AA27" s="7">
        <v>10.6</v>
      </c>
      <c r="AB27" s="13">
        <v>84</v>
      </c>
      <c r="AC27" s="13">
        <v>91</v>
      </c>
      <c r="AD27" s="11" t="s">
        <v>6</v>
      </c>
      <c r="AE27" s="18" t="s">
        <v>455</v>
      </c>
      <c r="AF27" s="14" t="s">
        <v>1851</v>
      </c>
    </row>
    <row r="28" spans="1:32" ht="31.5" x14ac:dyDescent="0.25">
      <c r="A28" s="1">
        <v>312</v>
      </c>
      <c r="B28" s="2">
        <v>46057</v>
      </c>
      <c r="C28" s="1" t="s">
        <v>0</v>
      </c>
      <c r="D28" s="1" t="s">
        <v>19</v>
      </c>
      <c r="E28" s="1">
        <v>2</v>
      </c>
      <c r="F28" s="83">
        <v>22602003</v>
      </c>
      <c r="G28" s="4">
        <v>1230</v>
      </c>
      <c r="H28" s="88" t="s">
        <v>10</v>
      </c>
      <c r="I28" s="16" t="s">
        <v>504</v>
      </c>
      <c r="J28" s="16" t="s">
        <v>1852</v>
      </c>
      <c r="K28" s="4">
        <v>1566</v>
      </c>
      <c r="L28" s="5">
        <v>1546</v>
      </c>
      <c r="M28" s="5">
        <v>1545</v>
      </c>
      <c r="N28" s="5">
        <v>1544</v>
      </c>
      <c r="O28" s="5" t="s">
        <v>5</v>
      </c>
      <c r="P28" s="30">
        <v>1544.5</v>
      </c>
      <c r="Q28" s="7">
        <v>5.3</v>
      </c>
      <c r="R28" s="4">
        <v>35</v>
      </c>
      <c r="S28" s="8" t="s">
        <v>5</v>
      </c>
      <c r="T28" s="9">
        <v>160.5</v>
      </c>
      <c r="U28" s="9">
        <v>62.2</v>
      </c>
      <c r="V28" s="10">
        <v>98.3</v>
      </c>
      <c r="W28" s="11" t="s">
        <v>5</v>
      </c>
      <c r="X28" s="16">
        <v>58</v>
      </c>
      <c r="Y28" s="12">
        <v>2.9870057999999999</v>
      </c>
      <c r="Z28" s="7">
        <v>11.6</v>
      </c>
      <c r="AA28" s="7">
        <v>11</v>
      </c>
      <c r="AB28" s="13">
        <v>99</v>
      </c>
      <c r="AC28" s="13">
        <v>98</v>
      </c>
      <c r="AD28" s="11" t="s">
        <v>6</v>
      </c>
      <c r="AE28" s="18" t="s">
        <v>455</v>
      </c>
      <c r="AF28" s="14" t="s">
        <v>1853</v>
      </c>
    </row>
    <row r="29" spans="1:32" ht="15.75" x14ac:dyDescent="0.25">
      <c r="A29" s="1">
        <v>352</v>
      </c>
      <c r="B29" s="2">
        <v>46058</v>
      </c>
      <c r="C29" s="1" t="s">
        <v>264</v>
      </c>
      <c r="D29" s="1" t="s">
        <v>265</v>
      </c>
      <c r="E29" s="1">
        <v>2</v>
      </c>
      <c r="F29" s="83">
        <v>22602004</v>
      </c>
      <c r="G29" s="4">
        <v>1230</v>
      </c>
      <c r="H29" s="88" t="s">
        <v>10</v>
      </c>
      <c r="I29" s="16" t="s">
        <v>20</v>
      </c>
      <c r="J29" s="16" t="s">
        <v>1854</v>
      </c>
      <c r="K29" s="4">
        <v>1570</v>
      </c>
      <c r="L29" s="4">
        <v>1545</v>
      </c>
      <c r="M29" s="5">
        <v>1543</v>
      </c>
      <c r="N29" s="5">
        <v>1542</v>
      </c>
      <c r="O29" s="5">
        <v>1541</v>
      </c>
      <c r="P29" s="30">
        <v>1542</v>
      </c>
      <c r="Q29" s="7">
        <v>5.5</v>
      </c>
      <c r="R29" s="4">
        <v>35</v>
      </c>
      <c r="S29" s="8">
        <v>33</v>
      </c>
      <c r="T29" s="8">
        <v>171</v>
      </c>
      <c r="U29" s="8">
        <v>62.3</v>
      </c>
      <c r="V29" s="10">
        <v>108.7</v>
      </c>
      <c r="W29" s="11" t="s">
        <v>5</v>
      </c>
      <c r="X29" s="16">
        <v>58</v>
      </c>
      <c r="Y29" s="12">
        <v>3.099723</v>
      </c>
      <c r="Z29" s="7">
        <v>11.3</v>
      </c>
      <c r="AA29" s="7">
        <v>10.7</v>
      </c>
      <c r="AB29" s="13">
        <v>85</v>
      </c>
      <c r="AC29" s="13">
        <v>84</v>
      </c>
      <c r="AD29" s="11" t="s">
        <v>6</v>
      </c>
      <c r="AE29" s="18" t="s">
        <v>53</v>
      </c>
      <c r="AF29" s="14" t="s">
        <v>721</v>
      </c>
    </row>
    <row r="30" spans="1:32" ht="15.75" x14ac:dyDescent="0.25">
      <c r="A30" s="1">
        <v>439</v>
      </c>
      <c r="B30" s="2">
        <v>46059</v>
      </c>
      <c r="C30" s="1" t="s">
        <v>264</v>
      </c>
      <c r="D30" s="1" t="s">
        <v>19</v>
      </c>
      <c r="E30" s="1">
        <v>2</v>
      </c>
      <c r="F30" s="83">
        <v>22602005</v>
      </c>
      <c r="G30" s="4">
        <v>1250</v>
      </c>
      <c r="H30" s="88" t="s">
        <v>1095</v>
      </c>
      <c r="I30" s="16" t="s">
        <v>129</v>
      </c>
      <c r="J30" s="16" t="s">
        <v>1855</v>
      </c>
      <c r="K30" s="4">
        <v>1564</v>
      </c>
      <c r="L30" s="4">
        <v>1546</v>
      </c>
      <c r="M30" s="5">
        <v>1545</v>
      </c>
      <c r="N30" s="5">
        <v>1543</v>
      </c>
      <c r="O30" s="5">
        <v>1541</v>
      </c>
      <c r="P30" s="30">
        <v>1543</v>
      </c>
      <c r="Q30" s="7">
        <v>5</v>
      </c>
      <c r="R30" s="4">
        <v>32</v>
      </c>
      <c r="S30" s="8">
        <v>31</v>
      </c>
      <c r="T30" s="8">
        <v>159</v>
      </c>
      <c r="U30" s="8">
        <v>63</v>
      </c>
      <c r="V30" s="10">
        <v>96</v>
      </c>
      <c r="W30" s="11" t="s">
        <v>5</v>
      </c>
      <c r="X30" s="16">
        <v>58</v>
      </c>
      <c r="Y30" s="12">
        <v>2.86375</v>
      </c>
      <c r="Z30" s="7">
        <v>10.1</v>
      </c>
      <c r="AA30" s="7">
        <v>10.7</v>
      </c>
      <c r="AB30" s="13">
        <v>73</v>
      </c>
      <c r="AC30" s="13">
        <v>80</v>
      </c>
      <c r="AD30" s="11" t="s">
        <v>6</v>
      </c>
      <c r="AE30" s="18" t="s">
        <v>72</v>
      </c>
      <c r="AF30" s="14" t="s">
        <v>721</v>
      </c>
    </row>
    <row r="31" spans="1:32" ht="15.75" x14ac:dyDescent="0.25">
      <c r="A31" s="1">
        <v>445</v>
      </c>
      <c r="B31" s="2">
        <v>46059</v>
      </c>
      <c r="C31" s="1" t="s">
        <v>264</v>
      </c>
      <c r="D31" s="1" t="s">
        <v>19</v>
      </c>
      <c r="E31" s="1">
        <v>2</v>
      </c>
      <c r="F31" s="83">
        <v>22602005</v>
      </c>
      <c r="G31" s="4">
        <v>1250</v>
      </c>
      <c r="H31" s="88" t="s">
        <v>1095</v>
      </c>
      <c r="I31" s="16" t="s">
        <v>138</v>
      </c>
      <c r="J31" s="16" t="s">
        <v>1856</v>
      </c>
      <c r="K31" s="4">
        <v>1567</v>
      </c>
      <c r="L31" s="105">
        <v>1548</v>
      </c>
      <c r="M31" s="105">
        <v>1547</v>
      </c>
      <c r="N31" s="105">
        <v>1547</v>
      </c>
      <c r="O31" s="105">
        <v>1545</v>
      </c>
      <c r="P31" s="30">
        <v>1546.3333333333333</v>
      </c>
      <c r="Q31" s="7">
        <v>5.4</v>
      </c>
      <c r="R31" s="4">
        <v>32</v>
      </c>
      <c r="S31" s="8">
        <v>36</v>
      </c>
      <c r="T31" s="8">
        <v>161</v>
      </c>
      <c r="U31" s="8">
        <v>66</v>
      </c>
      <c r="V31" s="10">
        <v>95</v>
      </c>
      <c r="W31" s="11" t="s">
        <v>5</v>
      </c>
      <c r="X31" s="16">
        <v>58</v>
      </c>
      <c r="Y31" s="12">
        <v>3.0928500000000003</v>
      </c>
      <c r="Z31" s="7">
        <v>10.4</v>
      </c>
      <c r="AA31" s="7">
        <v>10.4</v>
      </c>
      <c r="AB31" s="13">
        <v>85</v>
      </c>
      <c r="AC31" s="13">
        <v>85</v>
      </c>
      <c r="AD31" s="11" t="s">
        <v>6</v>
      </c>
      <c r="AE31" s="18" t="s">
        <v>72</v>
      </c>
      <c r="AF31" s="14" t="s">
        <v>1857</v>
      </c>
    </row>
    <row r="32" spans="1:32" ht="15.75" x14ac:dyDescent="0.25">
      <c r="A32" s="1">
        <v>463</v>
      </c>
      <c r="B32" s="2">
        <v>46059</v>
      </c>
      <c r="C32" s="1" t="s">
        <v>0</v>
      </c>
      <c r="D32" s="1" t="s">
        <v>377</v>
      </c>
      <c r="E32" s="1">
        <v>2</v>
      </c>
      <c r="F32" s="83">
        <v>22602005</v>
      </c>
      <c r="G32" s="4">
        <v>1260</v>
      </c>
      <c r="H32" s="88" t="s">
        <v>1588</v>
      </c>
      <c r="I32" s="16" t="s">
        <v>273</v>
      </c>
      <c r="J32" s="16" t="s">
        <v>1858</v>
      </c>
      <c r="K32" s="4">
        <v>1565</v>
      </c>
      <c r="L32" s="5">
        <v>1547</v>
      </c>
      <c r="M32" s="5">
        <v>1546</v>
      </c>
      <c r="N32" s="5">
        <v>1544</v>
      </c>
      <c r="O32" s="5">
        <v>1543</v>
      </c>
      <c r="P32" s="30">
        <v>1544.3333333333333</v>
      </c>
      <c r="Q32" s="7">
        <v>5.5</v>
      </c>
      <c r="R32" s="4">
        <v>34</v>
      </c>
      <c r="S32" s="8">
        <v>31</v>
      </c>
      <c r="T32" s="9">
        <v>179</v>
      </c>
      <c r="U32" s="9">
        <v>60</v>
      </c>
      <c r="V32" s="10">
        <v>119</v>
      </c>
      <c r="W32" s="11" t="s">
        <v>5</v>
      </c>
      <c r="X32" s="16">
        <v>58</v>
      </c>
      <c r="Y32" s="12">
        <v>3.1753260000000005</v>
      </c>
      <c r="Z32" s="7">
        <v>10.3</v>
      </c>
      <c r="AA32" s="7">
        <v>11.4</v>
      </c>
      <c r="AB32" s="13">
        <v>80</v>
      </c>
      <c r="AC32" s="13">
        <v>94</v>
      </c>
      <c r="AD32" s="11" t="s">
        <v>6</v>
      </c>
      <c r="AE32" s="18" t="s">
        <v>53</v>
      </c>
      <c r="AF32" s="14" t="s">
        <v>721</v>
      </c>
    </row>
    <row r="33" spans="1:32" ht="15.75" x14ac:dyDescent="0.25">
      <c r="A33" s="1">
        <v>505</v>
      </c>
      <c r="B33" s="2">
        <v>46060</v>
      </c>
      <c r="C33" s="1" t="s">
        <v>0</v>
      </c>
      <c r="D33" s="1" t="s">
        <v>258</v>
      </c>
      <c r="E33" s="1">
        <v>1</v>
      </c>
      <c r="F33" s="83">
        <v>12602008</v>
      </c>
      <c r="G33" s="4">
        <v>1260</v>
      </c>
      <c r="H33" s="88" t="s">
        <v>1798</v>
      </c>
      <c r="I33" s="16" t="s">
        <v>261</v>
      </c>
      <c r="J33" s="16" t="s">
        <v>1859</v>
      </c>
      <c r="K33" s="99">
        <v>1567</v>
      </c>
      <c r="L33" s="4">
        <v>1544</v>
      </c>
      <c r="M33" s="5">
        <v>1545</v>
      </c>
      <c r="N33" s="5">
        <v>1546</v>
      </c>
      <c r="O33" s="5">
        <v>1544</v>
      </c>
      <c r="P33" s="30">
        <v>1545</v>
      </c>
      <c r="Q33" s="7">
        <v>5.6</v>
      </c>
      <c r="R33" s="4">
        <v>37</v>
      </c>
      <c r="S33" s="8" t="s">
        <v>5</v>
      </c>
      <c r="T33" s="9">
        <v>163.80000000000001</v>
      </c>
      <c r="U33" s="9">
        <v>62.2</v>
      </c>
      <c r="V33" s="10">
        <v>101.60000000000001</v>
      </c>
      <c r="W33" s="11" t="s">
        <v>5</v>
      </c>
      <c r="X33" s="16">
        <v>58</v>
      </c>
      <c r="Y33" s="12">
        <v>3.2330592</v>
      </c>
      <c r="Z33" s="7">
        <v>11.1</v>
      </c>
      <c r="AA33" s="7">
        <v>12.6</v>
      </c>
      <c r="AB33" s="13">
        <v>83</v>
      </c>
      <c r="AC33" s="13">
        <v>97</v>
      </c>
      <c r="AD33" s="11" t="s">
        <v>6</v>
      </c>
      <c r="AE33" s="18" t="s">
        <v>53</v>
      </c>
      <c r="AF33" s="14" t="s">
        <v>397</v>
      </c>
    </row>
    <row r="34" spans="1:32" ht="31.5" x14ac:dyDescent="0.25">
      <c r="A34" s="1">
        <v>548</v>
      </c>
      <c r="B34" s="2">
        <v>46061</v>
      </c>
      <c r="C34" s="1" t="s">
        <v>18</v>
      </c>
      <c r="D34" s="1" t="s">
        <v>265</v>
      </c>
      <c r="E34" s="1">
        <v>2</v>
      </c>
      <c r="F34" s="83">
        <v>22602007</v>
      </c>
      <c r="G34" s="4">
        <v>1260</v>
      </c>
      <c r="H34" s="4" t="s">
        <v>1798</v>
      </c>
      <c r="I34" s="16" t="s">
        <v>416</v>
      </c>
      <c r="J34" s="16" t="s">
        <v>1860</v>
      </c>
      <c r="K34" s="4">
        <v>1567</v>
      </c>
      <c r="L34" s="4">
        <v>1540</v>
      </c>
      <c r="M34" s="4">
        <v>1542</v>
      </c>
      <c r="N34" s="5">
        <v>1542</v>
      </c>
      <c r="O34" s="5" t="s">
        <v>5</v>
      </c>
      <c r="P34" s="30">
        <v>1542</v>
      </c>
      <c r="Q34" s="7">
        <v>4.8</v>
      </c>
      <c r="R34" s="4">
        <v>34</v>
      </c>
      <c r="S34" s="8">
        <v>38</v>
      </c>
      <c r="T34" s="9">
        <v>170.5</v>
      </c>
      <c r="U34" s="9">
        <v>61.6</v>
      </c>
      <c r="V34" s="10">
        <v>108.9</v>
      </c>
      <c r="W34" s="11" t="s">
        <v>5</v>
      </c>
      <c r="X34" s="16">
        <v>58</v>
      </c>
      <c r="Y34" s="12">
        <v>2.7711936000000001</v>
      </c>
      <c r="Z34" s="7" t="s">
        <v>5</v>
      </c>
      <c r="AA34" s="7" t="s">
        <v>5</v>
      </c>
      <c r="AB34" s="7">
        <v>86</v>
      </c>
      <c r="AC34" s="7">
        <v>86</v>
      </c>
      <c r="AD34" s="11" t="s">
        <v>6</v>
      </c>
      <c r="AE34" s="18" t="s">
        <v>455</v>
      </c>
      <c r="AF34" s="14" t="s">
        <v>1861</v>
      </c>
    </row>
    <row r="35" spans="1:32" ht="31.5" x14ac:dyDescent="0.25">
      <c r="A35" s="1">
        <v>711</v>
      </c>
      <c r="B35" s="2">
        <v>46063</v>
      </c>
      <c r="C35" s="1" t="s">
        <v>18</v>
      </c>
      <c r="D35" s="1" t="s">
        <v>265</v>
      </c>
      <c r="E35" s="1">
        <v>2</v>
      </c>
      <c r="F35" s="83">
        <v>22602010</v>
      </c>
      <c r="G35" s="4">
        <v>1250</v>
      </c>
      <c r="H35" s="4" t="s">
        <v>232</v>
      </c>
      <c r="I35" s="88" t="s">
        <v>120</v>
      </c>
      <c r="J35" s="16" t="s">
        <v>1862</v>
      </c>
      <c r="K35" s="4">
        <v>1568</v>
      </c>
      <c r="L35" s="4">
        <v>1549</v>
      </c>
      <c r="M35" s="4">
        <v>1549</v>
      </c>
      <c r="N35" s="5">
        <v>1546</v>
      </c>
      <c r="O35" s="5">
        <v>1547</v>
      </c>
      <c r="P35" s="30">
        <v>1547.3333333333333</v>
      </c>
      <c r="Q35" s="7">
        <v>4.8</v>
      </c>
      <c r="R35" s="4">
        <v>40</v>
      </c>
      <c r="S35" s="8">
        <v>2</v>
      </c>
      <c r="T35" s="9">
        <v>169.9</v>
      </c>
      <c r="U35" s="9">
        <v>58</v>
      </c>
      <c r="V35" s="10">
        <v>111.9</v>
      </c>
      <c r="W35" s="11" t="s">
        <v>5</v>
      </c>
      <c r="X35" s="16">
        <v>58</v>
      </c>
      <c r="Y35" s="12">
        <v>2.7491999999999996</v>
      </c>
      <c r="Z35" s="7">
        <v>8.4</v>
      </c>
      <c r="AA35" s="7">
        <v>8.8000000000000007</v>
      </c>
      <c r="AB35" s="7">
        <v>67</v>
      </c>
      <c r="AC35" s="7">
        <v>71</v>
      </c>
      <c r="AD35" s="11" t="s">
        <v>6</v>
      </c>
      <c r="AE35" s="18" t="s">
        <v>72</v>
      </c>
      <c r="AF35" s="14" t="s">
        <v>1863</v>
      </c>
    </row>
    <row r="36" spans="1:32" ht="31.5" x14ac:dyDescent="0.25">
      <c r="A36" s="1">
        <v>761</v>
      </c>
      <c r="B36" s="2">
        <v>46063</v>
      </c>
      <c r="C36" s="1" t="s">
        <v>0</v>
      </c>
      <c r="D36" s="1" t="s">
        <v>9</v>
      </c>
      <c r="E36" s="1">
        <v>2</v>
      </c>
      <c r="F36" s="83">
        <v>22602010</v>
      </c>
      <c r="G36" s="4">
        <v>1250</v>
      </c>
      <c r="H36" s="4" t="s">
        <v>10</v>
      </c>
      <c r="I36" s="16" t="s">
        <v>138</v>
      </c>
      <c r="J36" s="16" t="s">
        <v>1864</v>
      </c>
      <c r="K36" s="4">
        <v>1570</v>
      </c>
      <c r="L36" s="4">
        <v>1549</v>
      </c>
      <c r="M36" s="5">
        <v>1546</v>
      </c>
      <c r="N36" s="5">
        <v>1544</v>
      </c>
      <c r="O36" s="5">
        <v>1542</v>
      </c>
      <c r="P36" s="30">
        <v>1544</v>
      </c>
      <c r="Q36" s="7">
        <v>5</v>
      </c>
      <c r="R36" s="4">
        <v>36</v>
      </c>
      <c r="S36" s="8">
        <v>38</v>
      </c>
      <c r="T36" s="9">
        <v>174</v>
      </c>
      <c r="U36" s="9">
        <v>67</v>
      </c>
      <c r="V36" s="10">
        <v>107</v>
      </c>
      <c r="W36" s="11" t="s">
        <v>5</v>
      </c>
      <c r="X36" s="16">
        <v>58</v>
      </c>
      <c r="Y36" s="12">
        <v>2.86375</v>
      </c>
      <c r="Z36" s="7">
        <v>9.4</v>
      </c>
      <c r="AA36" s="7">
        <v>10.199999999999999</v>
      </c>
      <c r="AB36" s="13">
        <v>80</v>
      </c>
      <c r="AC36" s="13">
        <v>87</v>
      </c>
      <c r="AD36" s="11" t="s">
        <v>6</v>
      </c>
      <c r="AE36" s="18" t="s">
        <v>455</v>
      </c>
      <c r="AF36" s="14" t="s">
        <v>1865</v>
      </c>
    </row>
    <row r="37" spans="1:32" ht="31.5" x14ac:dyDescent="0.25">
      <c r="A37" s="1">
        <v>775</v>
      </c>
      <c r="B37" s="2">
        <v>46064</v>
      </c>
      <c r="C37" s="1" t="s">
        <v>18</v>
      </c>
      <c r="D37" s="1" t="s">
        <v>265</v>
      </c>
      <c r="E37" s="1">
        <v>1</v>
      </c>
      <c r="F37" s="83">
        <v>12602011</v>
      </c>
      <c r="G37" s="4">
        <v>1260</v>
      </c>
      <c r="H37" s="4" t="s">
        <v>1283</v>
      </c>
      <c r="I37" s="88" t="s">
        <v>152</v>
      </c>
      <c r="J37" s="16" t="s">
        <v>1866</v>
      </c>
      <c r="K37" s="16">
        <v>1568</v>
      </c>
      <c r="L37" s="4">
        <v>1545</v>
      </c>
      <c r="M37" s="5">
        <v>1544</v>
      </c>
      <c r="N37" s="5">
        <v>1542</v>
      </c>
      <c r="O37" s="5">
        <v>1542</v>
      </c>
      <c r="P37" s="30">
        <v>1542.6666666666667</v>
      </c>
      <c r="Q37" s="7">
        <v>5</v>
      </c>
      <c r="R37" s="4">
        <v>31</v>
      </c>
      <c r="S37" s="8" t="s">
        <v>5</v>
      </c>
      <c r="T37" s="9">
        <v>160</v>
      </c>
      <c r="U37" s="9">
        <v>62</v>
      </c>
      <c r="V37" s="10">
        <v>98</v>
      </c>
      <c r="W37" s="11" t="s">
        <v>5</v>
      </c>
      <c r="X37" s="16">
        <v>58</v>
      </c>
      <c r="Y37" s="12">
        <v>2.8866600000000004</v>
      </c>
      <c r="Z37" s="7">
        <v>6.6</v>
      </c>
      <c r="AA37" s="7">
        <v>5.8</v>
      </c>
      <c r="AB37" s="13">
        <v>86</v>
      </c>
      <c r="AC37" s="13">
        <v>90</v>
      </c>
      <c r="AD37" s="11" t="s">
        <v>6</v>
      </c>
      <c r="AE37" s="18" t="s">
        <v>72</v>
      </c>
      <c r="AF37" s="14" t="s">
        <v>1867</v>
      </c>
    </row>
    <row r="38" spans="1:32" ht="31.5" x14ac:dyDescent="0.25">
      <c r="A38" s="1">
        <v>812</v>
      </c>
      <c r="B38" s="2">
        <v>46064</v>
      </c>
      <c r="C38" s="1" t="s">
        <v>264</v>
      </c>
      <c r="D38" s="1" t="s">
        <v>19</v>
      </c>
      <c r="E38" s="1">
        <v>2</v>
      </c>
      <c r="F38" s="83">
        <v>22602012</v>
      </c>
      <c r="G38" s="4">
        <v>1260</v>
      </c>
      <c r="H38" s="4" t="s">
        <v>1283</v>
      </c>
      <c r="I38" s="16" t="s">
        <v>77</v>
      </c>
      <c r="J38" s="16" t="s">
        <v>1868</v>
      </c>
      <c r="K38" s="4">
        <v>1572</v>
      </c>
      <c r="L38" s="7">
        <v>1548</v>
      </c>
      <c r="M38" s="7">
        <v>1546</v>
      </c>
      <c r="N38" s="7">
        <v>1542</v>
      </c>
      <c r="O38" s="5">
        <v>1543</v>
      </c>
      <c r="P38" s="30">
        <v>1543.6666666666667</v>
      </c>
      <c r="Q38" s="7">
        <v>5.6</v>
      </c>
      <c r="R38" s="7">
        <v>34</v>
      </c>
      <c r="S38" s="7">
        <v>36</v>
      </c>
      <c r="T38" s="7">
        <v>158.85</v>
      </c>
      <c r="U38" s="7">
        <v>62.7</v>
      </c>
      <c r="V38" s="7" t="s">
        <v>5</v>
      </c>
      <c r="W38" s="11" t="s">
        <v>5</v>
      </c>
      <c r="X38" s="16">
        <v>57</v>
      </c>
      <c r="Y38" s="12">
        <v>3.1773168000000003</v>
      </c>
      <c r="Z38" s="7">
        <v>10.5</v>
      </c>
      <c r="AA38" s="7">
        <v>9.6</v>
      </c>
      <c r="AB38" s="7">
        <v>84</v>
      </c>
      <c r="AC38" s="7">
        <v>78</v>
      </c>
      <c r="AD38" s="11" t="s">
        <v>6</v>
      </c>
      <c r="AE38" s="18" t="s">
        <v>53</v>
      </c>
      <c r="AF38" s="14" t="s">
        <v>1869</v>
      </c>
    </row>
    <row r="39" spans="1:32" ht="63" x14ac:dyDescent="0.25">
      <c r="A39" s="1">
        <v>813</v>
      </c>
      <c r="B39" s="2">
        <v>46064</v>
      </c>
      <c r="C39" s="1" t="s">
        <v>264</v>
      </c>
      <c r="D39" s="1" t="s">
        <v>19</v>
      </c>
      <c r="E39" s="1">
        <v>2</v>
      </c>
      <c r="F39" s="83">
        <v>22602012</v>
      </c>
      <c r="G39" s="4">
        <v>1260</v>
      </c>
      <c r="H39" s="4" t="s">
        <v>1283</v>
      </c>
      <c r="I39" s="16" t="s">
        <v>194</v>
      </c>
      <c r="J39" s="16" t="s">
        <v>1870</v>
      </c>
      <c r="K39" s="4">
        <v>1566</v>
      </c>
      <c r="L39" s="4">
        <v>1544</v>
      </c>
      <c r="M39" s="5">
        <v>1545</v>
      </c>
      <c r="N39" s="5">
        <v>1546</v>
      </c>
      <c r="O39" s="5" t="s">
        <v>5</v>
      </c>
      <c r="P39" s="30">
        <v>1545.5</v>
      </c>
      <c r="Q39" s="7">
        <v>5.2</v>
      </c>
      <c r="R39" s="4">
        <v>37</v>
      </c>
      <c r="S39" s="8">
        <v>30</v>
      </c>
      <c r="T39" s="8">
        <v>177.72</v>
      </c>
      <c r="U39" s="8">
        <v>64.3</v>
      </c>
      <c r="V39" s="10">
        <v>113.42</v>
      </c>
      <c r="W39" s="11" t="s">
        <v>5</v>
      </c>
      <c r="X39" s="16">
        <v>58</v>
      </c>
      <c r="Y39" s="12">
        <v>3.0021264000000003</v>
      </c>
      <c r="Z39" s="7">
        <v>10.1</v>
      </c>
      <c r="AA39" s="7">
        <v>9.9</v>
      </c>
      <c r="AB39" s="7">
        <v>88</v>
      </c>
      <c r="AC39" s="7">
        <v>87</v>
      </c>
      <c r="AD39" s="11" t="s">
        <v>6</v>
      </c>
      <c r="AE39" s="18" t="s">
        <v>455</v>
      </c>
      <c r="AF39" s="14" t="s">
        <v>1871</v>
      </c>
    </row>
    <row r="40" spans="1:32" ht="15.75" x14ac:dyDescent="0.25">
      <c r="A40" s="1">
        <v>817</v>
      </c>
      <c r="B40" s="2">
        <v>46064</v>
      </c>
      <c r="C40" s="1" t="s">
        <v>264</v>
      </c>
      <c r="D40" s="1" t="s">
        <v>19</v>
      </c>
      <c r="E40" s="1">
        <v>2</v>
      </c>
      <c r="F40" s="83">
        <v>22602012</v>
      </c>
      <c r="G40" s="4">
        <v>1240</v>
      </c>
      <c r="H40" s="4" t="s">
        <v>1283</v>
      </c>
      <c r="I40" s="16" t="s">
        <v>93</v>
      </c>
      <c r="J40" s="16" t="s">
        <v>1872</v>
      </c>
      <c r="K40" s="4">
        <v>165</v>
      </c>
      <c r="L40" s="4">
        <v>1545</v>
      </c>
      <c r="M40" s="5">
        <v>1547</v>
      </c>
      <c r="N40" s="5">
        <v>1548</v>
      </c>
      <c r="O40" s="5" t="s">
        <v>5</v>
      </c>
      <c r="P40" s="30">
        <v>1547.5</v>
      </c>
      <c r="Q40" s="7">
        <v>5.6</v>
      </c>
      <c r="R40" s="4">
        <v>32</v>
      </c>
      <c r="S40" s="8">
        <v>2</v>
      </c>
      <c r="T40" s="8">
        <v>179.22</v>
      </c>
      <c r="U40" s="8">
        <v>68</v>
      </c>
      <c r="V40" s="10">
        <v>111.22</v>
      </c>
      <c r="W40" s="11" t="s">
        <v>5</v>
      </c>
      <c r="X40" s="16">
        <v>58</v>
      </c>
      <c r="Y40" s="12">
        <v>3.1817408</v>
      </c>
      <c r="Z40" s="7">
        <v>10</v>
      </c>
      <c r="AA40" s="7">
        <v>9.8000000000000007</v>
      </c>
      <c r="AB40" s="7">
        <v>86</v>
      </c>
      <c r="AC40" s="7">
        <v>85</v>
      </c>
      <c r="AD40" s="11" t="s">
        <v>6</v>
      </c>
      <c r="AE40" s="18" t="s">
        <v>455</v>
      </c>
      <c r="AF40" s="14" t="s">
        <v>480</v>
      </c>
    </row>
    <row r="41" spans="1:32" ht="15.75" x14ac:dyDescent="0.25">
      <c r="A41" s="1">
        <v>819</v>
      </c>
      <c r="B41" s="2">
        <v>46064</v>
      </c>
      <c r="C41" s="1" t="s">
        <v>264</v>
      </c>
      <c r="D41" s="1" t="s">
        <v>19</v>
      </c>
      <c r="E41" s="1">
        <v>2</v>
      </c>
      <c r="F41" s="83">
        <v>22602012</v>
      </c>
      <c r="G41" s="4">
        <v>1240</v>
      </c>
      <c r="H41" s="4" t="s">
        <v>1283</v>
      </c>
      <c r="I41" s="16" t="s">
        <v>152</v>
      </c>
      <c r="J41" s="16" t="s">
        <v>1873</v>
      </c>
      <c r="K41" s="4">
        <v>1570</v>
      </c>
      <c r="L41" s="4">
        <v>1544</v>
      </c>
      <c r="M41" s="5">
        <v>1544</v>
      </c>
      <c r="N41" s="5">
        <v>1546</v>
      </c>
      <c r="O41" s="5" t="s">
        <v>5</v>
      </c>
      <c r="P41" s="30">
        <v>1545</v>
      </c>
      <c r="Q41" s="7">
        <v>5.6</v>
      </c>
      <c r="R41" s="4">
        <v>33</v>
      </c>
      <c r="S41" s="8" t="s">
        <v>5</v>
      </c>
      <c r="T41" s="8">
        <v>186.9</v>
      </c>
      <c r="U41" s="8">
        <v>70.2</v>
      </c>
      <c r="V41" s="10">
        <v>116.7</v>
      </c>
      <c r="W41" s="11" t="s">
        <v>5</v>
      </c>
      <c r="X41" s="16">
        <v>58</v>
      </c>
      <c r="Y41" s="12">
        <v>3.1817408</v>
      </c>
      <c r="Z41" s="7">
        <v>9</v>
      </c>
      <c r="AA41" s="7">
        <v>10.199999999999999</v>
      </c>
      <c r="AB41" s="7">
        <v>89</v>
      </c>
      <c r="AC41" s="7">
        <v>83</v>
      </c>
      <c r="AD41" s="11" t="s">
        <v>6</v>
      </c>
      <c r="AE41" s="18" t="s">
        <v>455</v>
      </c>
      <c r="AF41" s="14" t="s">
        <v>721</v>
      </c>
    </row>
    <row r="42" spans="1:32" ht="31.5" x14ac:dyDescent="0.25">
      <c r="A42" s="1">
        <v>821</v>
      </c>
      <c r="B42" s="2">
        <v>46064</v>
      </c>
      <c r="C42" s="1" t="s">
        <v>264</v>
      </c>
      <c r="D42" s="1" t="s">
        <v>19</v>
      </c>
      <c r="E42" s="1">
        <v>2</v>
      </c>
      <c r="F42" s="83">
        <v>22602012</v>
      </c>
      <c r="G42" s="4">
        <v>1240</v>
      </c>
      <c r="H42" s="4" t="s">
        <v>1283</v>
      </c>
      <c r="I42" s="16" t="s">
        <v>182</v>
      </c>
      <c r="J42" s="16" t="s">
        <v>1874</v>
      </c>
      <c r="K42" s="4">
        <v>1564</v>
      </c>
      <c r="L42" s="4">
        <v>1543</v>
      </c>
      <c r="M42" s="5">
        <v>1543</v>
      </c>
      <c r="N42" s="5">
        <v>1543</v>
      </c>
      <c r="O42" s="5" t="s">
        <v>5</v>
      </c>
      <c r="P42" s="30">
        <v>1543</v>
      </c>
      <c r="Q42" s="7">
        <v>5.2</v>
      </c>
      <c r="R42" s="4">
        <v>33</v>
      </c>
      <c r="S42" s="125" t="s">
        <v>5</v>
      </c>
      <c r="T42" s="8">
        <v>175.57</v>
      </c>
      <c r="U42" s="8">
        <v>68</v>
      </c>
      <c r="V42" s="10">
        <v>107.57</v>
      </c>
      <c r="W42" s="11" t="s">
        <v>5</v>
      </c>
      <c r="X42" s="16">
        <v>58</v>
      </c>
      <c r="Y42" s="12">
        <v>2.9544736</v>
      </c>
      <c r="Z42" s="7">
        <v>10.8</v>
      </c>
      <c r="AA42" s="7">
        <v>10.1</v>
      </c>
      <c r="AB42" s="7">
        <v>91</v>
      </c>
      <c r="AC42" s="7">
        <v>93</v>
      </c>
      <c r="AD42" s="11" t="s">
        <v>6</v>
      </c>
      <c r="AE42" s="18" t="s">
        <v>455</v>
      </c>
      <c r="AF42" s="14" t="s">
        <v>1875</v>
      </c>
    </row>
    <row r="43" spans="1:32" ht="15.75" x14ac:dyDescent="0.25">
      <c r="A43" s="1">
        <v>822</v>
      </c>
      <c r="B43" s="2">
        <v>46064</v>
      </c>
      <c r="C43" s="1" t="s">
        <v>264</v>
      </c>
      <c r="D43" s="1" t="s">
        <v>19</v>
      </c>
      <c r="E43" s="1">
        <v>2</v>
      </c>
      <c r="F43" s="83">
        <v>22602012</v>
      </c>
      <c r="G43" s="4">
        <v>1240</v>
      </c>
      <c r="H43" s="4" t="s">
        <v>1283</v>
      </c>
      <c r="I43" s="16" t="s">
        <v>229</v>
      </c>
      <c r="J43" s="16" t="s">
        <v>1876</v>
      </c>
      <c r="K43" s="4">
        <v>1569</v>
      </c>
      <c r="L43" s="5">
        <v>1537</v>
      </c>
      <c r="M43" s="5">
        <v>1540</v>
      </c>
      <c r="N43" s="5">
        <v>1541</v>
      </c>
      <c r="O43" s="5">
        <v>1539</v>
      </c>
      <c r="P43" s="30">
        <v>1540</v>
      </c>
      <c r="Q43" s="7">
        <v>5.6</v>
      </c>
      <c r="R43" s="4">
        <v>37</v>
      </c>
      <c r="S43" s="8" t="s">
        <v>5</v>
      </c>
      <c r="T43" s="8">
        <v>175</v>
      </c>
      <c r="U43" s="8">
        <v>162</v>
      </c>
      <c r="V43" s="10">
        <v>13</v>
      </c>
      <c r="W43" s="11" t="s">
        <v>5</v>
      </c>
      <c r="X43" s="16">
        <v>58</v>
      </c>
      <c r="Y43" s="12">
        <v>3.1817408</v>
      </c>
      <c r="Z43" s="7">
        <v>10.1</v>
      </c>
      <c r="AA43" s="7">
        <v>9.6</v>
      </c>
      <c r="AB43" s="7">
        <v>89</v>
      </c>
      <c r="AC43" s="7">
        <v>86</v>
      </c>
      <c r="AD43" s="11" t="s">
        <v>6</v>
      </c>
      <c r="AE43" s="18" t="s">
        <v>455</v>
      </c>
      <c r="AF43" s="14" t="s">
        <v>418</v>
      </c>
    </row>
    <row r="44" spans="1:32" ht="15.75" x14ac:dyDescent="0.25">
      <c r="A44" s="1">
        <v>843</v>
      </c>
      <c r="B44" s="2">
        <v>46064</v>
      </c>
      <c r="C44" s="1" t="s">
        <v>0</v>
      </c>
      <c r="D44" s="1" t="s">
        <v>9</v>
      </c>
      <c r="E44" s="1">
        <v>2</v>
      </c>
      <c r="F44" s="83">
        <v>22602012</v>
      </c>
      <c r="G44" s="4">
        <v>1240</v>
      </c>
      <c r="H44" s="4" t="s">
        <v>10</v>
      </c>
      <c r="I44" s="16" t="s">
        <v>113</v>
      </c>
      <c r="J44" s="16" t="s">
        <v>1877</v>
      </c>
      <c r="K44" s="4">
        <v>1570</v>
      </c>
      <c r="L44" s="4">
        <v>1545</v>
      </c>
      <c r="M44" s="5">
        <v>1546</v>
      </c>
      <c r="N44" s="5">
        <v>1546</v>
      </c>
      <c r="O44" s="5">
        <v>1544</v>
      </c>
      <c r="P44" s="30">
        <v>1545.3333333333333</v>
      </c>
      <c r="Q44" s="7">
        <v>4.5</v>
      </c>
      <c r="R44" s="4">
        <v>40</v>
      </c>
      <c r="S44" s="8" t="s">
        <v>5</v>
      </c>
      <c r="T44" s="9">
        <v>181</v>
      </c>
      <c r="U44" s="9">
        <v>68</v>
      </c>
      <c r="V44" s="10">
        <v>113</v>
      </c>
      <c r="W44" s="11" t="s">
        <v>5</v>
      </c>
      <c r="X44" s="16">
        <v>58</v>
      </c>
      <c r="Y44" s="12">
        <v>2.556756</v>
      </c>
      <c r="Z44" s="7">
        <v>9.5</v>
      </c>
      <c r="AA44" s="7">
        <v>7</v>
      </c>
      <c r="AB44" s="13">
        <v>63</v>
      </c>
      <c r="AC44" s="13">
        <v>84</v>
      </c>
      <c r="AD44" s="11" t="s">
        <v>6</v>
      </c>
      <c r="AE44" s="18" t="s">
        <v>455</v>
      </c>
      <c r="AF44" s="14" t="s">
        <v>1878</v>
      </c>
    </row>
    <row r="45" spans="1:32" ht="47.25" x14ac:dyDescent="0.25">
      <c r="A45" s="1">
        <v>844</v>
      </c>
      <c r="B45" s="2">
        <v>46064</v>
      </c>
      <c r="C45" s="1" t="s">
        <v>0</v>
      </c>
      <c r="D45" s="1" t="s">
        <v>9</v>
      </c>
      <c r="E45" s="1">
        <v>2</v>
      </c>
      <c r="F45" s="83">
        <v>22602012</v>
      </c>
      <c r="G45" s="4">
        <v>1240</v>
      </c>
      <c r="H45" s="4" t="s">
        <v>10</v>
      </c>
      <c r="I45" s="16" t="s">
        <v>148</v>
      </c>
      <c r="J45" s="16" t="s">
        <v>1879</v>
      </c>
      <c r="K45" s="4">
        <v>1567</v>
      </c>
      <c r="L45" s="4">
        <v>1537</v>
      </c>
      <c r="M45" s="5">
        <v>1538</v>
      </c>
      <c r="N45" s="5">
        <v>1537</v>
      </c>
      <c r="O45" s="5">
        <v>1536</v>
      </c>
      <c r="P45" s="30">
        <v>1537</v>
      </c>
      <c r="Q45" s="7">
        <v>4.5</v>
      </c>
      <c r="R45" s="4">
        <v>32</v>
      </c>
      <c r="S45" s="8" t="s">
        <v>5</v>
      </c>
      <c r="T45" s="9">
        <v>165</v>
      </c>
      <c r="U45" s="9">
        <v>80</v>
      </c>
      <c r="V45" s="10">
        <v>85</v>
      </c>
      <c r="W45" s="11" t="s">
        <v>5</v>
      </c>
      <c r="X45" s="16">
        <v>58</v>
      </c>
      <c r="Y45" s="12">
        <v>2.556756</v>
      </c>
      <c r="Z45" s="7">
        <v>9.5</v>
      </c>
      <c r="AA45" s="7">
        <v>9.6999999999999993</v>
      </c>
      <c r="AB45" s="13">
        <v>87</v>
      </c>
      <c r="AC45" s="13">
        <v>89</v>
      </c>
      <c r="AD45" s="11" t="s">
        <v>6</v>
      </c>
      <c r="AE45" s="18" t="s">
        <v>455</v>
      </c>
      <c r="AF45" s="14" t="s">
        <v>1880</v>
      </c>
    </row>
    <row r="46" spans="1:32" ht="15.75" x14ac:dyDescent="0.25">
      <c r="A46" s="1">
        <v>848</v>
      </c>
      <c r="B46" s="2">
        <v>46064</v>
      </c>
      <c r="C46" s="1" t="s">
        <v>0</v>
      </c>
      <c r="D46" s="1" t="s">
        <v>9</v>
      </c>
      <c r="E46" s="1">
        <v>2</v>
      </c>
      <c r="F46" s="83">
        <v>22602012</v>
      </c>
      <c r="G46" s="4">
        <v>1240</v>
      </c>
      <c r="H46" s="4" t="s">
        <v>10</v>
      </c>
      <c r="I46" s="16" t="s">
        <v>331</v>
      </c>
      <c r="J46" s="16" t="s">
        <v>1881</v>
      </c>
      <c r="K46" s="4">
        <v>1565</v>
      </c>
      <c r="L46" s="4">
        <v>1548</v>
      </c>
      <c r="M46" s="5">
        <v>1544</v>
      </c>
      <c r="N46" s="5">
        <v>1544</v>
      </c>
      <c r="O46" s="5" t="s">
        <v>5</v>
      </c>
      <c r="P46" s="30">
        <v>1544</v>
      </c>
      <c r="Q46" s="7">
        <v>5.2</v>
      </c>
      <c r="R46" s="4">
        <v>35</v>
      </c>
      <c r="S46" s="8" t="s">
        <v>5</v>
      </c>
      <c r="T46" s="8">
        <v>166.3</v>
      </c>
      <c r="U46" s="8">
        <v>62</v>
      </c>
      <c r="V46" s="10">
        <v>104.30000000000001</v>
      </c>
      <c r="W46" s="11" t="s">
        <v>5</v>
      </c>
      <c r="X46" s="16">
        <v>58</v>
      </c>
      <c r="Y46" s="12">
        <v>2.9544736</v>
      </c>
      <c r="Z46" s="7">
        <v>9</v>
      </c>
      <c r="AA46" s="7">
        <v>9.9</v>
      </c>
      <c r="AB46" s="13">
        <v>94</v>
      </c>
      <c r="AC46" s="13">
        <v>94</v>
      </c>
      <c r="AD46" s="11" t="s">
        <v>6</v>
      </c>
      <c r="AE46" s="18" t="s">
        <v>455</v>
      </c>
      <c r="AF46" s="14" t="s">
        <v>480</v>
      </c>
    </row>
    <row r="47" spans="1:32" ht="15.75" x14ac:dyDescent="0.25">
      <c r="A47" s="1">
        <v>868</v>
      </c>
      <c r="B47" s="2">
        <v>46065</v>
      </c>
      <c r="C47" s="1" t="s">
        <v>18</v>
      </c>
      <c r="D47" s="1" t="s">
        <v>265</v>
      </c>
      <c r="E47" s="1">
        <v>2</v>
      </c>
      <c r="F47" s="83">
        <v>22602012</v>
      </c>
      <c r="G47" s="4">
        <v>1230</v>
      </c>
      <c r="H47" s="4" t="s">
        <v>10</v>
      </c>
      <c r="I47" s="88" t="s">
        <v>269</v>
      </c>
      <c r="J47" s="16" t="s">
        <v>1882</v>
      </c>
      <c r="K47" s="4">
        <v>1566</v>
      </c>
      <c r="L47" s="4">
        <v>1548</v>
      </c>
      <c r="M47" s="4">
        <v>1548</v>
      </c>
      <c r="N47" s="5">
        <v>1548</v>
      </c>
      <c r="O47" s="5" t="s">
        <v>5</v>
      </c>
      <c r="P47" s="30">
        <v>1548</v>
      </c>
      <c r="Q47" s="7">
        <v>5.2</v>
      </c>
      <c r="R47" s="4">
        <v>36</v>
      </c>
      <c r="S47" s="8">
        <v>14</v>
      </c>
      <c r="T47" s="9">
        <v>168.6</v>
      </c>
      <c r="U47" s="9">
        <v>60.6</v>
      </c>
      <c r="V47" s="10">
        <v>108</v>
      </c>
      <c r="W47" s="11" t="s">
        <v>5</v>
      </c>
      <c r="X47" s="16">
        <v>58</v>
      </c>
      <c r="Y47" s="12">
        <v>2.9306472000000001</v>
      </c>
      <c r="Z47" s="7">
        <v>10.4</v>
      </c>
      <c r="AA47" s="7">
        <v>10</v>
      </c>
      <c r="AB47" s="7">
        <v>93</v>
      </c>
      <c r="AC47" s="7">
        <v>89</v>
      </c>
      <c r="AD47" s="11" t="s">
        <v>6</v>
      </c>
      <c r="AE47" s="18" t="s">
        <v>455</v>
      </c>
      <c r="AF47" s="14" t="s">
        <v>480</v>
      </c>
    </row>
    <row r="48" spans="1:32" ht="15.75" x14ac:dyDescent="0.25">
      <c r="A48" s="1">
        <v>872</v>
      </c>
      <c r="B48" s="2">
        <v>46065</v>
      </c>
      <c r="C48" s="1" t="s">
        <v>18</v>
      </c>
      <c r="D48" s="1" t="s">
        <v>265</v>
      </c>
      <c r="E48" s="1">
        <v>2</v>
      </c>
      <c r="F48" s="83">
        <v>22602012</v>
      </c>
      <c r="G48" s="4">
        <v>1230</v>
      </c>
      <c r="H48" s="4" t="s">
        <v>10</v>
      </c>
      <c r="I48" s="88" t="s">
        <v>303</v>
      </c>
      <c r="J48" s="16" t="s">
        <v>1883</v>
      </c>
      <c r="K48" s="4">
        <v>1568</v>
      </c>
      <c r="L48" s="4">
        <v>1549</v>
      </c>
      <c r="M48" s="4">
        <v>1547</v>
      </c>
      <c r="N48" s="5">
        <v>1549</v>
      </c>
      <c r="O48" s="5" t="s">
        <v>5</v>
      </c>
      <c r="P48" s="30">
        <v>1548</v>
      </c>
      <c r="Q48" s="7">
        <v>4.5</v>
      </c>
      <c r="R48" s="4">
        <v>34</v>
      </c>
      <c r="S48" s="8">
        <v>22</v>
      </c>
      <c r="T48" s="9">
        <v>151</v>
      </c>
      <c r="U48" s="9">
        <v>61</v>
      </c>
      <c r="V48" s="10">
        <v>90</v>
      </c>
      <c r="W48" s="11" t="s">
        <v>5</v>
      </c>
      <c r="X48" s="16">
        <v>58</v>
      </c>
      <c r="Y48" s="12">
        <v>2.5361370000000001</v>
      </c>
      <c r="Z48" s="7">
        <v>9.8000000000000007</v>
      </c>
      <c r="AA48" s="7">
        <v>9.9</v>
      </c>
      <c r="AB48" s="7">
        <v>87</v>
      </c>
      <c r="AC48" s="7">
        <v>86</v>
      </c>
      <c r="AD48" s="11" t="s">
        <v>6</v>
      </c>
      <c r="AE48" s="18" t="s">
        <v>455</v>
      </c>
      <c r="AF48" s="14" t="s">
        <v>486</v>
      </c>
    </row>
    <row r="49" spans="1:32" ht="15.75" x14ac:dyDescent="0.25">
      <c r="A49" s="1">
        <v>875</v>
      </c>
      <c r="B49" s="2">
        <v>46065</v>
      </c>
      <c r="C49" s="1" t="s">
        <v>18</v>
      </c>
      <c r="D49" s="1" t="s">
        <v>265</v>
      </c>
      <c r="E49" s="1">
        <v>2</v>
      </c>
      <c r="F49" s="83">
        <v>22602012</v>
      </c>
      <c r="G49" s="4">
        <v>1230</v>
      </c>
      <c r="H49" s="4" t="s">
        <v>10</v>
      </c>
      <c r="I49" s="88" t="s">
        <v>138</v>
      </c>
      <c r="J49" s="69" t="s">
        <v>1884</v>
      </c>
      <c r="K49" s="99">
        <v>1569</v>
      </c>
      <c r="L49" s="4">
        <v>1543</v>
      </c>
      <c r="M49" s="4">
        <v>1543</v>
      </c>
      <c r="N49" s="5">
        <v>1543</v>
      </c>
      <c r="O49" s="5" t="s">
        <v>5</v>
      </c>
      <c r="P49" s="30">
        <v>1543</v>
      </c>
      <c r="Q49" s="7">
        <v>5.6</v>
      </c>
      <c r="R49" s="4">
        <v>36</v>
      </c>
      <c r="S49" s="8">
        <v>25</v>
      </c>
      <c r="T49" s="9">
        <v>184.1</v>
      </c>
      <c r="U49" s="9">
        <v>79</v>
      </c>
      <c r="V49" s="10">
        <v>105.1</v>
      </c>
      <c r="W49" s="11" t="s">
        <v>5</v>
      </c>
      <c r="X49" s="16">
        <v>58</v>
      </c>
      <c r="Y49" s="12">
        <v>3.1560815999999998</v>
      </c>
      <c r="Z49" s="7">
        <v>10.5</v>
      </c>
      <c r="AA49" s="7">
        <v>10.6</v>
      </c>
      <c r="AB49" s="13">
        <v>90</v>
      </c>
      <c r="AC49" s="13">
        <v>90</v>
      </c>
      <c r="AD49" s="11" t="s">
        <v>6</v>
      </c>
      <c r="AE49" s="18" t="s">
        <v>455</v>
      </c>
      <c r="AF49" s="14" t="s">
        <v>397</v>
      </c>
    </row>
    <row r="50" spans="1:32" ht="15.75" x14ac:dyDescent="0.25">
      <c r="A50" s="1">
        <v>904</v>
      </c>
      <c r="B50" s="2">
        <v>46065</v>
      </c>
      <c r="C50" s="1" t="s">
        <v>0</v>
      </c>
      <c r="D50" s="1" t="s">
        <v>9</v>
      </c>
      <c r="E50" s="1">
        <v>1</v>
      </c>
      <c r="F50" s="83">
        <v>12602012</v>
      </c>
      <c r="G50" s="4">
        <v>1230</v>
      </c>
      <c r="H50" s="4" t="s">
        <v>10</v>
      </c>
      <c r="I50" s="16" t="s">
        <v>303</v>
      </c>
      <c r="J50" s="16" t="s">
        <v>1885</v>
      </c>
      <c r="K50" s="4">
        <v>1574</v>
      </c>
      <c r="L50" s="5">
        <v>1550</v>
      </c>
      <c r="M50" s="5">
        <v>1551</v>
      </c>
      <c r="N50" s="5">
        <v>1551</v>
      </c>
      <c r="O50" s="5">
        <v>1550</v>
      </c>
      <c r="P50" s="30">
        <v>1550.6666666666667</v>
      </c>
      <c r="Q50" s="7">
        <v>5</v>
      </c>
      <c r="R50" s="4">
        <v>36</v>
      </c>
      <c r="S50" s="8">
        <v>18</v>
      </c>
      <c r="T50" s="9">
        <v>158.30000000000001</v>
      </c>
      <c r="U50" s="9">
        <v>59</v>
      </c>
      <c r="V50" s="10">
        <v>99.300000000000011</v>
      </c>
      <c r="W50" s="11" t="s">
        <v>5</v>
      </c>
      <c r="X50" s="16">
        <v>58</v>
      </c>
      <c r="Y50" s="12">
        <v>2.81793</v>
      </c>
      <c r="Z50" s="7">
        <v>11</v>
      </c>
      <c r="AA50" s="7">
        <v>11.9</v>
      </c>
      <c r="AB50" s="13">
        <v>93</v>
      </c>
      <c r="AC50" s="13">
        <v>95</v>
      </c>
      <c r="AD50" s="11" t="s">
        <v>6</v>
      </c>
      <c r="AE50" s="18" t="s">
        <v>53</v>
      </c>
      <c r="AF50" s="14" t="s">
        <v>397</v>
      </c>
    </row>
    <row r="51" spans="1:32" ht="15.75" x14ac:dyDescent="0.25">
      <c r="A51" s="1">
        <v>917</v>
      </c>
      <c r="B51" s="2">
        <v>46065</v>
      </c>
      <c r="C51" s="1" t="s">
        <v>0</v>
      </c>
      <c r="D51" s="1" t="s">
        <v>9</v>
      </c>
      <c r="E51" s="1">
        <v>2</v>
      </c>
      <c r="F51" s="83">
        <v>22602013</v>
      </c>
      <c r="G51" s="4">
        <v>1230</v>
      </c>
      <c r="H51" s="4" t="s">
        <v>10</v>
      </c>
      <c r="I51" s="16" t="s">
        <v>122</v>
      </c>
      <c r="J51" s="16" t="s">
        <v>1886</v>
      </c>
      <c r="K51" s="4">
        <v>1572</v>
      </c>
      <c r="L51" s="5">
        <v>1551</v>
      </c>
      <c r="M51" s="5">
        <v>1550</v>
      </c>
      <c r="N51" s="5">
        <v>1550</v>
      </c>
      <c r="O51" s="5">
        <v>1550</v>
      </c>
      <c r="P51" s="30">
        <v>1550</v>
      </c>
      <c r="Q51" s="7">
        <v>5.4</v>
      </c>
      <c r="R51" s="4">
        <v>35</v>
      </c>
      <c r="S51" s="8">
        <v>32</v>
      </c>
      <c r="T51" s="9">
        <v>166</v>
      </c>
      <c r="U51" s="9">
        <v>59</v>
      </c>
      <c r="V51" s="10">
        <v>107</v>
      </c>
      <c r="W51" s="11" t="s">
        <v>5</v>
      </c>
      <c r="X51" s="16">
        <v>58</v>
      </c>
      <c r="Y51" s="12">
        <v>3.0433644000000002</v>
      </c>
      <c r="Z51" s="7">
        <v>10.1</v>
      </c>
      <c r="AA51" s="7">
        <v>9.8000000000000007</v>
      </c>
      <c r="AB51" s="13">
        <v>87</v>
      </c>
      <c r="AC51" s="13">
        <v>85</v>
      </c>
      <c r="AD51" s="11" t="s">
        <v>6</v>
      </c>
      <c r="AE51" s="18" t="s">
        <v>455</v>
      </c>
      <c r="AF51" s="14" t="s">
        <v>418</v>
      </c>
    </row>
    <row r="52" spans="1:32" ht="31.5" x14ac:dyDescent="0.25">
      <c r="A52" s="1">
        <v>931</v>
      </c>
      <c r="B52" s="2">
        <v>46065</v>
      </c>
      <c r="C52" s="1" t="s">
        <v>0</v>
      </c>
      <c r="D52" s="1" t="s">
        <v>9</v>
      </c>
      <c r="E52" s="1">
        <v>2</v>
      </c>
      <c r="F52" s="83">
        <v>22602013</v>
      </c>
      <c r="G52" s="4">
        <v>1260</v>
      </c>
      <c r="H52" s="4" t="s">
        <v>1159</v>
      </c>
      <c r="I52" s="16" t="s">
        <v>80</v>
      </c>
      <c r="J52" s="16" t="s">
        <v>1887</v>
      </c>
      <c r="K52" s="4">
        <v>1570</v>
      </c>
      <c r="L52" s="4">
        <v>1544</v>
      </c>
      <c r="M52" s="5">
        <v>1543</v>
      </c>
      <c r="N52" s="5">
        <v>1543</v>
      </c>
      <c r="O52" s="5" t="s">
        <v>5</v>
      </c>
      <c r="P52" s="30">
        <v>1543</v>
      </c>
      <c r="Q52" s="7">
        <v>5.2</v>
      </c>
      <c r="R52" s="4">
        <v>35</v>
      </c>
      <c r="S52" s="8">
        <v>34</v>
      </c>
      <c r="T52" s="8">
        <v>163.19999999999999</v>
      </c>
      <c r="U52" s="8">
        <v>63</v>
      </c>
      <c r="V52" s="10">
        <v>100.19999999999999</v>
      </c>
      <c r="W52" s="11" t="s">
        <v>5</v>
      </c>
      <c r="X52" s="16">
        <v>58</v>
      </c>
      <c r="Y52" s="12">
        <v>3.0021264000000003</v>
      </c>
      <c r="Z52" s="7">
        <v>8.6</v>
      </c>
      <c r="AA52" s="7">
        <v>9.6999999999999993</v>
      </c>
      <c r="AB52" s="13">
        <v>82</v>
      </c>
      <c r="AC52" s="13">
        <v>79</v>
      </c>
      <c r="AD52" s="11" t="s">
        <v>6</v>
      </c>
      <c r="AE52" s="18" t="s">
        <v>455</v>
      </c>
      <c r="AF52" s="14" t="s">
        <v>1888</v>
      </c>
    </row>
    <row r="53" spans="1:32" ht="15.75" x14ac:dyDescent="0.25">
      <c r="A53" s="1">
        <v>951</v>
      </c>
      <c r="B53" s="2">
        <v>46066</v>
      </c>
      <c r="C53" s="1" t="s">
        <v>18</v>
      </c>
      <c r="D53" s="1" t="s">
        <v>265</v>
      </c>
      <c r="E53" s="1">
        <v>2</v>
      </c>
      <c r="F53" s="83">
        <v>22602013</v>
      </c>
      <c r="G53" s="4">
        <v>1255</v>
      </c>
      <c r="H53" s="4" t="s">
        <v>55</v>
      </c>
      <c r="I53" s="88" t="s">
        <v>15</v>
      </c>
      <c r="J53" s="16" t="s">
        <v>1889</v>
      </c>
      <c r="K53" s="4">
        <v>1567</v>
      </c>
      <c r="L53" s="4">
        <v>1541</v>
      </c>
      <c r="M53" s="4">
        <v>1541</v>
      </c>
      <c r="N53" s="5">
        <v>1543</v>
      </c>
      <c r="O53" s="5">
        <v>1543</v>
      </c>
      <c r="P53" s="30">
        <v>1542.3333333333333</v>
      </c>
      <c r="Q53" s="7">
        <v>5.4</v>
      </c>
      <c r="R53" s="4">
        <v>33</v>
      </c>
      <c r="S53" s="8" t="s">
        <v>5</v>
      </c>
      <c r="T53" s="9">
        <v>180</v>
      </c>
      <c r="U53" s="9">
        <v>66</v>
      </c>
      <c r="V53" s="10">
        <v>114</v>
      </c>
      <c r="W53" s="11" t="s">
        <v>5</v>
      </c>
      <c r="X53" s="16">
        <v>56</v>
      </c>
      <c r="Y53" s="12">
        <v>2.9981448000000004</v>
      </c>
      <c r="Z53" s="7">
        <v>9.8000000000000007</v>
      </c>
      <c r="AA53" s="7">
        <v>9.8000000000000007</v>
      </c>
      <c r="AB53" s="7">
        <v>93</v>
      </c>
      <c r="AC53" s="7">
        <v>87</v>
      </c>
      <c r="AD53" s="11" t="s">
        <v>6</v>
      </c>
      <c r="AE53" s="40" t="s">
        <v>455</v>
      </c>
      <c r="AF53" s="14" t="s">
        <v>706</v>
      </c>
    </row>
    <row r="54" spans="1:32" ht="15.75" x14ac:dyDescent="0.25">
      <c r="A54" s="1">
        <v>954</v>
      </c>
      <c r="B54" s="2">
        <v>46066</v>
      </c>
      <c r="C54" s="1" t="s">
        <v>18</v>
      </c>
      <c r="D54" s="1" t="s">
        <v>265</v>
      </c>
      <c r="E54" s="1">
        <v>2</v>
      </c>
      <c r="F54" s="83">
        <v>22602013</v>
      </c>
      <c r="G54" s="4">
        <v>1255</v>
      </c>
      <c r="H54" s="4" t="s">
        <v>55</v>
      </c>
      <c r="I54" s="88" t="s">
        <v>277</v>
      </c>
      <c r="J54" s="16" t="s">
        <v>1890</v>
      </c>
      <c r="K54" s="4">
        <v>1570</v>
      </c>
      <c r="L54" s="4">
        <v>1548</v>
      </c>
      <c r="M54" s="4">
        <v>1549</v>
      </c>
      <c r="N54" s="5">
        <v>1548</v>
      </c>
      <c r="O54" s="5">
        <v>1548</v>
      </c>
      <c r="P54" s="30">
        <v>1548.3333333333333</v>
      </c>
      <c r="Q54" s="7">
        <v>4.8</v>
      </c>
      <c r="R54" s="4">
        <v>36</v>
      </c>
      <c r="S54" s="8" t="s">
        <v>5</v>
      </c>
      <c r="T54" s="9">
        <v>158</v>
      </c>
      <c r="U54" s="9">
        <v>61</v>
      </c>
      <c r="V54" s="10">
        <v>97</v>
      </c>
      <c r="W54" s="11" t="s">
        <v>5</v>
      </c>
      <c r="X54" s="16">
        <v>58</v>
      </c>
      <c r="Y54" s="12">
        <v>2.7601968000000001</v>
      </c>
      <c r="Z54" s="7">
        <v>9.5</v>
      </c>
      <c r="AA54" s="7">
        <v>9.5</v>
      </c>
      <c r="AB54" s="7">
        <v>85</v>
      </c>
      <c r="AC54" s="7">
        <v>84</v>
      </c>
      <c r="AD54" s="11" t="s">
        <v>6</v>
      </c>
      <c r="AE54" s="40" t="s">
        <v>455</v>
      </c>
      <c r="AF54" s="14" t="s">
        <v>418</v>
      </c>
    </row>
    <row r="55" spans="1:32" ht="15.75" x14ac:dyDescent="0.25">
      <c r="A55" s="1">
        <v>970</v>
      </c>
      <c r="B55" s="2">
        <v>46066</v>
      </c>
      <c r="C55" s="1" t="s">
        <v>264</v>
      </c>
      <c r="D55" s="1" t="s">
        <v>258</v>
      </c>
      <c r="E55" s="1">
        <v>1</v>
      </c>
      <c r="F55" s="83">
        <v>12602013</v>
      </c>
      <c r="G55" s="4">
        <v>1260</v>
      </c>
      <c r="H55" s="4" t="s">
        <v>55</v>
      </c>
      <c r="I55" s="88" t="s">
        <v>120</v>
      </c>
      <c r="J55" s="69" t="s">
        <v>1891</v>
      </c>
      <c r="K55" s="4">
        <v>1568</v>
      </c>
      <c r="L55" s="4">
        <v>1547</v>
      </c>
      <c r="M55" s="5">
        <v>1548</v>
      </c>
      <c r="N55" s="5">
        <v>1548</v>
      </c>
      <c r="O55" s="5">
        <v>1549</v>
      </c>
      <c r="P55" s="30">
        <v>1548.3333333333333</v>
      </c>
      <c r="Q55" s="7">
        <v>5.4</v>
      </c>
      <c r="R55" s="4">
        <v>32</v>
      </c>
      <c r="S55" s="8" t="s">
        <v>5</v>
      </c>
      <c r="T55" s="9">
        <v>157.5</v>
      </c>
      <c r="U55" s="9">
        <v>59.7</v>
      </c>
      <c r="V55" s="10">
        <v>97.8</v>
      </c>
      <c r="W55" s="11" t="s">
        <v>5</v>
      </c>
      <c r="X55" s="16">
        <v>58</v>
      </c>
      <c r="Y55" s="12">
        <v>3.1175928000000006</v>
      </c>
      <c r="Z55" s="7">
        <v>10.8</v>
      </c>
      <c r="AA55" s="7">
        <v>12.5</v>
      </c>
      <c r="AB55" s="13">
        <v>90</v>
      </c>
      <c r="AC55" s="13">
        <v>95</v>
      </c>
      <c r="AD55" s="11" t="s">
        <v>6</v>
      </c>
      <c r="AE55" s="18" t="s">
        <v>53</v>
      </c>
      <c r="AF55" s="14" t="s">
        <v>397</v>
      </c>
    </row>
    <row r="56" spans="1:32" ht="31.5" x14ac:dyDescent="0.25">
      <c r="A56" s="1">
        <v>973</v>
      </c>
      <c r="B56" s="2">
        <v>46066</v>
      </c>
      <c r="C56" s="1" t="s">
        <v>264</v>
      </c>
      <c r="D56" s="1" t="s">
        <v>258</v>
      </c>
      <c r="E56" s="1">
        <v>1</v>
      </c>
      <c r="F56" s="83">
        <v>12602013</v>
      </c>
      <c r="G56" s="4">
        <v>1260</v>
      </c>
      <c r="H56" s="4" t="s">
        <v>55</v>
      </c>
      <c r="I56" s="88" t="s">
        <v>261</v>
      </c>
      <c r="J56" s="16" t="s">
        <v>1892</v>
      </c>
      <c r="K56" s="4">
        <v>1570</v>
      </c>
      <c r="L56" s="4">
        <v>1543</v>
      </c>
      <c r="M56" s="5">
        <v>1542</v>
      </c>
      <c r="N56" s="5">
        <v>1547</v>
      </c>
      <c r="O56" s="5">
        <v>1547</v>
      </c>
      <c r="P56" s="30">
        <v>1545.3333333333333</v>
      </c>
      <c r="Q56" s="7">
        <v>5.3</v>
      </c>
      <c r="R56" s="4">
        <v>35</v>
      </c>
      <c r="S56" s="8" t="s">
        <v>5</v>
      </c>
      <c r="T56" s="8">
        <v>162</v>
      </c>
      <c r="U56" s="8">
        <v>60</v>
      </c>
      <c r="V56" s="10">
        <v>102</v>
      </c>
      <c r="W56" s="11" t="s">
        <v>5</v>
      </c>
      <c r="X56" s="16">
        <v>58</v>
      </c>
      <c r="Y56" s="12">
        <v>3.0598596000000002</v>
      </c>
      <c r="Z56" s="7">
        <v>10.8</v>
      </c>
      <c r="AA56" s="7">
        <v>10.5</v>
      </c>
      <c r="AB56" s="7">
        <v>90</v>
      </c>
      <c r="AC56" s="7">
        <v>94</v>
      </c>
      <c r="AD56" s="11" t="s">
        <v>6</v>
      </c>
      <c r="AE56" s="18" t="s">
        <v>53</v>
      </c>
      <c r="AF56" s="14" t="s">
        <v>1893</v>
      </c>
    </row>
    <row r="57" spans="1:32" ht="31.5" x14ac:dyDescent="0.25">
      <c r="A57" s="1">
        <v>985</v>
      </c>
      <c r="B57" s="2">
        <v>46066</v>
      </c>
      <c r="C57" s="1" t="s">
        <v>0</v>
      </c>
      <c r="D57" s="1" t="s">
        <v>9</v>
      </c>
      <c r="E57" s="1">
        <v>1</v>
      </c>
      <c r="F57" s="83">
        <v>12602013</v>
      </c>
      <c r="G57" s="4">
        <v>1260</v>
      </c>
      <c r="H57" s="4" t="s">
        <v>55</v>
      </c>
      <c r="I57" s="88" t="s">
        <v>148</v>
      </c>
      <c r="J57" s="16" t="s">
        <v>1894</v>
      </c>
      <c r="K57" s="4">
        <v>1567</v>
      </c>
      <c r="L57" s="5">
        <v>1547</v>
      </c>
      <c r="M57" s="5">
        <v>1547</v>
      </c>
      <c r="N57" s="5">
        <v>1547</v>
      </c>
      <c r="O57" s="5">
        <v>1543</v>
      </c>
      <c r="P57" s="30">
        <v>1545.6666666666667</v>
      </c>
      <c r="Q57" s="7">
        <v>5.3</v>
      </c>
      <c r="R57" s="4">
        <v>36</v>
      </c>
      <c r="S57" s="8" t="s">
        <v>5</v>
      </c>
      <c r="T57" s="8" t="s">
        <v>5</v>
      </c>
      <c r="U57" s="8" t="s">
        <v>5</v>
      </c>
      <c r="V57" s="9" t="s">
        <v>5</v>
      </c>
      <c r="W57" s="11" t="s">
        <v>5</v>
      </c>
      <c r="X57" s="16">
        <v>58</v>
      </c>
      <c r="Y57" s="12">
        <v>3.0598596000000002</v>
      </c>
      <c r="Z57" s="7">
        <v>10</v>
      </c>
      <c r="AA57" s="7">
        <v>10.5</v>
      </c>
      <c r="AB57" s="7">
        <v>86</v>
      </c>
      <c r="AC57" s="7">
        <v>91</v>
      </c>
      <c r="AD57" s="11" t="s">
        <v>6</v>
      </c>
      <c r="AE57" s="18" t="s">
        <v>53</v>
      </c>
      <c r="AF57" s="14" t="s">
        <v>1895</v>
      </c>
    </row>
    <row r="58" spans="1:32" ht="31.5" x14ac:dyDescent="0.25">
      <c r="A58" s="1">
        <v>990</v>
      </c>
      <c r="B58" s="2">
        <v>46066</v>
      </c>
      <c r="C58" s="1" t="s">
        <v>0</v>
      </c>
      <c r="D58" s="1" t="s">
        <v>9</v>
      </c>
      <c r="E58" s="1">
        <v>1</v>
      </c>
      <c r="F58" s="83">
        <v>12602013</v>
      </c>
      <c r="G58" s="4">
        <v>1260</v>
      </c>
      <c r="H58" s="4" t="s">
        <v>1290</v>
      </c>
      <c r="I58" s="88" t="s">
        <v>371</v>
      </c>
      <c r="J58" s="83" t="s">
        <v>1896</v>
      </c>
      <c r="K58" s="4">
        <v>1565</v>
      </c>
      <c r="L58" s="5">
        <v>1545</v>
      </c>
      <c r="M58" s="5">
        <v>1545</v>
      </c>
      <c r="N58" s="101">
        <v>1546</v>
      </c>
      <c r="O58" s="5">
        <v>1544</v>
      </c>
      <c r="P58" s="30">
        <v>1545</v>
      </c>
      <c r="Q58" s="7">
        <v>4.8</v>
      </c>
      <c r="R58" s="4">
        <v>37</v>
      </c>
      <c r="S58" s="8">
        <v>18</v>
      </c>
      <c r="T58" s="9">
        <v>171</v>
      </c>
      <c r="U58" s="9">
        <v>61</v>
      </c>
      <c r="V58" s="10">
        <v>110</v>
      </c>
      <c r="W58" s="11" t="s">
        <v>5</v>
      </c>
      <c r="X58" s="16">
        <v>58</v>
      </c>
      <c r="Y58" s="12">
        <v>2.7711936000000001</v>
      </c>
      <c r="Z58" s="7">
        <v>8.3000000000000007</v>
      </c>
      <c r="AA58" s="7">
        <v>7.5</v>
      </c>
      <c r="AB58" s="13">
        <v>100</v>
      </c>
      <c r="AC58" s="13">
        <v>98</v>
      </c>
      <c r="AD58" s="11" t="s">
        <v>6</v>
      </c>
      <c r="AE58" s="18" t="s">
        <v>455</v>
      </c>
      <c r="AF58" s="14" t="s">
        <v>1897</v>
      </c>
    </row>
    <row r="59" spans="1:32" ht="31.5" x14ac:dyDescent="0.25">
      <c r="A59" s="1">
        <v>992</v>
      </c>
      <c r="B59" s="2">
        <v>46066</v>
      </c>
      <c r="C59" s="1" t="s">
        <v>0</v>
      </c>
      <c r="D59" s="1" t="s">
        <v>9</v>
      </c>
      <c r="E59" s="1">
        <v>1</v>
      </c>
      <c r="F59" s="83">
        <v>12602013</v>
      </c>
      <c r="G59" s="4">
        <v>1260</v>
      </c>
      <c r="H59" s="4" t="s">
        <v>1290</v>
      </c>
      <c r="I59" s="88" t="s">
        <v>164</v>
      </c>
      <c r="J59" s="16" t="s">
        <v>1898</v>
      </c>
      <c r="K59" s="4">
        <v>1568</v>
      </c>
      <c r="L59" s="5">
        <v>1541</v>
      </c>
      <c r="M59" s="5">
        <v>1542</v>
      </c>
      <c r="N59" s="5">
        <v>1542</v>
      </c>
      <c r="O59" s="5">
        <v>1543</v>
      </c>
      <c r="P59" s="30">
        <v>1542.3333333333333</v>
      </c>
      <c r="Q59" s="7">
        <v>5</v>
      </c>
      <c r="R59" s="4">
        <v>33</v>
      </c>
      <c r="S59" s="8">
        <v>12</v>
      </c>
      <c r="T59" s="8">
        <v>155</v>
      </c>
      <c r="U59" s="8">
        <v>59</v>
      </c>
      <c r="V59" s="10">
        <v>96</v>
      </c>
      <c r="W59" s="11" t="s">
        <v>5</v>
      </c>
      <c r="X59" s="16">
        <v>58</v>
      </c>
      <c r="Y59" s="12">
        <v>2.8866600000000004</v>
      </c>
      <c r="Z59" s="7">
        <v>11.2</v>
      </c>
      <c r="AA59" s="7">
        <v>11.4</v>
      </c>
      <c r="AB59" s="13">
        <v>92</v>
      </c>
      <c r="AC59" s="13">
        <v>94</v>
      </c>
      <c r="AD59" s="11" t="s">
        <v>6</v>
      </c>
      <c r="AE59" s="18" t="s">
        <v>53</v>
      </c>
      <c r="AF59" s="14" t="s">
        <v>1899</v>
      </c>
    </row>
    <row r="60" spans="1:32" ht="31.5" x14ac:dyDescent="0.25">
      <c r="A60" s="1">
        <v>998</v>
      </c>
      <c r="B60" s="2">
        <v>46066</v>
      </c>
      <c r="C60" s="1" t="s">
        <v>0</v>
      </c>
      <c r="D60" s="1" t="s">
        <v>9</v>
      </c>
      <c r="E60" s="1">
        <v>2</v>
      </c>
      <c r="F60" s="83">
        <v>22602014</v>
      </c>
      <c r="G60" s="4">
        <v>1255</v>
      </c>
      <c r="H60" s="4" t="s">
        <v>55</v>
      </c>
      <c r="I60" s="16" t="s">
        <v>229</v>
      </c>
      <c r="J60" s="16" t="s">
        <v>1900</v>
      </c>
      <c r="K60" s="4">
        <v>1565</v>
      </c>
      <c r="L60" s="5">
        <v>1547</v>
      </c>
      <c r="M60" s="5">
        <v>1546</v>
      </c>
      <c r="N60" s="5">
        <v>1544</v>
      </c>
      <c r="O60" s="5">
        <v>1544</v>
      </c>
      <c r="P60" s="30">
        <v>1544.6666666666667</v>
      </c>
      <c r="Q60" s="7">
        <v>5</v>
      </c>
      <c r="R60" s="4">
        <v>42</v>
      </c>
      <c r="S60" s="8">
        <v>2</v>
      </c>
      <c r="T60" s="9">
        <v>186.1</v>
      </c>
      <c r="U60" s="9">
        <v>67</v>
      </c>
      <c r="V60" s="10">
        <v>119.1</v>
      </c>
      <c r="W60" s="11" t="s">
        <v>5</v>
      </c>
      <c r="X60" s="16">
        <v>58</v>
      </c>
      <c r="Y60" s="12">
        <v>2.8752050000000002</v>
      </c>
      <c r="Z60" s="7">
        <v>11.9</v>
      </c>
      <c r="AA60" s="7">
        <v>10.7</v>
      </c>
      <c r="AB60" s="13">
        <v>99</v>
      </c>
      <c r="AC60" s="13">
        <v>89</v>
      </c>
      <c r="AD60" s="11" t="s">
        <v>6</v>
      </c>
      <c r="AE60" s="18" t="s">
        <v>455</v>
      </c>
      <c r="AF60" s="14" t="s">
        <v>757</v>
      </c>
    </row>
    <row r="61" spans="1:32" ht="15.75" x14ac:dyDescent="0.25">
      <c r="A61" s="1">
        <v>999</v>
      </c>
      <c r="B61" s="2">
        <v>46066</v>
      </c>
      <c r="C61" s="1" t="s">
        <v>0</v>
      </c>
      <c r="D61" s="1" t="s">
        <v>9</v>
      </c>
      <c r="E61" s="1">
        <v>2</v>
      </c>
      <c r="F61" s="83">
        <v>22602014</v>
      </c>
      <c r="G61" s="4">
        <v>1255</v>
      </c>
      <c r="H61" s="4" t="s">
        <v>55</v>
      </c>
      <c r="I61" s="16" t="s">
        <v>20</v>
      </c>
      <c r="J61" s="16" t="s">
        <v>1901</v>
      </c>
      <c r="K61" s="4">
        <v>1568</v>
      </c>
      <c r="L61" s="5">
        <v>1544</v>
      </c>
      <c r="M61" s="5">
        <v>1544</v>
      </c>
      <c r="N61" s="5">
        <v>1542</v>
      </c>
      <c r="O61" s="5">
        <v>1543</v>
      </c>
      <c r="P61" s="30">
        <v>1543</v>
      </c>
      <c r="Q61" s="7">
        <v>5.3</v>
      </c>
      <c r="R61" s="4">
        <v>32</v>
      </c>
      <c r="S61" s="8">
        <v>12</v>
      </c>
      <c r="T61" s="9">
        <v>160</v>
      </c>
      <c r="U61" s="9">
        <v>60</v>
      </c>
      <c r="V61" s="10">
        <v>100</v>
      </c>
      <c r="W61" s="11" t="s">
        <v>5</v>
      </c>
      <c r="X61" s="16">
        <v>58</v>
      </c>
      <c r="Y61" s="12">
        <v>3.0477173</v>
      </c>
      <c r="Z61" s="7">
        <v>11.8</v>
      </c>
      <c r="AA61" s="7">
        <v>10.5</v>
      </c>
      <c r="AB61" s="13">
        <v>99</v>
      </c>
      <c r="AC61" s="13">
        <v>89</v>
      </c>
      <c r="AD61" s="11" t="s">
        <v>6</v>
      </c>
      <c r="AE61" s="18" t="s">
        <v>455</v>
      </c>
      <c r="AF61" s="14" t="s">
        <v>721</v>
      </c>
    </row>
    <row r="62" spans="1:32" ht="31.5" x14ac:dyDescent="0.25">
      <c r="A62" s="1">
        <v>1000</v>
      </c>
      <c r="B62" s="2">
        <v>46066</v>
      </c>
      <c r="C62" s="1" t="s">
        <v>0</v>
      </c>
      <c r="D62" s="1" t="s">
        <v>9</v>
      </c>
      <c r="E62" s="1">
        <v>2</v>
      </c>
      <c r="F62" s="83">
        <v>22602014</v>
      </c>
      <c r="G62" s="4">
        <v>1255</v>
      </c>
      <c r="H62" s="4" t="s">
        <v>55</v>
      </c>
      <c r="I62" s="16" t="s">
        <v>132</v>
      </c>
      <c r="J62" s="16" t="s">
        <v>1902</v>
      </c>
      <c r="K62" s="4">
        <v>1572</v>
      </c>
      <c r="L62" s="5">
        <v>1548</v>
      </c>
      <c r="M62" s="5">
        <v>1545</v>
      </c>
      <c r="N62" s="5">
        <v>1545</v>
      </c>
      <c r="O62" s="5">
        <v>1545</v>
      </c>
      <c r="P62" s="30">
        <v>1545</v>
      </c>
      <c r="Q62" s="7">
        <v>5.2</v>
      </c>
      <c r="R62" s="4">
        <v>36</v>
      </c>
      <c r="S62" s="8" t="s">
        <v>5</v>
      </c>
      <c r="T62" s="9">
        <v>180</v>
      </c>
      <c r="U62" s="9">
        <v>65</v>
      </c>
      <c r="V62" s="10">
        <v>115</v>
      </c>
      <c r="W62" s="11" t="s">
        <v>5</v>
      </c>
      <c r="X62" s="16">
        <v>58</v>
      </c>
      <c r="Y62" s="12">
        <v>2.9902132000000003</v>
      </c>
      <c r="Z62" s="7">
        <v>11.8</v>
      </c>
      <c r="AA62" s="7">
        <v>9.6999999999999993</v>
      </c>
      <c r="AB62" s="13">
        <v>100</v>
      </c>
      <c r="AC62" s="13">
        <v>85</v>
      </c>
      <c r="AD62" s="11" t="s">
        <v>6</v>
      </c>
      <c r="AE62" s="18" t="s">
        <v>455</v>
      </c>
      <c r="AF62" s="14" t="s">
        <v>1903</v>
      </c>
    </row>
    <row r="63" spans="1:32" ht="15.75" x14ac:dyDescent="0.25">
      <c r="A63" s="1">
        <v>1019</v>
      </c>
      <c r="B63" s="2">
        <v>46067</v>
      </c>
      <c r="C63" s="1" t="s">
        <v>18</v>
      </c>
      <c r="D63" s="1" t="s">
        <v>19</v>
      </c>
      <c r="E63" s="1">
        <v>1</v>
      </c>
      <c r="F63" s="83">
        <v>12602014</v>
      </c>
      <c r="G63" s="4">
        <v>1260</v>
      </c>
      <c r="H63" s="4" t="s">
        <v>707</v>
      </c>
      <c r="I63" s="88" t="s">
        <v>182</v>
      </c>
      <c r="J63" s="16" t="s">
        <v>1904</v>
      </c>
      <c r="K63" s="16">
        <v>1571</v>
      </c>
      <c r="L63" s="4">
        <v>1542</v>
      </c>
      <c r="M63" s="4">
        <v>1541</v>
      </c>
      <c r="N63" s="5">
        <v>1541</v>
      </c>
      <c r="O63" s="5" t="s">
        <v>5</v>
      </c>
      <c r="P63" s="30">
        <v>1541</v>
      </c>
      <c r="Q63" s="7">
        <v>5.2</v>
      </c>
      <c r="R63" s="4">
        <v>31</v>
      </c>
      <c r="S63" s="8" t="s">
        <v>5</v>
      </c>
      <c r="T63" s="9">
        <v>162.66999999999999</v>
      </c>
      <c r="U63" s="9">
        <v>60.4</v>
      </c>
      <c r="V63" s="10">
        <v>102.26999999999998</v>
      </c>
      <c r="W63" s="11" t="s">
        <v>5</v>
      </c>
      <c r="X63" s="16">
        <v>58</v>
      </c>
      <c r="Y63" s="12">
        <v>3.0021264000000003</v>
      </c>
      <c r="Z63" s="7">
        <v>8</v>
      </c>
      <c r="AA63" s="7">
        <v>8.6999999999999993</v>
      </c>
      <c r="AB63" s="13">
        <v>78</v>
      </c>
      <c r="AC63" s="13">
        <v>85</v>
      </c>
      <c r="AD63" s="11" t="s">
        <v>6</v>
      </c>
      <c r="AE63" s="18" t="s">
        <v>455</v>
      </c>
      <c r="AF63" s="14" t="s">
        <v>418</v>
      </c>
    </row>
    <row r="64" spans="1:32" ht="47.25" x14ac:dyDescent="0.25">
      <c r="A64" s="1">
        <v>1041</v>
      </c>
      <c r="B64" s="2">
        <v>46067</v>
      </c>
      <c r="C64" s="1" t="s">
        <v>264</v>
      </c>
      <c r="D64" s="1" t="s">
        <v>258</v>
      </c>
      <c r="E64" s="1">
        <v>1</v>
      </c>
      <c r="F64" s="83">
        <v>12602014</v>
      </c>
      <c r="G64" s="4">
        <v>1260</v>
      </c>
      <c r="H64" s="4" t="s">
        <v>1095</v>
      </c>
      <c r="I64" s="88" t="s">
        <v>261</v>
      </c>
      <c r="J64" s="69" t="s">
        <v>1905</v>
      </c>
      <c r="K64" s="99">
        <v>1575</v>
      </c>
      <c r="L64" s="4">
        <v>1544</v>
      </c>
      <c r="M64" s="5">
        <v>1549</v>
      </c>
      <c r="N64" s="5">
        <v>1547</v>
      </c>
      <c r="O64" s="5" t="s">
        <v>5</v>
      </c>
      <c r="P64" s="30">
        <v>1548</v>
      </c>
      <c r="Q64" s="7">
        <v>5.4</v>
      </c>
      <c r="R64" s="4">
        <v>31</v>
      </c>
      <c r="S64" s="8">
        <v>27</v>
      </c>
      <c r="T64" s="9">
        <v>165.5</v>
      </c>
      <c r="U64" s="9">
        <v>65.5</v>
      </c>
      <c r="V64" s="10">
        <v>100</v>
      </c>
      <c r="W64" s="11">
        <v>15</v>
      </c>
      <c r="X64" s="16">
        <v>58</v>
      </c>
      <c r="Y64" s="12">
        <v>3.1175928000000006</v>
      </c>
      <c r="Z64" s="7">
        <v>8.1</v>
      </c>
      <c r="AA64" s="7">
        <v>8.9</v>
      </c>
      <c r="AB64" s="13">
        <v>76</v>
      </c>
      <c r="AC64" s="13">
        <v>76</v>
      </c>
      <c r="AD64" s="11" t="s">
        <v>6</v>
      </c>
      <c r="AE64" s="18" t="s">
        <v>455</v>
      </c>
      <c r="AF64" s="14" t="s">
        <v>1906</v>
      </c>
    </row>
    <row r="65" spans="1:32" ht="31.5" x14ac:dyDescent="0.25">
      <c r="A65" s="1">
        <v>1043</v>
      </c>
      <c r="B65" s="2">
        <v>46067</v>
      </c>
      <c r="C65" s="1" t="s">
        <v>264</v>
      </c>
      <c r="D65" s="1" t="s">
        <v>258</v>
      </c>
      <c r="E65" s="1">
        <v>1</v>
      </c>
      <c r="F65" s="83">
        <v>12602014</v>
      </c>
      <c r="G65" s="4">
        <v>1260</v>
      </c>
      <c r="H65" s="4" t="s">
        <v>1095</v>
      </c>
      <c r="I65" s="88" t="s">
        <v>113</v>
      </c>
      <c r="J65" s="69" t="s">
        <v>1907</v>
      </c>
      <c r="K65" s="99">
        <v>1575</v>
      </c>
      <c r="L65" s="4">
        <v>1545</v>
      </c>
      <c r="M65" s="105">
        <v>1544</v>
      </c>
      <c r="N65" s="5">
        <v>1542</v>
      </c>
      <c r="O65" s="5">
        <v>1541</v>
      </c>
      <c r="P65" s="30">
        <v>1542.3333333333333</v>
      </c>
      <c r="Q65" s="7">
        <v>4.8</v>
      </c>
      <c r="R65" s="4">
        <v>39</v>
      </c>
      <c r="S65" s="8" t="s">
        <v>5</v>
      </c>
      <c r="T65" s="9">
        <v>169.3</v>
      </c>
      <c r="U65" s="9">
        <v>60</v>
      </c>
      <c r="V65" s="10">
        <v>109.30000000000001</v>
      </c>
      <c r="W65" s="11">
        <v>18.3</v>
      </c>
      <c r="X65" s="16">
        <v>58</v>
      </c>
      <c r="Y65" s="12">
        <v>2.7711936000000001</v>
      </c>
      <c r="Z65" s="7">
        <v>8.8000000000000007</v>
      </c>
      <c r="AA65" s="7">
        <v>8.6</v>
      </c>
      <c r="AB65" s="7">
        <v>88</v>
      </c>
      <c r="AC65" s="7">
        <v>98</v>
      </c>
      <c r="AD65" s="11" t="s">
        <v>6</v>
      </c>
      <c r="AE65" s="18" t="s">
        <v>72</v>
      </c>
      <c r="AF65" s="14" t="s">
        <v>1419</v>
      </c>
    </row>
    <row r="66" spans="1:32" ht="31.5" x14ac:dyDescent="0.25">
      <c r="A66" s="1">
        <v>1044</v>
      </c>
      <c r="B66" s="2">
        <v>46067</v>
      </c>
      <c r="C66" s="1" t="s">
        <v>264</v>
      </c>
      <c r="D66" s="1" t="s">
        <v>258</v>
      </c>
      <c r="E66" s="1">
        <v>1</v>
      </c>
      <c r="F66" s="83">
        <v>12602014</v>
      </c>
      <c r="G66" s="4">
        <v>1260</v>
      </c>
      <c r="H66" s="4" t="s">
        <v>1095</v>
      </c>
      <c r="I66" s="88" t="s">
        <v>148</v>
      </c>
      <c r="J66" s="69" t="s">
        <v>1908</v>
      </c>
      <c r="K66" s="4">
        <v>1570</v>
      </c>
      <c r="L66" s="4">
        <v>1542</v>
      </c>
      <c r="M66" s="101">
        <v>1546</v>
      </c>
      <c r="N66" s="5">
        <v>1545</v>
      </c>
      <c r="O66" s="5">
        <v>1543</v>
      </c>
      <c r="P66" s="30">
        <v>1544.6666666666667</v>
      </c>
      <c r="Q66" s="7">
        <v>4.9000000000000004</v>
      </c>
      <c r="R66" s="4">
        <v>37</v>
      </c>
      <c r="S66" s="8" t="s">
        <v>5</v>
      </c>
      <c r="T66" s="8">
        <v>153.9</v>
      </c>
      <c r="U66" s="8">
        <v>56.4</v>
      </c>
      <c r="V66" s="10">
        <v>97.5</v>
      </c>
      <c r="W66" s="11">
        <v>16</v>
      </c>
      <c r="X66" s="16">
        <v>58</v>
      </c>
      <c r="Y66" s="12">
        <v>2.8289268000000005</v>
      </c>
      <c r="Z66" s="7">
        <v>7.7</v>
      </c>
      <c r="AA66" s="7">
        <v>7.8</v>
      </c>
      <c r="AB66" s="13">
        <v>73</v>
      </c>
      <c r="AC66" s="13">
        <v>73</v>
      </c>
      <c r="AD66" s="11" t="s">
        <v>6</v>
      </c>
      <c r="AE66" s="18" t="s">
        <v>72</v>
      </c>
      <c r="AF66" s="14" t="s">
        <v>833</v>
      </c>
    </row>
    <row r="67" spans="1:32" ht="31.5" x14ac:dyDescent="0.25">
      <c r="A67" s="1">
        <v>1046</v>
      </c>
      <c r="B67" s="2">
        <v>46067</v>
      </c>
      <c r="C67" s="1" t="s">
        <v>264</v>
      </c>
      <c r="D67" s="1" t="s">
        <v>258</v>
      </c>
      <c r="E67" s="1">
        <v>1</v>
      </c>
      <c r="F67" s="83">
        <v>12602014</v>
      </c>
      <c r="G67" s="4">
        <v>1260</v>
      </c>
      <c r="H67" s="4" t="s">
        <v>1095</v>
      </c>
      <c r="I67" s="88" t="s">
        <v>80</v>
      </c>
      <c r="J67" s="69" t="s">
        <v>1909</v>
      </c>
      <c r="K67" s="4">
        <v>1571</v>
      </c>
      <c r="L67" s="4">
        <v>1540</v>
      </c>
      <c r="M67" s="5">
        <v>1542</v>
      </c>
      <c r="N67" s="5">
        <v>1547</v>
      </c>
      <c r="O67" s="5">
        <v>1548</v>
      </c>
      <c r="P67" s="30">
        <v>1545.6666666666667</v>
      </c>
      <c r="Q67" s="7">
        <v>5.0999999999999996</v>
      </c>
      <c r="R67" s="4">
        <v>35</v>
      </c>
      <c r="S67" s="8" t="s">
        <v>5</v>
      </c>
      <c r="T67" s="9">
        <v>154</v>
      </c>
      <c r="U67" s="9">
        <v>60</v>
      </c>
      <c r="V67" s="10">
        <v>94</v>
      </c>
      <c r="W67" s="11">
        <v>17.100000000000001</v>
      </c>
      <c r="X67" s="16">
        <v>58</v>
      </c>
      <c r="Y67" s="12">
        <v>2.9443931999999999</v>
      </c>
      <c r="Z67" s="7">
        <v>8.3000000000000007</v>
      </c>
      <c r="AA67" s="7">
        <v>8.8000000000000007</v>
      </c>
      <c r="AB67" s="13">
        <v>72</v>
      </c>
      <c r="AC67" s="13">
        <v>77</v>
      </c>
      <c r="AD67" s="11" t="s">
        <v>6</v>
      </c>
      <c r="AE67" s="18" t="s">
        <v>72</v>
      </c>
      <c r="AF67" s="14" t="s">
        <v>897</v>
      </c>
    </row>
    <row r="68" spans="1:32" ht="15.75" x14ac:dyDescent="0.25">
      <c r="A68" s="1">
        <v>1068</v>
      </c>
      <c r="B68" s="2">
        <v>46067</v>
      </c>
      <c r="C68" s="1" t="s">
        <v>0</v>
      </c>
      <c r="D68" s="1" t="s">
        <v>265</v>
      </c>
      <c r="E68" s="1">
        <v>1</v>
      </c>
      <c r="F68" s="83">
        <v>12602014</v>
      </c>
      <c r="G68" s="4">
        <v>1260</v>
      </c>
      <c r="H68" s="4" t="s">
        <v>1283</v>
      </c>
      <c r="I68" s="88" t="s">
        <v>269</v>
      </c>
      <c r="J68" s="16" t="s">
        <v>1910</v>
      </c>
      <c r="K68" s="126">
        <v>1567</v>
      </c>
      <c r="L68" s="101">
        <v>1549</v>
      </c>
      <c r="M68" s="101">
        <v>1548</v>
      </c>
      <c r="N68" s="105">
        <v>1548</v>
      </c>
      <c r="O68" s="5">
        <v>1548</v>
      </c>
      <c r="P68" s="127">
        <v>1548</v>
      </c>
      <c r="Q68" s="7">
        <v>5.2</v>
      </c>
      <c r="R68" s="4">
        <v>30</v>
      </c>
      <c r="S68" s="8" t="s">
        <v>5</v>
      </c>
      <c r="T68" s="9" t="s">
        <v>5</v>
      </c>
      <c r="U68" s="9" t="s">
        <v>5</v>
      </c>
      <c r="V68" s="9" t="s">
        <v>5</v>
      </c>
      <c r="W68" s="11" t="s">
        <v>5</v>
      </c>
      <c r="X68" s="16">
        <v>58</v>
      </c>
      <c r="Y68" s="12">
        <v>3.0021264000000003</v>
      </c>
      <c r="Z68" s="7">
        <v>9.1</v>
      </c>
      <c r="AA68" s="7">
        <v>9</v>
      </c>
      <c r="AB68" s="7">
        <v>81</v>
      </c>
      <c r="AC68" s="7">
        <v>87</v>
      </c>
      <c r="AD68" s="11" t="s">
        <v>6</v>
      </c>
      <c r="AE68" s="18" t="s">
        <v>53</v>
      </c>
      <c r="AF68" s="14" t="s">
        <v>706</v>
      </c>
    </row>
    <row r="69" spans="1:32" ht="15.75" x14ac:dyDescent="0.25">
      <c r="A69" s="1">
        <v>1105</v>
      </c>
      <c r="B69" s="2">
        <v>46068</v>
      </c>
      <c r="C69" s="1" t="s">
        <v>18</v>
      </c>
      <c r="D69" s="1" t="s">
        <v>19</v>
      </c>
      <c r="E69" s="1">
        <v>1</v>
      </c>
      <c r="F69" s="83">
        <v>12602014</v>
      </c>
      <c r="G69" s="4">
        <v>1240</v>
      </c>
      <c r="H69" s="4" t="s">
        <v>10</v>
      </c>
      <c r="I69" s="88" t="s">
        <v>1911</v>
      </c>
      <c r="J69" s="16" t="s">
        <v>1912</v>
      </c>
      <c r="K69" s="16">
        <v>1572</v>
      </c>
      <c r="L69" s="4">
        <v>1547</v>
      </c>
      <c r="M69" s="4">
        <v>1549</v>
      </c>
      <c r="N69" s="5">
        <v>1548</v>
      </c>
      <c r="O69" s="5" t="s">
        <v>5</v>
      </c>
      <c r="P69" s="30">
        <v>1548.5</v>
      </c>
      <c r="Q69" s="7">
        <v>5.2</v>
      </c>
      <c r="R69" s="4">
        <v>34</v>
      </c>
      <c r="S69" s="8" t="s">
        <v>5</v>
      </c>
      <c r="T69" s="9" t="s">
        <v>5</v>
      </c>
      <c r="U69" s="9" t="s">
        <v>5</v>
      </c>
      <c r="V69" s="10" t="e">
        <v>#VALUE!</v>
      </c>
      <c r="W69" s="11" t="s">
        <v>5</v>
      </c>
      <c r="X69" s="16">
        <v>58</v>
      </c>
      <c r="Y69" s="12">
        <v>2.9544736</v>
      </c>
      <c r="Z69" s="7">
        <v>7.8</v>
      </c>
      <c r="AA69" s="7">
        <v>9.1999999999999993</v>
      </c>
      <c r="AB69" s="13">
        <v>76</v>
      </c>
      <c r="AC69" s="13">
        <v>89</v>
      </c>
      <c r="AD69" s="11" t="s">
        <v>6</v>
      </c>
      <c r="AE69" s="18" t="s">
        <v>53</v>
      </c>
      <c r="AF69" s="14" t="s">
        <v>480</v>
      </c>
    </row>
    <row r="70" spans="1:32" ht="15.75" x14ac:dyDescent="0.25">
      <c r="A70" s="1">
        <v>1121</v>
      </c>
      <c r="B70" s="2">
        <v>46068</v>
      </c>
      <c r="C70" s="1" t="s">
        <v>264</v>
      </c>
      <c r="D70" s="1" t="s">
        <v>9</v>
      </c>
      <c r="E70" s="1">
        <v>1</v>
      </c>
      <c r="F70" s="83">
        <v>12602015</v>
      </c>
      <c r="G70" s="4">
        <v>1230</v>
      </c>
      <c r="H70" s="4" t="s">
        <v>10</v>
      </c>
      <c r="I70" s="88" t="s">
        <v>86</v>
      </c>
      <c r="J70" s="69" t="s">
        <v>1913</v>
      </c>
      <c r="K70" s="99">
        <v>1568</v>
      </c>
      <c r="L70" s="4">
        <v>1554</v>
      </c>
      <c r="M70" s="4">
        <v>1545</v>
      </c>
      <c r="N70" s="5">
        <v>1541</v>
      </c>
      <c r="O70" s="5">
        <v>1541</v>
      </c>
      <c r="P70" s="30">
        <v>1542.3333333333333</v>
      </c>
      <c r="Q70" s="7">
        <v>5</v>
      </c>
      <c r="R70" s="4">
        <v>35</v>
      </c>
      <c r="S70" s="8" t="s">
        <v>5</v>
      </c>
      <c r="T70" s="9" t="s">
        <v>5</v>
      </c>
      <c r="U70" s="9" t="s">
        <v>5</v>
      </c>
      <c r="V70" s="10" t="e">
        <v>#VALUE!</v>
      </c>
      <c r="W70" s="11" t="s">
        <v>5</v>
      </c>
      <c r="X70" s="16">
        <v>58</v>
      </c>
      <c r="Y70" s="12">
        <v>2.81793</v>
      </c>
      <c r="Z70" s="7">
        <v>7.4</v>
      </c>
      <c r="AA70" s="7">
        <v>9.6</v>
      </c>
      <c r="AB70" s="13">
        <v>81</v>
      </c>
      <c r="AC70" s="13">
        <v>60</v>
      </c>
      <c r="AD70" s="11" t="s">
        <v>6</v>
      </c>
      <c r="AE70" s="40" t="s">
        <v>53</v>
      </c>
      <c r="AF70" s="14" t="s">
        <v>706</v>
      </c>
    </row>
    <row r="71" spans="1:32" ht="47.25" x14ac:dyDescent="0.25">
      <c r="A71" s="1">
        <v>1122</v>
      </c>
      <c r="B71" s="2">
        <v>46068</v>
      </c>
      <c r="C71" s="1" t="s">
        <v>264</v>
      </c>
      <c r="D71" s="1" t="s">
        <v>9</v>
      </c>
      <c r="E71" s="1">
        <v>1</v>
      </c>
      <c r="F71" s="83">
        <v>12602015</v>
      </c>
      <c r="G71" s="4">
        <v>1230</v>
      </c>
      <c r="H71" s="4" t="s">
        <v>10</v>
      </c>
      <c r="I71" s="88" t="s">
        <v>77</v>
      </c>
      <c r="J71" s="69" t="s">
        <v>1914</v>
      </c>
      <c r="K71" s="99">
        <v>1567</v>
      </c>
      <c r="L71" s="4">
        <v>1538</v>
      </c>
      <c r="M71" s="4">
        <v>1541</v>
      </c>
      <c r="N71" s="5">
        <v>1541</v>
      </c>
      <c r="O71" s="5">
        <v>1540</v>
      </c>
      <c r="P71" s="30">
        <v>1540.6666666666667</v>
      </c>
      <c r="Q71" s="7">
        <v>3.7</v>
      </c>
      <c r="R71" s="4">
        <v>47</v>
      </c>
      <c r="S71" s="8" t="s">
        <v>5</v>
      </c>
      <c r="T71" s="9">
        <v>166</v>
      </c>
      <c r="U71" s="9">
        <v>58</v>
      </c>
      <c r="V71" s="10">
        <v>108</v>
      </c>
      <c r="W71" s="11" t="s">
        <v>5</v>
      </c>
      <c r="X71" s="16">
        <v>58</v>
      </c>
      <c r="Y71" s="12">
        <v>2.0852682000000002</v>
      </c>
      <c r="Z71" s="7">
        <v>8.4</v>
      </c>
      <c r="AA71" s="7">
        <v>4.8</v>
      </c>
      <c r="AB71" s="13">
        <v>71</v>
      </c>
      <c r="AC71" s="13">
        <v>81</v>
      </c>
      <c r="AD71" s="11" t="s">
        <v>6</v>
      </c>
      <c r="AE71" s="40" t="s">
        <v>1403</v>
      </c>
      <c r="AF71" s="14" t="s">
        <v>1915</v>
      </c>
    </row>
    <row r="72" spans="1:32" ht="47.25" x14ac:dyDescent="0.25">
      <c r="A72" s="1">
        <v>1123</v>
      </c>
      <c r="B72" s="2">
        <v>46068</v>
      </c>
      <c r="C72" s="1" t="s">
        <v>264</v>
      </c>
      <c r="D72" s="1" t="s">
        <v>9</v>
      </c>
      <c r="E72" s="1">
        <v>1</v>
      </c>
      <c r="F72" s="83">
        <v>12602015</v>
      </c>
      <c r="G72" s="4">
        <v>1230</v>
      </c>
      <c r="H72" s="4" t="s">
        <v>10</v>
      </c>
      <c r="I72" s="88" t="s">
        <v>194</v>
      </c>
      <c r="J72" s="69" t="s">
        <v>1916</v>
      </c>
      <c r="K72" s="99">
        <v>1571</v>
      </c>
      <c r="L72" s="4">
        <v>1538</v>
      </c>
      <c r="M72" s="4">
        <v>1535</v>
      </c>
      <c r="N72" s="5">
        <v>1534</v>
      </c>
      <c r="O72" s="5">
        <v>1534</v>
      </c>
      <c r="P72" s="30">
        <v>1534.3333333333333</v>
      </c>
      <c r="Q72" s="7">
        <v>4.4000000000000004</v>
      </c>
      <c r="R72" s="4">
        <v>19</v>
      </c>
      <c r="S72" s="8" t="s">
        <v>5</v>
      </c>
      <c r="T72" s="9" t="s">
        <v>5</v>
      </c>
      <c r="U72" s="9" t="s">
        <v>5</v>
      </c>
      <c r="V72" s="10" t="e">
        <v>#VALUE!</v>
      </c>
      <c r="W72" s="11" t="s">
        <v>5</v>
      </c>
      <c r="X72" s="16">
        <v>58</v>
      </c>
      <c r="Y72" s="12">
        <v>2.4797784000000003</v>
      </c>
      <c r="Z72" s="7">
        <v>7.5</v>
      </c>
      <c r="AA72" s="7">
        <v>7.5</v>
      </c>
      <c r="AB72" s="13">
        <v>70</v>
      </c>
      <c r="AC72" s="13">
        <v>81</v>
      </c>
      <c r="AD72" s="11" t="s">
        <v>6</v>
      </c>
      <c r="AE72" s="40" t="s">
        <v>88</v>
      </c>
      <c r="AF72" s="14" t="s">
        <v>1917</v>
      </c>
    </row>
    <row r="73" spans="1:32" ht="31.5" x14ac:dyDescent="0.25">
      <c r="A73" s="1">
        <v>1127</v>
      </c>
      <c r="B73" s="2">
        <v>46068</v>
      </c>
      <c r="C73" s="1" t="s">
        <v>264</v>
      </c>
      <c r="D73" s="1" t="s">
        <v>9</v>
      </c>
      <c r="E73" s="1">
        <v>1</v>
      </c>
      <c r="F73" s="83">
        <v>12602015</v>
      </c>
      <c r="G73" s="4">
        <v>1230</v>
      </c>
      <c r="H73" s="4" t="s">
        <v>10</v>
      </c>
      <c r="I73" s="88" t="s">
        <v>93</v>
      </c>
      <c r="J73" s="69" t="s">
        <v>1918</v>
      </c>
      <c r="K73" s="99">
        <v>1565</v>
      </c>
      <c r="L73" s="4">
        <v>1546</v>
      </c>
      <c r="M73" s="5">
        <v>1545</v>
      </c>
      <c r="N73" s="5">
        <v>1541</v>
      </c>
      <c r="O73" s="5">
        <v>1541</v>
      </c>
      <c r="P73" s="30">
        <v>1542.3333333333333</v>
      </c>
      <c r="Q73" s="7">
        <v>5.4</v>
      </c>
      <c r="R73" s="4">
        <v>38</v>
      </c>
      <c r="S73" s="8" t="s">
        <v>5</v>
      </c>
      <c r="T73" s="9" t="s">
        <v>5</v>
      </c>
      <c r="U73" s="9" t="s">
        <v>5</v>
      </c>
      <c r="V73" s="10" t="e">
        <v>#VALUE!</v>
      </c>
      <c r="W73" s="11" t="s">
        <v>5</v>
      </c>
      <c r="X73" s="16">
        <v>58</v>
      </c>
      <c r="Y73" s="12">
        <v>3.0433644000000002</v>
      </c>
      <c r="Z73" s="7">
        <v>8.1999999999999993</v>
      </c>
      <c r="AA73" s="7">
        <v>8.6999999999999993</v>
      </c>
      <c r="AB73" s="13">
        <v>76</v>
      </c>
      <c r="AC73" s="13">
        <v>74</v>
      </c>
      <c r="AD73" s="11" t="s">
        <v>6</v>
      </c>
      <c r="AE73" s="40" t="s">
        <v>1403</v>
      </c>
      <c r="AF73" s="14" t="s">
        <v>1919</v>
      </c>
    </row>
    <row r="74" spans="1:32" ht="47.25" x14ac:dyDescent="0.25">
      <c r="A74" s="1">
        <v>1190</v>
      </c>
      <c r="B74" s="2">
        <v>46069</v>
      </c>
      <c r="C74" s="1" t="s">
        <v>18</v>
      </c>
      <c r="D74" s="1" t="s">
        <v>19</v>
      </c>
      <c r="E74" s="1">
        <v>1</v>
      </c>
      <c r="F74" s="83">
        <v>12602015</v>
      </c>
      <c r="G74" s="4">
        <v>1230</v>
      </c>
      <c r="H74" s="4" t="s">
        <v>55</v>
      </c>
      <c r="I74" s="88" t="s">
        <v>173</v>
      </c>
      <c r="J74" s="16" t="s">
        <v>1920</v>
      </c>
      <c r="K74" s="16">
        <v>1570</v>
      </c>
      <c r="L74" s="4">
        <v>1537</v>
      </c>
      <c r="M74" s="4">
        <v>1536</v>
      </c>
      <c r="N74" s="5">
        <v>1535</v>
      </c>
      <c r="O74" s="5">
        <v>1535</v>
      </c>
      <c r="P74" s="30">
        <v>1535.3333333333333</v>
      </c>
      <c r="Q74" s="7">
        <v>4.8</v>
      </c>
      <c r="R74" s="4">
        <v>8</v>
      </c>
      <c r="S74" s="8" t="s">
        <v>5</v>
      </c>
      <c r="T74" s="9" t="s">
        <v>5</v>
      </c>
      <c r="U74" s="9" t="s">
        <v>5</v>
      </c>
      <c r="V74" s="10" t="e">
        <v>#VALUE!</v>
      </c>
      <c r="W74" s="11" t="s">
        <v>5</v>
      </c>
      <c r="X74" s="16">
        <v>58</v>
      </c>
      <c r="Y74" s="12">
        <v>2.7052128</v>
      </c>
      <c r="Z74" s="7">
        <v>6.6</v>
      </c>
      <c r="AA74" s="7">
        <v>7.2</v>
      </c>
      <c r="AB74" s="13">
        <v>75</v>
      </c>
      <c r="AC74" s="13">
        <v>71</v>
      </c>
      <c r="AD74" s="11" t="s">
        <v>6</v>
      </c>
      <c r="AE74" s="18" t="s">
        <v>53</v>
      </c>
      <c r="AF74" s="14" t="s">
        <v>1921</v>
      </c>
    </row>
    <row r="75" spans="1:32" ht="47.25" x14ac:dyDescent="0.25">
      <c r="A75" s="1">
        <v>1211</v>
      </c>
      <c r="B75" s="2">
        <v>46069</v>
      </c>
      <c r="C75" s="1" t="s">
        <v>264</v>
      </c>
      <c r="D75" s="1" t="s">
        <v>1</v>
      </c>
      <c r="E75" s="1">
        <v>1</v>
      </c>
      <c r="F75" s="83">
        <v>12602015</v>
      </c>
      <c r="G75" s="4">
        <v>1230</v>
      </c>
      <c r="H75" s="4" t="s">
        <v>55</v>
      </c>
      <c r="I75" s="88" t="s">
        <v>504</v>
      </c>
      <c r="J75" s="69" t="s">
        <v>1922</v>
      </c>
      <c r="K75" s="99">
        <v>1570</v>
      </c>
      <c r="L75" s="4">
        <v>1541</v>
      </c>
      <c r="M75" s="5">
        <v>1539</v>
      </c>
      <c r="N75" s="5">
        <v>1539</v>
      </c>
      <c r="O75" s="5">
        <v>1540</v>
      </c>
      <c r="P75" s="30">
        <v>1539.3333333333333</v>
      </c>
      <c r="Q75" s="7">
        <v>5.3</v>
      </c>
      <c r="R75" s="4">
        <v>33</v>
      </c>
      <c r="S75" s="8" t="s">
        <v>5</v>
      </c>
      <c r="T75" s="9">
        <v>167</v>
      </c>
      <c r="U75" s="9">
        <v>61</v>
      </c>
      <c r="V75" s="10">
        <v>106</v>
      </c>
      <c r="W75" s="11" t="s">
        <v>5</v>
      </c>
      <c r="X75" s="16">
        <v>58</v>
      </c>
      <c r="Y75" s="12">
        <v>2.9870057999999999</v>
      </c>
      <c r="Z75" s="7">
        <v>9</v>
      </c>
      <c r="AA75" s="7">
        <v>8.5</v>
      </c>
      <c r="AB75" s="13">
        <v>90</v>
      </c>
      <c r="AC75" s="13">
        <v>80</v>
      </c>
      <c r="AD75" s="11" t="s">
        <v>6</v>
      </c>
      <c r="AE75" s="18" t="s">
        <v>53</v>
      </c>
      <c r="AF75" s="14" t="s">
        <v>1923</v>
      </c>
    </row>
    <row r="76" spans="1:32" ht="15.75" x14ac:dyDescent="0.25">
      <c r="A76" s="1">
        <v>1401</v>
      </c>
      <c r="B76" s="2">
        <v>46071</v>
      </c>
      <c r="C76" s="1" t="s">
        <v>0</v>
      </c>
      <c r="D76" s="1" t="s">
        <v>265</v>
      </c>
      <c r="E76" s="1">
        <v>2</v>
      </c>
      <c r="F76" s="83">
        <v>22602018</v>
      </c>
      <c r="G76" s="4">
        <v>1230</v>
      </c>
      <c r="H76" s="4" t="s">
        <v>10</v>
      </c>
      <c r="I76" s="88" t="s">
        <v>74</v>
      </c>
      <c r="J76" s="83" t="s">
        <v>1924</v>
      </c>
      <c r="K76" s="4">
        <v>1566</v>
      </c>
      <c r="L76" s="5">
        <v>1549</v>
      </c>
      <c r="M76" s="5">
        <v>1549</v>
      </c>
      <c r="N76" s="101">
        <v>1549</v>
      </c>
      <c r="O76" s="5">
        <v>1550</v>
      </c>
      <c r="P76" s="30">
        <v>1549.3333333333333</v>
      </c>
      <c r="Q76" s="7">
        <v>5.6</v>
      </c>
      <c r="R76" s="4">
        <v>36</v>
      </c>
      <c r="S76" s="8" t="s">
        <v>5</v>
      </c>
      <c r="T76" s="9">
        <v>176</v>
      </c>
      <c r="U76" s="9">
        <v>60</v>
      </c>
      <c r="V76" s="10">
        <v>116</v>
      </c>
      <c r="W76" s="11" t="s">
        <v>5</v>
      </c>
      <c r="X76" s="16">
        <v>58</v>
      </c>
      <c r="Y76" s="12">
        <v>3.1560815999999998</v>
      </c>
      <c r="Z76" s="7">
        <v>10.3</v>
      </c>
      <c r="AA76" s="7">
        <v>10.4</v>
      </c>
      <c r="AB76" s="13">
        <v>89</v>
      </c>
      <c r="AC76" s="13">
        <v>84</v>
      </c>
      <c r="AD76" s="11" t="s">
        <v>6</v>
      </c>
      <c r="AE76" s="40" t="s">
        <v>455</v>
      </c>
      <c r="AF76" s="14" t="s">
        <v>397</v>
      </c>
    </row>
    <row r="77" spans="1:32" ht="31.5" x14ac:dyDescent="0.25">
      <c r="A77" s="1">
        <v>1404</v>
      </c>
      <c r="B77" s="2">
        <v>46071</v>
      </c>
      <c r="C77" s="1" t="s">
        <v>0</v>
      </c>
      <c r="D77" s="1" t="s">
        <v>265</v>
      </c>
      <c r="E77" s="1">
        <v>2</v>
      </c>
      <c r="F77" s="83">
        <v>22602018</v>
      </c>
      <c r="G77" s="4">
        <v>1230</v>
      </c>
      <c r="H77" s="4" t="s">
        <v>10</v>
      </c>
      <c r="I77" s="88" t="s">
        <v>182</v>
      </c>
      <c r="J77" s="16" t="s">
        <v>1925</v>
      </c>
      <c r="K77" s="4">
        <v>1573</v>
      </c>
      <c r="L77" s="5">
        <v>1548</v>
      </c>
      <c r="M77" s="5">
        <v>1546</v>
      </c>
      <c r="N77" s="5">
        <v>1544</v>
      </c>
      <c r="O77" s="5">
        <v>1545</v>
      </c>
      <c r="P77" s="30">
        <v>1545</v>
      </c>
      <c r="Q77" s="7">
        <v>4.8</v>
      </c>
      <c r="R77" s="4">
        <v>38</v>
      </c>
      <c r="S77" s="8">
        <v>27</v>
      </c>
      <c r="T77" s="8">
        <v>160</v>
      </c>
      <c r="U77" s="8">
        <v>63</v>
      </c>
      <c r="V77" s="10">
        <v>97</v>
      </c>
      <c r="W77" s="11" t="s">
        <v>5</v>
      </c>
      <c r="X77" s="16">
        <v>58</v>
      </c>
      <c r="Y77" s="12">
        <v>2.7052128</v>
      </c>
      <c r="Z77" s="7">
        <v>9.6999999999999993</v>
      </c>
      <c r="AA77" s="7">
        <v>10.1</v>
      </c>
      <c r="AB77" s="13">
        <v>85</v>
      </c>
      <c r="AC77" s="13">
        <v>85</v>
      </c>
      <c r="AD77" s="11" t="s">
        <v>6</v>
      </c>
      <c r="AE77" s="40" t="s">
        <v>455</v>
      </c>
      <c r="AF77" s="14" t="s">
        <v>1926</v>
      </c>
    </row>
    <row r="78" spans="1:32" ht="15.75" x14ac:dyDescent="0.25">
      <c r="A78" s="1">
        <v>1422</v>
      </c>
      <c r="B78" s="2">
        <v>46072</v>
      </c>
      <c r="C78" s="1" t="s">
        <v>18</v>
      </c>
      <c r="D78" s="1" t="s">
        <v>19</v>
      </c>
      <c r="E78" s="1">
        <v>2</v>
      </c>
      <c r="F78" s="83">
        <v>22602018</v>
      </c>
      <c r="G78" s="4">
        <v>1232</v>
      </c>
      <c r="H78" s="4" t="s">
        <v>1588</v>
      </c>
      <c r="I78" s="88" t="s">
        <v>315</v>
      </c>
      <c r="J78" s="16" t="s">
        <v>1927</v>
      </c>
      <c r="K78" s="4">
        <v>1572</v>
      </c>
      <c r="L78" s="4">
        <v>1548</v>
      </c>
      <c r="M78" s="4">
        <v>1549</v>
      </c>
      <c r="N78" s="4">
        <v>1549</v>
      </c>
      <c r="O78" s="5">
        <v>1550</v>
      </c>
      <c r="P78" s="30">
        <v>1549.3333333333333</v>
      </c>
      <c r="Q78" s="7">
        <v>5.5</v>
      </c>
      <c r="R78" s="4">
        <v>34</v>
      </c>
      <c r="S78" s="8"/>
      <c r="T78" s="9">
        <v>165</v>
      </c>
      <c r="U78" s="9">
        <v>65</v>
      </c>
      <c r="V78" s="10">
        <v>100</v>
      </c>
      <c r="W78" s="11" t="s">
        <v>5</v>
      </c>
      <c r="X78" s="16">
        <v>58</v>
      </c>
      <c r="Y78" s="12">
        <v>3.1047632000000003</v>
      </c>
      <c r="Z78" s="7">
        <v>10.8</v>
      </c>
      <c r="AA78" s="7">
        <v>10</v>
      </c>
      <c r="AB78" s="7">
        <v>83</v>
      </c>
      <c r="AC78" s="7">
        <v>84</v>
      </c>
      <c r="AD78" s="11" t="s">
        <v>6</v>
      </c>
      <c r="AE78" s="18" t="s">
        <v>455</v>
      </c>
      <c r="AF78" s="14" t="s">
        <v>418</v>
      </c>
    </row>
    <row r="79" spans="1:32" ht="31.5" x14ac:dyDescent="0.25">
      <c r="A79" s="1">
        <v>1427</v>
      </c>
      <c r="B79" s="2">
        <v>46072</v>
      </c>
      <c r="C79" s="1" t="s">
        <v>18</v>
      </c>
      <c r="D79" s="1" t="s">
        <v>19</v>
      </c>
      <c r="E79" s="1">
        <v>2</v>
      </c>
      <c r="F79" s="83">
        <v>22602018</v>
      </c>
      <c r="G79" s="4">
        <v>1232</v>
      </c>
      <c r="H79" s="4" t="s">
        <v>1588</v>
      </c>
      <c r="I79" s="88" t="s">
        <v>83</v>
      </c>
      <c r="J79" s="16" t="s">
        <v>1928</v>
      </c>
      <c r="K79" s="4">
        <v>1565</v>
      </c>
      <c r="L79" s="4">
        <v>1550</v>
      </c>
      <c r="M79" s="4">
        <v>1550</v>
      </c>
      <c r="N79" s="5">
        <v>1549</v>
      </c>
      <c r="O79" s="5"/>
      <c r="P79" s="30">
        <v>1549.5</v>
      </c>
      <c r="Q79" s="7">
        <v>4.9000000000000004</v>
      </c>
      <c r="R79" s="4">
        <v>34</v>
      </c>
      <c r="S79" s="8">
        <v>7</v>
      </c>
      <c r="T79" s="9">
        <v>171</v>
      </c>
      <c r="U79" s="9">
        <v>65</v>
      </c>
      <c r="V79" s="10">
        <v>106</v>
      </c>
      <c r="W79" s="11" t="s">
        <v>5</v>
      </c>
      <c r="X79" s="16">
        <v>58</v>
      </c>
      <c r="Y79" s="12">
        <v>2.7660617600000004</v>
      </c>
      <c r="Z79" s="7">
        <v>9.6</v>
      </c>
      <c r="AA79" s="7">
        <v>10.199999999999999</v>
      </c>
      <c r="AB79" s="7">
        <v>82</v>
      </c>
      <c r="AC79" s="7">
        <v>87</v>
      </c>
      <c r="AD79" s="11" t="s">
        <v>6</v>
      </c>
      <c r="AE79" s="18" t="s">
        <v>455</v>
      </c>
      <c r="AF79" s="14" t="s">
        <v>1929</v>
      </c>
    </row>
    <row r="80" spans="1:32" ht="15.75" x14ac:dyDescent="0.25">
      <c r="A80" s="1">
        <v>1430</v>
      </c>
      <c r="B80" s="2">
        <v>46072</v>
      </c>
      <c r="C80" s="1" t="s">
        <v>18</v>
      </c>
      <c r="D80" s="1" t="s">
        <v>19</v>
      </c>
      <c r="E80" s="1">
        <v>2</v>
      </c>
      <c r="F80" s="83">
        <v>22602018</v>
      </c>
      <c r="G80" s="4">
        <v>1232</v>
      </c>
      <c r="H80" s="4" t="s">
        <v>1588</v>
      </c>
      <c r="I80" s="88" t="s">
        <v>155</v>
      </c>
      <c r="J80" s="16" t="s">
        <v>1930</v>
      </c>
      <c r="K80" s="4">
        <v>1576</v>
      </c>
      <c r="L80" s="4">
        <v>1549</v>
      </c>
      <c r="M80" s="4">
        <v>1547</v>
      </c>
      <c r="N80" s="5">
        <v>1547</v>
      </c>
      <c r="O80" s="5"/>
      <c r="P80" s="30">
        <v>1547</v>
      </c>
      <c r="Q80" s="7">
        <v>5.4</v>
      </c>
      <c r="R80" s="4">
        <v>33</v>
      </c>
      <c r="S80" s="8">
        <v>30</v>
      </c>
      <c r="T80" s="9">
        <v>167</v>
      </c>
      <c r="U80" s="9">
        <v>66</v>
      </c>
      <c r="V80" s="10">
        <v>101</v>
      </c>
      <c r="W80" s="11" t="s">
        <v>5</v>
      </c>
      <c r="X80" s="16">
        <v>58</v>
      </c>
      <c r="Y80" s="12">
        <v>3.0483129600000005</v>
      </c>
      <c r="Z80" s="7">
        <v>10.7</v>
      </c>
      <c r="AA80" s="7">
        <v>11</v>
      </c>
      <c r="AB80" s="7">
        <v>85</v>
      </c>
      <c r="AC80" s="7">
        <v>86</v>
      </c>
      <c r="AD80" s="11" t="s">
        <v>6</v>
      </c>
      <c r="AE80" s="18" t="s">
        <v>455</v>
      </c>
      <c r="AF80" s="14" t="s">
        <v>480</v>
      </c>
    </row>
    <row r="81" spans="1:32" ht="15.75" x14ac:dyDescent="0.25">
      <c r="A81" s="1">
        <v>1472</v>
      </c>
      <c r="B81" s="2">
        <v>46072</v>
      </c>
      <c r="C81" s="1" t="s">
        <v>0</v>
      </c>
      <c r="D81" s="1" t="s">
        <v>1</v>
      </c>
      <c r="E81" s="1">
        <v>2</v>
      </c>
      <c r="F81" s="83">
        <v>22602019</v>
      </c>
      <c r="G81" s="4">
        <v>1250</v>
      </c>
      <c r="H81" s="4" t="s">
        <v>222</v>
      </c>
      <c r="I81" s="88" t="s">
        <v>93</v>
      </c>
      <c r="J81" s="16" t="s">
        <v>1931</v>
      </c>
      <c r="K81" s="4">
        <v>1565</v>
      </c>
      <c r="L81" s="5">
        <v>1546</v>
      </c>
      <c r="M81" s="5">
        <v>1547</v>
      </c>
      <c r="N81" s="5">
        <v>1546</v>
      </c>
      <c r="O81" s="5">
        <v>1546</v>
      </c>
      <c r="P81" s="30">
        <v>1546.3333333333333</v>
      </c>
      <c r="Q81" s="7">
        <v>5.2</v>
      </c>
      <c r="R81" s="4">
        <v>37</v>
      </c>
      <c r="S81" s="8">
        <v>37</v>
      </c>
      <c r="T81" s="8">
        <v>180</v>
      </c>
      <c r="U81" s="8">
        <v>60</v>
      </c>
      <c r="V81" s="10">
        <v>120</v>
      </c>
      <c r="W81" s="11" t="s">
        <v>5</v>
      </c>
      <c r="X81" s="16">
        <v>58</v>
      </c>
      <c r="Y81" s="12">
        <v>2.9782999999999999</v>
      </c>
      <c r="Z81" s="7">
        <v>12</v>
      </c>
      <c r="AA81" s="7">
        <v>11.7</v>
      </c>
      <c r="AB81" s="13">
        <v>93</v>
      </c>
      <c r="AC81" s="13">
        <v>91</v>
      </c>
      <c r="AD81" s="11" t="s">
        <v>6</v>
      </c>
      <c r="AE81" s="40" t="s">
        <v>72</v>
      </c>
      <c r="AF81" s="14" t="s">
        <v>706</v>
      </c>
    </row>
    <row r="82" spans="1:32" ht="15.75" x14ac:dyDescent="0.25">
      <c r="A82" s="1">
        <v>1476</v>
      </c>
      <c r="B82" s="2">
        <v>46072</v>
      </c>
      <c r="C82" s="1" t="s">
        <v>0</v>
      </c>
      <c r="D82" s="1" t="s">
        <v>1</v>
      </c>
      <c r="E82" s="1">
        <v>2</v>
      </c>
      <c r="F82" s="83">
        <v>22602019</v>
      </c>
      <c r="G82" s="4">
        <v>1250</v>
      </c>
      <c r="H82" s="4" t="s">
        <v>222</v>
      </c>
      <c r="I82" s="88" t="s">
        <v>182</v>
      </c>
      <c r="J82" s="16" t="s">
        <v>1932</v>
      </c>
      <c r="K82" s="4">
        <v>1566</v>
      </c>
      <c r="L82" s="5">
        <v>1547</v>
      </c>
      <c r="M82" s="5">
        <v>1545</v>
      </c>
      <c r="N82" s="5">
        <v>1544</v>
      </c>
      <c r="O82" s="5">
        <v>1543</v>
      </c>
      <c r="P82" s="30">
        <v>1544</v>
      </c>
      <c r="Q82" s="7">
        <v>4.5</v>
      </c>
      <c r="R82" s="4">
        <v>39</v>
      </c>
      <c r="S82" s="8"/>
      <c r="T82" s="9">
        <v>168</v>
      </c>
      <c r="U82" s="9">
        <v>60</v>
      </c>
      <c r="V82" s="10">
        <v>108</v>
      </c>
      <c r="W82" s="11" t="s">
        <v>5</v>
      </c>
      <c r="X82" s="16">
        <v>58</v>
      </c>
      <c r="Y82" s="12">
        <v>2.577375</v>
      </c>
      <c r="Z82" s="7">
        <v>11.4</v>
      </c>
      <c r="AA82" s="7">
        <v>10.7</v>
      </c>
      <c r="AB82" s="13">
        <v>97</v>
      </c>
      <c r="AC82" s="13">
        <v>99</v>
      </c>
      <c r="AD82" s="11" t="s">
        <v>6</v>
      </c>
      <c r="AE82" s="18" t="s">
        <v>72</v>
      </c>
      <c r="AF82" s="14" t="s">
        <v>444</v>
      </c>
    </row>
    <row r="83" spans="1:32" ht="15.75" x14ac:dyDescent="0.25">
      <c r="A83" s="1">
        <v>1477</v>
      </c>
      <c r="B83" s="2">
        <v>46072</v>
      </c>
      <c r="C83" s="1" t="s">
        <v>0</v>
      </c>
      <c r="D83" s="1" t="s">
        <v>1</v>
      </c>
      <c r="E83" s="1">
        <v>2</v>
      </c>
      <c r="F83" s="83">
        <v>22602019</v>
      </c>
      <c r="G83" s="4">
        <v>1250</v>
      </c>
      <c r="H83" s="4" t="s">
        <v>222</v>
      </c>
      <c r="I83" s="88" t="s">
        <v>229</v>
      </c>
      <c r="J83" s="16" t="s">
        <v>1933</v>
      </c>
      <c r="K83" s="4">
        <v>1567</v>
      </c>
      <c r="L83" s="5">
        <v>1544</v>
      </c>
      <c r="M83" s="5">
        <v>1544</v>
      </c>
      <c r="N83" s="5">
        <v>1544</v>
      </c>
      <c r="O83" s="5">
        <v>1542</v>
      </c>
      <c r="P83" s="30">
        <v>1543.3333333333333</v>
      </c>
      <c r="Q83" s="7">
        <v>4.9000000000000004</v>
      </c>
      <c r="R83" s="4">
        <v>36</v>
      </c>
      <c r="S83" s="8">
        <v>37</v>
      </c>
      <c r="T83" s="9">
        <v>156</v>
      </c>
      <c r="U83" s="9">
        <v>61</v>
      </c>
      <c r="V83" s="10">
        <v>95</v>
      </c>
      <c r="W83" s="11" t="s">
        <v>5</v>
      </c>
      <c r="X83" s="16">
        <v>58</v>
      </c>
      <c r="Y83" s="12">
        <v>2.8064750000000003</v>
      </c>
      <c r="Z83" s="7">
        <v>11.4</v>
      </c>
      <c r="AA83" s="7">
        <v>10.6</v>
      </c>
      <c r="AB83" s="13">
        <v>98</v>
      </c>
      <c r="AC83" s="13">
        <v>96</v>
      </c>
      <c r="AD83" s="11" t="s">
        <v>6</v>
      </c>
      <c r="AE83" s="18" t="s">
        <v>72</v>
      </c>
      <c r="AF83" s="14" t="s">
        <v>397</v>
      </c>
    </row>
    <row r="84" spans="1:32" ht="31.5" x14ac:dyDescent="0.25">
      <c r="A84" s="1">
        <v>1478</v>
      </c>
      <c r="B84" s="2">
        <v>46072</v>
      </c>
      <c r="C84" s="1" t="s">
        <v>0</v>
      </c>
      <c r="D84" s="1" t="s">
        <v>1</v>
      </c>
      <c r="E84" s="1">
        <v>2</v>
      </c>
      <c r="F84" s="83">
        <v>22602019</v>
      </c>
      <c r="G84" s="4">
        <v>1250</v>
      </c>
      <c r="H84" s="4" t="s">
        <v>1798</v>
      </c>
      <c r="I84" s="88" t="s">
        <v>20</v>
      </c>
      <c r="J84" s="16" t="s">
        <v>1934</v>
      </c>
      <c r="K84" s="4">
        <v>1567</v>
      </c>
      <c r="L84" s="5">
        <v>1550</v>
      </c>
      <c r="M84" s="5">
        <v>1550</v>
      </c>
      <c r="N84" s="5">
        <v>1549</v>
      </c>
      <c r="O84" s="5">
        <v>1549</v>
      </c>
      <c r="P84" s="30">
        <v>1549.3333333333333</v>
      </c>
      <c r="Q84" s="7">
        <v>5</v>
      </c>
      <c r="R84" s="4">
        <v>37</v>
      </c>
      <c r="S84" s="8">
        <v>27</v>
      </c>
      <c r="T84" s="9">
        <v>172</v>
      </c>
      <c r="U84" s="9">
        <v>66</v>
      </c>
      <c r="V84" s="10">
        <v>106</v>
      </c>
      <c r="W84" s="11" t="s">
        <v>5</v>
      </c>
      <c r="X84" s="16">
        <v>58</v>
      </c>
      <c r="Y84" s="12">
        <v>2.86375</v>
      </c>
      <c r="Z84" s="7">
        <v>12</v>
      </c>
      <c r="AA84" s="7">
        <v>11.3</v>
      </c>
      <c r="AB84" s="13">
        <v>96</v>
      </c>
      <c r="AC84" s="13">
        <v>91</v>
      </c>
      <c r="AD84" s="11" t="s">
        <v>6</v>
      </c>
      <c r="AE84" s="18" t="s">
        <v>72</v>
      </c>
      <c r="AF84" s="14" t="s">
        <v>1419</v>
      </c>
    </row>
    <row r="85" spans="1:32" ht="31.5" x14ac:dyDescent="0.25">
      <c r="A85" s="1">
        <v>1480</v>
      </c>
      <c r="B85" s="2">
        <v>46072</v>
      </c>
      <c r="C85" s="1" t="s">
        <v>0</v>
      </c>
      <c r="D85" s="1" t="s">
        <v>1</v>
      </c>
      <c r="E85" s="1">
        <v>2</v>
      </c>
      <c r="F85" s="83">
        <v>22602019</v>
      </c>
      <c r="G85" s="4">
        <v>1250</v>
      </c>
      <c r="H85" s="4" t="s">
        <v>1798</v>
      </c>
      <c r="I85" s="88" t="s">
        <v>315</v>
      </c>
      <c r="J85" s="16" t="s">
        <v>1935</v>
      </c>
      <c r="K85" s="4">
        <v>1570</v>
      </c>
      <c r="L85" s="5">
        <v>1547</v>
      </c>
      <c r="M85" s="5">
        <v>1548</v>
      </c>
      <c r="N85" s="5">
        <v>1548</v>
      </c>
      <c r="O85" s="5">
        <v>1548</v>
      </c>
      <c r="P85" s="30">
        <v>1548</v>
      </c>
      <c r="Q85" s="7">
        <v>4.9000000000000004</v>
      </c>
      <c r="R85" s="4">
        <v>24</v>
      </c>
      <c r="S85" s="8"/>
      <c r="T85" s="9">
        <v>180</v>
      </c>
      <c r="U85" s="9">
        <v>110</v>
      </c>
      <c r="V85" s="10">
        <v>70</v>
      </c>
      <c r="W85" s="11" t="s">
        <v>5</v>
      </c>
      <c r="X85" s="16">
        <v>58</v>
      </c>
      <c r="Y85" s="12">
        <v>2.8064750000000003</v>
      </c>
      <c r="Z85" s="7">
        <v>12.4</v>
      </c>
      <c r="AA85" s="7">
        <v>11.9</v>
      </c>
      <c r="AB85" s="13">
        <v>98</v>
      </c>
      <c r="AC85" s="13">
        <v>95</v>
      </c>
      <c r="AD85" s="11" t="s">
        <v>6</v>
      </c>
      <c r="AE85" s="18" t="s">
        <v>455</v>
      </c>
      <c r="AF85" s="14" t="s">
        <v>907</v>
      </c>
    </row>
    <row r="86" spans="1:32" ht="15.75" x14ac:dyDescent="0.25">
      <c r="A86" s="1">
        <v>1582</v>
      </c>
      <c r="B86" s="2">
        <v>46074</v>
      </c>
      <c r="C86" s="1" t="s">
        <v>18</v>
      </c>
      <c r="D86" s="1" t="s">
        <v>258</v>
      </c>
      <c r="E86" s="1">
        <v>2</v>
      </c>
      <c r="F86" s="83">
        <v>22602020</v>
      </c>
      <c r="G86" s="4">
        <v>1240</v>
      </c>
      <c r="H86" s="4" t="s">
        <v>10</v>
      </c>
      <c r="I86" s="88" t="s">
        <v>373</v>
      </c>
      <c r="J86" s="16" t="s">
        <v>1936</v>
      </c>
      <c r="K86" s="4">
        <v>1566</v>
      </c>
      <c r="L86" s="4">
        <v>1550</v>
      </c>
      <c r="M86" s="4">
        <v>1551</v>
      </c>
      <c r="N86" s="5">
        <v>1551</v>
      </c>
      <c r="O86" s="5" t="s">
        <v>5</v>
      </c>
      <c r="P86" s="30">
        <v>1551</v>
      </c>
      <c r="Q86" s="7">
        <v>5.7</v>
      </c>
      <c r="R86" s="4">
        <v>33</v>
      </c>
      <c r="S86" s="8">
        <v>26</v>
      </c>
      <c r="T86" s="9">
        <v>163.02000000000001</v>
      </c>
      <c r="U86" s="9">
        <v>58.97</v>
      </c>
      <c r="V86" s="10">
        <v>104.05000000000001</v>
      </c>
      <c r="W86" s="11" t="s">
        <v>5</v>
      </c>
      <c r="X86" s="16">
        <v>58</v>
      </c>
      <c r="Y86" s="12">
        <v>3.2385576</v>
      </c>
      <c r="Z86" s="7">
        <v>10.5</v>
      </c>
      <c r="AA86" s="7" t="s">
        <v>1937</v>
      </c>
      <c r="AB86" s="7">
        <v>82</v>
      </c>
      <c r="AC86" s="7">
        <v>79</v>
      </c>
      <c r="AD86" s="11" t="s">
        <v>6</v>
      </c>
      <c r="AE86" s="18" t="s">
        <v>455</v>
      </c>
      <c r="AF86" s="14" t="s">
        <v>397</v>
      </c>
    </row>
    <row r="87" spans="1:32" ht="15.75" x14ac:dyDescent="0.25">
      <c r="A87" s="1">
        <v>1605</v>
      </c>
      <c r="B87" s="2">
        <v>46074</v>
      </c>
      <c r="C87" s="1" t="s">
        <v>264</v>
      </c>
      <c r="D87" s="1" t="s">
        <v>9</v>
      </c>
      <c r="E87" s="1">
        <v>2</v>
      </c>
      <c r="F87" s="83">
        <v>22602021</v>
      </c>
      <c r="G87" s="4">
        <v>1230</v>
      </c>
      <c r="H87" s="4" t="s">
        <v>10</v>
      </c>
      <c r="I87" s="88" t="s">
        <v>189</v>
      </c>
      <c r="J87" s="69" t="s">
        <v>1938</v>
      </c>
      <c r="K87" s="4">
        <v>1565</v>
      </c>
      <c r="L87" s="4">
        <v>1545</v>
      </c>
      <c r="M87" s="5">
        <v>1543</v>
      </c>
      <c r="N87" s="5">
        <v>1540</v>
      </c>
      <c r="O87" s="5" t="s">
        <v>5</v>
      </c>
      <c r="P87" s="30">
        <v>1541.5</v>
      </c>
      <c r="Q87" s="7">
        <v>5</v>
      </c>
      <c r="R87" s="4">
        <v>29</v>
      </c>
      <c r="S87" s="8" t="s">
        <v>5</v>
      </c>
      <c r="T87" s="9">
        <v>151</v>
      </c>
      <c r="U87" s="9">
        <v>63</v>
      </c>
      <c r="V87" s="10">
        <v>88</v>
      </c>
      <c r="W87" s="11" t="s">
        <v>5</v>
      </c>
      <c r="X87" s="16">
        <v>58</v>
      </c>
      <c r="Y87" s="12">
        <v>2.81793</v>
      </c>
      <c r="Z87" s="7">
        <v>10.6</v>
      </c>
      <c r="AA87" s="7">
        <v>10.9</v>
      </c>
      <c r="AB87" s="13">
        <v>86</v>
      </c>
      <c r="AC87" s="13">
        <v>90</v>
      </c>
      <c r="AD87" s="11" t="s">
        <v>6</v>
      </c>
      <c r="AE87" s="18" t="s">
        <v>53</v>
      </c>
      <c r="AF87" s="14" t="s">
        <v>721</v>
      </c>
    </row>
    <row r="88" spans="1:32" ht="31.5" x14ac:dyDescent="0.25">
      <c r="A88" s="1">
        <v>1647</v>
      </c>
      <c r="B88" s="2">
        <v>46075</v>
      </c>
      <c r="C88" s="1" t="s">
        <v>18</v>
      </c>
      <c r="D88" s="1" t="s">
        <v>258</v>
      </c>
      <c r="E88" s="1">
        <v>1</v>
      </c>
      <c r="F88" s="83">
        <v>12602022</v>
      </c>
      <c r="G88" s="4">
        <v>1250</v>
      </c>
      <c r="H88" s="4" t="s">
        <v>1095</v>
      </c>
      <c r="I88" s="88" t="s">
        <v>315</v>
      </c>
      <c r="J88" s="16" t="s">
        <v>1939</v>
      </c>
      <c r="K88" s="16">
        <v>1566</v>
      </c>
      <c r="L88" s="4">
        <v>1540</v>
      </c>
      <c r="M88" s="4">
        <v>1542</v>
      </c>
      <c r="N88" s="5">
        <v>1542</v>
      </c>
      <c r="O88" s="5">
        <v>1540</v>
      </c>
      <c r="P88" s="30">
        <v>1541.3333333333333</v>
      </c>
      <c r="Q88" s="7">
        <v>5.2</v>
      </c>
      <c r="R88" s="4">
        <v>32</v>
      </c>
      <c r="S88" s="8">
        <v>8</v>
      </c>
      <c r="T88" s="9" t="s">
        <v>5</v>
      </c>
      <c r="U88" s="9" t="s">
        <v>5</v>
      </c>
      <c r="V88" s="9" t="s">
        <v>5</v>
      </c>
      <c r="W88" s="11">
        <v>24.3</v>
      </c>
      <c r="X88" s="16">
        <v>58</v>
      </c>
      <c r="Y88" s="12">
        <v>2.9782999999999999</v>
      </c>
      <c r="Z88" s="7">
        <v>9.3000000000000007</v>
      </c>
      <c r="AA88" s="7">
        <v>9.4</v>
      </c>
      <c r="AB88" s="13">
        <v>94</v>
      </c>
      <c r="AC88" s="13">
        <v>92</v>
      </c>
      <c r="AD88" s="11" t="s">
        <v>6</v>
      </c>
      <c r="AE88" s="18" t="s">
        <v>72</v>
      </c>
      <c r="AF88" s="14" t="s">
        <v>1940</v>
      </c>
    </row>
    <row r="89" spans="1:32" ht="15.75" x14ac:dyDescent="0.25">
      <c r="A89" s="1">
        <v>1657</v>
      </c>
      <c r="B89" s="2">
        <v>46075</v>
      </c>
      <c r="C89" s="1" t="s">
        <v>18</v>
      </c>
      <c r="D89" s="1" t="s">
        <v>258</v>
      </c>
      <c r="E89" s="1">
        <v>2</v>
      </c>
      <c r="F89" s="83">
        <v>22602021</v>
      </c>
      <c r="G89" s="4">
        <v>1250</v>
      </c>
      <c r="H89" s="4" t="s">
        <v>10</v>
      </c>
      <c r="I89" s="88" t="s">
        <v>66</v>
      </c>
      <c r="J89" s="16" t="s">
        <v>1941</v>
      </c>
      <c r="K89" s="4">
        <v>1567</v>
      </c>
      <c r="L89" s="4">
        <v>1549</v>
      </c>
      <c r="M89" s="4">
        <v>1549</v>
      </c>
      <c r="N89" s="5">
        <v>1550</v>
      </c>
      <c r="O89" s="5" t="s">
        <v>5</v>
      </c>
      <c r="P89" s="30">
        <v>1549.5</v>
      </c>
      <c r="Q89" s="7">
        <v>5.6</v>
      </c>
      <c r="R89" s="4">
        <v>29</v>
      </c>
      <c r="S89" s="8">
        <v>25</v>
      </c>
      <c r="T89" s="8">
        <v>161.52000000000001</v>
      </c>
      <c r="U89" s="8">
        <v>65.680000000000007</v>
      </c>
      <c r="V89" s="10">
        <v>95.84</v>
      </c>
      <c r="W89" s="11" t="s">
        <v>5</v>
      </c>
      <c r="X89" s="16">
        <v>58</v>
      </c>
      <c r="Y89" s="12">
        <v>3.2073999999999998</v>
      </c>
      <c r="Z89" s="7">
        <v>10.1</v>
      </c>
      <c r="AA89" s="7">
        <v>10.1</v>
      </c>
      <c r="AB89" s="13">
        <v>77</v>
      </c>
      <c r="AC89" s="13">
        <v>81</v>
      </c>
      <c r="AD89" s="11" t="s">
        <v>6</v>
      </c>
      <c r="AE89" s="18" t="s">
        <v>53</v>
      </c>
      <c r="AF89" s="14" t="s">
        <v>480</v>
      </c>
    </row>
    <row r="90" spans="1:32" ht="31.5" x14ac:dyDescent="0.25">
      <c r="A90" s="1">
        <v>1658</v>
      </c>
      <c r="B90" s="2">
        <v>46075</v>
      </c>
      <c r="C90" s="1" t="s">
        <v>18</v>
      </c>
      <c r="D90" s="1" t="s">
        <v>258</v>
      </c>
      <c r="E90" s="1">
        <v>2</v>
      </c>
      <c r="F90" s="83">
        <v>22602021</v>
      </c>
      <c r="G90" s="4">
        <v>1250</v>
      </c>
      <c r="H90" s="4" t="s">
        <v>10</v>
      </c>
      <c r="I90" s="88" t="s">
        <v>15</v>
      </c>
      <c r="J90" s="16" t="s">
        <v>1942</v>
      </c>
      <c r="K90" s="4">
        <v>1567</v>
      </c>
      <c r="L90" s="4">
        <v>1546</v>
      </c>
      <c r="M90" s="4">
        <v>1545</v>
      </c>
      <c r="N90" s="5">
        <v>1544</v>
      </c>
      <c r="O90" s="5" t="s">
        <v>5</v>
      </c>
      <c r="P90" s="30">
        <v>1544.5</v>
      </c>
      <c r="Q90" s="7">
        <v>5.3</v>
      </c>
      <c r="R90" s="4">
        <v>34</v>
      </c>
      <c r="S90" s="8">
        <v>30</v>
      </c>
      <c r="T90" s="9" t="s">
        <v>5</v>
      </c>
      <c r="U90" s="9" t="s">
        <v>5</v>
      </c>
      <c r="V90" s="9" t="s">
        <v>5</v>
      </c>
      <c r="W90" s="11" t="s">
        <v>5</v>
      </c>
      <c r="X90" s="16">
        <v>58</v>
      </c>
      <c r="Y90" s="12">
        <v>3.0355749999999997</v>
      </c>
      <c r="Z90" s="7">
        <v>9.6</v>
      </c>
      <c r="AA90" s="7">
        <v>10.3</v>
      </c>
      <c r="AB90" s="7">
        <v>75</v>
      </c>
      <c r="AC90" s="7">
        <v>82</v>
      </c>
      <c r="AD90" s="11" t="s">
        <v>6</v>
      </c>
      <c r="AE90" s="18" t="s">
        <v>455</v>
      </c>
      <c r="AF90" s="14" t="s">
        <v>897</v>
      </c>
    </row>
    <row r="91" spans="1:32" ht="31.5" x14ac:dyDescent="0.25">
      <c r="A91" s="1">
        <v>1659</v>
      </c>
      <c r="B91" s="2">
        <v>46075</v>
      </c>
      <c r="C91" s="1" t="s">
        <v>18</v>
      </c>
      <c r="D91" s="1" t="s">
        <v>258</v>
      </c>
      <c r="E91" s="1">
        <v>2</v>
      </c>
      <c r="F91" s="83">
        <v>22602021</v>
      </c>
      <c r="G91" s="4">
        <v>1250</v>
      </c>
      <c r="H91" s="4" t="s">
        <v>225</v>
      </c>
      <c r="I91" s="88" t="s">
        <v>269</v>
      </c>
      <c r="J91" s="16" t="s">
        <v>1943</v>
      </c>
      <c r="K91" s="4">
        <v>1567</v>
      </c>
      <c r="L91" s="4">
        <v>1541</v>
      </c>
      <c r="M91" s="4">
        <v>1538</v>
      </c>
      <c r="N91" s="5">
        <v>1537</v>
      </c>
      <c r="O91" s="5">
        <v>1536</v>
      </c>
      <c r="P91" s="30">
        <v>1537</v>
      </c>
      <c r="Q91" s="7">
        <v>5</v>
      </c>
      <c r="R91" s="4">
        <v>33</v>
      </c>
      <c r="S91" s="8">
        <v>23</v>
      </c>
      <c r="T91" s="9">
        <v>153.4</v>
      </c>
      <c r="U91" s="9">
        <v>63.02</v>
      </c>
      <c r="V91" s="10">
        <v>90.38</v>
      </c>
      <c r="W91" s="11" t="s">
        <v>5</v>
      </c>
      <c r="X91" s="16">
        <v>58</v>
      </c>
      <c r="Y91" s="12">
        <v>2.86375</v>
      </c>
      <c r="Z91" s="7">
        <v>6.9</v>
      </c>
      <c r="AA91" s="7">
        <v>7.7</v>
      </c>
      <c r="AB91" s="7">
        <v>73</v>
      </c>
      <c r="AC91" s="7">
        <v>79</v>
      </c>
      <c r="AD91" s="11" t="s">
        <v>6</v>
      </c>
      <c r="AE91" s="40" t="s">
        <v>72</v>
      </c>
      <c r="AF91" s="14" t="s">
        <v>1438</v>
      </c>
    </row>
    <row r="92" spans="1:32" ht="47.25" x14ac:dyDescent="0.25">
      <c r="A92" s="1">
        <v>1660</v>
      </c>
      <c r="B92" s="2">
        <v>46075</v>
      </c>
      <c r="C92" s="1" t="s">
        <v>18</v>
      </c>
      <c r="D92" s="1" t="s">
        <v>258</v>
      </c>
      <c r="E92" s="1">
        <v>2</v>
      </c>
      <c r="F92" s="83">
        <v>22602021</v>
      </c>
      <c r="G92" s="4">
        <v>1250</v>
      </c>
      <c r="H92" s="4" t="s">
        <v>1095</v>
      </c>
      <c r="I92" s="88" t="s">
        <v>129</v>
      </c>
      <c r="J92" s="16" t="s">
        <v>1944</v>
      </c>
      <c r="K92" s="4">
        <v>1575</v>
      </c>
      <c r="L92" s="4">
        <v>1547</v>
      </c>
      <c r="M92" s="4">
        <v>1550</v>
      </c>
      <c r="N92" s="5">
        <v>1552</v>
      </c>
      <c r="O92" s="5">
        <v>1554</v>
      </c>
      <c r="P92" s="30">
        <v>1552</v>
      </c>
      <c r="Q92" s="7">
        <v>5</v>
      </c>
      <c r="R92" s="4">
        <v>33</v>
      </c>
      <c r="S92" s="8" t="s">
        <v>5</v>
      </c>
      <c r="T92" s="9">
        <v>181.72</v>
      </c>
      <c r="U92" s="9">
        <v>63.01</v>
      </c>
      <c r="V92" s="10">
        <v>118.71000000000001</v>
      </c>
      <c r="W92" s="11" t="s">
        <v>5</v>
      </c>
      <c r="X92" s="16">
        <v>58</v>
      </c>
      <c r="Y92" s="12">
        <v>2.86375</v>
      </c>
      <c r="Z92" s="7">
        <v>8.6</v>
      </c>
      <c r="AA92" s="7">
        <v>10.199999999999999</v>
      </c>
      <c r="AB92" s="7">
        <v>70</v>
      </c>
      <c r="AC92" s="7">
        <v>84</v>
      </c>
      <c r="AD92" s="11" t="s">
        <v>6</v>
      </c>
      <c r="AE92" s="40" t="s">
        <v>72</v>
      </c>
      <c r="AF92" s="14" t="s">
        <v>1945</v>
      </c>
    </row>
    <row r="93" spans="1:32" ht="31.5" x14ac:dyDescent="0.25">
      <c r="A93" s="1">
        <v>1661</v>
      </c>
      <c r="B93" s="2">
        <v>46075</v>
      </c>
      <c r="C93" s="1" t="s">
        <v>18</v>
      </c>
      <c r="D93" s="1" t="s">
        <v>258</v>
      </c>
      <c r="E93" s="1">
        <v>2</v>
      </c>
      <c r="F93" s="83">
        <v>22602021</v>
      </c>
      <c r="G93" s="4">
        <v>1250</v>
      </c>
      <c r="H93" s="4" t="s">
        <v>1095</v>
      </c>
      <c r="I93" s="88" t="s">
        <v>277</v>
      </c>
      <c r="J93" s="16" t="s">
        <v>1946</v>
      </c>
      <c r="K93" s="4">
        <v>1578</v>
      </c>
      <c r="L93" s="4">
        <v>1550</v>
      </c>
      <c r="M93" s="4">
        <v>1550</v>
      </c>
      <c r="N93" s="5">
        <v>1543</v>
      </c>
      <c r="O93" s="5" t="s">
        <v>5</v>
      </c>
      <c r="P93" s="30">
        <v>1546.5</v>
      </c>
      <c r="Q93" s="7">
        <v>5</v>
      </c>
      <c r="R93" s="4">
        <v>33</v>
      </c>
      <c r="S93" s="8">
        <v>31</v>
      </c>
      <c r="T93" s="9" t="s">
        <v>5</v>
      </c>
      <c r="U93" s="9" t="s">
        <v>5</v>
      </c>
      <c r="V93" s="9" t="s">
        <v>5</v>
      </c>
      <c r="W93" s="11" t="s">
        <v>5</v>
      </c>
      <c r="X93" s="16">
        <v>58</v>
      </c>
      <c r="Y93" s="12">
        <v>2.86375</v>
      </c>
      <c r="Z93" s="7">
        <v>7.6</v>
      </c>
      <c r="AA93" s="7">
        <v>9.1999999999999993</v>
      </c>
      <c r="AB93" s="7">
        <v>57</v>
      </c>
      <c r="AC93" s="7">
        <v>71</v>
      </c>
      <c r="AD93" s="11" t="s">
        <v>6</v>
      </c>
      <c r="AE93" s="40" t="s">
        <v>72</v>
      </c>
      <c r="AF93" s="14" t="s">
        <v>1947</v>
      </c>
    </row>
    <row r="94" spans="1:32" ht="15.75" x14ac:dyDescent="0.25">
      <c r="A94" s="1">
        <v>1662</v>
      </c>
      <c r="B94" s="2">
        <v>46075</v>
      </c>
      <c r="C94" s="1" t="s">
        <v>18</v>
      </c>
      <c r="D94" s="1" t="s">
        <v>258</v>
      </c>
      <c r="E94" s="1">
        <v>2</v>
      </c>
      <c r="F94" s="83">
        <v>22602021</v>
      </c>
      <c r="G94" s="4">
        <v>1250</v>
      </c>
      <c r="H94" s="4" t="s">
        <v>1095</v>
      </c>
      <c r="I94" s="88" t="s">
        <v>416</v>
      </c>
      <c r="J94" s="16" t="s">
        <v>1948</v>
      </c>
      <c r="K94" s="4">
        <v>1572</v>
      </c>
      <c r="L94" s="4">
        <v>1541</v>
      </c>
      <c r="M94" s="4">
        <v>1545</v>
      </c>
      <c r="N94" s="5">
        <v>1541</v>
      </c>
      <c r="O94" s="5" t="s">
        <v>5</v>
      </c>
      <c r="P94" s="30">
        <v>1543</v>
      </c>
      <c r="Q94" s="7">
        <v>5.2</v>
      </c>
      <c r="R94" s="4">
        <v>39</v>
      </c>
      <c r="S94" s="8">
        <v>14</v>
      </c>
      <c r="T94" s="9">
        <v>177.91</v>
      </c>
      <c r="U94" s="9">
        <v>65.739999999999995</v>
      </c>
      <c r="V94" s="10">
        <v>112.17</v>
      </c>
      <c r="W94" s="11" t="s">
        <v>5</v>
      </c>
      <c r="X94" s="16">
        <v>58</v>
      </c>
      <c r="Y94" s="12">
        <v>2.9782999999999999</v>
      </c>
      <c r="Z94" s="7">
        <v>8.4</v>
      </c>
      <c r="AA94" s="7">
        <v>10.6</v>
      </c>
      <c r="AB94" s="7">
        <v>66</v>
      </c>
      <c r="AC94" s="7">
        <v>82</v>
      </c>
      <c r="AD94" s="11" t="s">
        <v>6</v>
      </c>
      <c r="AE94" s="40" t="s">
        <v>72</v>
      </c>
      <c r="AF94" s="14" t="s">
        <v>1786</v>
      </c>
    </row>
    <row r="95" spans="1:32" ht="15.75" x14ac:dyDescent="0.25">
      <c r="A95" s="1">
        <v>1663</v>
      </c>
      <c r="B95" s="2">
        <v>46075</v>
      </c>
      <c r="C95" s="1" t="s">
        <v>18</v>
      </c>
      <c r="D95" s="1" t="s">
        <v>258</v>
      </c>
      <c r="E95" s="1">
        <v>2</v>
      </c>
      <c r="F95" s="83">
        <v>22602021</v>
      </c>
      <c r="G95" s="4">
        <v>1250</v>
      </c>
      <c r="H95" s="4" t="s">
        <v>1095</v>
      </c>
      <c r="I95" s="88" t="s">
        <v>303</v>
      </c>
      <c r="J95" s="16" t="s">
        <v>1949</v>
      </c>
      <c r="K95" s="4">
        <v>1570</v>
      </c>
      <c r="L95" s="4">
        <v>1539</v>
      </c>
      <c r="M95" s="4">
        <v>1542</v>
      </c>
      <c r="N95" s="5">
        <v>1543</v>
      </c>
      <c r="O95" s="5" t="s">
        <v>5</v>
      </c>
      <c r="P95" s="30">
        <v>1542.5</v>
      </c>
      <c r="Q95" s="7">
        <v>5</v>
      </c>
      <c r="R95" s="4">
        <v>34</v>
      </c>
      <c r="S95" s="8">
        <v>25</v>
      </c>
      <c r="T95" s="9">
        <v>167.88</v>
      </c>
      <c r="U95" s="9">
        <v>68.81</v>
      </c>
      <c r="V95" s="10">
        <v>99.07</v>
      </c>
      <c r="W95" s="11" t="s">
        <v>5</v>
      </c>
      <c r="X95" s="16">
        <v>58</v>
      </c>
      <c r="Y95" s="12">
        <v>2.86375</v>
      </c>
      <c r="Z95" s="7">
        <v>8.4</v>
      </c>
      <c r="AA95" s="7">
        <v>9.1</v>
      </c>
      <c r="AB95" s="7">
        <v>66</v>
      </c>
      <c r="AC95" s="7">
        <v>70</v>
      </c>
      <c r="AD95" s="11" t="s">
        <v>6</v>
      </c>
      <c r="AE95" s="40" t="s">
        <v>455</v>
      </c>
      <c r="AF95" s="14" t="s">
        <v>480</v>
      </c>
    </row>
    <row r="96" spans="1:32" ht="31.5" x14ac:dyDescent="0.25">
      <c r="A96" s="1">
        <v>1681</v>
      </c>
      <c r="B96" s="2">
        <v>46075</v>
      </c>
      <c r="C96" s="1" t="s">
        <v>264</v>
      </c>
      <c r="D96" s="1" t="s">
        <v>265</v>
      </c>
      <c r="E96" s="1">
        <v>2</v>
      </c>
      <c r="F96" s="83">
        <v>22602021</v>
      </c>
      <c r="G96" s="4">
        <v>1250</v>
      </c>
      <c r="H96" s="4" t="s">
        <v>1194</v>
      </c>
      <c r="I96" s="88" t="s">
        <v>59</v>
      </c>
      <c r="J96" s="69" t="s">
        <v>1950</v>
      </c>
      <c r="K96" s="4">
        <v>1571</v>
      </c>
      <c r="L96" s="4">
        <v>1545</v>
      </c>
      <c r="M96" s="5">
        <v>1548</v>
      </c>
      <c r="N96" s="5">
        <v>1548</v>
      </c>
      <c r="O96" s="5">
        <v>1548</v>
      </c>
      <c r="P96" s="30">
        <v>1548</v>
      </c>
      <c r="Q96" s="7">
        <v>5</v>
      </c>
      <c r="R96" s="4">
        <v>35</v>
      </c>
      <c r="S96" s="8">
        <v>20</v>
      </c>
      <c r="T96" s="9">
        <v>166.4</v>
      </c>
      <c r="U96" s="9">
        <v>61</v>
      </c>
      <c r="V96" s="10">
        <v>105.4</v>
      </c>
      <c r="W96" s="11" t="s">
        <v>5</v>
      </c>
      <c r="X96" s="16">
        <v>58</v>
      </c>
      <c r="Y96" s="12">
        <v>2.86375</v>
      </c>
      <c r="Z96" s="7">
        <v>9.1999999999999993</v>
      </c>
      <c r="AA96" s="7">
        <v>10</v>
      </c>
      <c r="AB96" s="13">
        <v>76</v>
      </c>
      <c r="AC96" s="13">
        <v>84</v>
      </c>
      <c r="AD96" s="11" t="s">
        <v>6</v>
      </c>
      <c r="AE96" s="18" t="s">
        <v>72</v>
      </c>
      <c r="AF96" s="14" t="s">
        <v>833</v>
      </c>
    </row>
    <row r="97" spans="1:32" ht="15.75" x14ac:dyDescent="0.25">
      <c r="A97" s="1">
        <v>1683</v>
      </c>
      <c r="B97" s="2">
        <v>46075</v>
      </c>
      <c r="C97" s="1" t="s">
        <v>264</v>
      </c>
      <c r="D97" s="1" t="s">
        <v>265</v>
      </c>
      <c r="E97" s="1">
        <v>2</v>
      </c>
      <c r="F97" s="83">
        <v>22602021</v>
      </c>
      <c r="G97" s="4">
        <v>1250</v>
      </c>
      <c r="H97" s="4" t="s">
        <v>232</v>
      </c>
      <c r="I97" s="88" t="s">
        <v>346</v>
      </c>
      <c r="J97" s="69" t="s">
        <v>1951</v>
      </c>
      <c r="K97" s="4">
        <v>1570</v>
      </c>
      <c r="L97" s="4">
        <v>1547</v>
      </c>
      <c r="M97" s="5">
        <v>1549</v>
      </c>
      <c r="N97" s="5">
        <v>1548</v>
      </c>
      <c r="O97" s="5">
        <v>1546</v>
      </c>
      <c r="P97" s="30">
        <v>1547.6666666666667</v>
      </c>
      <c r="Q97" s="7">
        <v>5</v>
      </c>
      <c r="R97" s="4">
        <v>41</v>
      </c>
      <c r="S97" s="8">
        <v>31</v>
      </c>
      <c r="T97" s="9">
        <v>171.4</v>
      </c>
      <c r="U97" s="9">
        <v>59.6</v>
      </c>
      <c r="V97" s="10">
        <v>111.80000000000001</v>
      </c>
      <c r="W97" s="11" t="s">
        <v>5</v>
      </c>
      <c r="X97" s="16">
        <v>58</v>
      </c>
      <c r="Y97" s="12">
        <v>2.86375</v>
      </c>
      <c r="Z97" s="7">
        <v>10.1</v>
      </c>
      <c r="AA97" s="7">
        <v>10.199999999999999</v>
      </c>
      <c r="AB97" s="13">
        <v>82</v>
      </c>
      <c r="AC97" s="13">
        <v>83</v>
      </c>
      <c r="AD97" s="11" t="s">
        <v>6</v>
      </c>
      <c r="AE97" s="18" t="s">
        <v>72</v>
      </c>
      <c r="AF97" s="14" t="s">
        <v>418</v>
      </c>
    </row>
    <row r="98" spans="1:32" ht="31.5" x14ac:dyDescent="0.25">
      <c r="A98" s="1">
        <v>1684</v>
      </c>
      <c r="B98" s="2">
        <v>46075</v>
      </c>
      <c r="C98" s="1" t="s">
        <v>264</v>
      </c>
      <c r="D98" s="1" t="s">
        <v>265</v>
      </c>
      <c r="E98" s="1">
        <v>2</v>
      </c>
      <c r="F98" s="83">
        <v>22602021</v>
      </c>
      <c r="G98" s="4">
        <v>1250</v>
      </c>
      <c r="H98" s="4" t="s">
        <v>232</v>
      </c>
      <c r="I98" s="88" t="s">
        <v>240</v>
      </c>
      <c r="J98" s="69" t="s">
        <v>1952</v>
      </c>
      <c r="K98" s="4">
        <v>1570</v>
      </c>
      <c r="L98" s="4">
        <v>1548</v>
      </c>
      <c r="M98" s="5">
        <v>1550</v>
      </c>
      <c r="N98" s="5">
        <v>1549</v>
      </c>
      <c r="O98" s="5">
        <v>1546</v>
      </c>
      <c r="P98" s="30">
        <v>1548.3333333333333</v>
      </c>
      <c r="Q98" s="7">
        <v>5</v>
      </c>
      <c r="R98" s="4">
        <v>37</v>
      </c>
      <c r="S98" s="8">
        <v>8</v>
      </c>
      <c r="T98" s="9">
        <v>173.6</v>
      </c>
      <c r="U98" s="9">
        <v>58.3</v>
      </c>
      <c r="V98" s="10">
        <v>115.3</v>
      </c>
      <c r="W98" s="11" t="s">
        <v>5</v>
      </c>
      <c r="X98" s="16">
        <v>58</v>
      </c>
      <c r="Y98" s="12">
        <v>2.86375</v>
      </c>
      <c r="Z98" s="7">
        <v>9</v>
      </c>
      <c r="AA98" s="7">
        <v>9.5</v>
      </c>
      <c r="AB98" s="13">
        <v>77</v>
      </c>
      <c r="AC98" s="13">
        <v>81</v>
      </c>
      <c r="AD98" s="11" t="s">
        <v>6</v>
      </c>
      <c r="AE98" s="18" t="s">
        <v>72</v>
      </c>
      <c r="AF98" s="14" t="s">
        <v>1953</v>
      </c>
    </row>
    <row r="99" spans="1:32" ht="31.5" x14ac:dyDescent="0.25">
      <c r="A99" s="1">
        <v>1691</v>
      </c>
      <c r="B99" s="2">
        <v>46075</v>
      </c>
      <c r="C99" s="1" t="s">
        <v>264</v>
      </c>
      <c r="D99" s="1" t="s">
        <v>265</v>
      </c>
      <c r="E99" s="1">
        <v>2</v>
      </c>
      <c r="F99" s="83">
        <v>22602021</v>
      </c>
      <c r="G99" s="4">
        <v>1250</v>
      </c>
      <c r="H99" s="4" t="s">
        <v>225</v>
      </c>
      <c r="I99" s="88" t="s">
        <v>504</v>
      </c>
      <c r="J99" s="128" t="s">
        <v>1954</v>
      </c>
      <c r="K99" s="4">
        <v>1575</v>
      </c>
      <c r="L99" s="4">
        <v>1550</v>
      </c>
      <c r="M99" s="5">
        <v>1549</v>
      </c>
      <c r="N99" s="5">
        <v>1549</v>
      </c>
      <c r="O99" s="5">
        <v>1546</v>
      </c>
      <c r="P99" s="30">
        <v>1548</v>
      </c>
      <c r="Q99" s="7">
        <v>5</v>
      </c>
      <c r="R99" s="4">
        <v>36</v>
      </c>
      <c r="S99" s="8" t="s">
        <v>5</v>
      </c>
      <c r="T99" s="8">
        <v>163.6</v>
      </c>
      <c r="U99" s="8">
        <v>63.6</v>
      </c>
      <c r="V99" s="10">
        <v>100</v>
      </c>
      <c r="W99" s="11" t="s">
        <v>5</v>
      </c>
      <c r="X99" s="16">
        <v>56</v>
      </c>
      <c r="Y99" s="12">
        <v>2.7650000000000001</v>
      </c>
      <c r="Z99" s="7">
        <v>9.8000000000000007</v>
      </c>
      <c r="AA99" s="7">
        <v>9.1</v>
      </c>
      <c r="AB99" s="7">
        <v>85</v>
      </c>
      <c r="AC99" s="7">
        <v>82</v>
      </c>
      <c r="AD99" s="11" t="s">
        <v>6</v>
      </c>
      <c r="AE99" s="18" t="s">
        <v>455</v>
      </c>
      <c r="AF99" s="14" t="s">
        <v>1955</v>
      </c>
    </row>
    <row r="100" spans="1:32" ht="15.75" x14ac:dyDescent="0.25">
      <c r="A100" s="1">
        <v>1768</v>
      </c>
      <c r="B100" s="2">
        <v>46076</v>
      </c>
      <c r="C100" s="1" t="s">
        <v>264</v>
      </c>
      <c r="D100" s="1" t="s">
        <v>265</v>
      </c>
      <c r="E100" s="1">
        <v>2</v>
      </c>
      <c r="F100" s="83">
        <v>22602022</v>
      </c>
      <c r="G100" s="4">
        <v>1260</v>
      </c>
      <c r="H100" s="4" t="s">
        <v>1159</v>
      </c>
      <c r="I100" s="88" t="s">
        <v>303</v>
      </c>
      <c r="J100" s="16" t="s">
        <v>1956</v>
      </c>
      <c r="K100" s="4">
        <v>1567</v>
      </c>
      <c r="L100" s="4">
        <v>1547</v>
      </c>
      <c r="M100" s="5">
        <v>1546</v>
      </c>
      <c r="N100" s="5">
        <v>1543</v>
      </c>
      <c r="O100" s="5" t="s">
        <v>5</v>
      </c>
      <c r="P100" s="30">
        <v>1544.5</v>
      </c>
      <c r="Q100" s="7">
        <v>5.2</v>
      </c>
      <c r="R100" s="4">
        <v>32</v>
      </c>
      <c r="S100" s="8" t="s">
        <v>5</v>
      </c>
      <c r="T100" s="8">
        <v>159.4</v>
      </c>
      <c r="U100" s="8">
        <v>66</v>
      </c>
      <c r="V100" s="10">
        <v>93.4</v>
      </c>
      <c r="W100" s="11" t="s">
        <v>5</v>
      </c>
      <c r="X100" s="16">
        <v>58</v>
      </c>
      <c r="Y100" s="12">
        <v>3.0021264000000003</v>
      </c>
      <c r="Z100" s="7">
        <v>10</v>
      </c>
      <c r="AA100" s="7">
        <v>10.199999999999999</v>
      </c>
      <c r="AB100" s="7">
        <v>84</v>
      </c>
      <c r="AC100" s="7">
        <v>86</v>
      </c>
      <c r="AD100" s="11" t="s">
        <v>6</v>
      </c>
      <c r="AE100" s="18" t="s">
        <v>455</v>
      </c>
      <c r="AF100" s="14" t="s">
        <v>721</v>
      </c>
    </row>
    <row r="101" spans="1:32" ht="15.75" x14ac:dyDescent="0.25">
      <c r="A101" s="1">
        <v>1778</v>
      </c>
      <c r="B101" s="2">
        <v>46076</v>
      </c>
      <c r="C101" s="1" t="s">
        <v>0</v>
      </c>
      <c r="D101" s="1" t="s">
        <v>19</v>
      </c>
      <c r="E101" s="1">
        <v>1</v>
      </c>
      <c r="F101" s="83">
        <v>12602024</v>
      </c>
      <c r="G101" s="4">
        <v>1260</v>
      </c>
      <c r="H101" s="4" t="s">
        <v>1159</v>
      </c>
      <c r="I101" s="88" t="s">
        <v>371</v>
      </c>
      <c r="J101" s="16" t="s">
        <v>1957</v>
      </c>
      <c r="K101" s="4">
        <v>1573</v>
      </c>
      <c r="L101" s="4">
        <v>1544</v>
      </c>
      <c r="M101" s="5">
        <v>1545</v>
      </c>
      <c r="N101" s="5">
        <v>1544</v>
      </c>
      <c r="O101" s="5" t="s">
        <v>5</v>
      </c>
      <c r="P101" s="30">
        <v>1544.5</v>
      </c>
      <c r="Q101" s="7">
        <v>5</v>
      </c>
      <c r="R101" s="4">
        <v>32</v>
      </c>
      <c r="S101" s="8">
        <v>36</v>
      </c>
      <c r="T101" s="8" t="s">
        <v>5</v>
      </c>
      <c r="U101" s="9" t="s">
        <v>5</v>
      </c>
      <c r="V101" s="10" t="e">
        <v>#VALUE!</v>
      </c>
      <c r="W101" s="11" t="s">
        <v>5</v>
      </c>
      <c r="X101" s="16">
        <v>58</v>
      </c>
      <c r="Y101" s="12">
        <v>2.8866600000000004</v>
      </c>
      <c r="Z101" s="7">
        <v>10.9</v>
      </c>
      <c r="AA101" s="7">
        <v>110.9</v>
      </c>
      <c r="AB101" s="7">
        <v>92</v>
      </c>
      <c r="AC101" s="7">
        <v>92</v>
      </c>
      <c r="AD101" s="11" t="s">
        <v>6</v>
      </c>
      <c r="AE101" s="18" t="s">
        <v>53</v>
      </c>
      <c r="AF101" s="14" t="s">
        <v>721</v>
      </c>
    </row>
    <row r="102" spans="1:32" ht="31.5" x14ac:dyDescent="0.25">
      <c r="A102" s="1">
        <v>1806</v>
      </c>
      <c r="B102" s="2">
        <v>46077</v>
      </c>
      <c r="C102" s="1" t="s">
        <v>18</v>
      </c>
      <c r="D102" s="1" t="s">
        <v>9</v>
      </c>
      <c r="E102" s="1">
        <v>1</v>
      </c>
      <c r="F102" s="83">
        <v>12602024</v>
      </c>
      <c r="G102" s="4">
        <v>1260</v>
      </c>
      <c r="H102" s="4" t="s">
        <v>1159</v>
      </c>
      <c r="I102" s="88" t="s">
        <v>346</v>
      </c>
      <c r="J102" s="16" t="s">
        <v>1958</v>
      </c>
      <c r="K102" s="16">
        <v>1566</v>
      </c>
      <c r="L102" s="4">
        <v>1547</v>
      </c>
      <c r="M102" s="4">
        <v>1546</v>
      </c>
      <c r="N102" s="5">
        <v>1545</v>
      </c>
      <c r="O102" s="5">
        <v>1545</v>
      </c>
      <c r="P102" s="30">
        <v>1545.3333333333333</v>
      </c>
      <c r="Q102" s="7">
        <v>5.7</v>
      </c>
      <c r="R102" s="4">
        <v>28</v>
      </c>
      <c r="S102" s="8">
        <v>23</v>
      </c>
      <c r="T102" s="9">
        <v>161</v>
      </c>
      <c r="U102" s="9">
        <v>60</v>
      </c>
      <c r="V102" s="10">
        <v>101</v>
      </c>
      <c r="W102" s="11" t="s">
        <v>5</v>
      </c>
      <c r="X102" s="16">
        <v>58</v>
      </c>
      <c r="Y102" s="12">
        <v>3.2907924000000004</v>
      </c>
      <c r="Z102" s="7">
        <v>9.1999999999999993</v>
      </c>
      <c r="AA102" s="7">
        <v>9.9</v>
      </c>
      <c r="AB102" s="13">
        <v>88</v>
      </c>
      <c r="AC102" s="13">
        <v>97</v>
      </c>
      <c r="AD102" s="11" t="s">
        <v>6</v>
      </c>
      <c r="AE102" s="18" t="s">
        <v>53</v>
      </c>
      <c r="AF102" s="14" t="s">
        <v>1959</v>
      </c>
    </row>
    <row r="103" spans="1:32" ht="31.5" x14ac:dyDescent="0.25">
      <c r="A103" s="1">
        <v>1816</v>
      </c>
      <c r="B103" s="2">
        <v>46077</v>
      </c>
      <c r="C103" s="1" t="s">
        <v>18</v>
      </c>
      <c r="D103" s="1" t="s">
        <v>9</v>
      </c>
      <c r="E103" s="1">
        <v>2</v>
      </c>
      <c r="F103" s="83">
        <v>22602023</v>
      </c>
      <c r="G103" s="4">
        <v>1260</v>
      </c>
      <c r="H103" s="4" t="s">
        <v>1159</v>
      </c>
      <c r="I103" s="88" t="s">
        <v>189</v>
      </c>
      <c r="J103" s="16" t="s">
        <v>1960</v>
      </c>
      <c r="K103" s="4">
        <v>1568</v>
      </c>
      <c r="L103" s="4">
        <v>1549</v>
      </c>
      <c r="M103" s="4">
        <v>1550</v>
      </c>
      <c r="N103" s="5">
        <v>1547</v>
      </c>
      <c r="O103" s="5">
        <v>1546</v>
      </c>
      <c r="P103" s="30">
        <v>1547.6666666666667</v>
      </c>
      <c r="Q103" s="7">
        <v>5.2</v>
      </c>
      <c r="R103" s="4">
        <v>36</v>
      </c>
      <c r="S103" s="8">
        <v>8</v>
      </c>
      <c r="T103" s="9">
        <v>155</v>
      </c>
      <c r="U103" s="9">
        <v>58</v>
      </c>
      <c r="V103" s="10">
        <v>97</v>
      </c>
      <c r="W103" s="11" t="s">
        <v>5</v>
      </c>
      <c r="X103" s="16">
        <v>56</v>
      </c>
      <c r="Y103" s="12">
        <v>2.8986048000000002</v>
      </c>
      <c r="Z103" s="7">
        <v>11.1</v>
      </c>
      <c r="AA103" s="7">
        <v>10.7</v>
      </c>
      <c r="AB103" s="13">
        <v>95</v>
      </c>
      <c r="AC103" s="13">
        <v>89</v>
      </c>
      <c r="AD103" s="11" t="s">
        <v>6</v>
      </c>
      <c r="AE103" s="18" t="s">
        <v>455</v>
      </c>
      <c r="AF103" s="14" t="s">
        <v>1961</v>
      </c>
    </row>
    <row r="104" spans="1:32" ht="31.5" x14ac:dyDescent="0.25">
      <c r="A104" s="1">
        <v>1817</v>
      </c>
      <c r="B104" s="2">
        <v>46077</v>
      </c>
      <c r="C104" s="1" t="s">
        <v>18</v>
      </c>
      <c r="D104" s="1" t="s">
        <v>9</v>
      </c>
      <c r="E104" s="1">
        <v>2</v>
      </c>
      <c r="F104" s="83">
        <v>22602023</v>
      </c>
      <c r="G104" s="4">
        <v>1260</v>
      </c>
      <c r="H104" s="4" t="s">
        <v>1159</v>
      </c>
      <c r="I104" s="88" t="s">
        <v>90</v>
      </c>
      <c r="J104" s="16" t="s">
        <v>1962</v>
      </c>
      <c r="K104" s="4">
        <v>1588</v>
      </c>
      <c r="L104" s="4">
        <v>1553</v>
      </c>
      <c r="M104" s="4">
        <v>1555</v>
      </c>
      <c r="N104" s="5">
        <v>1551</v>
      </c>
      <c r="O104" s="5">
        <v>1551</v>
      </c>
      <c r="P104" s="30">
        <v>1552.3333333333333</v>
      </c>
      <c r="Q104" s="7">
        <v>5.2</v>
      </c>
      <c r="R104" s="4">
        <v>36</v>
      </c>
      <c r="S104" s="8">
        <v>38</v>
      </c>
      <c r="T104" s="9">
        <v>189</v>
      </c>
      <c r="U104" s="8">
        <v>70</v>
      </c>
      <c r="V104" s="10">
        <v>119</v>
      </c>
      <c r="W104" s="11" t="s">
        <v>5</v>
      </c>
      <c r="X104" s="16">
        <v>56</v>
      </c>
      <c r="Y104" s="12">
        <v>2.8986048000000002</v>
      </c>
      <c r="Z104" s="7">
        <v>10.199999999999999</v>
      </c>
      <c r="AA104" s="7">
        <v>9.9</v>
      </c>
      <c r="AB104" s="13">
        <v>93</v>
      </c>
      <c r="AC104" s="13">
        <v>90</v>
      </c>
      <c r="AD104" s="11" t="s">
        <v>6</v>
      </c>
      <c r="AE104" s="18" t="s">
        <v>455</v>
      </c>
      <c r="AF104" s="14" t="s">
        <v>696</v>
      </c>
    </row>
    <row r="105" spans="1:32" ht="15.75" x14ac:dyDescent="0.25">
      <c r="A105" s="1">
        <v>1821</v>
      </c>
      <c r="B105" s="2">
        <v>46077</v>
      </c>
      <c r="C105" s="1" t="s">
        <v>18</v>
      </c>
      <c r="D105" s="1" t="s">
        <v>9</v>
      </c>
      <c r="E105" s="1">
        <v>2</v>
      </c>
      <c r="F105" s="83">
        <v>22602023</v>
      </c>
      <c r="G105" s="4">
        <v>1260</v>
      </c>
      <c r="H105" s="4" t="s">
        <v>10</v>
      </c>
      <c r="I105" s="88" t="s">
        <v>152</v>
      </c>
      <c r="J105" s="16" t="s">
        <v>1963</v>
      </c>
      <c r="K105" s="4">
        <v>1570</v>
      </c>
      <c r="L105" s="4">
        <v>1543</v>
      </c>
      <c r="M105" s="4">
        <v>1544</v>
      </c>
      <c r="N105" s="5">
        <v>1541</v>
      </c>
      <c r="O105" s="5">
        <v>1542</v>
      </c>
      <c r="P105" s="30">
        <v>1542.3333333333333</v>
      </c>
      <c r="Q105" s="7">
        <v>5.6</v>
      </c>
      <c r="R105" s="4">
        <v>30</v>
      </c>
      <c r="S105" s="8">
        <v>36</v>
      </c>
      <c r="T105" s="9">
        <v>177</v>
      </c>
      <c r="U105" s="9">
        <v>70</v>
      </c>
      <c r="V105" s="10">
        <v>107</v>
      </c>
      <c r="W105" s="11" t="s">
        <v>5</v>
      </c>
      <c r="X105" s="16">
        <v>58</v>
      </c>
      <c r="Y105" s="12">
        <v>3.2330592</v>
      </c>
      <c r="Z105" s="7">
        <v>7.6</v>
      </c>
      <c r="AA105" s="7">
        <v>6.6</v>
      </c>
      <c r="AB105" s="7">
        <v>91</v>
      </c>
      <c r="AC105" s="7">
        <v>89</v>
      </c>
      <c r="AD105" s="11" t="s">
        <v>6</v>
      </c>
      <c r="AE105" s="18" t="s">
        <v>455</v>
      </c>
      <c r="AF105" s="14" t="s">
        <v>706</v>
      </c>
    </row>
    <row r="106" spans="1:32" ht="15.75" x14ac:dyDescent="0.25">
      <c r="A106" s="1">
        <v>1826</v>
      </c>
      <c r="B106" s="2">
        <v>46077</v>
      </c>
      <c r="C106" s="1" t="s">
        <v>18</v>
      </c>
      <c r="D106" s="1" t="s">
        <v>9</v>
      </c>
      <c r="E106" s="1">
        <v>2</v>
      </c>
      <c r="F106" s="83">
        <v>22602023</v>
      </c>
      <c r="G106" s="4">
        <v>1250</v>
      </c>
      <c r="H106" s="4" t="s">
        <v>1098</v>
      </c>
      <c r="I106" s="88" t="s">
        <v>132</v>
      </c>
      <c r="J106" s="69" t="s">
        <v>1964</v>
      </c>
      <c r="K106" s="4">
        <v>1570</v>
      </c>
      <c r="L106" s="4">
        <v>1544</v>
      </c>
      <c r="M106" s="4">
        <v>1545</v>
      </c>
      <c r="N106" s="1">
        <v>1546</v>
      </c>
      <c r="O106" s="5">
        <v>1545</v>
      </c>
      <c r="P106" s="30">
        <v>1545.3333333333333</v>
      </c>
      <c r="Q106" s="7">
        <v>5</v>
      </c>
      <c r="R106" s="4">
        <v>39</v>
      </c>
      <c r="S106" s="8" t="s">
        <v>5</v>
      </c>
      <c r="T106" s="9">
        <v>170</v>
      </c>
      <c r="U106" s="9">
        <v>61</v>
      </c>
      <c r="V106" s="10">
        <v>109</v>
      </c>
      <c r="W106" s="11" t="s">
        <v>5</v>
      </c>
      <c r="X106" s="16">
        <v>58</v>
      </c>
      <c r="Y106" s="12">
        <v>2.86375</v>
      </c>
      <c r="Z106" s="7">
        <v>9.5</v>
      </c>
      <c r="AA106" s="7">
        <v>9.5</v>
      </c>
      <c r="AB106" s="7">
        <v>85</v>
      </c>
      <c r="AC106" s="7">
        <v>90</v>
      </c>
      <c r="AD106" s="11" t="s">
        <v>6</v>
      </c>
      <c r="AE106" s="18" t="s">
        <v>72</v>
      </c>
      <c r="AF106" s="14" t="s">
        <v>706</v>
      </c>
    </row>
    <row r="107" spans="1:32" ht="15.75" x14ac:dyDescent="0.25">
      <c r="A107" s="1">
        <v>1840</v>
      </c>
      <c r="B107" s="2">
        <v>46077</v>
      </c>
      <c r="C107" s="1" t="s">
        <v>264</v>
      </c>
      <c r="D107" s="1" t="s">
        <v>265</v>
      </c>
      <c r="E107" s="1">
        <v>2</v>
      </c>
      <c r="F107" s="83">
        <v>22602023</v>
      </c>
      <c r="G107" s="4">
        <v>1250</v>
      </c>
      <c r="H107" s="4" t="s">
        <v>1098</v>
      </c>
      <c r="I107" s="88" t="s">
        <v>120</v>
      </c>
      <c r="J107" s="69" t="s">
        <v>1965</v>
      </c>
      <c r="K107" s="99">
        <v>1568</v>
      </c>
      <c r="L107" s="4">
        <v>1542</v>
      </c>
      <c r="M107" s="105">
        <v>1542</v>
      </c>
      <c r="N107" s="5">
        <v>1541</v>
      </c>
      <c r="O107" s="5">
        <v>1536</v>
      </c>
      <c r="P107" s="30">
        <v>1539.6666666666667</v>
      </c>
      <c r="Q107" s="7">
        <v>5</v>
      </c>
      <c r="R107" s="4">
        <v>40</v>
      </c>
      <c r="S107" s="8" t="s">
        <v>5</v>
      </c>
      <c r="T107" s="9">
        <v>156.5</v>
      </c>
      <c r="U107" s="9">
        <v>60.5</v>
      </c>
      <c r="V107" s="10">
        <v>96</v>
      </c>
      <c r="W107" s="11" t="s">
        <v>5</v>
      </c>
      <c r="X107" s="16">
        <v>58</v>
      </c>
      <c r="Y107" s="12">
        <v>2.86375</v>
      </c>
      <c r="Z107" s="7">
        <v>10</v>
      </c>
      <c r="AA107" s="7">
        <v>10.199999999999999</v>
      </c>
      <c r="AB107" s="7">
        <v>81</v>
      </c>
      <c r="AC107" s="7">
        <v>81</v>
      </c>
      <c r="AD107" s="11" t="s">
        <v>6</v>
      </c>
      <c r="AE107" s="40" t="s">
        <v>72</v>
      </c>
      <c r="AF107" s="14" t="s">
        <v>1966</v>
      </c>
    </row>
    <row r="108" spans="1:32" ht="15.75" x14ac:dyDescent="0.25">
      <c r="A108" s="1">
        <v>1845</v>
      </c>
      <c r="B108" s="2">
        <v>46077</v>
      </c>
      <c r="C108" s="1" t="s">
        <v>264</v>
      </c>
      <c r="D108" s="1" t="s">
        <v>265</v>
      </c>
      <c r="E108" s="1">
        <v>2</v>
      </c>
      <c r="F108" s="83">
        <v>22602023</v>
      </c>
      <c r="G108" s="4">
        <v>1250</v>
      </c>
      <c r="H108" s="4" t="s">
        <v>222</v>
      </c>
      <c r="I108" s="88" t="s">
        <v>113</v>
      </c>
      <c r="J108" s="69" t="s">
        <v>1967</v>
      </c>
      <c r="K108" s="4">
        <v>1570</v>
      </c>
      <c r="L108" s="4">
        <v>1544</v>
      </c>
      <c r="M108" s="5">
        <v>1543</v>
      </c>
      <c r="N108" s="5">
        <v>1543</v>
      </c>
      <c r="O108" s="5">
        <v>1535</v>
      </c>
      <c r="P108" s="30">
        <v>1540.3333333333333</v>
      </c>
      <c r="Q108" s="7">
        <v>5</v>
      </c>
      <c r="R108" s="4">
        <v>40</v>
      </c>
      <c r="S108" s="8" t="s">
        <v>5</v>
      </c>
      <c r="T108" s="9">
        <v>186</v>
      </c>
      <c r="U108" s="9">
        <v>68</v>
      </c>
      <c r="V108" s="10">
        <v>118</v>
      </c>
      <c r="W108" s="11" t="s">
        <v>5</v>
      </c>
      <c r="X108" s="16">
        <v>58</v>
      </c>
      <c r="Y108" s="12">
        <v>2.86375</v>
      </c>
      <c r="Z108" s="7">
        <v>10.7</v>
      </c>
      <c r="AA108" s="7">
        <v>10.5</v>
      </c>
      <c r="AB108" s="13">
        <v>89</v>
      </c>
      <c r="AC108" s="13">
        <v>89</v>
      </c>
      <c r="AD108" s="11" t="s">
        <v>6</v>
      </c>
      <c r="AE108" s="40" t="s">
        <v>72</v>
      </c>
      <c r="AF108" s="14" t="s">
        <v>1786</v>
      </c>
    </row>
    <row r="109" spans="1:32" ht="31.5" x14ac:dyDescent="0.25">
      <c r="A109" s="1">
        <v>1847</v>
      </c>
      <c r="B109" s="2">
        <v>46077</v>
      </c>
      <c r="C109" s="1" t="s">
        <v>264</v>
      </c>
      <c r="D109" s="1" t="s">
        <v>265</v>
      </c>
      <c r="E109" s="1">
        <v>2</v>
      </c>
      <c r="F109" s="83">
        <v>22602023</v>
      </c>
      <c r="G109" s="4">
        <v>1240</v>
      </c>
      <c r="H109" s="4" t="s">
        <v>10</v>
      </c>
      <c r="I109" s="88" t="s">
        <v>155</v>
      </c>
      <c r="J109" s="16" t="s">
        <v>1968</v>
      </c>
      <c r="K109" s="4">
        <v>1570</v>
      </c>
      <c r="L109" s="4">
        <v>1544</v>
      </c>
      <c r="M109" s="5">
        <v>1546</v>
      </c>
      <c r="N109" s="5">
        <v>1544</v>
      </c>
      <c r="O109" s="5">
        <v>1536</v>
      </c>
      <c r="P109" s="30">
        <v>1542</v>
      </c>
      <c r="Q109" s="7">
        <v>5.6</v>
      </c>
      <c r="R109" s="4">
        <v>34</v>
      </c>
      <c r="S109" s="8">
        <v>28</v>
      </c>
      <c r="T109" s="8">
        <v>185.3</v>
      </c>
      <c r="U109" s="8">
        <v>68.099999999999994</v>
      </c>
      <c r="V109" s="10">
        <v>117.20000000000002</v>
      </c>
      <c r="W109" s="11" t="s">
        <v>5</v>
      </c>
      <c r="X109" s="16">
        <v>58</v>
      </c>
      <c r="Y109" s="12">
        <v>3.1817408</v>
      </c>
      <c r="Z109" s="7">
        <v>10.1</v>
      </c>
      <c r="AA109" s="7">
        <v>9.6</v>
      </c>
      <c r="AB109" s="13">
        <v>83</v>
      </c>
      <c r="AC109" s="13">
        <v>80</v>
      </c>
      <c r="AD109" s="11" t="s">
        <v>6</v>
      </c>
      <c r="AE109" s="40" t="s">
        <v>72</v>
      </c>
      <c r="AF109" s="14" t="s">
        <v>1969</v>
      </c>
    </row>
    <row r="110" spans="1:32" ht="15.75" x14ac:dyDescent="0.25">
      <c r="A110" s="1">
        <v>1850</v>
      </c>
      <c r="B110" s="2">
        <v>46077</v>
      </c>
      <c r="C110" s="1" t="s">
        <v>264</v>
      </c>
      <c r="D110" s="1" t="s">
        <v>265</v>
      </c>
      <c r="E110" s="1">
        <v>2</v>
      </c>
      <c r="F110" s="83">
        <v>22602023</v>
      </c>
      <c r="G110" s="4">
        <v>1240</v>
      </c>
      <c r="H110" s="4" t="s">
        <v>1159</v>
      </c>
      <c r="I110" s="88" t="s">
        <v>331</v>
      </c>
      <c r="J110" s="16" t="s">
        <v>1970</v>
      </c>
      <c r="K110" s="4">
        <v>1580</v>
      </c>
      <c r="L110" s="4">
        <v>1552</v>
      </c>
      <c r="M110" s="5">
        <v>1557</v>
      </c>
      <c r="N110" s="4">
        <v>1556</v>
      </c>
      <c r="O110" s="5">
        <v>1547</v>
      </c>
      <c r="P110" s="30">
        <v>1553.3333333333333</v>
      </c>
      <c r="Q110" s="7">
        <v>5.5</v>
      </c>
      <c r="R110" s="7">
        <v>41</v>
      </c>
      <c r="S110" s="8" t="s">
        <v>5</v>
      </c>
      <c r="T110" s="7">
        <v>163.4</v>
      </c>
      <c r="U110" s="7">
        <v>60</v>
      </c>
      <c r="V110" s="10">
        <v>103.4</v>
      </c>
      <c r="W110" s="11" t="s">
        <v>5</v>
      </c>
      <c r="X110" s="16">
        <v>58</v>
      </c>
      <c r="Y110" s="12">
        <v>3.124924</v>
      </c>
      <c r="Z110" s="7">
        <v>9.6</v>
      </c>
      <c r="AA110" s="7">
        <v>8.9</v>
      </c>
      <c r="AB110" s="7">
        <v>78</v>
      </c>
      <c r="AC110" s="7">
        <v>92</v>
      </c>
      <c r="AD110" s="11" t="s">
        <v>6</v>
      </c>
      <c r="AE110" s="40" t="s">
        <v>455</v>
      </c>
      <c r="AF110" s="14" t="s">
        <v>1971</v>
      </c>
    </row>
    <row r="111" spans="1:32" ht="31.5" x14ac:dyDescent="0.25">
      <c r="A111" s="1">
        <v>1867</v>
      </c>
      <c r="B111" s="2">
        <v>46077</v>
      </c>
      <c r="C111" s="1" t="s">
        <v>0</v>
      </c>
      <c r="D111" s="1" t="s">
        <v>19</v>
      </c>
      <c r="E111" s="1">
        <v>2</v>
      </c>
      <c r="F111" s="83">
        <v>22602023</v>
      </c>
      <c r="G111" s="4">
        <v>1240</v>
      </c>
      <c r="H111" s="4" t="s">
        <v>1159</v>
      </c>
      <c r="I111" s="88" t="s">
        <v>371</v>
      </c>
      <c r="J111" s="16" t="s">
        <v>1972</v>
      </c>
      <c r="K111" s="126">
        <v>1575</v>
      </c>
      <c r="L111" s="101">
        <v>1541</v>
      </c>
      <c r="M111" s="101">
        <v>1543</v>
      </c>
      <c r="N111" s="105">
        <v>1540</v>
      </c>
      <c r="O111" s="5">
        <v>1540</v>
      </c>
      <c r="P111" s="127">
        <v>1541</v>
      </c>
      <c r="Q111" s="7">
        <v>5.5</v>
      </c>
      <c r="R111" s="4">
        <v>36</v>
      </c>
      <c r="S111" s="8" t="s">
        <v>5</v>
      </c>
      <c r="T111" s="9">
        <v>174</v>
      </c>
      <c r="U111" s="9">
        <v>64</v>
      </c>
      <c r="V111" s="10">
        <v>110</v>
      </c>
      <c r="W111" s="11" t="s">
        <v>5</v>
      </c>
      <c r="X111" s="16">
        <v>58</v>
      </c>
      <c r="Y111" s="12">
        <v>3.124924</v>
      </c>
      <c r="Z111" s="7">
        <v>11.5</v>
      </c>
      <c r="AA111" s="7">
        <v>10.7</v>
      </c>
      <c r="AB111" s="7">
        <v>93</v>
      </c>
      <c r="AC111" s="7">
        <v>89</v>
      </c>
      <c r="AD111" s="11" t="s">
        <v>6</v>
      </c>
      <c r="AE111" s="18" t="s">
        <v>53</v>
      </c>
      <c r="AF111" s="14" t="s">
        <v>757</v>
      </c>
    </row>
    <row r="112" spans="1:32" ht="31.5" x14ac:dyDescent="0.25">
      <c r="A112" s="1">
        <v>1874</v>
      </c>
      <c r="B112" s="2">
        <v>46077</v>
      </c>
      <c r="C112" s="1" t="s">
        <v>0</v>
      </c>
      <c r="D112" s="1" t="s">
        <v>19</v>
      </c>
      <c r="E112" s="1">
        <v>2</v>
      </c>
      <c r="F112" s="83">
        <v>22602023</v>
      </c>
      <c r="G112" s="4">
        <v>1240</v>
      </c>
      <c r="H112" s="4" t="s">
        <v>10</v>
      </c>
      <c r="I112" s="88" t="s">
        <v>277</v>
      </c>
      <c r="J112" s="16" t="s">
        <v>1973</v>
      </c>
      <c r="K112" s="4">
        <v>1570</v>
      </c>
      <c r="L112" s="5">
        <v>1550</v>
      </c>
      <c r="M112" s="5">
        <v>1546</v>
      </c>
      <c r="N112" s="5">
        <v>1546</v>
      </c>
      <c r="O112" s="5">
        <v>1544</v>
      </c>
      <c r="P112" s="30">
        <v>1545.3333333333333</v>
      </c>
      <c r="Q112" s="7">
        <v>5</v>
      </c>
      <c r="R112" s="4">
        <v>38</v>
      </c>
      <c r="S112" s="8" t="s">
        <v>5</v>
      </c>
      <c r="T112" s="8">
        <v>163</v>
      </c>
      <c r="U112" s="9">
        <v>60</v>
      </c>
      <c r="V112" s="10">
        <v>103</v>
      </c>
      <c r="W112" s="11" t="s">
        <v>5</v>
      </c>
      <c r="X112" s="16">
        <v>58</v>
      </c>
      <c r="Y112" s="12">
        <v>2.84084</v>
      </c>
      <c r="Z112" s="7">
        <v>10.9</v>
      </c>
      <c r="AA112" s="7">
        <v>10.3</v>
      </c>
      <c r="AB112" s="13">
        <v>90</v>
      </c>
      <c r="AC112" s="13">
        <v>85</v>
      </c>
      <c r="AD112" s="11" t="s">
        <v>6</v>
      </c>
      <c r="AE112" s="18" t="s">
        <v>455</v>
      </c>
      <c r="AF112" s="14" t="s">
        <v>1974</v>
      </c>
    </row>
    <row r="113" spans="1:32" ht="15.75" x14ac:dyDescent="0.25">
      <c r="A113" s="1">
        <v>1875</v>
      </c>
      <c r="B113" s="2">
        <v>46077</v>
      </c>
      <c r="C113" s="1" t="s">
        <v>0</v>
      </c>
      <c r="D113" s="1" t="s">
        <v>19</v>
      </c>
      <c r="E113" s="1">
        <v>2</v>
      </c>
      <c r="F113" s="83">
        <v>22602023</v>
      </c>
      <c r="G113" s="4">
        <v>1240</v>
      </c>
      <c r="H113" s="4" t="s">
        <v>10</v>
      </c>
      <c r="I113" s="88" t="s">
        <v>416</v>
      </c>
      <c r="J113" s="16" t="s">
        <v>1975</v>
      </c>
      <c r="K113" s="4">
        <v>1572</v>
      </c>
      <c r="L113" s="5">
        <v>1544</v>
      </c>
      <c r="M113" s="5">
        <v>1544</v>
      </c>
      <c r="N113" s="5">
        <v>1544</v>
      </c>
      <c r="O113" s="5">
        <v>1542</v>
      </c>
      <c r="P113" s="30">
        <v>1543.3333333333333</v>
      </c>
      <c r="Q113" s="7">
        <v>5</v>
      </c>
      <c r="R113" s="4">
        <v>33</v>
      </c>
      <c r="S113" s="8" t="s">
        <v>5</v>
      </c>
      <c r="T113" s="9">
        <v>168</v>
      </c>
      <c r="U113" s="9">
        <v>61</v>
      </c>
      <c r="V113" s="10">
        <v>107</v>
      </c>
      <c r="W113" s="11" t="s">
        <v>5</v>
      </c>
      <c r="X113" s="16">
        <v>58</v>
      </c>
      <c r="Y113" s="12">
        <v>2.84084</v>
      </c>
      <c r="Z113" s="7">
        <v>11</v>
      </c>
      <c r="AA113" s="7">
        <v>10</v>
      </c>
      <c r="AB113" s="13">
        <v>97</v>
      </c>
      <c r="AC113" s="13">
        <v>88</v>
      </c>
      <c r="AD113" s="11" t="s">
        <v>6</v>
      </c>
      <c r="AE113" s="18" t="s">
        <v>455</v>
      </c>
      <c r="AF113" s="14" t="s">
        <v>1775</v>
      </c>
    </row>
    <row r="114" spans="1:32" ht="15.75" x14ac:dyDescent="0.25">
      <c r="A114" s="1">
        <v>1884</v>
      </c>
      <c r="B114" s="2">
        <v>46078</v>
      </c>
      <c r="C114" s="1" t="s">
        <v>18</v>
      </c>
      <c r="D114" s="1" t="s">
        <v>9</v>
      </c>
      <c r="E114" s="1">
        <v>1</v>
      </c>
      <c r="F114" s="83">
        <v>12602025</v>
      </c>
      <c r="G114" s="4">
        <v>1230</v>
      </c>
      <c r="H114" s="4" t="s">
        <v>10</v>
      </c>
      <c r="I114" s="88" t="s">
        <v>155</v>
      </c>
      <c r="J114" s="16" t="s">
        <v>1976</v>
      </c>
      <c r="K114" s="16">
        <v>1572</v>
      </c>
      <c r="L114" s="4">
        <v>1552</v>
      </c>
      <c r="M114" s="4">
        <v>1552</v>
      </c>
      <c r="N114" s="4">
        <v>1550</v>
      </c>
      <c r="O114" s="4">
        <v>1551</v>
      </c>
      <c r="P114" s="30">
        <v>1551</v>
      </c>
      <c r="Q114" s="4">
        <v>5.3</v>
      </c>
      <c r="R114" s="4">
        <v>33</v>
      </c>
      <c r="S114" s="4">
        <v>38</v>
      </c>
      <c r="T114" s="4">
        <v>164</v>
      </c>
      <c r="U114" s="4">
        <v>61</v>
      </c>
      <c r="V114" s="10">
        <v>103</v>
      </c>
      <c r="W114" s="11" t="s">
        <v>5</v>
      </c>
      <c r="X114" s="16">
        <v>58</v>
      </c>
      <c r="Y114" s="12">
        <v>2.9870057999999999</v>
      </c>
      <c r="Z114" s="7">
        <v>11.3</v>
      </c>
      <c r="AA114" s="7">
        <v>12.9</v>
      </c>
      <c r="AB114" s="7">
        <v>90</v>
      </c>
      <c r="AC114" s="7">
        <v>100</v>
      </c>
      <c r="AD114" s="11" t="s">
        <v>6</v>
      </c>
      <c r="AE114" s="18" t="s">
        <v>53</v>
      </c>
      <c r="AF114" s="7" t="s">
        <v>418</v>
      </c>
    </row>
    <row r="115" spans="1:32" ht="31.5" x14ac:dyDescent="0.25">
      <c r="A115" s="1">
        <v>1899</v>
      </c>
      <c r="B115" s="2">
        <v>46078</v>
      </c>
      <c r="C115" s="1" t="s">
        <v>18</v>
      </c>
      <c r="D115" s="1" t="s">
        <v>9</v>
      </c>
      <c r="E115" s="1">
        <v>2</v>
      </c>
      <c r="F115" s="83">
        <v>22602023</v>
      </c>
      <c r="G115" s="4">
        <v>1230</v>
      </c>
      <c r="H115" s="4" t="s">
        <v>10</v>
      </c>
      <c r="I115" s="88" t="s">
        <v>458</v>
      </c>
      <c r="J115" s="16" t="s">
        <v>1977</v>
      </c>
      <c r="K115" s="4">
        <v>1567</v>
      </c>
      <c r="L115" s="4">
        <v>1550</v>
      </c>
      <c r="M115" s="4">
        <v>1551</v>
      </c>
      <c r="N115" s="5">
        <v>1549</v>
      </c>
      <c r="O115" s="5" t="s">
        <v>5</v>
      </c>
      <c r="P115" s="30">
        <v>1550</v>
      </c>
      <c r="Q115" s="7">
        <v>5.5</v>
      </c>
      <c r="R115" s="4">
        <v>37</v>
      </c>
      <c r="S115" s="8" t="s">
        <v>5</v>
      </c>
      <c r="T115" s="9">
        <v>171</v>
      </c>
      <c r="U115" s="8">
        <v>60</v>
      </c>
      <c r="V115" s="10">
        <v>111</v>
      </c>
      <c r="W115" s="11" t="s">
        <v>5</v>
      </c>
      <c r="X115" s="16">
        <v>58</v>
      </c>
      <c r="Y115" s="12">
        <v>3.099723</v>
      </c>
      <c r="Z115" s="7">
        <v>10.9</v>
      </c>
      <c r="AA115" s="7">
        <v>10.199999999999999</v>
      </c>
      <c r="AB115" s="13">
        <v>93</v>
      </c>
      <c r="AC115" s="13">
        <v>84</v>
      </c>
      <c r="AD115" s="11" t="s">
        <v>6</v>
      </c>
      <c r="AE115" s="18" t="s">
        <v>53</v>
      </c>
      <c r="AF115" s="14" t="s">
        <v>757</v>
      </c>
    </row>
    <row r="116" spans="1:32" ht="31.5" x14ac:dyDescent="0.25">
      <c r="A116" s="1">
        <v>1932</v>
      </c>
      <c r="B116" s="2">
        <v>46078</v>
      </c>
      <c r="C116" s="1" t="s">
        <v>264</v>
      </c>
      <c r="D116" s="1" t="s">
        <v>265</v>
      </c>
      <c r="E116" s="1">
        <v>2</v>
      </c>
      <c r="F116" s="83">
        <v>22602024</v>
      </c>
      <c r="G116" s="4">
        <v>1230</v>
      </c>
      <c r="H116" s="4" t="s">
        <v>10</v>
      </c>
      <c r="I116" s="88" t="s">
        <v>122</v>
      </c>
      <c r="J116" s="16" t="s">
        <v>1978</v>
      </c>
      <c r="K116" s="4">
        <v>1574</v>
      </c>
      <c r="L116" s="4">
        <v>1549</v>
      </c>
      <c r="M116" s="5">
        <v>1553</v>
      </c>
      <c r="N116" s="4">
        <v>1551</v>
      </c>
      <c r="O116" s="5">
        <v>1548</v>
      </c>
      <c r="P116" s="30">
        <v>1550.6666666666667</v>
      </c>
      <c r="Q116" s="7">
        <v>4.8</v>
      </c>
      <c r="R116" s="7">
        <v>42</v>
      </c>
      <c r="S116" s="8">
        <v>20</v>
      </c>
      <c r="T116" s="7">
        <v>172</v>
      </c>
      <c r="U116" s="7">
        <v>65</v>
      </c>
      <c r="V116" s="10">
        <v>107</v>
      </c>
      <c r="W116" s="11" t="s">
        <v>5</v>
      </c>
      <c r="X116" s="16">
        <v>58</v>
      </c>
      <c r="Y116" s="12">
        <v>2.7052128</v>
      </c>
      <c r="Z116" s="7">
        <v>10.8</v>
      </c>
      <c r="AA116" s="7">
        <v>9.3000000000000007</v>
      </c>
      <c r="AB116" s="7">
        <v>92</v>
      </c>
      <c r="AC116" s="7">
        <v>83</v>
      </c>
      <c r="AD116" s="11" t="s">
        <v>6</v>
      </c>
      <c r="AE116" s="40" t="s">
        <v>455</v>
      </c>
      <c r="AF116" s="14" t="s">
        <v>1979</v>
      </c>
    </row>
    <row r="117" spans="1:32" ht="31.5" x14ac:dyDescent="0.25">
      <c r="A117" s="1">
        <v>2031</v>
      </c>
      <c r="B117" s="2">
        <v>46079</v>
      </c>
      <c r="C117" s="1" t="s">
        <v>0</v>
      </c>
      <c r="D117" s="1" t="s">
        <v>258</v>
      </c>
      <c r="E117" s="1">
        <v>1</v>
      </c>
      <c r="F117" s="83">
        <v>12602026</v>
      </c>
      <c r="G117" s="4">
        <v>1270</v>
      </c>
      <c r="H117" s="4" t="s">
        <v>1357</v>
      </c>
      <c r="I117" s="88" t="s">
        <v>504</v>
      </c>
      <c r="J117" s="16" t="s">
        <v>1980</v>
      </c>
      <c r="K117" s="4">
        <v>1570</v>
      </c>
      <c r="L117" s="5">
        <v>1546</v>
      </c>
      <c r="M117" s="5">
        <v>1546</v>
      </c>
      <c r="N117" s="5">
        <v>1546</v>
      </c>
      <c r="O117" s="5">
        <v>1546</v>
      </c>
      <c r="P117" s="30">
        <v>1546</v>
      </c>
      <c r="Q117" s="7">
        <v>5.2</v>
      </c>
      <c r="R117" s="4">
        <v>31</v>
      </c>
      <c r="S117" s="8">
        <v>38</v>
      </c>
      <c r="T117" s="8">
        <v>155</v>
      </c>
      <c r="U117" s="8">
        <v>63</v>
      </c>
      <c r="V117" s="10">
        <v>92</v>
      </c>
      <c r="W117" s="11" t="s">
        <v>5</v>
      </c>
      <c r="X117" s="16">
        <v>58</v>
      </c>
      <c r="Y117" s="12">
        <v>3.0259528000000002</v>
      </c>
      <c r="Z117" s="7">
        <v>10.3</v>
      </c>
      <c r="AA117" s="7">
        <v>10.1</v>
      </c>
      <c r="AB117" s="13">
        <v>93</v>
      </c>
      <c r="AC117" s="13">
        <v>93</v>
      </c>
      <c r="AD117" s="11" t="s">
        <v>6</v>
      </c>
      <c r="AE117" s="18" t="s">
        <v>455</v>
      </c>
      <c r="AF117" s="14" t="s">
        <v>1981</v>
      </c>
    </row>
    <row r="118" spans="1:32" ht="47.25" x14ac:dyDescent="0.25">
      <c r="A118" s="1">
        <v>2047</v>
      </c>
      <c r="B118" s="2">
        <v>46080</v>
      </c>
      <c r="C118" s="1" t="s">
        <v>18</v>
      </c>
      <c r="D118" s="1" t="s">
        <v>9</v>
      </c>
      <c r="E118" s="1">
        <v>1</v>
      </c>
      <c r="F118" s="83">
        <v>12602027</v>
      </c>
      <c r="G118" s="4">
        <v>1270</v>
      </c>
      <c r="H118" s="4" t="s">
        <v>1357</v>
      </c>
      <c r="I118" s="88" t="s">
        <v>194</v>
      </c>
      <c r="J118" s="16" t="s">
        <v>1982</v>
      </c>
      <c r="K118" s="16">
        <v>1570</v>
      </c>
      <c r="L118" s="4">
        <v>1548</v>
      </c>
      <c r="M118" s="4">
        <v>1549</v>
      </c>
      <c r="N118" s="4">
        <v>1548</v>
      </c>
      <c r="O118" s="4"/>
      <c r="P118" s="30">
        <v>1548.5</v>
      </c>
      <c r="Q118" s="4">
        <v>5</v>
      </c>
      <c r="R118" s="4">
        <v>40</v>
      </c>
      <c r="S118" s="4"/>
      <c r="T118" s="4">
        <v>160</v>
      </c>
      <c r="U118" s="4">
        <v>60</v>
      </c>
      <c r="V118" s="10">
        <v>100</v>
      </c>
      <c r="W118" s="11" t="s">
        <v>5</v>
      </c>
      <c r="X118" s="16">
        <v>56</v>
      </c>
      <c r="Y118" s="12">
        <v>2.80924</v>
      </c>
      <c r="Z118" s="7">
        <v>11</v>
      </c>
      <c r="AA118" s="7">
        <v>11.7</v>
      </c>
      <c r="AB118" s="7">
        <v>93</v>
      </c>
      <c r="AC118" s="7">
        <v>91</v>
      </c>
      <c r="AD118" s="11" t="s">
        <v>6</v>
      </c>
      <c r="AE118" s="18" t="s">
        <v>72</v>
      </c>
      <c r="AF118" s="14" t="s">
        <v>1983</v>
      </c>
    </row>
    <row r="119" spans="1:32" ht="30" x14ac:dyDescent="0.25">
      <c r="A119" s="1">
        <v>2048</v>
      </c>
      <c r="B119" s="2">
        <v>46080</v>
      </c>
      <c r="C119" s="1" t="s">
        <v>18</v>
      </c>
      <c r="D119" s="1" t="s">
        <v>9</v>
      </c>
      <c r="E119" s="1">
        <v>1</v>
      </c>
      <c r="F119" s="83">
        <v>12602027</v>
      </c>
      <c r="G119" s="4">
        <v>1270</v>
      </c>
      <c r="H119" s="4" t="s">
        <v>1357</v>
      </c>
      <c r="I119" s="88" t="s">
        <v>189</v>
      </c>
      <c r="J119" s="16" t="s">
        <v>1984</v>
      </c>
      <c r="K119" s="16">
        <v>1569</v>
      </c>
      <c r="L119" s="4">
        <v>1543</v>
      </c>
      <c r="M119" s="4">
        <v>1544</v>
      </c>
      <c r="N119" s="5">
        <v>1541</v>
      </c>
      <c r="O119" s="5"/>
      <c r="P119" s="30">
        <v>1542.5</v>
      </c>
      <c r="Q119" s="7">
        <v>5</v>
      </c>
      <c r="R119" s="4">
        <v>43</v>
      </c>
      <c r="S119" s="8">
        <v>20</v>
      </c>
      <c r="T119" s="9">
        <v>168</v>
      </c>
      <c r="U119" s="9">
        <v>60</v>
      </c>
      <c r="V119" s="10">
        <v>108</v>
      </c>
      <c r="W119" s="11" t="s">
        <v>5</v>
      </c>
      <c r="X119" s="16">
        <v>56</v>
      </c>
      <c r="Y119" s="12">
        <v>2.80924</v>
      </c>
      <c r="Z119" s="7">
        <v>12.4</v>
      </c>
      <c r="AA119" s="7">
        <v>12.3</v>
      </c>
      <c r="AB119" s="13">
        <v>97</v>
      </c>
      <c r="AC119" s="13">
        <v>91</v>
      </c>
      <c r="AD119" s="11" t="s">
        <v>6</v>
      </c>
      <c r="AE119" s="18" t="s">
        <v>72</v>
      </c>
      <c r="AF119" s="33" t="s">
        <v>1621</v>
      </c>
    </row>
    <row r="120" spans="1:32" ht="15.75" x14ac:dyDescent="0.25">
      <c r="A120" s="1">
        <v>2051</v>
      </c>
      <c r="B120" s="2">
        <v>46080</v>
      </c>
      <c r="C120" s="1" t="s">
        <v>18</v>
      </c>
      <c r="D120" s="1" t="s">
        <v>9</v>
      </c>
      <c r="E120" s="1">
        <v>1</v>
      </c>
      <c r="F120" s="83">
        <v>12602027</v>
      </c>
      <c r="G120" s="4">
        <v>1270</v>
      </c>
      <c r="H120" s="4" t="s">
        <v>1357</v>
      </c>
      <c r="I120" s="88" t="s">
        <v>93</v>
      </c>
      <c r="J120" s="16" t="s">
        <v>1985</v>
      </c>
      <c r="K120" s="16">
        <v>1570</v>
      </c>
      <c r="L120" s="4">
        <v>1547</v>
      </c>
      <c r="M120" s="4">
        <v>1545</v>
      </c>
      <c r="N120" s="5">
        <v>1543</v>
      </c>
      <c r="O120" s="5">
        <v>1546</v>
      </c>
      <c r="P120" s="30">
        <v>1544.6666666666667</v>
      </c>
      <c r="Q120" s="7">
        <v>5.2</v>
      </c>
      <c r="R120" s="4">
        <v>39</v>
      </c>
      <c r="S120" s="8"/>
      <c r="T120" s="9">
        <v>160</v>
      </c>
      <c r="U120" s="9">
        <v>60</v>
      </c>
      <c r="V120" s="10">
        <v>100</v>
      </c>
      <c r="W120" s="11" t="s">
        <v>5</v>
      </c>
      <c r="X120" s="16">
        <v>56</v>
      </c>
      <c r="Y120" s="12">
        <v>2.9216096</v>
      </c>
      <c r="Z120" s="7">
        <v>11.6</v>
      </c>
      <c r="AA120" s="7">
        <v>11.1</v>
      </c>
      <c r="AB120" s="13">
        <v>90</v>
      </c>
      <c r="AC120" s="13">
        <v>88</v>
      </c>
      <c r="AD120" s="11" t="s">
        <v>6</v>
      </c>
      <c r="AE120" s="18" t="s">
        <v>72</v>
      </c>
      <c r="AF120" s="14" t="s">
        <v>418</v>
      </c>
    </row>
    <row r="121" spans="1:32" ht="15.75" x14ac:dyDescent="0.25">
      <c r="A121" s="1">
        <v>2052</v>
      </c>
      <c r="B121" s="2">
        <v>46080</v>
      </c>
      <c r="C121" s="1" t="s">
        <v>18</v>
      </c>
      <c r="D121" s="1" t="s">
        <v>9</v>
      </c>
      <c r="E121" s="1">
        <v>1</v>
      </c>
      <c r="F121" s="83">
        <v>12602027</v>
      </c>
      <c r="G121" s="4">
        <v>1270</v>
      </c>
      <c r="H121" s="4" t="s">
        <v>1357</v>
      </c>
      <c r="I121" s="88" t="s">
        <v>74</v>
      </c>
      <c r="J121" s="16" t="s">
        <v>1986</v>
      </c>
      <c r="K121" s="16">
        <v>1568</v>
      </c>
      <c r="L121" s="4">
        <v>1547</v>
      </c>
      <c r="M121" s="4">
        <v>1547</v>
      </c>
      <c r="N121" s="5">
        <v>1548</v>
      </c>
      <c r="O121" s="5">
        <v>1547</v>
      </c>
      <c r="P121" s="30">
        <v>1547.3333333333333</v>
      </c>
      <c r="Q121" s="7">
        <v>5.2</v>
      </c>
      <c r="R121" s="4">
        <v>35</v>
      </c>
      <c r="S121" s="8">
        <v>38</v>
      </c>
      <c r="T121" s="9">
        <v>160</v>
      </c>
      <c r="U121" s="9">
        <v>60</v>
      </c>
      <c r="V121" s="10">
        <v>100</v>
      </c>
      <c r="W121" s="11" t="s">
        <v>5</v>
      </c>
      <c r="X121" s="16">
        <v>56</v>
      </c>
      <c r="Y121" s="12">
        <v>2.9216096</v>
      </c>
      <c r="Z121" s="7">
        <v>11.1</v>
      </c>
      <c r="AA121" s="7">
        <v>10</v>
      </c>
      <c r="AB121" s="13">
        <v>91</v>
      </c>
      <c r="AC121" s="11">
        <v>85</v>
      </c>
      <c r="AD121" s="11" t="s">
        <v>6</v>
      </c>
      <c r="AE121" s="18" t="s">
        <v>72</v>
      </c>
      <c r="AF121" s="14" t="s">
        <v>721</v>
      </c>
    </row>
    <row r="122" spans="1:32" ht="63" x14ac:dyDescent="0.25">
      <c r="A122" s="1">
        <v>2056</v>
      </c>
      <c r="B122" s="2">
        <v>46080</v>
      </c>
      <c r="C122" s="1" t="s">
        <v>18</v>
      </c>
      <c r="D122" s="1" t="s">
        <v>9</v>
      </c>
      <c r="E122" s="1">
        <v>2</v>
      </c>
      <c r="F122" s="83">
        <v>22602026</v>
      </c>
      <c r="G122" s="4">
        <v>1270</v>
      </c>
      <c r="H122" s="4" t="s">
        <v>1357</v>
      </c>
      <c r="I122" s="88" t="s">
        <v>152</v>
      </c>
      <c r="J122" s="16" t="s">
        <v>1987</v>
      </c>
      <c r="K122" s="16">
        <v>1568</v>
      </c>
      <c r="L122" s="4">
        <v>1550</v>
      </c>
      <c r="M122" s="4">
        <v>1550</v>
      </c>
      <c r="N122" s="5">
        <v>1549</v>
      </c>
      <c r="O122" s="5"/>
      <c r="P122" s="30">
        <v>1549.5</v>
      </c>
      <c r="Q122" s="7">
        <v>4.8</v>
      </c>
      <c r="R122" s="4">
        <v>39</v>
      </c>
      <c r="S122" s="8">
        <v>36</v>
      </c>
      <c r="T122" s="9">
        <v>174</v>
      </c>
      <c r="U122" s="9">
        <v>62</v>
      </c>
      <c r="V122" s="10">
        <v>112</v>
      </c>
      <c r="W122" s="11" t="s">
        <v>5</v>
      </c>
      <c r="X122" s="16">
        <v>56</v>
      </c>
      <c r="Y122" s="12">
        <v>2.6968703999999999</v>
      </c>
      <c r="Z122" s="7">
        <v>8.1999999999999993</v>
      </c>
      <c r="AA122" s="7">
        <v>8</v>
      </c>
      <c r="AB122" s="13">
        <v>70</v>
      </c>
      <c r="AC122" s="13">
        <v>69</v>
      </c>
      <c r="AD122" s="11" t="s">
        <v>6</v>
      </c>
      <c r="AE122" s="18" t="s">
        <v>72</v>
      </c>
      <c r="AF122" s="14" t="s">
        <v>1988</v>
      </c>
    </row>
    <row r="123" spans="1:32" ht="31.5" x14ac:dyDescent="0.25">
      <c r="A123" s="1">
        <v>2068</v>
      </c>
      <c r="B123" s="2">
        <v>46080</v>
      </c>
      <c r="C123" s="1" t="s">
        <v>264</v>
      </c>
      <c r="D123" s="1" t="s">
        <v>19</v>
      </c>
      <c r="E123" s="1">
        <v>1</v>
      </c>
      <c r="F123" s="83">
        <v>12602027</v>
      </c>
      <c r="G123" s="4">
        <v>1250</v>
      </c>
      <c r="H123" s="4" t="s">
        <v>225</v>
      </c>
      <c r="I123" s="88" t="s">
        <v>182</v>
      </c>
      <c r="J123" s="16" t="s">
        <v>1989</v>
      </c>
      <c r="K123" s="4">
        <v>1568</v>
      </c>
      <c r="L123" s="4">
        <v>1551</v>
      </c>
      <c r="M123" s="4">
        <v>1553</v>
      </c>
      <c r="N123" s="5">
        <v>1550</v>
      </c>
      <c r="O123" s="5"/>
      <c r="P123" s="30">
        <v>1551.5</v>
      </c>
      <c r="Q123" s="7">
        <v>4.5</v>
      </c>
      <c r="R123" s="4">
        <v>40</v>
      </c>
      <c r="S123" s="8">
        <v>30</v>
      </c>
      <c r="T123" s="9">
        <v>160</v>
      </c>
      <c r="U123" s="9">
        <v>60</v>
      </c>
      <c r="V123" s="10">
        <v>100</v>
      </c>
      <c r="W123" s="11" t="s">
        <v>5</v>
      </c>
      <c r="X123" s="16">
        <v>58</v>
      </c>
      <c r="Y123" s="12">
        <v>2.577375</v>
      </c>
      <c r="Z123" s="7">
        <v>11.1</v>
      </c>
      <c r="AA123" s="7">
        <v>10.7</v>
      </c>
      <c r="AB123" s="7">
        <v>91</v>
      </c>
      <c r="AC123" s="7">
        <v>89</v>
      </c>
      <c r="AD123" s="11" t="s">
        <v>6</v>
      </c>
      <c r="AE123" s="18" t="s">
        <v>72</v>
      </c>
      <c r="AF123" s="14" t="s">
        <v>833</v>
      </c>
    </row>
    <row r="124" spans="1:32" ht="15.75" x14ac:dyDescent="0.25">
      <c r="A124" s="1">
        <v>2069</v>
      </c>
      <c r="B124" s="2">
        <v>46080</v>
      </c>
      <c r="C124" s="1" t="s">
        <v>264</v>
      </c>
      <c r="D124" s="1" t="s">
        <v>19</v>
      </c>
      <c r="E124" s="1">
        <v>1</v>
      </c>
      <c r="F124" s="83">
        <v>12602027</v>
      </c>
      <c r="G124" s="4">
        <v>1250</v>
      </c>
      <c r="H124" s="4" t="s">
        <v>1095</v>
      </c>
      <c r="I124" s="88" t="s">
        <v>229</v>
      </c>
      <c r="J124" s="16" t="s">
        <v>1990</v>
      </c>
      <c r="K124" s="4">
        <v>1567</v>
      </c>
      <c r="L124" s="4">
        <v>1545</v>
      </c>
      <c r="M124" s="4">
        <v>1545</v>
      </c>
      <c r="N124" s="5">
        <v>1545</v>
      </c>
      <c r="O124" s="5"/>
      <c r="P124" s="30">
        <v>1545</v>
      </c>
      <c r="Q124" s="7">
        <v>5</v>
      </c>
      <c r="R124" s="4">
        <v>34</v>
      </c>
      <c r="S124" s="8">
        <v>4</v>
      </c>
      <c r="T124" s="9">
        <v>165</v>
      </c>
      <c r="U124" s="9">
        <v>65</v>
      </c>
      <c r="V124" s="10">
        <v>100</v>
      </c>
      <c r="W124" s="11" t="s">
        <v>5</v>
      </c>
      <c r="X124" s="16">
        <v>58</v>
      </c>
      <c r="Y124" s="12">
        <v>2.86375</v>
      </c>
      <c r="Z124" s="7">
        <v>10.7</v>
      </c>
      <c r="AA124" s="7">
        <v>10.3</v>
      </c>
      <c r="AB124" s="7">
        <v>92</v>
      </c>
      <c r="AC124" s="7">
        <v>88</v>
      </c>
      <c r="AD124" s="11" t="s">
        <v>6</v>
      </c>
      <c r="AE124" s="18" t="s">
        <v>72</v>
      </c>
      <c r="AF124" s="14" t="s">
        <v>706</v>
      </c>
    </row>
    <row r="125" spans="1:32" ht="15.75" x14ac:dyDescent="0.25">
      <c r="A125" s="1">
        <v>2070</v>
      </c>
      <c r="B125" s="2">
        <v>46080</v>
      </c>
      <c r="C125" s="1" t="s">
        <v>264</v>
      </c>
      <c r="D125" s="1" t="s">
        <v>19</v>
      </c>
      <c r="E125" s="1">
        <v>1</v>
      </c>
      <c r="F125" s="83">
        <v>12602027</v>
      </c>
      <c r="G125" s="4">
        <v>1250</v>
      </c>
      <c r="H125" s="4" t="s">
        <v>1098</v>
      </c>
      <c r="I125" s="88" t="s">
        <v>20</v>
      </c>
      <c r="J125" s="16" t="s">
        <v>1991</v>
      </c>
      <c r="K125" s="4">
        <v>1566</v>
      </c>
      <c r="L125" s="4">
        <v>1542</v>
      </c>
      <c r="M125" s="4">
        <v>1541</v>
      </c>
      <c r="N125" s="4">
        <v>1543</v>
      </c>
      <c r="O125" s="5"/>
      <c r="P125" s="30">
        <v>1542</v>
      </c>
      <c r="Q125" s="7">
        <v>4.8</v>
      </c>
      <c r="R125" s="4">
        <v>35</v>
      </c>
      <c r="S125" s="8">
        <v>22</v>
      </c>
      <c r="T125" s="9">
        <v>160</v>
      </c>
      <c r="U125" s="9">
        <v>60</v>
      </c>
      <c r="V125" s="10">
        <v>100</v>
      </c>
      <c r="W125" s="11" t="s">
        <v>5</v>
      </c>
      <c r="X125" s="16">
        <v>58</v>
      </c>
      <c r="Y125" s="12">
        <v>2.7491999999999996</v>
      </c>
      <c r="Z125" s="7">
        <v>11</v>
      </c>
      <c r="AA125" s="7">
        <v>10.1</v>
      </c>
      <c r="AB125" s="7">
        <v>86</v>
      </c>
      <c r="AC125" s="7">
        <v>80</v>
      </c>
      <c r="AD125" s="11" t="s">
        <v>6</v>
      </c>
      <c r="AE125" s="18" t="s">
        <v>72</v>
      </c>
      <c r="AF125" s="14" t="s">
        <v>486</v>
      </c>
    </row>
    <row r="126" spans="1:32" ht="31.5" x14ac:dyDescent="0.25">
      <c r="A126" s="1">
        <v>2103</v>
      </c>
      <c r="B126" s="2">
        <v>46080</v>
      </c>
      <c r="C126" s="1" t="s">
        <v>0</v>
      </c>
      <c r="D126" s="1" t="s">
        <v>258</v>
      </c>
      <c r="E126" s="1">
        <v>1</v>
      </c>
      <c r="F126" s="83">
        <v>12602027</v>
      </c>
      <c r="G126" s="4">
        <v>1230</v>
      </c>
      <c r="H126" s="4" t="s">
        <v>1588</v>
      </c>
      <c r="I126" s="88" t="s">
        <v>129</v>
      </c>
      <c r="J126" s="16" t="s">
        <v>1992</v>
      </c>
      <c r="K126" s="4">
        <v>1570</v>
      </c>
      <c r="L126" s="4">
        <v>1539</v>
      </c>
      <c r="M126" s="5">
        <v>1539</v>
      </c>
      <c r="N126" s="5">
        <v>1538</v>
      </c>
      <c r="O126" s="5">
        <v>1538</v>
      </c>
      <c r="P126" s="30">
        <v>1538.3333333333333</v>
      </c>
      <c r="Q126" s="7">
        <v>5.2</v>
      </c>
      <c r="R126" s="4">
        <v>35</v>
      </c>
      <c r="S126" s="8">
        <v>25</v>
      </c>
      <c r="T126" s="9">
        <v>160</v>
      </c>
      <c r="U126" s="8">
        <v>60</v>
      </c>
      <c r="V126" s="10">
        <v>100</v>
      </c>
      <c r="W126" s="11" t="s">
        <v>5</v>
      </c>
      <c r="X126" s="16">
        <v>58</v>
      </c>
      <c r="Y126" s="12">
        <v>2.9306472000000001</v>
      </c>
      <c r="Z126" s="7">
        <v>11.5</v>
      </c>
      <c r="AA126" s="7">
        <v>12.2</v>
      </c>
      <c r="AB126" s="7">
        <v>88</v>
      </c>
      <c r="AC126" s="7">
        <v>94</v>
      </c>
      <c r="AD126" s="11" t="s">
        <v>6</v>
      </c>
      <c r="AE126" s="18" t="s">
        <v>72</v>
      </c>
      <c r="AF126" s="14" t="s">
        <v>1993</v>
      </c>
    </row>
  </sheetData>
  <mergeCells count="28">
    <mergeCell ref="AE1:AE2"/>
    <mergeCell ref="AF1:AF2"/>
    <mergeCell ref="A3:K3"/>
    <mergeCell ref="Q3:AE3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3">
    <cfRule type="cellIs" dxfId="118" priority="51" stopIfTrue="1" operator="greaterThanOrEqual">
      <formula>1565</formula>
    </cfRule>
    <cfRule type="cellIs" dxfId="119" priority="52" stopIfTrue="1" operator="lessThanOrEqual">
      <formula>1545</formula>
    </cfRule>
  </conditionalFormatting>
  <conditionalFormatting sqref="M19:O19 P18:P19 L4:P17">
    <cfRule type="cellIs" dxfId="116" priority="49" stopIfTrue="1" operator="greaterThanOrEqual">
      <formula>1565</formula>
    </cfRule>
    <cfRule type="cellIs" dxfId="117" priority="50" stopIfTrue="1" operator="lessThanOrEqual">
      <formula>1545</formula>
    </cfRule>
  </conditionalFormatting>
  <conditionalFormatting sqref="L18:O18">
    <cfRule type="cellIs" dxfId="114" priority="47" stopIfTrue="1" operator="greaterThanOrEqual">
      <formula>1565</formula>
    </cfRule>
    <cfRule type="cellIs" dxfId="115" priority="48" stopIfTrue="1" operator="lessThanOrEqual">
      <formula>1545</formula>
    </cfRule>
  </conditionalFormatting>
  <conditionalFormatting sqref="L20:P23">
    <cfRule type="cellIs" dxfId="112" priority="45" stopIfTrue="1" operator="greaterThanOrEqual">
      <formula>1565</formula>
    </cfRule>
    <cfRule type="cellIs" dxfId="113" priority="46" stopIfTrue="1" operator="lessThanOrEqual">
      <formula>1545</formula>
    </cfRule>
  </conditionalFormatting>
  <conditionalFormatting sqref="L24:P25">
    <cfRule type="cellIs" dxfId="110" priority="43" stopIfTrue="1" operator="greaterThanOrEqual">
      <formula>1565</formula>
    </cfRule>
    <cfRule type="cellIs" dxfId="111" priority="44" stopIfTrue="1" operator="lessThanOrEqual">
      <formula>1545</formula>
    </cfRule>
  </conditionalFormatting>
  <conditionalFormatting sqref="L26:P28">
    <cfRule type="cellIs" dxfId="108" priority="41" stopIfTrue="1" operator="greaterThanOrEqual">
      <formula>1565</formula>
    </cfRule>
    <cfRule type="cellIs" dxfId="109" priority="42" stopIfTrue="1" operator="lessThanOrEqual">
      <formula>1545</formula>
    </cfRule>
  </conditionalFormatting>
  <conditionalFormatting sqref="L29:P29">
    <cfRule type="cellIs" dxfId="106" priority="39" stopIfTrue="1" operator="greaterThanOrEqual">
      <formula>1565</formula>
    </cfRule>
    <cfRule type="cellIs" dxfId="107" priority="40" stopIfTrue="1" operator="lessThanOrEqual">
      <formula>1545</formula>
    </cfRule>
  </conditionalFormatting>
  <conditionalFormatting sqref="P32 L30:P31">
    <cfRule type="cellIs" dxfId="105" priority="37" stopIfTrue="1" operator="greaterThanOrEqual">
      <formula>1565</formula>
    </cfRule>
    <cfRule type="cellIs" dxfId="104" priority="38" stopIfTrue="1" operator="lessThanOrEqual">
      <formula>1545</formula>
    </cfRule>
  </conditionalFormatting>
  <conditionalFormatting sqref="L32:O32">
    <cfRule type="cellIs" dxfId="102" priority="35" stopIfTrue="1" operator="greaterThanOrEqual">
      <formula>1565</formula>
    </cfRule>
    <cfRule type="cellIs" dxfId="103" priority="36" stopIfTrue="1" operator="lessThanOrEqual">
      <formula>1545</formula>
    </cfRule>
  </conditionalFormatting>
  <conditionalFormatting sqref="L33:P33">
    <cfRule type="cellIs" dxfId="100" priority="33" stopIfTrue="1" operator="greaterThanOrEqual">
      <formula>1565</formula>
    </cfRule>
    <cfRule type="cellIs" dxfId="101" priority="34" stopIfTrue="1" operator="lessThanOrEqual">
      <formula>1545</formula>
    </cfRule>
  </conditionalFormatting>
  <conditionalFormatting sqref="L34:P34">
    <cfRule type="cellIs" dxfId="99" priority="31" stopIfTrue="1" operator="greaterThanOrEqual">
      <formula>1565</formula>
    </cfRule>
    <cfRule type="cellIs" dxfId="98" priority="32" stopIfTrue="1" operator="lessThanOrEqual">
      <formula>1545</formula>
    </cfRule>
  </conditionalFormatting>
  <conditionalFormatting sqref="M36:P36 L35:P35">
    <cfRule type="cellIs" dxfId="97" priority="29" stopIfTrue="1" operator="greaterThanOrEqual">
      <formula>1565</formula>
    </cfRule>
    <cfRule type="cellIs" dxfId="96" priority="30" stopIfTrue="1" operator="lessThanOrEqual">
      <formula>1545</formula>
    </cfRule>
  </conditionalFormatting>
  <conditionalFormatting sqref="M44:P46 O38:P43 L39:N43 L37:P37">
    <cfRule type="cellIs" dxfId="95" priority="27" stopIfTrue="1" operator="greaterThanOrEqual">
      <formula>1565</formula>
    </cfRule>
    <cfRule type="cellIs" dxfId="94" priority="28" stopIfTrue="1" operator="lessThanOrEqual">
      <formula>1545</formula>
    </cfRule>
  </conditionalFormatting>
  <conditionalFormatting sqref="M52:P52 L47:P51">
    <cfRule type="cellIs" dxfId="92" priority="25" stopIfTrue="1" operator="greaterThanOrEqual">
      <formula>1565</formula>
    </cfRule>
    <cfRule type="cellIs" dxfId="93" priority="26" stopIfTrue="1" operator="lessThanOrEqual">
      <formula>1545</formula>
    </cfRule>
  </conditionalFormatting>
  <conditionalFormatting sqref="L53:P62">
    <cfRule type="cellIs" dxfId="90" priority="23" stopIfTrue="1" operator="greaterThanOrEqual">
      <formula>1565</formula>
    </cfRule>
    <cfRule type="cellIs" dxfId="91" priority="24" stopIfTrue="1" operator="lessThanOrEqual">
      <formula>1545</formula>
    </cfRule>
  </conditionalFormatting>
  <conditionalFormatting sqref="L63:P68">
    <cfRule type="cellIs" dxfId="88" priority="21" stopIfTrue="1" operator="greaterThanOrEqual">
      <formula>1565</formula>
    </cfRule>
    <cfRule type="cellIs" dxfId="89" priority="22" stopIfTrue="1" operator="lessThanOrEqual">
      <formula>1545</formula>
    </cfRule>
  </conditionalFormatting>
  <conditionalFormatting sqref="L69:P73">
    <cfRule type="cellIs" dxfId="86" priority="19" stopIfTrue="1" operator="greaterThanOrEqual">
      <formula>1565</formula>
    </cfRule>
    <cfRule type="cellIs" dxfId="87" priority="20" stopIfTrue="1" operator="lessThanOrEqual">
      <formula>1545</formula>
    </cfRule>
  </conditionalFormatting>
  <conditionalFormatting sqref="L74:P75">
    <cfRule type="cellIs" dxfId="84" priority="17" stopIfTrue="1" operator="greaterThanOrEqual">
      <formula>1565</formula>
    </cfRule>
    <cfRule type="cellIs" dxfId="85" priority="18" stopIfTrue="1" operator="lessThanOrEqual">
      <formula>1545</formula>
    </cfRule>
  </conditionalFormatting>
  <conditionalFormatting sqref="L76:P77">
    <cfRule type="cellIs" dxfId="82" priority="15" stopIfTrue="1" operator="greaterThanOrEqual">
      <formula>1565</formula>
    </cfRule>
    <cfRule type="cellIs" dxfId="83" priority="16" stopIfTrue="1" operator="lessThanOrEqual">
      <formula>1545</formula>
    </cfRule>
  </conditionalFormatting>
  <conditionalFormatting sqref="L78:P85">
    <cfRule type="cellIs" dxfId="81" priority="13" stopIfTrue="1" operator="greaterThanOrEqual">
      <formula>1565</formula>
    </cfRule>
    <cfRule type="cellIs" dxfId="80" priority="14" stopIfTrue="1" operator="lessThanOrEqual">
      <formula>1545</formula>
    </cfRule>
  </conditionalFormatting>
  <conditionalFormatting sqref="L86:P99">
    <cfRule type="cellIs" dxfId="78" priority="11" stopIfTrue="1" operator="greaterThanOrEqual">
      <formula>1565</formula>
    </cfRule>
    <cfRule type="cellIs" dxfId="79" priority="12" stopIfTrue="1" operator="lessThanOrEqual">
      <formula>1545</formula>
    </cfRule>
  </conditionalFormatting>
  <conditionalFormatting sqref="L100:P101">
    <cfRule type="cellIs" dxfId="77" priority="9" stopIfTrue="1" operator="greaterThanOrEqual">
      <formula>1565</formula>
    </cfRule>
    <cfRule type="cellIs" dxfId="76" priority="10" stopIfTrue="1" operator="lessThanOrEqual">
      <formula>1545</formula>
    </cfRule>
  </conditionalFormatting>
  <conditionalFormatting sqref="L102:P117">
    <cfRule type="cellIs" dxfId="74" priority="7" stopIfTrue="1" operator="greaterThanOrEqual">
      <formula>1565</formula>
    </cfRule>
    <cfRule type="cellIs" dxfId="75" priority="8" stopIfTrue="1" operator="lessThanOrEqual">
      <formula>1545</formula>
    </cfRule>
  </conditionalFormatting>
  <conditionalFormatting sqref="Q114:U114">
    <cfRule type="cellIs" dxfId="72" priority="5" stopIfTrue="1" operator="greaterThanOrEqual">
      <formula>1565</formula>
    </cfRule>
    <cfRule type="cellIs" dxfId="73" priority="6" stopIfTrue="1" operator="lessThanOrEqual">
      <formula>1545</formula>
    </cfRule>
  </conditionalFormatting>
  <conditionalFormatting sqref="L118:P126">
    <cfRule type="cellIs" dxfId="71" priority="1" stopIfTrue="1" operator="greaterThanOrEqual">
      <formula>1565</formula>
    </cfRule>
    <cfRule type="cellIs" dxfId="70" priority="2" stopIfTrue="1" operator="lessThanOrEqual">
      <formula>1545</formula>
    </cfRule>
  </conditionalFormatting>
  <conditionalFormatting sqref="Q118:U118">
    <cfRule type="cellIs" dxfId="68" priority="3" stopIfTrue="1" operator="greaterThanOrEqual">
      <formula>1565</formula>
    </cfRule>
    <cfRule type="cellIs" dxfId="69" priority="4" stopIfTrue="1" operator="lessThanOrEqual">
      <formula>1545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9430-CDA3-4403-AF35-4C1A8A596856}">
  <dimension ref="A1:AF108"/>
  <sheetViews>
    <sheetView tabSelected="1" topLeftCell="H12" zoomScale="70" zoomScaleNormal="70" workbookViewId="0">
      <selection activeCell="V36" sqref="V36"/>
    </sheetView>
  </sheetViews>
  <sheetFormatPr defaultColWidth="9.140625" defaultRowHeight="15" x14ac:dyDescent="0.25"/>
  <cols>
    <col min="1" max="1" width="10.140625" customWidth="1"/>
    <col min="2" max="2" width="26.140625" customWidth="1"/>
    <col min="3" max="3" width="9.42578125" customWidth="1"/>
    <col min="4" max="4" width="17" customWidth="1"/>
    <col min="5" max="5" width="11.140625" customWidth="1"/>
    <col min="6" max="6" width="17" customWidth="1"/>
    <col min="7" max="7" width="14" customWidth="1"/>
    <col min="8" max="8" width="19.7109375" customWidth="1"/>
    <col min="9" max="9" width="14" customWidth="1"/>
    <col min="10" max="10" width="14.85546875" customWidth="1"/>
    <col min="11" max="11" width="14" customWidth="1"/>
    <col min="12" max="12" width="10.140625" customWidth="1"/>
    <col min="13" max="15" width="9.7109375" customWidth="1"/>
    <col min="16" max="16" width="10.7109375" customWidth="1"/>
    <col min="17" max="17" width="15.7109375" customWidth="1"/>
    <col min="18" max="19" width="8.28515625" customWidth="1"/>
    <col min="20" max="20" width="14.7109375" customWidth="1"/>
    <col min="21" max="21" width="12.42578125" customWidth="1"/>
    <col min="22" max="22" width="15.42578125" customWidth="1"/>
    <col min="23" max="23" width="18.140625" customWidth="1"/>
    <col min="24" max="24" width="16.42578125" customWidth="1"/>
    <col min="25" max="25" width="15.42578125" customWidth="1"/>
    <col min="26" max="26" width="8.7109375" customWidth="1"/>
    <col min="27" max="27" width="9" customWidth="1"/>
    <col min="28" max="28" width="11.28515625" customWidth="1"/>
    <col min="29" max="29" width="12" customWidth="1"/>
    <col min="30" max="30" width="12.42578125" customWidth="1"/>
    <col min="31" max="31" width="16" customWidth="1"/>
    <col min="32" max="32" width="86.28515625" customWidth="1"/>
  </cols>
  <sheetData>
    <row r="1" spans="1:32" s="60" customFormat="1" ht="35.25" customHeight="1" x14ac:dyDescent="0.2">
      <c r="A1" s="20" t="s">
        <v>24</v>
      </c>
      <c r="B1" s="21" t="s">
        <v>25</v>
      </c>
      <c r="C1" s="21" t="s">
        <v>26</v>
      </c>
      <c r="D1" s="21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/>
      <c r="N1" s="20"/>
      <c r="O1" s="20"/>
      <c r="P1" s="20"/>
      <c r="Q1" s="20" t="s">
        <v>36</v>
      </c>
      <c r="R1" s="21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2" t="s">
        <v>45</v>
      </c>
      <c r="AA1" s="22"/>
      <c r="AB1" s="23" t="s">
        <v>46</v>
      </c>
      <c r="AC1" s="23"/>
      <c r="AD1" s="20" t="s">
        <v>47</v>
      </c>
      <c r="AE1" s="20" t="s">
        <v>48</v>
      </c>
      <c r="AF1" s="24" t="s">
        <v>49</v>
      </c>
    </row>
    <row r="2" spans="1:32" s="60" customFormat="1" ht="35.25" customHeight="1" x14ac:dyDescent="0.2">
      <c r="A2" s="20"/>
      <c r="B2" s="21"/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0"/>
      <c r="T2" s="20"/>
      <c r="U2" s="20"/>
      <c r="V2" s="20"/>
      <c r="W2" s="20"/>
      <c r="X2" s="20"/>
      <c r="Y2" s="20"/>
      <c r="Z2" s="25" t="s">
        <v>50</v>
      </c>
      <c r="AA2" s="25" t="s">
        <v>51</v>
      </c>
      <c r="AB2" s="26" t="s">
        <v>50</v>
      </c>
      <c r="AC2" s="26" t="s">
        <v>51</v>
      </c>
      <c r="AD2" s="20"/>
      <c r="AE2" s="20"/>
      <c r="AF2" s="24"/>
    </row>
    <row r="3" spans="1:32" s="60" customFormat="1" ht="35.25" customHeight="1" x14ac:dyDescent="0.25">
      <c r="A3" s="89"/>
      <c r="B3" s="89"/>
      <c r="C3" s="89"/>
      <c r="D3" s="89"/>
      <c r="E3" s="89"/>
      <c r="F3" s="89"/>
      <c r="G3" s="117"/>
      <c r="H3" s="89"/>
      <c r="I3" s="89"/>
      <c r="J3" s="89"/>
      <c r="K3" s="89"/>
      <c r="L3" s="90" t="s">
        <v>780</v>
      </c>
      <c r="M3" s="90" t="s">
        <v>781</v>
      </c>
      <c r="N3" s="90" t="s">
        <v>782</v>
      </c>
      <c r="O3" s="90" t="s">
        <v>783</v>
      </c>
      <c r="P3" s="91" t="s">
        <v>784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31.5" x14ac:dyDescent="0.25">
      <c r="A4" s="1">
        <v>46</v>
      </c>
      <c r="B4" s="2">
        <v>46082</v>
      </c>
      <c r="C4" s="1" t="s">
        <v>264</v>
      </c>
      <c r="D4" s="1" t="s">
        <v>19</v>
      </c>
      <c r="E4" s="1">
        <v>2</v>
      </c>
      <c r="F4" s="83">
        <v>22603002</v>
      </c>
      <c r="G4" s="4">
        <v>1230</v>
      </c>
      <c r="H4" s="88" t="s">
        <v>10</v>
      </c>
      <c r="I4" s="16" t="s">
        <v>98</v>
      </c>
      <c r="J4" s="16" t="s">
        <v>1994</v>
      </c>
      <c r="K4" s="4">
        <v>1596</v>
      </c>
      <c r="L4" s="4">
        <v>1543</v>
      </c>
      <c r="M4" s="5">
        <v>1564</v>
      </c>
      <c r="N4" s="5">
        <v>1567</v>
      </c>
      <c r="O4" s="5" t="s">
        <v>5</v>
      </c>
      <c r="P4" s="30">
        <v>1565.5</v>
      </c>
      <c r="Q4" s="7">
        <v>3.8</v>
      </c>
      <c r="R4" s="4">
        <v>46</v>
      </c>
      <c r="S4" s="8" t="s">
        <v>5</v>
      </c>
      <c r="T4" s="8">
        <v>182</v>
      </c>
      <c r="U4" s="8">
        <v>68</v>
      </c>
      <c r="V4" s="10">
        <v>114</v>
      </c>
      <c r="W4" s="11" t="s">
        <v>100</v>
      </c>
      <c r="X4" s="16">
        <v>58</v>
      </c>
      <c r="Y4" s="12">
        <v>2.1416268000000001</v>
      </c>
      <c r="Z4" s="7">
        <v>9.1</v>
      </c>
      <c r="AA4" s="7">
        <v>9.1999999999999993</v>
      </c>
      <c r="AB4" s="13">
        <v>89</v>
      </c>
      <c r="AC4" s="13">
        <v>90</v>
      </c>
      <c r="AD4" s="11" t="s">
        <v>6</v>
      </c>
      <c r="AE4" s="40" t="s">
        <v>307</v>
      </c>
      <c r="AF4" s="14" t="s">
        <v>1995</v>
      </c>
    </row>
    <row r="5" spans="1:32" ht="63" x14ac:dyDescent="0.25">
      <c r="A5" s="1">
        <v>146</v>
      </c>
      <c r="B5" s="2">
        <v>46083</v>
      </c>
      <c r="C5" s="1" t="s">
        <v>0</v>
      </c>
      <c r="D5" s="1" t="s">
        <v>9</v>
      </c>
      <c r="E5" s="1">
        <v>2</v>
      </c>
      <c r="F5" s="83">
        <v>22603003</v>
      </c>
      <c r="G5" s="4">
        <v>1255</v>
      </c>
      <c r="H5" s="88" t="s">
        <v>10</v>
      </c>
      <c r="I5" s="16" t="s">
        <v>80</v>
      </c>
      <c r="J5" s="16" t="s">
        <v>1996</v>
      </c>
      <c r="K5" s="4">
        <v>1574</v>
      </c>
      <c r="L5" s="5">
        <v>1545</v>
      </c>
      <c r="M5" s="5">
        <v>1544</v>
      </c>
      <c r="N5" s="5">
        <v>1544</v>
      </c>
      <c r="O5" s="5" t="s">
        <v>5</v>
      </c>
      <c r="P5" s="30">
        <v>1544</v>
      </c>
      <c r="Q5" s="7">
        <v>3.9</v>
      </c>
      <c r="R5" s="4">
        <v>35</v>
      </c>
      <c r="S5" s="8">
        <v>35</v>
      </c>
      <c r="T5" s="9">
        <v>171.01</v>
      </c>
      <c r="U5" s="9">
        <v>69.7</v>
      </c>
      <c r="V5" s="10">
        <v>101.30999999999999</v>
      </c>
      <c r="W5" s="11" t="s">
        <v>5</v>
      </c>
      <c r="X5" s="16">
        <v>58</v>
      </c>
      <c r="Y5" s="12">
        <v>2.2426599</v>
      </c>
      <c r="Z5" s="7">
        <v>8.4</v>
      </c>
      <c r="AA5" s="7">
        <v>8.9</v>
      </c>
      <c r="AB5" s="13">
        <v>84</v>
      </c>
      <c r="AC5" s="13">
        <v>89</v>
      </c>
      <c r="AD5" s="11" t="s">
        <v>6</v>
      </c>
      <c r="AE5" s="18" t="s">
        <v>455</v>
      </c>
      <c r="AF5" s="14" t="s">
        <v>1997</v>
      </c>
    </row>
    <row r="6" spans="1:32" ht="15.75" x14ac:dyDescent="0.25">
      <c r="A6" s="1">
        <v>179</v>
      </c>
      <c r="B6" s="2">
        <v>46084</v>
      </c>
      <c r="C6" s="1" t="s">
        <v>18</v>
      </c>
      <c r="D6" s="1" t="s">
        <v>265</v>
      </c>
      <c r="E6" s="1">
        <v>2</v>
      </c>
      <c r="F6" s="83">
        <v>22603003</v>
      </c>
      <c r="G6" s="4">
        <v>1260</v>
      </c>
      <c r="H6" s="88" t="s">
        <v>1159</v>
      </c>
      <c r="I6" s="16" t="s">
        <v>240</v>
      </c>
      <c r="J6" s="16" t="s">
        <v>1998</v>
      </c>
      <c r="K6" s="4">
        <v>1570</v>
      </c>
      <c r="L6" s="4">
        <v>1546</v>
      </c>
      <c r="M6" s="4">
        <v>1544</v>
      </c>
      <c r="N6" s="5">
        <v>1544</v>
      </c>
      <c r="O6" s="5">
        <v>1544</v>
      </c>
      <c r="P6" s="30">
        <v>1544</v>
      </c>
      <c r="Q6" s="7">
        <v>5.2</v>
      </c>
      <c r="R6" s="4">
        <v>33</v>
      </c>
      <c r="S6" s="8">
        <v>4</v>
      </c>
      <c r="T6" s="9">
        <v>164.3</v>
      </c>
      <c r="U6" s="9">
        <v>60</v>
      </c>
      <c r="V6" s="10">
        <v>104.30000000000001</v>
      </c>
      <c r="W6" s="11" t="s">
        <v>5</v>
      </c>
      <c r="X6" s="16">
        <v>58</v>
      </c>
      <c r="Y6" s="12">
        <v>3.0021264000000003</v>
      </c>
      <c r="Z6" s="7">
        <v>10.7</v>
      </c>
      <c r="AA6" s="7">
        <v>11.4</v>
      </c>
      <c r="AB6" s="13">
        <v>84</v>
      </c>
      <c r="AC6" s="13">
        <v>89</v>
      </c>
      <c r="AD6" s="11" t="s">
        <v>6</v>
      </c>
      <c r="AE6" s="18" t="s">
        <v>455</v>
      </c>
      <c r="AF6" s="14" t="s">
        <v>418</v>
      </c>
    </row>
    <row r="7" spans="1:32" ht="15.75" x14ac:dyDescent="0.25">
      <c r="A7" s="1">
        <v>286</v>
      </c>
      <c r="B7" s="2">
        <v>46085</v>
      </c>
      <c r="C7" s="1" t="s">
        <v>18</v>
      </c>
      <c r="D7" s="1" t="s">
        <v>265</v>
      </c>
      <c r="E7" s="1">
        <v>2</v>
      </c>
      <c r="F7" s="83">
        <v>22603004</v>
      </c>
      <c r="G7" s="4">
        <v>1250</v>
      </c>
      <c r="H7" s="88" t="s">
        <v>10</v>
      </c>
      <c r="I7" s="16" t="s">
        <v>129</v>
      </c>
      <c r="J7" s="16" t="s">
        <v>1999</v>
      </c>
      <c r="K7" s="4">
        <v>1571</v>
      </c>
      <c r="L7" s="4">
        <v>1548</v>
      </c>
      <c r="M7" s="4">
        <v>1548</v>
      </c>
      <c r="N7" s="4">
        <v>1547</v>
      </c>
      <c r="O7" s="5" t="s">
        <v>5</v>
      </c>
      <c r="P7" s="55">
        <v>1547.5</v>
      </c>
      <c r="Q7" s="7">
        <v>5.3</v>
      </c>
      <c r="R7" s="4">
        <v>36</v>
      </c>
      <c r="S7" s="8">
        <v>32</v>
      </c>
      <c r="T7" s="9">
        <v>166</v>
      </c>
      <c r="U7" s="9">
        <v>60</v>
      </c>
      <c r="V7" s="10">
        <v>106</v>
      </c>
      <c r="W7" s="11" t="s">
        <v>5</v>
      </c>
      <c r="X7" s="16">
        <v>58</v>
      </c>
      <c r="Y7" s="12">
        <v>3.0355749999999997</v>
      </c>
      <c r="Z7" s="7">
        <v>9.3000000000000007</v>
      </c>
      <c r="AA7" s="7">
        <v>9.8000000000000007</v>
      </c>
      <c r="AB7" s="13">
        <v>75</v>
      </c>
      <c r="AC7" s="13">
        <v>83</v>
      </c>
      <c r="AD7" s="11" t="s">
        <v>6</v>
      </c>
      <c r="AE7" s="18" t="s">
        <v>53</v>
      </c>
      <c r="AF7" s="14" t="s">
        <v>721</v>
      </c>
    </row>
    <row r="8" spans="1:32" ht="15.75" x14ac:dyDescent="0.25">
      <c r="A8" s="1">
        <v>286</v>
      </c>
      <c r="B8" s="2">
        <v>46085</v>
      </c>
      <c r="C8" s="1" t="s">
        <v>264</v>
      </c>
      <c r="D8" s="1" t="s">
        <v>19</v>
      </c>
      <c r="E8" s="1">
        <v>2</v>
      </c>
      <c r="F8" s="83">
        <v>22603004</v>
      </c>
      <c r="G8" s="4">
        <v>1250</v>
      </c>
      <c r="H8" s="88" t="s">
        <v>10</v>
      </c>
      <c r="I8" s="16" t="s">
        <v>3</v>
      </c>
      <c r="J8" s="16" t="s">
        <v>2000</v>
      </c>
      <c r="K8" s="4">
        <v>1574</v>
      </c>
      <c r="L8" s="4">
        <v>1548</v>
      </c>
      <c r="M8" s="5">
        <v>1546</v>
      </c>
      <c r="N8" s="5">
        <v>1547</v>
      </c>
      <c r="O8" s="5">
        <v>1548</v>
      </c>
      <c r="P8" s="30">
        <v>1547</v>
      </c>
      <c r="Q8" s="7">
        <v>5.5</v>
      </c>
      <c r="R8" s="4">
        <v>33</v>
      </c>
      <c r="S8" s="8" t="s">
        <v>5</v>
      </c>
      <c r="T8" s="8">
        <v>170.2</v>
      </c>
      <c r="U8" s="8">
        <v>65.8</v>
      </c>
      <c r="V8" s="10">
        <v>104.39999999999999</v>
      </c>
      <c r="W8" s="11" t="s">
        <v>5</v>
      </c>
      <c r="X8" s="16">
        <v>58</v>
      </c>
      <c r="Y8" s="12">
        <v>3.1501250000000001</v>
      </c>
      <c r="Z8" s="7">
        <v>10.3</v>
      </c>
      <c r="AA8" s="7">
        <v>10.5</v>
      </c>
      <c r="AB8" s="13">
        <v>83</v>
      </c>
      <c r="AC8" s="13">
        <v>83</v>
      </c>
      <c r="AD8" s="11" t="s">
        <v>6</v>
      </c>
      <c r="AE8" s="18" t="s">
        <v>53</v>
      </c>
      <c r="AF8" s="14" t="s">
        <v>397</v>
      </c>
    </row>
    <row r="9" spans="1:32" ht="15.75" x14ac:dyDescent="0.25">
      <c r="A9" s="1">
        <v>286</v>
      </c>
      <c r="B9" s="2">
        <v>46085</v>
      </c>
      <c r="C9" s="1" t="s">
        <v>264</v>
      </c>
      <c r="D9" s="1" t="s">
        <v>19</v>
      </c>
      <c r="E9" s="1">
        <v>2</v>
      </c>
      <c r="F9" s="83">
        <v>22603004</v>
      </c>
      <c r="G9" s="4">
        <v>1250</v>
      </c>
      <c r="H9" s="88" t="s">
        <v>10</v>
      </c>
      <c r="I9" s="16" t="s">
        <v>138</v>
      </c>
      <c r="J9" s="16" t="s">
        <v>2001</v>
      </c>
      <c r="K9" s="4">
        <v>1567</v>
      </c>
      <c r="L9" s="4">
        <v>1548</v>
      </c>
      <c r="M9" s="5">
        <v>1549</v>
      </c>
      <c r="N9" s="5">
        <v>1550</v>
      </c>
      <c r="O9" s="5">
        <v>1544</v>
      </c>
      <c r="P9" s="30">
        <v>1547.6666666666667</v>
      </c>
      <c r="Q9" s="7">
        <v>5.6</v>
      </c>
      <c r="R9" s="4">
        <v>34</v>
      </c>
      <c r="S9" s="8" t="s">
        <v>5</v>
      </c>
      <c r="T9" s="8">
        <v>166.69</v>
      </c>
      <c r="U9" s="8">
        <v>61.2</v>
      </c>
      <c r="V9" s="10">
        <v>105.49</v>
      </c>
      <c r="W9" s="11" t="s">
        <v>5</v>
      </c>
      <c r="X9" s="16">
        <v>58</v>
      </c>
      <c r="Y9" s="12">
        <v>3.2073999999999998</v>
      </c>
      <c r="Z9" s="7">
        <v>10.199999999999999</v>
      </c>
      <c r="AA9" s="7">
        <v>9.6999999999999993</v>
      </c>
      <c r="AB9" s="13">
        <v>83</v>
      </c>
      <c r="AC9" s="13">
        <v>83</v>
      </c>
      <c r="AD9" s="11" t="s">
        <v>6</v>
      </c>
      <c r="AE9" s="18" t="s">
        <v>53</v>
      </c>
      <c r="AF9" s="40" t="s">
        <v>721</v>
      </c>
    </row>
    <row r="10" spans="1:32" ht="31.5" x14ac:dyDescent="0.25">
      <c r="A10" s="1">
        <v>286</v>
      </c>
      <c r="B10" s="2">
        <v>46085</v>
      </c>
      <c r="C10" s="1" t="s">
        <v>264</v>
      </c>
      <c r="D10" s="1" t="s">
        <v>19</v>
      </c>
      <c r="E10" s="1">
        <v>2</v>
      </c>
      <c r="F10" s="83">
        <v>22603004</v>
      </c>
      <c r="G10" s="4">
        <v>1250</v>
      </c>
      <c r="H10" s="88" t="s">
        <v>10</v>
      </c>
      <c r="I10" s="16" t="s">
        <v>59</v>
      </c>
      <c r="J10" s="16" t="s">
        <v>2002</v>
      </c>
      <c r="K10" s="4">
        <v>1568</v>
      </c>
      <c r="L10" s="4">
        <v>1553</v>
      </c>
      <c r="M10" s="5">
        <v>1552</v>
      </c>
      <c r="N10" s="5">
        <v>1550</v>
      </c>
      <c r="O10" s="5"/>
      <c r="P10" s="30">
        <v>1551</v>
      </c>
      <c r="Q10" s="7">
        <v>5.3</v>
      </c>
      <c r="R10" s="4">
        <v>33</v>
      </c>
      <c r="S10" s="8" t="s">
        <v>5</v>
      </c>
      <c r="T10" s="8">
        <v>188.2</v>
      </c>
      <c r="U10" s="8">
        <v>75</v>
      </c>
      <c r="V10" s="10">
        <v>113.19999999999999</v>
      </c>
      <c r="W10" s="11" t="s">
        <v>5</v>
      </c>
      <c r="X10" s="16">
        <v>58</v>
      </c>
      <c r="Y10" s="12">
        <v>3.0355749999999997</v>
      </c>
      <c r="Z10" s="7">
        <v>9.9</v>
      </c>
      <c r="AA10" s="7">
        <v>9.3000000000000007</v>
      </c>
      <c r="AB10" s="13">
        <v>81</v>
      </c>
      <c r="AC10" s="13">
        <v>79</v>
      </c>
      <c r="AD10" s="11" t="s">
        <v>6</v>
      </c>
      <c r="AE10" s="18" t="s">
        <v>455</v>
      </c>
      <c r="AF10" s="14" t="s">
        <v>2003</v>
      </c>
    </row>
    <row r="11" spans="1:32" ht="47.25" x14ac:dyDescent="0.25">
      <c r="A11" s="1">
        <v>286</v>
      </c>
      <c r="B11" s="2">
        <v>46085</v>
      </c>
      <c r="C11" s="1" t="s">
        <v>264</v>
      </c>
      <c r="D11" s="1" t="s">
        <v>19</v>
      </c>
      <c r="E11" s="1">
        <v>2</v>
      </c>
      <c r="F11" s="83">
        <v>22603004</v>
      </c>
      <c r="G11" s="4">
        <v>1250</v>
      </c>
      <c r="H11" s="88" t="s">
        <v>10</v>
      </c>
      <c r="I11" s="16" t="s">
        <v>346</v>
      </c>
      <c r="J11" s="16" t="s">
        <v>2004</v>
      </c>
      <c r="K11" s="4">
        <v>1570</v>
      </c>
      <c r="L11" s="4">
        <v>1551</v>
      </c>
      <c r="M11" s="5">
        <v>1552</v>
      </c>
      <c r="N11" s="5">
        <v>1553</v>
      </c>
      <c r="O11" s="5">
        <v>1553</v>
      </c>
      <c r="P11" s="30">
        <v>1552.6666666666667</v>
      </c>
      <c r="Q11" s="7">
        <v>5.4</v>
      </c>
      <c r="R11" s="4">
        <v>33</v>
      </c>
      <c r="S11" s="8">
        <v>4</v>
      </c>
      <c r="T11" s="8">
        <v>155.4</v>
      </c>
      <c r="U11" s="8">
        <v>68</v>
      </c>
      <c r="V11" s="10">
        <v>87.4</v>
      </c>
      <c r="W11" s="11" t="s">
        <v>5</v>
      </c>
      <c r="X11" s="16">
        <v>58</v>
      </c>
      <c r="Y11" s="12">
        <v>3.0928500000000003</v>
      </c>
      <c r="Z11" s="7">
        <v>10.6</v>
      </c>
      <c r="AA11" s="7">
        <v>10.5</v>
      </c>
      <c r="AB11" s="13">
        <v>85</v>
      </c>
      <c r="AC11" s="13">
        <v>86</v>
      </c>
      <c r="AD11" s="11" t="s">
        <v>6</v>
      </c>
      <c r="AE11" s="18" t="s">
        <v>53</v>
      </c>
      <c r="AF11" s="14" t="s">
        <v>2005</v>
      </c>
    </row>
    <row r="12" spans="1:32" ht="15.75" x14ac:dyDescent="0.25">
      <c r="A12" s="1">
        <v>289</v>
      </c>
      <c r="B12" s="2">
        <v>46085</v>
      </c>
      <c r="C12" s="1" t="s">
        <v>264</v>
      </c>
      <c r="D12" s="1" t="s">
        <v>19</v>
      </c>
      <c r="E12" s="1">
        <v>2</v>
      </c>
      <c r="F12" s="83">
        <v>22603004</v>
      </c>
      <c r="G12" s="4">
        <v>1250</v>
      </c>
      <c r="H12" s="88" t="s">
        <v>1095</v>
      </c>
      <c r="I12" s="16" t="s">
        <v>504</v>
      </c>
      <c r="J12" s="16" t="s">
        <v>2006</v>
      </c>
      <c r="K12" s="104">
        <v>1567</v>
      </c>
      <c r="L12" s="105">
        <v>1542</v>
      </c>
      <c r="M12" s="105">
        <v>1541</v>
      </c>
      <c r="N12" s="105">
        <v>1540</v>
      </c>
      <c r="O12" s="129">
        <v>1541</v>
      </c>
      <c r="P12" s="55">
        <v>1540.6666666666667</v>
      </c>
      <c r="Q12" s="7">
        <v>5.5</v>
      </c>
      <c r="R12" s="4">
        <v>34</v>
      </c>
      <c r="S12" s="8">
        <v>22</v>
      </c>
      <c r="T12" s="8">
        <v>170.8</v>
      </c>
      <c r="U12" s="8">
        <v>68</v>
      </c>
      <c r="V12" s="9" t="s">
        <v>5</v>
      </c>
      <c r="W12" s="11" t="s">
        <v>5</v>
      </c>
      <c r="X12" s="16">
        <v>58</v>
      </c>
      <c r="Y12" s="12">
        <v>3.1501250000000001</v>
      </c>
      <c r="Z12" s="7">
        <v>8.9</v>
      </c>
      <c r="AA12" s="7">
        <v>9</v>
      </c>
      <c r="AB12" s="13">
        <v>73</v>
      </c>
      <c r="AC12" s="13">
        <v>76</v>
      </c>
      <c r="AD12" s="11" t="s">
        <v>6</v>
      </c>
      <c r="AE12" s="18" t="s">
        <v>455</v>
      </c>
      <c r="AF12" s="14" t="s">
        <v>418</v>
      </c>
    </row>
    <row r="13" spans="1:32" ht="15.75" x14ac:dyDescent="0.25">
      <c r="A13" s="1">
        <v>304</v>
      </c>
      <c r="B13" s="2">
        <v>46085</v>
      </c>
      <c r="C13" s="1" t="s">
        <v>0</v>
      </c>
      <c r="D13" s="1" t="s">
        <v>9</v>
      </c>
      <c r="E13" s="1">
        <v>2</v>
      </c>
      <c r="F13" s="83">
        <v>22603004</v>
      </c>
      <c r="G13" s="4">
        <v>1250</v>
      </c>
      <c r="H13" s="88" t="s">
        <v>1095</v>
      </c>
      <c r="I13" s="16" t="s">
        <v>296</v>
      </c>
      <c r="J13" s="16" t="s">
        <v>2007</v>
      </c>
      <c r="K13" s="4">
        <v>1567</v>
      </c>
      <c r="L13" s="5">
        <v>1543</v>
      </c>
      <c r="M13" s="5">
        <v>1546</v>
      </c>
      <c r="N13" s="5">
        <v>1544</v>
      </c>
      <c r="O13" s="5">
        <v>1545</v>
      </c>
      <c r="P13" s="30">
        <v>1545</v>
      </c>
      <c r="Q13" s="7">
        <v>5</v>
      </c>
      <c r="R13" s="4">
        <v>39</v>
      </c>
      <c r="S13" s="8">
        <v>18</v>
      </c>
      <c r="T13" s="9">
        <v>160</v>
      </c>
      <c r="U13" s="9">
        <v>60</v>
      </c>
      <c r="V13" s="10">
        <v>100</v>
      </c>
      <c r="W13" s="11" t="s">
        <v>5</v>
      </c>
      <c r="X13" s="16">
        <v>58</v>
      </c>
      <c r="Y13" s="12">
        <v>2.86375</v>
      </c>
      <c r="Z13" s="7">
        <v>9</v>
      </c>
      <c r="AA13" s="7">
        <v>9.5</v>
      </c>
      <c r="AB13" s="13">
        <v>82</v>
      </c>
      <c r="AC13" s="13">
        <v>87</v>
      </c>
      <c r="AD13" s="11" t="s">
        <v>6</v>
      </c>
      <c r="AE13" s="40" t="s">
        <v>455</v>
      </c>
      <c r="AF13" s="14" t="s">
        <v>1775</v>
      </c>
    </row>
    <row r="14" spans="1:32" ht="31.5" x14ac:dyDescent="0.25">
      <c r="A14" s="1">
        <v>319</v>
      </c>
      <c r="B14" s="2">
        <v>46086</v>
      </c>
      <c r="C14" s="1" t="s">
        <v>18</v>
      </c>
      <c r="D14" s="1" t="s">
        <v>265</v>
      </c>
      <c r="E14" s="1">
        <v>1</v>
      </c>
      <c r="F14" s="83">
        <v>12603004</v>
      </c>
      <c r="G14" s="4">
        <v>1260</v>
      </c>
      <c r="H14" s="88" t="s">
        <v>1798</v>
      </c>
      <c r="I14" s="16" t="s">
        <v>240</v>
      </c>
      <c r="J14" s="16" t="s">
        <v>2008</v>
      </c>
      <c r="K14" s="16">
        <v>1567</v>
      </c>
      <c r="L14" s="4">
        <v>1553</v>
      </c>
      <c r="M14" s="5">
        <v>1553</v>
      </c>
      <c r="N14" s="5">
        <v>1553</v>
      </c>
      <c r="O14" s="3">
        <v>1550</v>
      </c>
      <c r="P14" s="55">
        <v>1552</v>
      </c>
      <c r="Q14" s="7">
        <v>5</v>
      </c>
      <c r="R14" s="4">
        <v>35</v>
      </c>
      <c r="S14" s="8" t="s">
        <v>5</v>
      </c>
      <c r="T14" s="9" t="s">
        <v>5</v>
      </c>
      <c r="U14" s="9" t="s">
        <v>5</v>
      </c>
      <c r="V14" s="9" t="s">
        <v>5</v>
      </c>
      <c r="W14" s="11" t="s">
        <v>5</v>
      </c>
      <c r="X14" s="16">
        <v>58</v>
      </c>
      <c r="Y14" s="12">
        <v>2.8866600000000004</v>
      </c>
      <c r="Z14" s="7">
        <v>9.3000000000000007</v>
      </c>
      <c r="AA14" s="7">
        <v>10.6</v>
      </c>
      <c r="AB14" s="13">
        <v>87</v>
      </c>
      <c r="AC14" s="13">
        <v>94</v>
      </c>
      <c r="AD14" s="11" t="s">
        <v>6</v>
      </c>
      <c r="AE14" s="40" t="s">
        <v>455</v>
      </c>
      <c r="AF14" s="14" t="s">
        <v>696</v>
      </c>
    </row>
    <row r="15" spans="1:32" ht="31.5" x14ac:dyDescent="0.25">
      <c r="A15" s="1">
        <v>322</v>
      </c>
      <c r="B15" s="2">
        <v>46086</v>
      </c>
      <c r="C15" s="1" t="s">
        <v>18</v>
      </c>
      <c r="D15" s="1" t="s">
        <v>265</v>
      </c>
      <c r="E15" s="1">
        <v>1</v>
      </c>
      <c r="F15" s="83">
        <v>12603004</v>
      </c>
      <c r="G15" s="4">
        <v>1260</v>
      </c>
      <c r="H15" s="88" t="s">
        <v>1798</v>
      </c>
      <c r="I15" s="16" t="s">
        <v>56</v>
      </c>
      <c r="J15" s="16" t="s">
        <v>2009</v>
      </c>
      <c r="K15" s="16">
        <v>1570</v>
      </c>
      <c r="L15" s="4">
        <v>1545</v>
      </c>
      <c r="M15" s="5">
        <v>1545</v>
      </c>
      <c r="N15" s="5">
        <v>1544</v>
      </c>
      <c r="O15" s="5">
        <v>1544</v>
      </c>
      <c r="P15" s="30">
        <v>1544.3333333333333</v>
      </c>
      <c r="Q15" s="7">
        <v>5</v>
      </c>
      <c r="R15" s="4">
        <v>34</v>
      </c>
      <c r="S15" s="8" t="s">
        <v>5</v>
      </c>
      <c r="T15" s="9">
        <v>162</v>
      </c>
      <c r="U15" s="9">
        <v>62</v>
      </c>
      <c r="V15" s="10">
        <v>100</v>
      </c>
      <c r="W15" s="11" t="s">
        <v>5</v>
      </c>
      <c r="X15" s="16">
        <v>58</v>
      </c>
      <c r="Y15" s="12">
        <v>2.8866600000000004</v>
      </c>
      <c r="Z15" s="7">
        <v>10.199999999999999</v>
      </c>
      <c r="AA15" s="7">
        <v>10.1</v>
      </c>
      <c r="AB15" s="13">
        <v>95</v>
      </c>
      <c r="AC15" s="13">
        <v>100</v>
      </c>
      <c r="AD15" s="11" t="s">
        <v>6</v>
      </c>
      <c r="AE15" s="40" t="s">
        <v>455</v>
      </c>
      <c r="AF15" s="14" t="s">
        <v>983</v>
      </c>
    </row>
    <row r="16" spans="1:32" ht="31.5" x14ac:dyDescent="0.25">
      <c r="A16" s="1">
        <v>331</v>
      </c>
      <c r="B16" s="2">
        <v>46086</v>
      </c>
      <c r="C16" s="1" t="s">
        <v>18</v>
      </c>
      <c r="D16" s="1" t="s">
        <v>265</v>
      </c>
      <c r="E16" s="1">
        <v>2</v>
      </c>
      <c r="F16" s="83">
        <v>22603005</v>
      </c>
      <c r="G16" s="4">
        <v>1260</v>
      </c>
      <c r="H16" s="88" t="s">
        <v>1798</v>
      </c>
      <c r="I16" s="16" t="s">
        <v>152</v>
      </c>
      <c r="J16" s="16" t="s">
        <v>2010</v>
      </c>
      <c r="K16" s="4">
        <v>1567</v>
      </c>
      <c r="L16" s="4">
        <v>1542</v>
      </c>
      <c r="M16" s="4">
        <v>1546</v>
      </c>
      <c r="N16" s="5">
        <v>1545</v>
      </c>
      <c r="O16" s="5" t="s">
        <v>5</v>
      </c>
      <c r="P16" s="30">
        <v>1545.5</v>
      </c>
      <c r="Q16" s="7">
        <v>5</v>
      </c>
      <c r="R16" s="4">
        <v>34</v>
      </c>
      <c r="S16" s="8">
        <v>12</v>
      </c>
      <c r="T16" s="9">
        <v>173</v>
      </c>
      <c r="U16" s="9">
        <v>61</v>
      </c>
      <c r="V16" s="10">
        <v>112</v>
      </c>
      <c r="W16" s="11" t="s">
        <v>5</v>
      </c>
      <c r="X16" s="16">
        <v>58</v>
      </c>
      <c r="Y16" s="12">
        <v>2.8866600000000004</v>
      </c>
      <c r="Z16" s="7">
        <v>8.6</v>
      </c>
      <c r="AA16" s="7">
        <v>8.9</v>
      </c>
      <c r="AB16" s="13">
        <v>70</v>
      </c>
      <c r="AC16" s="13">
        <v>73</v>
      </c>
      <c r="AD16" s="11" t="s">
        <v>6</v>
      </c>
      <c r="AE16" s="18" t="s">
        <v>53</v>
      </c>
      <c r="AF16" s="14" t="s">
        <v>2011</v>
      </c>
    </row>
    <row r="17" spans="1:32" ht="15.75" x14ac:dyDescent="0.25">
      <c r="A17" s="1">
        <v>340</v>
      </c>
      <c r="B17" s="2">
        <v>46086</v>
      </c>
      <c r="C17" s="1" t="s">
        <v>18</v>
      </c>
      <c r="D17" s="1" t="s">
        <v>265</v>
      </c>
      <c r="E17" s="1">
        <v>2</v>
      </c>
      <c r="F17" s="83">
        <v>22603005</v>
      </c>
      <c r="G17" s="4">
        <v>1260</v>
      </c>
      <c r="H17" s="88" t="s">
        <v>1798</v>
      </c>
      <c r="I17" s="16" t="s">
        <v>110</v>
      </c>
      <c r="J17" s="16" t="s">
        <v>2012</v>
      </c>
      <c r="K17" s="4">
        <v>1569</v>
      </c>
      <c r="L17" s="4">
        <v>1545</v>
      </c>
      <c r="M17" s="4">
        <v>1545</v>
      </c>
      <c r="N17" s="4">
        <v>1545</v>
      </c>
      <c r="O17" s="5" t="s">
        <v>5</v>
      </c>
      <c r="P17" s="55">
        <v>1545</v>
      </c>
      <c r="Q17" s="7">
        <v>5</v>
      </c>
      <c r="R17" s="4">
        <v>34</v>
      </c>
      <c r="S17" s="8">
        <v>22</v>
      </c>
      <c r="T17" s="9">
        <v>165.6</v>
      </c>
      <c r="U17" s="9">
        <v>56.8</v>
      </c>
      <c r="V17" s="10">
        <v>108.8</v>
      </c>
      <c r="W17" s="11" t="s">
        <v>5</v>
      </c>
      <c r="X17" s="16">
        <v>58</v>
      </c>
      <c r="Y17" s="12">
        <v>2.8866600000000004</v>
      </c>
      <c r="Z17" s="7">
        <v>9</v>
      </c>
      <c r="AA17" s="7">
        <v>8.8000000000000007</v>
      </c>
      <c r="AB17" s="13">
        <v>74</v>
      </c>
      <c r="AC17" s="13">
        <v>72</v>
      </c>
      <c r="AD17" s="11" t="s">
        <v>6</v>
      </c>
      <c r="AE17" s="18" t="s">
        <v>455</v>
      </c>
      <c r="AF17" s="14" t="s">
        <v>444</v>
      </c>
    </row>
    <row r="18" spans="1:32" ht="31.5" x14ac:dyDescent="0.25">
      <c r="A18" s="1">
        <v>367</v>
      </c>
      <c r="B18" s="2">
        <v>46086</v>
      </c>
      <c r="C18" s="1" t="s">
        <v>264</v>
      </c>
      <c r="D18" s="1" t="s">
        <v>258</v>
      </c>
      <c r="E18" s="1">
        <v>2</v>
      </c>
      <c r="F18" s="83">
        <v>22603005</v>
      </c>
      <c r="G18" s="4">
        <v>1260</v>
      </c>
      <c r="H18" s="88" t="s">
        <v>55</v>
      </c>
      <c r="I18" s="16" t="s">
        <v>66</v>
      </c>
      <c r="J18" s="16" t="s">
        <v>2013</v>
      </c>
      <c r="K18" s="4">
        <v>1566</v>
      </c>
      <c r="L18" s="4">
        <v>1545</v>
      </c>
      <c r="M18" s="5">
        <v>1543</v>
      </c>
      <c r="N18" s="5">
        <v>1542</v>
      </c>
      <c r="O18" s="5">
        <v>1544</v>
      </c>
      <c r="P18" s="30">
        <v>1543</v>
      </c>
      <c r="Q18" s="7">
        <v>5.3</v>
      </c>
      <c r="R18" s="4">
        <v>36</v>
      </c>
      <c r="S18" s="8">
        <v>4</v>
      </c>
      <c r="T18" s="8">
        <v>178</v>
      </c>
      <c r="U18" s="8">
        <v>66</v>
      </c>
      <c r="V18" s="10">
        <v>112</v>
      </c>
      <c r="W18" s="11">
        <v>24.6</v>
      </c>
      <c r="X18" s="16">
        <v>58</v>
      </c>
      <c r="Y18" s="12">
        <v>3.0598596000000002</v>
      </c>
      <c r="Z18" s="7">
        <v>9</v>
      </c>
      <c r="AA18" s="7">
        <v>9</v>
      </c>
      <c r="AB18" s="13">
        <v>73</v>
      </c>
      <c r="AC18" s="13">
        <v>76</v>
      </c>
      <c r="AD18" s="11" t="s">
        <v>6</v>
      </c>
      <c r="AE18" s="18" t="s">
        <v>53</v>
      </c>
      <c r="AF18" s="14" t="s">
        <v>983</v>
      </c>
    </row>
    <row r="19" spans="1:32" ht="15.75" x14ac:dyDescent="0.25">
      <c r="A19" s="1">
        <v>370</v>
      </c>
      <c r="B19" s="2">
        <v>46086</v>
      </c>
      <c r="C19" s="1" t="s">
        <v>264</v>
      </c>
      <c r="D19" s="1" t="s">
        <v>258</v>
      </c>
      <c r="E19" s="1">
        <v>2</v>
      </c>
      <c r="F19" s="83">
        <v>22603005</v>
      </c>
      <c r="G19" s="4">
        <v>1260</v>
      </c>
      <c r="H19" s="88" t="s">
        <v>55</v>
      </c>
      <c r="I19" s="16" t="s">
        <v>129</v>
      </c>
      <c r="J19" s="16" t="s">
        <v>2014</v>
      </c>
      <c r="K19" s="4">
        <v>1568</v>
      </c>
      <c r="L19" s="4">
        <v>1554</v>
      </c>
      <c r="M19" s="5">
        <v>1553</v>
      </c>
      <c r="N19" s="5">
        <v>1551</v>
      </c>
      <c r="O19" s="5" t="s">
        <v>5</v>
      </c>
      <c r="P19" s="30">
        <v>1552</v>
      </c>
      <c r="Q19" s="7">
        <v>5.6</v>
      </c>
      <c r="R19" s="4">
        <v>36</v>
      </c>
      <c r="S19" s="8">
        <v>12</v>
      </c>
      <c r="T19" s="8">
        <v>170</v>
      </c>
      <c r="U19" s="8">
        <v>60</v>
      </c>
      <c r="V19" s="10">
        <v>110</v>
      </c>
      <c r="W19" s="11" t="s">
        <v>5</v>
      </c>
      <c r="X19" s="16">
        <v>56</v>
      </c>
      <c r="Y19" s="12">
        <v>3.1215744000000001</v>
      </c>
      <c r="Z19" s="7">
        <v>9.6999999999999993</v>
      </c>
      <c r="AA19" s="7">
        <v>9.3000000000000007</v>
      </c>
      <c r="AB19" s="13">
        <v>77</v>
      </c>
      <c r="AC19" s="13">
        <v>76</v>
      </c>
      <c r="AD19" s="11" t="s">
        <v>6</v>
      </c>
      <c r="AE19" s="18" t="s">
        <v>53</v>
      </c>
      <c r="AF19" s="14" t="s">
        <v>418</v>
      </c>
    </row>
    <row r="20" spans="1:32" ht="63" x14ac:dyDescent="0.25">
      <c r="A20" s="1">
        <v>387</v>
      </c>
      <c r="B20" s="2">
        <v>46086</v>
      </c>
      <c r="C20" s="1" t="s">
        <v>0</v>
      </c>
      <c r="D20" s="1" t="s">
        <v>9</v>
      </c>
      <c r="E20" s="1">
        <v>2</v>
      </c>
      <c r="F20" s="83">
        <v>22603005</v>
      </c>
      <c r="G20" s="4">
        <v>1260</v>
      </c>
      <c r="H20" s="88" t="s">
        <v>10</v>
      </c>
      <c r="I20" s="16" t="s">
        <v>303</v>
      </c>
      <c r="J20" s="16" t="s">
        <v>2015</v>
      </c>
      <c r="K20" s="4">
        <v>1570</v>
      </c>
      <c r="L20" s="5">
        <v>1544</v>
      </c>
      <c r="M20" s="5">
        <v>1544</v>
      </c>
      <c r="N20" s="5">
        <v>1543</v>
      </c>
      <c r="O20" s="5">
        <v>1541</v>
      </c>
      <c r="P20" s="30">
        <v>1542.6666666666667</v>
      </c>
      <c r="Q20" s="7">
        <v>5</v>
      </c>
      <c r="R20" s="4">
        <v>36</v>
      </c>
      <c r="S20" s="8">
        <v>38</v>
      </c>
      <c r="T20" s="9">
        <v>176</v>
      </c>
      <c r="U20" s="9">
        <v>68</v>
      </c>
      <c r="V20" s="10">
        <v>108</v>
      </c>
      <c r="W20" s="11" t="s">
        <v>5</v>
      </c>
      <c r="X20" s="16">
        <v>58</v>
      </c>
      <c r="Y20" s="12">
        <v>2.8866600000000004</v>
      </c>
      <c r="Z20" s="7">
        <v>7.8</v>
      </c>
      <c r="AA20" s="7">
        <v>7.7</v>
      </c>
      <c r="AB20" s="13">
        <v>78</v>
      </c>
      <c r="AC20" s="13">
        <v>78</v>
      </c>
      <c r="AD20" s="11" t="s">
        <v>6</v>
      </c>
      <c r="AE20" s="40" t="s">
        <v>53</v>
      </c>
      <c r="AF20" s="14" t="s">
        <v>2016</v>
      </c>
    </row>
    <row r="21" spans="1:32" ht="63" x14ac:dyDescent="0.25">
      <c r="A21" s="1">
        <v>388</v>
      </c>
      <c r="B21" s="2">
        <v>46086</v>
      </c>
      <c r="C21" s="1" t="s">
        <v>0</v>
      </c>
      <c r="D21" s="1" t="s">
        <v>9</v>
      </c>
      <c r="E21" s="1">
        <v>2</v>
      </c>
      <c r="F21" s="83">
        <v>22603005</v>
      </c>
      <c r="G21" s="4">
        <v>1230</v>
      </c>
      <c r="H21" s="88" t="s">
        <v>10</v>
      </c>
      <c r="I21" s="16" t="s">
        <v>419</v>
      </c>
      <c r="J21" s="16" t="s">
        <v>2017</v>
      </c>
      <c r="K21" s="4">
        <v>1571</v>
      </c>
      <c r="L21" s="5">
        <v>1542</v>
      </c>
      <c r="M21" s="5">
        <v>1542</v>
      </c>
      <c r="N21" s="5">
        <v>1542</v>
      </c>
      <c r="O21" s="5" t="s">
        <v>5</v>
      </c>
      <c r="P21" s="30">
        <v>1542</v>
      </c>
      <c r="Q21" s="7">
        <v>5.2</v>
      </c>
      <c r="R21" s="4">
        <v>36</v>
      </c>
      <c r="S21" s="8">
        <v>33</v>
      </c>
      <c r="T21" s="9">
        <v>165</v>
      </c>
      <c r="U21" s="9">
        <v>60</v>
      </c>
      <c r="V21" s="10">
        <v>105</v>
      </c>
      <c r="W21" s="11" t="s">
        <v>5</v>
      </c>
      <c r="X21" s="16">
        <v>58</v>
      </c>
      <c r="Y21" s="12">
        <v>2.9306472000000001</v>
      </c>
      <c r="Z21" s="7">
        <v>8.3000000000000007</v>
      </c>
      <c r="AA21" s="7">
        <v>8.8000000000000007</v>
      </c>
      <c r="AB21" s="13">
        <v>72</v>
      </c>
      <c r="AC21" s="13">
        <v>77</v>
      </c>
      <c r="AD21" s="11" t="s">
        <v>747</v>
      </c>
      <c r="AE21" s="40" t="s">
        <v>53</v>
      </c>
      <c r="AF21" s="14" t="s">
        <v>2018</v>
      </c>
    </row>
    <row r="22" spans="1:32" ht="15.75" x14ac:dyDescent="0.25">
      <c r="A22" s="1">
        <v>394</v>
      </c>
      <c r="B22" s="2">
        <v>46086</v>
      </c>
      <c r="C22" s="1" t="s">
        <v>0</v>
      </c>
      <c r="D22" s="1" t="s">
        <v>9</v>
      </c>
      <c r="E22" s="1">
        <v>2</v>
      </c>
      <c r="F22" s="83">
        <v>22603005</v>
      </c>
      <c r="G22" s="4">
        <v>1230</v>
      </c>
      <c r="H22" s="88" t="s">
        <v>10</v>
      </c>
      <c r="I22" s="16" t="s">
        <v>240</v>
      </c>
      <c r="J22" s="16" t="s">
        <v>2019</v>
      </c>
      <c r="K22" s="4">
        <v>1571</v>
      </c>
      <c r="L22" s="5">
        <v>1541</v>
      </c>
      <c r="M22" s="5">
        <v>1541</v>
      </c>
      <c r="N22" s="5">
        <v>1540</v>
      </c>
      <c r="O22" s="5">
        <v>1539</v>
      </c>
      <c r="P22" s="30">
        <v>1540</v>
      </c>
      <c r="Q22" s="7">
        <v>5.3</v>
      </c>
      <c r="R22" s="4">
        <v>35</v>
      </c>
      <c r="S22" s="8">
        <v>38</v>
      </c>
      <c r="T22" s="9">
        <v>158.19999999999999</v>
      </c>
      <c r="U22" s="9">
        <v>58</v>
      </c>
      <c r="V22" s="10">
        <v>100.19999999999999</v>
      </c>
      <c r="W22" s="11" t="s">
        <v>5</v>
      </c>
      <c r="X22" s="16">
        <v>58</v>
      </c>
      <c r="Y22" s="12">
        <v>2.9870057999999999</v>
      </c>
      <c r="Z22" s="7">
        <v>9</v>
      </c>
      <c r="AA22" s="7">
        <v>9.4</v>
      </c>
      <c r="AB22" s="13">
        <v>71</v>
      </c>
      <c r="AC22" s="13">
        <v>74</v>
      </c>
      <c r="AD22" s="11" t="s">
        <v>6</v>
      </c>
      <c r="AE22" s="40" t="s">
        <v>53</v>
      </c>
      <c r="AF22" s="14" t="s">
        <v>418</v>
      </c>
    </row>
    <row r="23" spans="1:32" ht="15.75" x14ac:dyDescent="0.25">
      <c r="A23" s="1">
        <v>399</v>
      </c>
      <c r="B23" s="2">
        <v>46086</v>
      </c>
      <c r="C23" s="1" t="s">
        <v>0</v>
      </c>
      <c r="D23" s="1" t="s">
        <v>9</v>
      </c>
      <c r="E23" s="1">
        <v>2</v>
      </c>
      <c r="F23" s="83">
        <v>22603005</v>
      </c>
      <c r="G23" s="4">
        <v>1230</v>
      </c>
      <c r="H23" s="88" t="s">
        <v>10</v>
      </c>
      <c r="I23" s="16" t="s">
        <v>373</v>
      </c>
      <c r="J23" s="16" t="s">
        <v>2020</v>
      </c>
      <c r="K23" s="4">
        <v>1575</v>
      </c>
      <c r="L23" s="4">
        <v>1547</v>
      </c>
      <c r="M23" s="5">
        <v>1546</v>
      </c>
      <c r="N23" s="5">
        <v>1546</v>
      </c>
      <c r="O23" s="5">
        <v>1546</v>
      </c>
      <c r="P23" s="30">
        <v>1546</v>
      </c>
      <c r="Q23" s="7">
        <v>4.5</v>
      </c>
      <c r="R23" s="4">
        <v>31</v>
      </c>
      <c r="S23" s="8">
        <v>31</v>
      </c>
      <c r="T23" s="8">
        <v>170</v>
      </c>
      <c r="U23" s="8">
        <v>60</v>
      </c>
      <c r="V23" s="10">
        <v>110</v>
      </c>
      <c r="W23" s="11" t="s">
        <v>5</v>
      </c>
      <c r="X23" s="16">
        <v>58</v>
      </c>
      <c r="Y23" s="12">
        <v>2.5361370000000001</v>
      </c>
      <c r="Z23" s="7">
        <v>8.9</v>
      </c>
      <c r="AA23" s="7">
        <v>9.1999999999999993</v>
      </c>
      <c r="AB23" s="13">
        <v>81</v>
      </c>
      <c r="AC23" s="13">
        <v>81</v>
      </c>
      <c r="AD23" s="11" t="s">
        <v>6</v>
      </c>
      <c r="AE23" s="40" t="s">
        <v>53</v>
      </c>
      <c r="AF23" s="14" t="s">
        <v>284</v>
      </c>
    </row>
    <row r="24" spans="1:32" ht="15.75" x14ac:dyDescent="0.25">
      <c r="A24" s="1">
        <v>406</v>
      </c>
      <c r="B24" s="2">
        <v>46087</v>
      </c>
      <c r="C24" s="1" t="s">
        <v>18</v>
      </c>
      <c r="D24" s="1" t="s">
        <v>265</v>
      </c>
      <c r="E24" s="1">
        <v>1</v>
      </c>
      <c r="F24" s="83">
        <v>12603005</v>
      </c>
      <c r="G24" s="4">
        <v>1340</v>
      </c>
      <c r="H24" s="88" t="s">
        <v>10</v>
      </c>
      <c r="I24" s="16" t="s">
        <v>86</v>
      </c>
      <c r="J24" s="16" t="s">
        <v>2021</v>
      </c>
      <c r="K24" s="16">
        <v>1568</v>
      </c>
      <c r="L24" s="4">
        <v>1554</v>
      </c>
      <c r="M24" s="5">
        <v>1550</v>
      </c>
      <c r="N24" s="5">
        <v>1549</v>
      </c>
      <c r="O24" s="5">
        <v>1549</v>
      </c>
      <c r="P24" s="30">
        <v>1549.3333333333333</v>
      </c>
      <c r="Q24" s="7">
        <v>4.9000000000000004</v>
      </c>
      <c r="R24" s="4">
        <v>33</v>
      </c>
      <c r="S24" s="8"/>
      <c r="T24" s="9">
        <v>160</v>
      </c>
      <c r="U24" s="9">
        <v>60</v>
      </c>
      <c r="V24" s="10">
        <v>100</v>
      </c>
      <c r="W24" s="11" t="s">
        <v>5</v>
      </c>
      <c r="X24" s="16">
        <v>58</v>
      </c>
      <c r="Y24" s="12">
        <v>3.0085412000000002</v>
      </c>
      <c r="Z24" s="7">
        <v>9.4</v>
      </c>
      <c r="AA24" s="7">
        <v>10.9</v>
      </c>
      <c r="AB24" s="13">
        <v>76</v>
      </c>
      <c r="AC24" s="13">
        <v>87</v>
      </c>
      <c r="AD24" s="11" t="s">
        <v>6</v>
      </c>
      <c r="AE24" s="40" t="s">
        <v>53</v>
      </c>
      <c r="AF24" s="14" t="s">
        <v>480</v>
      </c>
    </row>
    <row r="25" spans="1:32" ht="15.75" x14ac:dyDescent="0.25">
      <c r="A25" s="1">
        <v>413</v>
      </c>
      <c r="B25" s="2">
        <v>46087</v>
      </c>
      <c r="C25" s="1" t="s">
        <v>18</v>
      </c>
      <c r="D25" s="1" t="s">
        <v>265</v>
      </c>
      <c r="E25" s="1">
        <v>2</v>
      </c>
      <c r="F25" s="83">
        <v>22603005</v>
      </c>
      <c r="G25" s="4">
        <v>1230</v>
      </c>
      <c r="H25" s="88" t="s">
        <v>10</v>
      </c>
      <c r="I25" s="16" t="s">
        <v>504</v>
      </c>
      <c r="J25" s="16" t="s">
        <v>2022</v>
      </c>
      <c r="K25" s="16">
        <v>1570</v>
      </c>
      <c r="L25" s="4">
        <v>1541</v>
      </c>
      <c r="M25" s="4">
        <v>1541</v>
      </c>
      <c r="N25" s="5">
        <v>1538</v>
      </c>
      <c r="O25" s="5">
        <v>1536</v>
      </c>
      <c r="P25" s="30">
        <v>1538.3333333333333</v>
      </c>
      <c r="Q25" s="7">
        <v>4.5</v>
      </c>
      <c r="R25" s="4">
        <v>39</v>
      </c>
      <c r="S25" s="8">
        <v>38</v>
      </c>
      <c r="T25" s="9">
        <v>173</v>
      </c>
      <c r="U25" s="9">
        <v>60</v>
      </c>
      <c r="V25" s="10">
        <v>113</v>
      </c>
      <c r="W25" s="11" t="s">
        <v>5</v>
      </c>
      <c r="X25" s="16">
        <v>58</v>
      </c>
      <c r="Y25" s="12">
        <v>2.5361370000000001</v>
      </c>
      <c r="Z25" s="7">
        <v>8.5</v>
      </c>
      <c r="AA25" s="7">
        <v>8.8000000000000007</v>
      </c>
      <c r="AB25" s="13">
        <v>74</v>
      </c>
      <c r="AC25" s="13">
        <v>78</v>
      </c>
      <c r="AD25" s="11" t="s">
        <v>6</v>
      </c>
      <c r="AE25" s="18" t="s">
        <v>455</v>
      </c>
      <c r="AF25" s="14" t="s">
        <v>284</v>
      </c>
    </row>
    <row r="26" spans="1:32" ht="15.75" x14ac:dyDescent="0.25">
      <c r="A26" s="1">
        <v>443</v>
      </c>
      <c r="B26" s="2">
        <v>46087</v>
      </c>
      <c r="C26" s="1" t="s">
        <v>264</v>
      </c>
      <c r="D26" s="1" t="s">
        <v>258</v>
      </c>
      <c r="E26" s="1">
        <v>2</v>
      </c>
      <c r="F26" s="83">
        <v>22603006</v>
      </c>
      <c r="G26" s="4">
        <v>1340</v>
      </c>
      <c r="H26" s="88" t="s">
        <v>10</v>
      </c>
      <c r="I26" s="16" t="s">
        <v>315</v>
      </c>
      <c r="J26" s="16" t="s">
        <v>2023</v>
      </c>
      <c r="K26" s="4">
        <v>1568</v>
      </c>
      <c r="L26" s="4">
        <v>1549</v>
      </c>
      <c r="M26" s="5">
        <v>1550</v>
      </c>
      <c r="N26" s="5">
        <v>1550</v>
      </c>
      <c r="O26" s="5"/>
      <c r="P26" s="30">
        <v>1550</v>
      </c>
      <c r="Q26" s="7">
        <v>5</v>
      </c>
      <c r="R26" s="4">
        <v>30</v>
      </c>
      <c r="S26" s="8">
        <v>14</v>
      </c>
      <c r="T26" s="8">
        <v>162</v>
      </c>
      <c r="U26" s="8">
        <v>60</v>
      </c>
      <c r="V26" s="10">
        <v>102</v>
      </c>
      <c r="W26" s="11" t="s">
        <v>5</v>
      </c>
      <c r="X26" s="16">
        <v>56</v>
      </c>
      <c r="Y26" s="12">
        <v>2.96408</v>
      </c>
      <c r="Z26" s="7">
        <v>10.1</v>
      </c>
      <c r="AA26" s="7">
        <v>9</v>
      </c>
      <c r="AB26" s="13">
        <v>83</v>
      </c>
      <c r="AC26" s="13">
        <v>93</v>
      </c>
      <c r="AD26" s="11" t="s">
        <v>6</v>
      </c>
      <c r="AE26" s="18" t="s">
        <v>455</v>
      </c>
      <c r="AF26" s="14" t="s">
        <v>721</v>
      </c>
    </row>
    <row r="27" spans="1:32" ht="15.75" x14ac:dyDescent="0.25">
      <c r="A27" s="1">
        <v>449</v>
      </c>
      <c r="B27" s="2">
        <v>46087</v>
      </c>
      <c r="C27" s="1" t="s">
        <v>264</v>
      </c>
      <c r="D27" s="1" t="s">
        <v>258</v>
      </c>
      <c r="E27" s="1">
        <v>2</v>
      </c>
      <c r="F27" s="83">
        <v>22603006</v>
      </c>
      <c r="G27" s="4">
        <v>1340</v>
      </c>
      <c r="H27" s="88" t="s">
        <v>10</v>
      </c>
      <c r="I27" s="16" t="s">
        <v>113</v>
      </c>
      <c r="J27" s="16" t="s">
        <v>2024</v>
      </c>
      <c r="K27" s="4">
        <v>1570</v>
      </c>
      <c r="L27" s="4">
        <v>1547</v>
      </c>
      <c r="M27" s="5">
        <v>1547</v>
      </c>
      <c r="N27" s="5">
        <v>1548</v>
      </c>
      <c r="O27" s="5">
        <v>1548</v>
      </c>
      <c r="P27" s="30">
        <v>1547.6666666666667</v>
      </c>
      <c r="Q27" s="7">
        <v>5.5</v>
      </c>
      <c r="R27" s="4">
        <v>31</v>
      </c>
      <c r="S27" s="8">
        <v>4</v>
      </c>
      <c r="T27" s="8">
        <v>180</v>
      </c>
      <c r="U27" s="8">
        <v>66</v>
      </c>
      <c r="V27" s="10">
        <v>114</v>
      </c>
      <c r="W27" s="11" t="s">
        <v>5</v>
      </c>
      <c r="X27" s="16">
        <v>56</v>
      </c>
      <c r="Y27" s="12">
        <v>3.2604880000000001</v>
      </c>
      <c r="Z27" s="7">
        <v>11.2</v>
      </c>
      <c r="AA27" s="7">
        <v>9.5</v>
      </c>
      <c r="AB27" s="13">
        <v>86</v>
      </c>
      <c r="AC27" s="13">
        <v>73</v>
      </c>
      <c r="AD27" s="11" t="s">
        <v>6</v>
      </c>
      <c r="AE27" s="18" t="s">
        <v>53</v>
      </c>
      <c r="AF27" s="14" t="s">
        <v>2025</v>
      </c>
    </row>
    <row r="28" spans="1:32" ht="15.75" x14ac:dyDescent="0.25">
      <c r="A28" s="1">
        <v>451</v>
      </c>
      <c r="B28" s="2">
        <v>46087</v>
      </c>
      <c r="C28" s="1" t="s">
        <v>264</v>
      </c>
      <c r="D28" s="1" t="s">
        <v>258</v>
      </c>
      <c r="E28" s="1">
        <v>2</v>
      </c>
      <c r="F28" s="83">
        <v>22603006</v>
      </c>
      <c r="G28" s="4">
        <v>1340</v>
      </c>
      <c r="H28" s="88" t="s">
        <v>10</v>
      </c>
      <c r="I28" s="16" t="s">
        <v>155</v>
      </c>
      <c r="J28" s="16" t="s">
        <v>2026</v>
      </c>
      <c r="K28" s="4">
        <v>1570</v>
      </c>
      <c r="L28" s="4">
        <v>1549</v>
      </c>
      <c r="M28" s="5">
        <v>1548</v>
      </c>
      <c r="N28" s="5">
        <v>1546</v>
      </c>
      <c r="O28" s="5">
        <v>1548</v>
      </c>
      <c r="P28" s="30">
        <v>1547.3333333333333</v>
      </c>
      <c r="Q28" s="7">
        <v>5.6</v>
      </c>
      <c r="R28" s="4">
        <v>34</v>
      </c>
      <c r="S28" s="8">
        <v>34</v>
      </c>
      <c r="T28" s="8">
        <v>160</v>
      </c>
      <c r="U28" s="8">
        <v>60</v>
      </c>
      <c r="V28" s="10">
        <v>100</v>
      </c>
      <c r="W28" s="11" t="s">
        <v>5</v>
      </c>
      <c r="X28" s="16">
        <v>56</v>
      </c>
      <c r="Y28" s="12">
        <v>3.3197695999999999</v>
      </c>
      <c r="Z28" s="7">
        <v>10.7</v>
      </c>
      <c r="AA28" s="7">
        <v>10</v>
      </c>
      <c r="AB28" s="13">
        <v>91</v>
      </c>
      <c r="AC28" s="13">
        <v>85</v>
      </c>
      <c r="AD28" s="11" t="s">
        <v>6</v>
      </c>
      <c r="AE28" s="18" t="s">
        <v>53</v>
      </c>
      <c r="AF28" s="14" t="s">
        <v>480</v>
      </c>
    </row>
    <row r="29" spans="1:32" ht="47.25" x14ac:dyDescent="0.25">
      <c r="A29" s="1">
        <v>452</v>
      </c>
      <c r="B29" s="2">
        <v>46087</v>
      </c>
      <c r="C29" s="1" t="s">
        <v>264</v>
      </c>
      <c r="D29" s="1" t="s">
        <v>258</v>
      </c>
      <c r="E29" s="1">
        <v>2</v>
      </c>
      <c r="F29" s="83">
        <v>22603006</v>
      </c>
      <c r="G29" s="4">
        <v>1340</v>
      </c>
      <c r="H29" s="88" t="s">
        <v>10</v>
      </c>
      <c r="I29" s="16" t="s">
        <v>80</v>
      </c>
      <c r="J29" s="16" t="s">
        <v>2027</v>
      </c>
      <c r="K29" s="4">
        <v>1569</v>
      </c>
      <c r="L29" s="4">
        <v>1544</v>
      </c>
      <c r="M29" s="5">
        <v>1541</v>
      </c>
      <c r="N29" s="5">
        <v>1542</v>
      </c>
      <c r="O29" s="5">
        <v>1542</v>
      </c>
      <c r="P29" s="30">
        <v>1541.6666666666667</v>
      </c>
      <c r="Q29" s="7">
        <v>5.5</v>
      </c>
      <c r="R29" s="4">
        <v>33</v>
      </c>
      <c r="S29" s="8"/>
      <c r="T29" s="8">
        <v>164</v>
      </c>
      <c r="U29" s="8">
        <v>61</v>
      </c>
      <c r="V29" s="10">
        <v>103</v>
      </c>
      <c r="W29" s="11" t="s">
        <v>5</v>
      </c>
      <c r="X29" s="16">
        <v>56</v>
      </c>
      <c r="Y29" s="12">
        <v>3.2604880000000001</v>
      </c>
      <c r="Z29" s="7">
        <v>11.04</v>
      </c>
      <c r="AA29" s="7">
        <v>9</v>
      </c>
      <c r="AB29" s="13">
        <v>76</v>
      </c>
      <c r="AC29" s="13">
        <v>75</v>
      </c>
      <c r="AD29" s="11" t="s">
        <v>6</v>
      </c>
      <c r="AE29" s="18" t="s">
        <v>53</v>
      </c>
      <c r="AF29" s="14" t="s">
        <v>2028</v>
      </c>
    </row>
    <row r="30" spans="1:32" ht="15.75" x14ac:dyDescent="0.25">
      <c r="A30" s="1">
        <v>472</v>
      </c>
      <c r="B30" s="2">
        <v>46087</v>
      </c>
      <c r="C30" s="1" t="s">
        <v>0</v>
      </c>
      <c r="D30" s="1" t="s">
        <v>9</v>
      </c>
      <c r="E30" s="1">
        <v>2</v>
      </c>
      <c r="F30" s="83">
        <v>22603006</v>
      </c>
      <c r="G30" s="4">
        <v>1340</v>
      </c>
      <c r="H30" s="88" t="s">
        <v>10</v>
      </c>
      <c r="I30" s="16" t="s">
        <v>164</v>
      </c>
      <c r="J30" s="16" t="s">
        <v>2029</v>
      </c>
      <c r="K30" s="4">
        <v>1570</v>
      </c>
      <c r="L30" s="5">
        <v>1544</v>
      </c>
      <c r="M30" s="5">
        <v>1545</v>
      </c>
      <c r="N30" s="5">
        <v>1544</v>
      </c>
      <c r="O30" s="5">
        <v>1544</v>
      </c>
      <c r="P30" s="30">
        <v>1544.3333333333333</v>
      </c>
      <c r="Q30" s="7">
        <v>5.5</v>
      </c>
      <c r="R30" s="4">
        <v>27</v>
      </c>
      <c r="S30" s="8">
        <v>12</v>
      </c>
      <c r="T30" s="9">
        <v>165</v>
      </c>
      <c r="U30" s="9">
        <v>68</v>
      </c>
      <c r="V30" s="10">
        <v>97</v>
      </c>
      <c r="W30" s="11" t="s">
        <v>5</v>
      </c>
      <c r="X30" s="16">
        <v>56</v>
      </c>
      <c r="Y30" s="12">
        <v>3.2604880000000001</v>
      </c>
      <c r="Z30" s="7">
        <v>11.7</v>
      </c>
      <c r="AA30" s="7">
        <v>10.1</v>
      </c>
      <c r="AB30" s="13">
        <v>78</v>
      </c>
      <c r="AC30" s="13">
        <v>73</v>
      </c>
      <c r="AD30" s="11" t="s">
        <v>6</v>
      </c>
      <c r="AE30" s="18" t="s">
        <v>53</v>
      </c>
      <c r="AF30" s="14" t="s">
        <v>444</v>
      </c>
    </row>
    <row r="31" spans="1:32" ht="15.75" x14ac:dyDescent="0.25">
      <c r="A31" s="1">
        <v>474</v>
      </c>
      <c r="B31" s="2">
        <v>46087</v>
      </c>
      <c r="C31" s="1" t="s">
        <v>0</v>
      </c>
      <c r="D31" s="1" t="s">
        <v>9</v>
      </c>
      <c r="E31" s="1">
        <v>2</v>
      </c>
      <c r="F31" s="83">
        <v>22603006</v>
      </c>
      <c r="G31" s="4">
        <v>1340</v>
      </c>
      <c r="H31" s="88" t="s">
        <v>55</v>
      </c>
      <c r="I31" s="16" t="s">
        <v>15</v>
      </c>
      <c r="J31" s="16" t="s">
        <v>2030</v>
      </c>
      <c r="K31" s="4">
        <v>1570</v>
      </c>
      <c r="L31" s="5">
        <v>1547</v>
      </c>
      <c r="M31" s="5">
        <v>1547</v>
      </c>
      <c r="N31" s="5">
        <v>1547</v>
      </c>
      <c r="O31" s="5">
        <v>1547</v>
      </c>
      <c r="P31" s="30">
        <v>1547</v>
      </c>
      <c r="Q31" s="7">
        <v>5.5</v>
      </c>
      <c r="R31" s="4">
        <v>30</v>
      </c>
      <c r="S31" s="8"/>
      <c r="T31" s="9">
        <v>181</v>
      </c>
      <c r="U31" s="9">
        <v>70</v>
      </c>
      <c r="V31" s="10">
        <v>111</v>
      </c>
      <c r="W31" s="11" t="s">
        <v>5</v>
      </c>
      <c r="X31" s="16">
        <v>56</v>
      </c>
      <c r="Y31" s="12">
        <v>3.2604880000000001</v>
      </c>
      <c r="Z31" s="7">
        <v>10.4</v>
      </c>
      <c r="AA31" s="7">
        <v>9.4</v>
      </c>
      <c r="AB31" s="13">
        <v>81</v>
      </c>
      <c r="AC31" s="13">
        <v>74</v>
      </c>
      <c r="AD31" s="11" t="s">
        <v>6</v>
      </c>
      <c r="AE31" s="18" t="s">
        <v>53</v>
      </c>
      <c r="AF31" s="14" t="s">
        <v>480</v>
      </c>
    </row>
    <row r="32" spans="1:32" ht="15.75" x14ac:dyDescent="0.25">
      <c r="A32" s="1">
        <v>475</v>
      </c>
      <c r="B32" s="2">
        <v>46087</v>
      </c>
      <c r="C32" s="1" t="s">
        <v>0</v>
      </c>
      <c r="D32" s="1" t="s">
        <v>9</v>
      </c>
      <c r="E32" s="1">
        <v>2</v>
      </c>
      <c r="F32" s="83">
        <v>22603006</v>
      </c>
      <c r="G32" s="4">
        <v>1340</v>
      </c>
      <c r="H32" s="88" t="s">
        <v>55</v>
      </c>
      <c r="I32" s="16" t="s">
        <v>269</v>
      </c>
      <c r="J32" s="16" t="s">
        <v>2031</v>
      </c>
      <c r="K32" s="4">
        <v>1571</v>
      </c>
      <c r="L32" s="5">
        <v>1545</v>
      </c>
      <c r="M32" s="5">
        <v>1543</v>
      </c>
      <c r="N32" s="5">
        <v>1544</v>
      </c>
      <c r="O32" s="5">
        <v>1544</v>
      </c>
      <c r="P32" s="30">
        <v>1543.6666666666667</v>
      </c>
      <c r="Q32" s="7">
        <v>5.3</v>
      </c>
      <c r="R32" s="4">
        <v>34</v>
      </c>
      <c r="S32" s="8"/>
      <c r="T32" s="9">
        <v>176</v>
      </c>
      <c r="U32" s="9">
        <v>62</v>
      </c>
      <c r="V32" s="10">
        <v>114</v>
      </c>
      <c r="W32" s="11" t="s">
        <v>5</v>
      </c>
      <c r="X32" s="16">
        <v>56</v>
      </c>
      <c r="Y32" s="12">
        <v>3.1419248</v>
      </c>
      <c r="Z32" s="7">
        <v>11</v>
      </c>
      <c r="AA32" s="7">
        <v>9.8000000000000007</v>
      </c>
      <c r="AB32" s="13">
        <v>82</v>
      </c>
      <c r="AC32" s="13">
        <v>76</v>
      </c>
      <c r="AD32" s="11" t="s">
        <v>6</v>
      </c>
      <c r="AE32" s="18" t="s">
        <v>53</v>
      </c>
      <c r="AF32" s="14" t="s">
        <v>1786</v>
      </c>
    </row>
    <row r="33" spans="1:32" ht="31.5" x14ac:dyDescent="0.25">
      <c r="A33" s="1">
        <v>477</v>
      </c>
      <c r="B33" s="2">
        <v>46087</v>
      </c>
      <c r="C33" s="1" t="s">
        <v>0</v>
      </c>
      <c r="D33" s="1" t="s">
        <v>9</v>
      </c>
      <c r="E33" s="1">
        <v>2</v>
      </c>
      <c r="F33" s="83">
        <v>22603006</v>
      </c>
      <c r="G33" s="4">
        <v>1340</v>
      </c>
      <c r="H33" s="88" t="s">
        <v>55</v>
      </c>
      <c r="I33" s="16" t="s">
        <v>277</v>
      </c>
      <c r="J33" s="16" t="s">
        <v>2032</v>
      </c>
      <c r="K33" s="4">
        <v>1572</v>
      </c>
      <c r="L33" s="5">
        <v>1546</v>
      </c>
      <c r="M33" s="5">
        <v>1546</v>
      </c>
      <c r="N33" s="5">
        <v>1540</v>
      </c>
      <c r="O33" s="5">
        <v>1538</v>
      </c>
      <c r="P33" s="30">
        <v>1541.3333333333333</v>
      </c>
      <c r="Q33" s="7">
        <v>4.8</v>
      </c>
      <c r="R33" s="4">
        <v>34</v>
      </c>
      <c r="S33" s="8"/>
      <c r="T33" s="9">
        <v>167</v>
      </c>
      <c r="U33" s="9">
        <v>61</v>
      </c>
      <c r="V33" s="10">
        <v>106</v>
      </c>
      <c r="W33" s="11" t="s">
        <v>5</v>
      </c>
      <c r="X33" s="16">
        <v>56</v>
      </c>
      <c r="Y33" s="12">
        <v>2.8455168</v>
      </c>
      <c r="Z33" s="7">
        <v>9.4</v>
      </c>
      <c r="AA33" s="7">
        <v>8.1999999999999993</v>
      </c>
      <c r="AB33" s="13">
        <v>76</v>
      </c>
      <c r="AC33" s="13">
        <v>61</v>
      </c>
      <c r="AD33" s="11" t="s">
        <v>6</v>
      </c>
      <c r="AE33" s="18" t="s">
        <v>455</v>
      </c>
      <c r="AF33" s="14" t="s">
        <v>442</v>
      </c>
    </row>
    <row r="34" spans="1:32" ht="31.5" x14ac:dyDescent="0.25">
      <c r="A34" s="1">
        <v>479</v>
      </c>
      <c r="B34" s="2">
        <v>46087</v>
      </c>
      <c r="C34" s="1" t="s">
        <v>0</v>
      </c>
      <c r="D34" s="1" t="s">
        <v>9</v>
      </c>
      <c r="E34" s="1">
        <v>2</v>
      </c>
      <c r="F34" s="83">
        <v>22603006</v>
      </c>
      <c r="G34" s="4">
        <v>1340</v>
      </c>
      <c r="H34" s="88" t="s">
        <v>55</v>
      </c>
      <c r="I34" s="16" t="s">
        <v>303</v>
      </c>
      <c r="J34" s="16" t="s">
        <v>2033</v>
      </c>
      <c r="K34" s="4">
        <v>1570</v>
      </c>
      <c r="L34" s="5">
        <v>1550</v>
      </c>
      <c r="M34" s="5">
        <v>1549</v>
      </c>
      <c r="N34" s="5">
        <v>1547</v>
      </c>
      <c r="O34" s="5">
        <v>1547</v>
      </c>
      <c r="P34" s="30">
        <v>1547.6666666666667</v>
      </c>
      <c r="Q34" s="7">
        <v>5</v>
      </c>
      <c r="R34" s="4">
        <v>40</v>
      </c>
      <c r="S34" s="8">
        <v>34</v>
      </c>
      <c r="T34" s="9">
        <v>180</v>
      </c>
      <c r="U34" s="9">
        <v>63</v>
      </c>
      <c r="V34" s="10">
        <v>117</v>
      </c>
      <c r="W34" s="11" t="s">
        <v>5</v>
      </c>
      <c r="X34" s="16">
        <v>56</v>
      </c>
      <c r="Y34" s="12">
        <v>2.96408</v>
      </c>
      <c r="Z34" s="7">
        <v>11.4</v>
      </c>
      <c r="AA34" s="7">
        <v>10</v>
      </c>
      <c r="AB34" s="13">
        <v>85</v>
      </c>
      <c r="AC34" s="13">
        <v>75</v>
      </c>
      <c r="AD34" s="11" t="s">
        <v>6</v>
      </c>
      <c r="AE34" s="18" t="s">
        <v>53</v>
      </c>
      <c r="AF34" s="14" t="s">
        <v>983</v>
      </c>
    </row>
    <row r="35" spans="1:32" ht="31.5" x14ac:dyDescent="0.25">
      <c r="A35" s="1">
        <v>485</v>
      </c>
      <c r="B35" s="2">
        <v>46088</v>
      </c>
      <c r="C35" s="1" t="s">
        <v>18</v>
      </c>
      <c r="D35" s="1" t="s">
        <v>19</v>
      </c>
      <c r="E35" s="1">
        <v>1</v>
      </c>
      <c r="F35" s="83">
        <v>12603006</v>
      </c>
      <c r="G35" s="4">
        <v>1270</v>
      </c>
      <c r="H35" s="88" t="s">
        <v>10</v>
      </c>
      <c r="I35" s="16" t="s">
        <v>138</v>
      </c>
      <c r="J35" s="16" t="s">
        <v>2034</v>
      </c>
      <c r="K35" s="16">
        <v>1568</v>
      </c>
      <c r="L35" s="4">
        <v>1542</v>
      </c>
      <c r="M35" s="5">
        <v>1540</v>
      </c>
      <c r="N35" s="5">
        <v>1543</v>
      </c>
      <c r="O35" s="3" t="s">
        <v>5</v>
      </c>
      <c r="P35" s="55">
        <v>1541.5</v>
      </c>
      <c r="Q35" s="7">
        <v>5</v>
      </c>
      <c r="R35" s="4">
        <v>36</v>
      </c>
      <c r="S35" s="8">
        <v>34</v>
      </c>
      <c r="T35" s="9" t="s">
        <v>5</v>
      </c>
      <c r="U35" s="9" t="s">
        <v>5</v>
      </c>
      <c r="V35" s="9" t="s">
        <v>5</v>
      </c>
      <c r="W35" s="11" t="s">
        <v>5</v>
      </c>
      <c r="X35" s="16">
        <v>58</v>
      </c>
      <c r="Y35" s="12">
        <v>2.9095700000000004</v>
      </c>
      <c r="Z35" s="7">
        <v>10.4</v>
      </c>
      <c r="AA35" s="7">
        <v>11.7</v>
      </c>
      <c r="AB35" s="13">
        <v>82</v>
      </c>
      <c r="AC35" s="13">
        <v>91</v>
      </c>
      <c r="AD35" s="11" t="s">
        <v>488</v>
      </c>
      <c r="AE35" s="40" t="s">
        <v>455</v>
      </c>
      <c r="AF35" s="14" t="s">
        <v>2035</v>
      </c>
    </row>
    <row r="36" spans="1:32" ht="47.25" x14ac:dyDescent="0.25">
      <c r="A36" s="1">
        <v>532</v>
      </c>
      <c r="B36" s="2">
        <v>46088</v>
      </c>
      <c r="C36" s="1" t="s">
        <v>264</v>
      </c>
      <c r="D36" s="1" t="s">
        <v>258</v>
      </c>
      <c r="E36" s="1">
        <v>2</v>
      </c>
      <c r="F36" s="83">
        <v>22603007</v>
      </c>
      <c r="G36" s="4">
        <v>1230</v>
      </c>
      <c r="H36" s="88" t="s">
        <v>10</v>
      </c>
      <c r="I36" s="16" t="s">
        <v>110</v>
      </c>
      <c r="J36" s="16" t="s">
        <v>2036</v>
      </c>
      <c r="K36" s="4">
        <v>1565</v>
      </c>
      <c r="L36" s="4">
        <v>1548</v>
      </c>
      <c r="M36" s="5">
        <v>1547</v>
      </c>
      <c r="N36" s="5">
        <v>1548</v>
      </c>
      <c r="O36" s="5" t="s">
        <v>5</v>
      </c>
      <c r="P36" s="30">
        <v>1547.5</v>
      </c>
      <c r="Q36" s="7">
        <v>5.5</v>
      </c>
      <c r="R36" s="4">
        <v>35</v>
      </c>
      <c r="S36" s="8" t="s">
        <v>5</v>
      </c>
      <c r="T36" s="8">
        <v>160</v>
      </c>
      <c r="U36" s="8">
        <v>60</v>
      </c>
      <c r="V36" s="10">
        <v>100</v>
      </c>
      <c r="W36" s="11" t="s">
        <v>5</v>
      </c>
      <c r="X36" s="16">
        <v>58</v>
      </c>
      <c r="Y36" s="12">
        <v>3.099723</v>
      </c>
      <c r="Z36" s="7">
        <v>11.3</v>
      </c>
      <c r="AA36" s="7">
        <v>10.5</v>
      </c>
      <c r="AB36" s="7">
        <v>89</v>
      </c>
      <c r="AC36" s="7">
        <v>85</v>
      </c>
      <c r="AD36" s="11" t="s">
        <v>6</v>
      </c>
      <c r="AE36" s="18" t="s">
        <v>53</v>
      </c>
      <c r="AF36" s="14" t="s">
        <v>2037</v>
      </c>
    </row>
    <row r="37" spans="1:32" ht="15.75" x14ac:dyDescent="0.25">
      <c r="A37" s="1">
        <v>541</v>
      </c>
      <c r="B37" s="2">
        <v>46088</v>
      </c>
      <c r="C37" s="1" t="s">
        <v>0</v>
      </c>
      <c r="D37" s="1" t="s">
        <v>265</v>
      </c>
      <c r="E37" s="1">
        <v>1</v>
      </c>
      <c r="F37" s="83">
        <v>12603007</v>
      </c>
      <c r="G37" s="4">
        <v>1230</v>
      </c>
      <c r="H37" s="88" t="s">
        <v>10</v>
      </c>
      <c r="I37" s="16" t="s">
        <v>122</v>
      </c>
      <c r="J37" s="16" t="s">
        <v>2038</v>
      </c>
      <c r="K37" s="104">
        <v>1572</v>
      </c>
      <c r="L37" s="3">
        <v>1546</v>
      </c>
      <c r="M37" s="3">
        <v>1546</v>
      </c>
      <c r="N37" s="3">
        <v>1551</v>
      </c>
      <c r="O37" s="3">
        <v>1551</v>
      </c>
      <c r="P37" s="55">
        <v>1549.3333333333333</v>
      </c>
      <c r="Q37" s="7">
        <v>5.3</v>
      </c>
      <c r="R37" s="4">
        <v>34</v>
      </c>
      <c r="S37" s="8">
        <v>18</v>
      </c>
      <c r="T37" s="8">
        <v>164</v>
      </c>
      <c r="U37" s="8">
        <v>62</v>
      </c>
      <c r="V37" s="10">
        <v>102</v>
      </c>
      <c r="W37" s="11" t="s">
        <v>5</v>
      </c>
      <c r="X37" s="16">
        <v>58</v>
      </c>
      <c r="Y37" s="12">
        <v>2.9870057999999999</v>
      </c>
      <c r="Z37" s="7">
        <v>9.4</v>
      </c>
      <c r="AA37" s="7">
        <v>11.5</v>
      </c>
      <c r="AB37" s="13">
        <v>84</v>
      </c>
      <c r="AC37" s="13">
        <v>92</v>
      </c>
      <c r="AD37" s="11" t="s">
        <v>6</v>
      </c>
      <c r="AE37" s="18" t="s">
        <v>455</v>
      </c>
      <c r="AF37" s="14" t="s">
        <v>480</v>
      </c>
    </row>
    <row r="38" spans="1:32" ht="15.75" x14ac:dyDescent="0.25">
      <c r="A38" s="1">
        <v>556</v>
      </c>
      <c r="B38" s="2">
        <v>46088</v>
      </c>
      <c r="C38" s="1" t="s">
        <v>0</v>
      </c>
      <c r="D38" s="1" t="s">
        <v>265</v>
      </c>
      <c r="E38" s="1">
        <v>2</v>
      </c>
      <c r="F38" s="83">
        <v>22603007</v>
      </c>
      <c r="G38" s="4">
        <v>1230</v>
      </c>
      <c r="H38" s="88" t="s">
        <v>10</v>
      </c>
      <c r="I38" s="16" t="s">
        <v>371</v>
      </c>
      <c r="J38" s="16" t="s">
        <v>2039</v>
      </c>
      <c r="K38" s="4">
        <v>1568</v>
      </c>
      <c r="L38" s="5">
        <v>1547</v>
      </c>
      <c r="M38" s="5">
        <v>1547</v>
      </c>
      <c r="N38" s="5">
        <v>1546</v>
      </c>
      <c r="O38" s="5" t="s">
        <v>5</v>
      </c>
      <c r="P38" s="30">
        <v>1546.5</v>
      </c>
      <c r="Q38" s="7">
        <v>5.4</v>
      </c>
      <c r="R38" s="4">
        <v>34</v>
      </c>
      <c r="S38" s="8">
        <v>34</v>
      </c>
      <c r="T38" s="9">
        <v>176</v>
      </c>
      <c r="U38" s="9">
        <v>60</v>
      </c>
      <c r="V38" s="10">
        <v>116</v>
      </c>
      <c r="W38" s="11" t="s">
        <v>5</v>
      </c>
      <c r="X38" s="16">
        <v>58</v>
      </c>
      <c r="Y38" s="12">
        <v>3.0433644000000002</v>
      </c>
      <c r="Z38" s="7">
        <v>10.7</v>
      </c>
      <c r="AA38" s="7">
        <v>10.5</v>
      </c>
      <c r="AB38" s="13">
        <v>93</v>
      </c>
      <c r="AC38" s="13">
        <v>91</v>
      </c>
      <c r="AD38" s="11" t="s">
        <v>6</v>
      </c>
      <c r="AE38" s="18" t="s">
        <v>53</v>
      </c>
      <c r="AF38" s="14" t="s">
        <v>418</v>
      </c>
    </row>
    <row r="39" spans="1:32" ht="15.75" x14ac:dyDescent="0.25">
      <c r="A39" s="1">
        <v>562</v>
      </c>
      <c r="B39" s="2">
        <v>46088</v>
      </c>
      <c r="C39" s="1" t="s">
        <v>0</v>
      </c>
      <c r="D39" s="1" t="s">
        <v>265</v>
      </c>
      <c r="E39" s="1">
        <v>2</v>
      </c>
      <c r="F39" s="83">
        <v>22603007</v>
      </c>
      <c r="G39" s="4">
        <v>1230</v>
      </c>
      <c r="H39" s="88" t="s">
        <v>10</v>
      </c>
      <c r="I39" s="16" t="s">
        <v>129</v>
      </c>
      <c r="J39" s="16" t="s">
        <v>2040</v>
      </c>
      <c r="K39" s="4">
        <v>1571</v>
      </c>
      <c r="L39" s="5">
        <v>1550</v>
      </c>
      <c r="M39" s="5">
        <v>1551</v>
      </c>
      <c r="N39" s="5">
        <v>1552</v>
      </c>
      <c r="O39" s="5" t="s">
        <v>5</v>
      </c>
      <c r="P39" s="30">
        <v>1551.5</v>
      </c>
      <c r="Q39" s="7">
        <v>5.6</v>
      </c>
      <c r="R39" s="4">
        <v>27</v>
      </c>
      <c r="S39" s="8">
        <v>17</v>
      </c>
      <c r="T39" s="9">
        <v>160</v>
      </c>
      <c r="U39" s="9">
        <v>61.7</v>
      </c>
      <c r="V39" s="10">
        <v>98.3</v>
      </c>
      <c r="W39" s="11" t="s">
        <v>5</v>
      </c>
      <c r="X39" s="16">
        <v>58</v>
      </c>
      <c r="Y39" s="12">
        <v>3.1560815999999998</v>
      </c>
      <c r="Z39" s="7">
        <v>10.3</v>
      </c>
      <c r="AA39" s="7">
        <v>10</v>
      </c>
      <c r="AB39" s="13">
        <v>95</v>
      </c>
      <c r="AC39" s="13">
        <v>92</v>
      </c>
      <c r="AD39" s="11" t="s">
        <v>6</v>
      </c>
      <c r="AE39" s="18" t="s">
        <v>53</v>
      </c>
      <c r="AF39" s="14" t="s">
        <v>480</v>
      </c>
    </row>
    <row r="40" spans="1:32" ht="15.75" x14ac:dyDescent="0.25">
      <c r="A40" s="1">
        <v>639</v>
      </c>
      <c r="B40" s="2">
        <v>46089</v>
      </c>
      <c r="C40" s="1" t="s">
        <v>0</v>
      </c>
      <c r="D40" s="1" t="s">
        <v>265</v>
      </c>
      <c r="E40" s="1">
        <v>2</v>
      </c>
      <c r="F40" s="83">
        <v>22603008</v>
      </c>
      <c r="G40" s="4">
        <v>1260</v>
      </c>
      <c r="H40" s="88" t="s">
        <v>1798</v>
      </c>
      <c r="I40" s="16" t="s">
        <v>269</v>
      </c>
      <c r="J40" s="16" t="s">
        <v>2041</v>
      </c>
      <c r="K40" s="4">
        <v>1570</v>
      </c>
      <c r="L40" s="5">
        <v>1545</v>
      </c>
      <c r="M40" s="5">
        <v>1547</v>
      </c>
      <c r="N40" s="5">
        <v>1548</v>
      </c>
      <c r="O40" s="5" t="s">
        <v>5</v>
      </c>
      <c r="P40" s="30">
        <v>1547.5</v>
      </c>
      <c r="Q40" s="7">
        <v>5</v>
      </c>
      <c r="R40" s="4">
        <v>38</v>
      </c>
      <c r="S40" s="8">
        <v>28</v>
      </c>
      <c r="T40" s="9">
        <v>171.5</v>
      </c>
      <c r="U40" s="9">
        <v>58</v>
      </c>
      <c r="V40" s="10">
        <v>113.5</v>
      </c>
      <c r="W40" s="11" t="s">
        <v>5</v>
      </c>
      <c r="X40" s="16">
        <v>58</v>
      </c>
      <c r="Y40" s="12">
        <v>2.8866600000000004</v>
      </c>
      <c r="Z40" s="7">
        <v>9.8000000000000007</v>
      </c>
      <c r="AA40" s="7">
        <v>10.5</v>
      </c>
      <c r="AB40" s="13">
        <v>86</v>
      </c>
      <c r="AC40" s="13">
        <v>92</v>
      </c>
      <c r="AD40" s="11" t="s">
        <v>6</v>
      </c>
      <c r="AE40" s="18" t="s">
        <v>455</v>
      </c>
      <c r="AF40" s="14" t="s">
        <v>721</v>
      </c>
    </row>
    <row r="41" spans="1:32" ht="47.25" x14ac:dyDescent="0.25">
      <c r="A41" s="1">
        <v>668</v>
      </c>
      <c r="B41" s="2">
        <v>46090</v>
      </c>
      <c r="C41" s="1" t="s">
        <v>18</v>
      </c>
      <c r="D41" s="1" t="s">
        <v>19</v>
      </c>
      <c r="E41" s="1">
        <v>2</v>
      </c>
      <c r="F41" s="83">
        <v>22603008</v>
      </c>
      <c r="G41" s="4">
        <v>1260</v>
      </c>
      <c r="H41" s="88" t="s">
        <v>10</v>
      </c>
      <c r="I41" s="16" t="s">
        <v>56</v>
      </c>
      <c r="J41" s="16" t="s">
        <v>2042</v>
      </c>
      <c r="K41" s="99">
        <v>1568</v>
      </c>
      <c r="L41" s="4">
        <v>1547</v>
      </c>
      <c r="M41" s="4">
        <v>1550</v>
      </c>
      <c r="N41" s="5">
        <v>1548</v>
      </c>
      <c r="O41" s="5">
        <v>1550</v>
      </c>
      <c r="P41" s="30">
        <v>1549.3333333333333</v>
      </c>
      <c r="Q41" s="7">
        <v>5.7</v>
      </c>
      <c r="R41" s="4">
        <v>30</v>
      </c>
      <c r="S41" s="8" t="s">
        <v>5</v>
      </c>
      <c r="T41" s="9">
        <v>174</v>
      </c>
      <c r="U41" s="9">
        <v>88</v>
      </c>
      <c r="V41" s="10">
        <v>86</v>
      </c>
      <c r="W41" s="11" t="s">
        <v>5</v>
      </c>
      <c r="X41" s="16">
        <v>58</v>
      </c>
      <c r="Y41" s="12">
        <v>3.2907924000000004</v>
      </c>
      <c r="Z41" s="7">
        <v>10.4</v>
      </c>
      <c r="AA41" s="7">
        <v>10.3</v>
      </c>
      <c r="AB41" s="13">
        <v>67</v>
      </c>
      <c r="AC41" s="13">
        <v>78</v>
      </c>
      <c r="AD41" s="11" t="s">
        <v>6</v>
      </c>
      <c r="AE41" s="40" t="s">
        <v>455</v>
      </c>
      <c r="AF41" s="14" t="s">
        <v>2043</v>
      </c>
    </row>
    <row r="42" spans="1:32" ht="47.25" x14ac:dyDescent="0.25">
      <c r="A42" s="1">
        <v>685</v>
      </c>
      <c r="B42" s="2">
        <v>46090</v>
      </c>
      <c r="C42" s="1" t="s">
        <v>264</v>
      </c>
      <c r="D42" s="1" t="s">
        <v>9</v>
      </c>
      <c r="E42" s="1">
        <v>2</v>
      </c>
      <c r="F42" s="83">
        <v>22603008</v>
      </c>
      <c r="G42" s="4">
        <v>1260</v>
      </c>
      <c r="H42" s="88" t="s">
        <v>10</v>
      </c>
      <c r="I42" s="16" t="s">
        <v>146</v>
      </c>
      <c r="J42" s="16" t="s">
        <v>2044</v>
      </c>
      <c r="K42" s="4">
        <v>1571</v>
      </c>
      <c r="L42" s="4">
        <v>1545</v>
      </c>
      <c r="M42" s="5">
        <v>1545</v>
      </c>
      <c r="N42" s="5">
        <v>1544</v>
      </c>
      <c r="O42" s="5">
        <v>1542</v>
      </c>
      <c r="P42" s="30">
        <v>1543.6666666666667</v>
      </c>
      <c r="Q42" s="7">
        <v>5.3</v>
      </c>
      <c r="R42" s="4">
        <v>35</v>
      </c>
      <c r="S42" s="8">
        <v>7</v>
      </c>
      <c r="T42" s="9">
        <v>170</v>
      </c>
      <c r="U42" s="9">
        <v>60</v>
      </c>
      <c r="V42" s="10">
        <v>110</v>
      </c>
      <c r="W42" s="11" t="s">
        <v>5</v>
      </c>
      <c r="X42" s="16">
        <v>58</v>
      </c>
      <c r="Y42" s="12">
        <v>3.0598596000000002</v>
      </c>
      <c r="Z42" s="7">
        <v>9.8000000000000007</v>
      </c>
      <c r="AA42" s="7">
        <v>9.6</v>
      </c>
      <c r="AB42" s="13">
        <v>85</v>
      </c>
      <c r="AC42" s="13">
        <v>84</v>
      </c>
      <c r="AD42" s="11" t="s">
        <v>6</v>
      </c>
      <c r="AE42" s="40" t="s">
        <v>455</v>
      </c>
      <c r="AF42" s="14" t="s">
        <v>2045</v>
      </c>
    </row>
    <row r="43" spans="1:32" ht="15.75" x14ac:dyDescent="0.25">
      <c r="A43" s="1">
        <v>688</v>
      </c>
      <c r="B43" s="2">
        <v>46090</v>
      </c>
      <c r="C43" s="1" t="s">
        <v>264</v>
      </c>
      <c r="D43" s="1" t="s">
        <v>9</v>
      </c>
      <c r="E43" s="1">
        <v>2</v>
      </c>
      <c r="F43" s="83">
        <v>22603008</v>
      </c>
      <c r="G43" s="4">
        <v>1260</v>
      </c>
      <c r="H43" s="88" t="s">
        <v>10</v>
      </c>
      <c r="I43" s="16" t="s">
        <v>162</v>
      </c>
      <c r="J43" s="16" t="s">
        <v>2046</v>
      </c>
      <c r="K43" s="4">
        <v>1567</v>
      </c>
      <c r="L43" s="4">
        <v>1548</v>
      </c>
      <c r="M43" s="5">
        <v>1544</v>
      </c>
      <c r="N43" s="5">
        <v>1544</v>
      </c>
      <c r="O43" s="5">
        <v>1542</v>
      </c>
      <c r="P43" s="30">
        <v>1543.3333333333333</v>
      </c>
      <c r="Q43" s="7">
        <v>5</v>
      </c>
      <c r="R43" s="4">
        <v>39</v>
      </c>
      <c r="S43" s="8">
        <v>18</v>
      </c>
      <c r="T43" s="8">
        <v>171</v>
      </c>
      <c r="U43" s="8">
        <v>66</v>
      </c>
      <c r="V43" s="10">
        <v>105</v>
      </c>
      <c r="W43" s="11" t="s">
        <v>5</v>
      </c>
      <c r="X43" s="16">
        <v>58</v>
      </c>
      <c r="Y43" s="12">
        <v>2.8866600000000004</v>
      </c>
      <c r="Z43" s="7">
        <v>8.9</v>
      </c>
      <c r="AA43" s="7">
        <v>9.3000000000000007</v>
      </c>
      <c r="AB43" s="13">
        <v>76</v>
      </c>
      <c r="AC43" s="13">
        <v>80</v>
      </c>
      <c r="AD43" s="11" t="s">
        <v>6</v>
      </c>
      <c r="AE43" s="40" t="s">
        <v>455</v>
      </c>
      <c r="AF43" s="14" t="s">
        <v>721</v>
      </c>
    </row>
    <row r="44" spans="1:32" ht="15.75" x14ac:dyDescent="0.25">
      <c r="A44" s="1">
        <v>723</v>
      </c>
      <c r="B44" s="2">
        <v>46091</v>
      </c>
      <c r="C44" s="1" t="s">
        <v>18</v>
      </c>
      <c r="D44" s="1" t="s">
        <v>19</v>
      </c>
      <c r="E44" s="1">
        <v>1</v>
      </c>
      <c r="F44" s="83">
        <v>12603009</v>
      </c>
      <c r="G44" s="4">
        <v>1240</v>
      </c>
      <c r="H44" s="88" t="s">
        <v>2</v>
      </c>
      <c r="I44" s="16" t="s">
        <v>126</v>
      </c>
      <c r="J44" s="16" t="s">
        <v>2047</v>
      </c>
      <c r="K44" s="16">
        <v>1568</v>
      </c>
      <c r="L44" s="4">
        <v>1546</v>
      </c>
      <c r="M44" s="5">
        <v>1545</v>
      </c>
      <c r="N44" s="5">
        <v>1544</v>
      </c>
      <c r="O44" s="5" t="s">
        <v>5</v>
      </c>
      <c r="P44" s="30">
        <v>1544.5</v>
      </c>
      <c r="Q44" s="7">
        <v>5.5</v>
      </c>
      <c r="R44" s="4">
        <v>34</v>
      </c>
      <c r="S44" s="8" t="s">
        <v>5</v>
      </c>
      <c r="T44" s="9" t="s">
        <v>5</v>
      </c>
      <c r="U44" s="9" t="s">
        <v>5</v>
      </c>
      <c r="V44" s="9" t="s">
        <v>5</v>
      </c>
      <c r="W44" s="11" t="s">
        <v>5</v>
      </c>
      <c r="X44" s="16">
        <v>58</v>
      </c>
      <c r="Y44" s="12">
        <v>3.124924</v>
      </c>
      <c r="Z44" s="7">
        <v>9.4</v>
      </c>
      <c r="AA44" s="7">
        <v>9.6999999999999993</v>
      </c>
      <c r="AB44" s="13">
        <v>90</v>
      </c>
      <c r="AC44" s="13">
        <v>88</v>
      </c>
      <c r="AD44" s="11" t="s">
        <v>6</v>
      </c>
      <c r="AE44" s="94" t="s">
        <v>455</v>
      </c>
      <c r="AF44" s="14" t="s">
        <v>2048</v>
      </c>
    </row>
    <row r="45" spans="1:32" ht="47.25" x14ac:dyDescent="0.25">
      <c r="A45" s="1">
        <v>743</v>
      </c>
      <c r="B45" s="2">
        <v>46091</v>
      </c>
      <c r="C45" s="1" t="s">
        <v>18</v>
      </c>
      <c r="D45" s="1" t="s">
        <v>19</v>
      </c>
      <c r="E45" s="1">
        <v>2</v>
      </c>
      <c r="F45" s="83">
        <v>22603010</v>
      </c>
      <c r="G45" s="4">
        <v>1240</v>
      </c>
      <c r="H45" s="88" t="s">
        <v>10</v>
      </c>
      <c r="I45" s="16" t="s">
        <v>77</v>
      </c>
      <c r="J45" s="16" t="s">
        <v>2049</v>
      </c>
      <c r="K45" s="4">
        <v>1566</v>
      </c>
      <c r="L45" s="4">
        <v>1554</v>
      </c>
      <c r="M45" s="4">
        <v>1554</v>
      </c>
      <c r="N45" s="5">
        <v>1553</v>
      </c>
      <c r="O45" s="5" t="s">
        <v>5</v>
      </c>
      <c r="P45" s="30">
        <v>1553.5</v>
      </c>
      <c r="Q45" s="7">
        <v>5.2</v>
      </c>
      <c r="R45" s="4">
        <v>34</v>
      </c>
      <c r="S45" s="8" t="s">
        <v>5</v>
      </c>
      <c r="T45" s="9">
        <v>174.5</v>
      </c>
      <c r="U45" s="9">
        <v>60</v>
      </c>
      <c r="V45" s="10">
        <v>114.5</v>
      </c>
      <c r="W45" s="11" t="s">
        <v>5</v>
      </c>
      <c r="X45" s="16">
        <v>58</v>
      </c>
      <c r="Y45" s="12">
        <v>2.9544736</v>
      </c>
      <c r="Z45" s="7">
        <v>7.9</v>
      </c>
      <c r="AA45" s="7">
        <v>8</v>
      </c>
      <c r="AB45" s="13">
        <v>79</v>
      </c>
      <c r="AC45" s="13">
        <v>80</v>
      </c>
      <c r="AD45" s="11" t="s">
        <v>6</v>
      </c>
      <c r="AE45" s="40" t="s">
        <v>53</v>
      </c>
      <c r="AF45" s="14" t="s">
        <v>2050</v>
      </c>
    </row>
    <row r="46" spans="1:32" ht="63" x14ac:dyDescent="0.25">
      <c r="A46" s="1">
        <v>760</v>
      </c>
      <c r="B46" s="2">
        <v>46091</v>
      </c>
      <c r="C46" s="1" t="s">
        <v>264</v>
      </c>
      <c r="D46" s="1" t="s">
        <v>9</v>
      </c>
      <c r="E46" s="1">
        <v>2</v>
      </c>
      <c r="F46" s="83">
        <v>22603010</v>
      </c>
      <c r="G46" s="4">
        <v>1240</v>
      </c>
      <c r="H46" s="88" t="s">
        <v>10</v>
      </c>
      <c r="I46" s="16" t="s">
        <v>189</v>
      </c>
      <c r="J46" s="16" t="s">
        <v>2051</v>
      </c>
      <c r="K46" s="4">
        <v>1566</v>
      </c>
      <c r="L46" s="4">
        <v>1549</v>
      </c>
      <c r="M46" s="5">
        <v>1548</v>
      </c>
      <c r="N46" s="5">
        <v>1542</v>
      </c>
      <c r="O46" s="5" t="s">
        <v>5</v>
      </c>
      <c r="P46" s="30">
        <v>1545</v>
      </c>
      <c r="Q46" s="7">
        <v>5</v>
      </c>
      <c r="R46" s="4">
        <v>40</v>
      </c>
      <c r="S46" s="8" t="s">
        <v>5</v>
      </c>
      <c r="T46" s="9" t="s">
        <v>5</v>
      </c>
      <c r="U46" s="9" t="s">
        <v>5</v>
      </c>
      <c r="V46" s="9" t="s">
        <v>5</v>
      </c>
      <c r="W46" s="11" t="s">
        <v>5</v>
      </c>
      <c r="X46" s="16">
        <v>58</v>
      </c>
      <c r="Y46" s="12">
        <v>2.84084</v>
      </c>
      <c r="Z46" s="7">
        <v>7.1</v>
      </c>
      <c r="AA46" s="7">
        <v>8.6999999999999993</v>
      </c>
      <c r="AB46" s="13">
        <v>67</v>
      </c>
      <c r="AC46" s="13">
        <v>71</v>
      </c>
      <c r="AD46" s="11" t="s">
        <v>6</v>
      </c>
      <c r="AE46" s="40" t="s">
        <v>2052</v>
      </c>
      <c r="AF46" s="14" t="s">
        <v>2053</v>
      </c>
    </row>
    <row r="47" spans="1:32" ht="31.5" x14ac:dyDescent="0.25">
      <c r="A47" s="1">
        <v>762</v>
      </c>
      <c r="B47" s="2">
        <v>46091</v>
      </c>
      <c r="C47" s="1" t="s">
        <v>264</v>
      </c>
      <c r="D47" s="1" t="s">
        <v>9</v>
      </c>
      <c r="E47" s="1">
        <v>2</v>
      </c>
      <c r="F47" s="83">
        <v>22603010</v>
      </c>
      <c r="G47" s="4">
        <v>1240</v>
      </c>
      <c r="H47" s="88" t="s">
        <v>10</v>
      </c>
      <c r="I47" s="16" t="s">
        <v>70</v>
      </c>
      <c r="J47" s="16" t="s">
        <v>2054</v>
      </c>
      <c r="K47" s="4">
        <v>1570</v>
      </c>
      <c r="L47" s="4">
        <v>1545</v>
      </c>
      <c r="M47" s="5">
        <v>1547</v>
      </c>
      <c r="N47" s="5">
        <v>1548</v>
      </c>
      <c r="O47" s="5">
        <v>1548</v>
      </c>
      <c r="P47" s="30">
        <v>1547.6666666666667</v>
      </c>
      <c r="Q47" s="7">
        <v>5.5</v>
      </c>
      <c r="R47" s="4">
        <v>33</v>
      </c>
      <c r="S47" s="8">
        <v>36</v>
      </c>
      <c r="T47" s="9">
        <v>176</v>
      </c>
      <c r="U47" s="9">
        <v>62</v>
      </c>
      <c r="V47" s="10">
        <v>114</v>
      </c>
      <c r="W47" s="11"/>
      <c r="X47" s="16">
        <v>58</v>
      </c>
      <c r="Y47" s="12">
        <v>3.124924</v>
      </c>
      <c r="Z47" s="7">
        <v>9</v>
      </c>
      <c r="AA47" s="7">
        <v>8.8000000000000007</v>
      </c>
      <c r="AB47" s="13">
        <v>71</v>
      </c>
      <c r="AC47" s="13">
        <v>69</v>
      </c>
      <c r="AD47" s="11" t="s">
        <v>6</v>
      </c>
      <c r="AE47" s="40" t="s">
        <v>53</v>
      </c>
      <c r="AF47" s="14" t="s">
        <v>2055</v>
      </c>
    </row>
    <row r="48" spans="1:32" ht="31.5" x14ac:dyDescent="0.25">
      <c r="A48" s="1">
        <v>769</v>
      </c>
      <c r="B48" s="2">
        <v>46091</v>
      </c>
      <c r="C48" s="1" t="s">
        <v>264</v>
      </c>
      <c r="D48" s="1" t="s">
        <v>9</v>
      </c>
      <c r="E48" s="1">
        <v>2</v>
      </c>
      <c r="F48" s="83">
        <v>22603010</v>
      </c>
      <c r="G48" s="4">
        <v>1240</v>
      </c>
      <c r="H48" s="88" t="s">
        <v>10</v>
      </c>
      <c r="I48" s="16" t="s">
        <v>20</v>
      </c>
      <c r="J48" s="16" t="s">
        <v>2056</v>
      </c>
      <c r="K48" s="4">
        <v>1566</v>
      </c>
      <c r="L48" s="4">
        <v>1552</v>
      </c>
      <c r="M48" s="5">
        <v>1552</v>
      </c>
      <c r="N48" s="5">
        <v>1550</v>
      </c>
      <c r="O48" s="5">
        <v>1550</v>
      </c>
      <c r="P48" s="30">
        <v>1550.6666666666667</v>
      </c>
      <c r="Q48" s="7">
        <v>5.2</v>
      </c>
      <c r="R48" s="4">
        <v>34</v>
      </c>
      <c r="S48" s="8" t="s">
        <v>5</v>
      </c>
      <c r="T48" s="8">
        <v>157</v>
      </c>
      <c r="U48" s="8">
        <v>61</v>
      </c>
      <c r="V48" s="10">
        <v>96</v>
      </c>
      <c r="W48" s="11" t="s">
        <v>5</v>
      </c>
      <c r="X48" s="16">
        <v>58</v>
      </c>
      <c r="Y48" s="12">
        <v>2.9544736</v>
      </c>
      <c r="Z48" s="7">
        <v>8.6999999999999993</v>
      </c>
      <c r="AA48" s="7">
        <v>8.4</v>
      </c>
      <c r="AB48" s="13">
        <v>72</v>
      </c>
      <c r="AC48" s="13">
        <v>73</v>
      </c>
      <c r="AD48" s="11" t="s">
        <v>6</v>
      </c>
      <c r="AE48" s="40" t="s">
        <v>53</v>
      </c>
      <c r="AF48" s="14" t="s">
        <v>2057</v>
      </c>
    </row>
    <row r="49" spans="1:32" ht="15.75" x14ac:dyDescent="0.25">
      <c r="A49" s="1">
        <v>835</v>
      </c>
      <c r="B49" s="2">
        <v>46092</v>
      </c>
      <c r="C49" s="1" t="s">
        <v>264</v>
      </c>
      <c r="D49" s="1" t="s">
        <v>9</v>
      </c>
      <c r="E49" s="1">
        <v>1</v>
      </c>
      <c r="F49" s="83">
        <v>12603011</v>
      </c>
      <c r="G49" s="4">
        <v>1255</v>
      </c>
      <c r="H49" s="88" t="s">
        <v>603</v>
      </c>
      <c r="I49" s="16" t="s">
        <v>189</v>
      </c>
      <c r="J49" s="16" t="s">
        <v>2058</v>
      </c>
      <c r="K49" s="99">
        <v>1562</v>
      </c>
      <c r="L49" s="4">
        <v>1545</v>
      </c>
      <c r="M49" s="5">
        <v>1546</v>
      </c>
      <c r="N49" s="5">
        <v>1544</v>
      </c>
      <c r="O49" s="5">
        <v>1544</v>
      </c>
      <c r="P49" s="30">
        <v>1544.6666666666667</v>
      </c>
      <c r="Q49" s="7">
        <v>4.8</v>
      </c>
      <c r="R49" s="4">
        <v>37</v>
      </c>
      <c r="S49" s="8" t="s">
        <v>5</v>
      </c>
      <c r="T49" s="9">
        <v>160</v>
      </c>
      <c r="U49" s="9">
        <v>60</v>
      </c>
      <c r="V49" s="10">
        <v>100</v>
      </c>
      <c r="W49" s="11" t="s">
        <v>5</v>
      </c>
      <c r="X49" s="16">
        <v>58</v>
      </c>
      <c r="Y49" s="12">
        <v>2.7601968000000001</v>
      </c>
      <c r="Z49" s="7">
        <v>8.3000000000000007</v>
      </c>
      <c r="AA49" s="7">
        <v>8.5</v>
      </c>
      <c r="AB49" s="13">
        <v>78</v>
      </c>
      <c r="AC49" s="13">
        <v>73</v>
      </c>
      <c r="AD49" s="11" t="s">
        <v>6</v>
      </c>
      <c r="AE49" s="40" t="s">
        <v>72</v>
      </c>
      <c r="AF49" s="14" t="s">
        <v>480</v>
      </c>
    </row>
    <row r="50" spans="1:32" ht="31.5" x14ac:dyDescent="0.25">
      <c r="A50" s="1">
        <v>851</v>
      </c>
      <c r="B50" s="2">
        <v>46092</v>
      </c>
      <c r="C50" s="1" t="s">
        <v>0</v>
      </c>
      <c r="D50" s="1" t="s">
        <v>265</v>
      </c>
      <c r="E50" s="1">
        <v>1</v>
      </c>
      <c r="F50" s="83">
        <v>12603011</v>
      </c>
      <c r="G50" s="4">
        <v>1255</v>
      </c>
      <c r="H50" s="88" t="s">
        <v>603</v>
      </c>
      <c r="I50" s="16" t="s">
        <v>74</v>
      </c>
      <c r="J50" s="16" t="s">
        <v>2059</v>
      </c>
      <c r="K50" s="104">
        <v>1562</v>
      </c>
      <c r="L50" s="3">
        <v>1546</v>
      </c>
      <c r="M50" s="3">
        <v>1545</v>
      </c>
      <c r="N50" s="3">
        <v>1541</v>
      </c>
      <c r="O50" s="5">
        <v>1540</v>
      </c>
      <c r="P50" s="55">
        <v>1542</v>
      </c>
      <c r="Q50" s="7">
        <v>4.5</v>
      </c>
      <c r="R50" s="4">
        <v>38</v>
      </c>
      <c r="S50" s="8" t="s">
        <v>5</v>
      </c>
      <c r="T50" s="8">
        <v>156</v>
      </c>
      <c r="U50" s="8">
        <v>59</v>
      </c>
      <c r="V50" s="10">
        <v>97</v>
      </c>
      <c r="W50" s="11" t="s">
        <v>5</v>
      </c>
      <c r="X50" s="16">
        <v>58</v>
      </c>
      <c r="Y50" s="12">
        <v>2.5876844999999999</v>
      </c>
      <c r="Z50" s="7">
        <v>7.9</v>
      </c>
      <c r="AA50" s="7">
        <v>8.6999999999999993</v>
      </c>
      <c r="AB50" s="13">
        <v>74</v>
      </c>
      <c r="AC50" s="13">
        <v>82</v>
      </c>
      <c r="AD50" s="11" t="s">
        <v>6</v>
      </c>
      <c r="AE50" s="40" t="s">
        <v>72</v>
      </c>
      <c r="AF50" s="14" t="s">
        <v>2060</v>
      </c>
    </row>
    <row r="51" spans="1:32" ht="15.75" x14ac:dyDescent="0.25">
      <c r="A51" s="1">
        <v>855</v>
      </c>
      <c r="B51" s="2">
        <v>46092</v>
      </c>
      <c r="C51" s="1" t="s">
        <v>0</v>
      </c>
      <c r="D51" s="1" t="s">
        <v>265</v>
      </c>
      <c r="E51" s="1">
        <v>1</v>
      </c>
      <c r="F51" s="83">
        <v>12603011</v>
      </c>
      <c r="G51" s="4">
        <v>1255</v>
      </c>
      <c r="H51" s="88" t="s">
        <v>923</v>
      </c>
      <c r="I51" s="16" t="s">
        <v>229</v>
      </c>
      <c r="J51" s="16" t="s">
        <v>2061</v>
      </c>
      <c r="K51" s="4">
        <v>1564</v>
      </c>
      <c r="L51" s="5">
        <v>1542</v>
      </c>
      <c r="M51" s="5">
        <v>1540</v>
      </c>
      <c r="N51" s="5">
        <v>1539</v>
      </c>
      <c r="O51" s="5">
        <v>1537</v>
      </c>
      <c r="P51" s="30">
        <v>1538.6666666666667</v>
      </c>
      <c r="Q51" s="7">
        <v>4.7</v>
      </c>
      <c r="R51" s="4">
        <v>35</v>
      </c>
      <c r="S51" s="8" t="s">
        <v>5</v>
      </c>
      <c r="T51" s="8">
        <v>160</v>
      </c>
      <c r="U51" s="8">
        <v>59</v>
      </c>
      <c r="V51" s="10">
        <v>101</v>
      </c>
      <c r="W51" s="11" t="s">
        <v>5</v>
      </c>
      <c r="X51" s="16">
        <v>58</v>
      </c>
      <c r="Y51" s="12">
        <v>2.7026927000000001</v>
      </c>
      <c r="Z51" s="7">
        <v>7.7</v>
      </c>
      <c r="AA51" s="7">
        <v>8.8000000000000007</v>
      </c>
      <c r="AB51" s="13">
        <v>66</v>
      </c>
      <c r="AC51" s="13">
        <v>71</v>
      </c>
      <c r="AD51" s="11" t="s">
        <v>6</v>
      </c>
      <c r="AE51" s="40" t="s">
        <v>72</v>
      </c>
      <c r="AF51" s="14" t="s">
        <v>2062</v>
      </c>
    </row>
    <row r="52" spans="1:32" ht="31.5" x14ac:dyDescent="0.25">
      <c r="A52" s="1">
        <v>857</v>
      </c>
      <c r="B52" s="2">
        <v>46092</v>
      </c>
      <c r="C52" s="1" t="s">
        <v>0</v>
      </c>
      <c r="D52" s="1" t="s">
        <v>265</v>
      </c>
      <c r="E52" s="1">
        <v>1</v>
      </c>
      <c r="F52" s="83">
        <v>12603011</v>
      </c>
      <c r="G52" s="4">
        <v>1255</v>
      </c>
      <c r="H52" s="88" t="s">
        <v>923</v>
      </c>
      <c r="I52" s="16" t="s">
        <v>132</v>
      </c>
      <c r="J52" s="16" t="s">
        <v>2063</v>
      </c>
      <c r="K52" s="4">
        <v>1567</v>
      </c>
      <c r="L52" s="5">
        <v>1548</v>
      </c>
      <c r="M52" s="5">
        <v>1545</v>
      </c>
      <c r="N52" s="5">
        <v>1546</v>
      </c>
      <c r="O52" s="5">
        <v>1548</v>
      </c>
      <c r="P52" s="30">
        <v>1546.3333333333333</v>
      </c>
      <c r="Q52" s="7">
        <v>4.7</v>
      </c>
      <c r="R52" s="4">
        <v>38</v>
      </c>
      <c r="S52" s="8" t="s">
        <v>5</v>
      </c>
      <c r="T52" s="9">
        <v>163</v>
      </c>
      <c r="U52" s="9">
        <v>58</v>
      </c>
      <c r="V52" s="10">
        <v>105</v>
      </c>
      <c r="W52" s="11" t="s">
        <v>5</v>
      </c>
      <c r="X52" s="16">
        <v>58</v>
      </c>
      <c r="Y52" s="12">
        <v>2.7026927000000001</v>
      </c>
      <c r="Z52" s="7">
        <v>7.8</v>
      </c>
      <c r="AA52" s="7">
        <v>8.4</v>
      </c>
      <c r="AB52" s="13">
        <v>72</v>
      </c>
      <c r="AC52" s="13">
        <v>74</v>
      </c>
      <c r="AD52" s="11" t="s">
        <v>6</v>
      </c>
      <c r="AE52" s="40" t="s">
        <v>72</v>
      </c>
      <c r="AF52" s="14" t="s">
        <v>2064</v>
      </c>
    </row>
    <row r="53" spans="1:32" ht="15.75" x14ac:dyDescent="0.25">
      <c r="A53" s="1">
        <v>870</v>
      </c>
      <c r="B53" s="2">
        <v>46092</v>
      </c>
      <c r="C53" s="1" t="s">
        <v>0</v>
      </c>
      <c r="D53" s="1" t="s">
        <v>265</v>
      </c>
      <c r="E53" s="1">
        <v>2</v>
      </c>
      <c r="F53" s="83">
        <v>22603011</v>
      </c>
      <c r="G53" s="4">
        <v>1255</v>
      </c>
      <c r="H53" s="88" t="s">
        <v>1298</v>
      </c>
      <c r="I53" s="16" t="s">
        <v>20</v>
      </c>
      <c r="J53" s="16" t="s">
        <v>2065</v>
      </c>
      <c r="K53" s="4">
        <v>1566</v>
      </c>
      <c r="L53" s="4">
        <v>1546</v>
      </c>
      <c r="M53" s="5">
        <v>1549</v>
      </c>
      <c r="N53" s="5">
        <v>1549</v>
      </c>
      <c r="O53" s="5" t="s">
        <v>5</v>
      </c>
      <c r="P53" s="30">
        <v>1549</v>
      </c>
      <c r="Q53" s="7">
        <v>5</v>
      </c>
      <c r="R53" s="4">
        <v>35</v>
      </c>
      <c r="S53" s="8">
        <v>20</v>
      </c>
      <c r="T53" s="9">
        <v>165.3</v>
      </c>
      <c r="U53" s="9">
        <v>63.6</v>
      </c>
      <c r="V53" s="10">
        <v>101.70000000000002</v>
      </c>
      <c r="W53" s="11" t="s">
        <v>5</v>
      </c>
      <c r="X53" s="16">
        <v>58</v>
      </c>
      <c r="Y53" s="12">
        <v>2.8752050000000002</v>
      </c>
      <c r="Z53" s="7">
        <v>7.8</v>
      </c>
      <c r="AA53" s="7">
        <v>6.7</v>
      </c>
      <c r="AB53" s="13">
        <v>65</v>
      </c>
      <c r="AC53" s="13">
        <v>62</v>
      </c>
      <c r="AD53" s="11" t="s">
        <v>6</v>
      </c>
      <c r="AE53" s="40" t="s">
        <v>72</v>
      </c>
      <c r="AF53" s="14" t="s">
        <v>480</v>
      </c>
    </row>
    <row r="54" spans="1:32" ht="47.25" x14ac:dyDescent="0.25">
      <c r="A54" s="1">
        <v>879</v>
      </c>
      <c r="B54" s="2">
        <v>46093</v>
      </c>
      <c r="C54" s="1" t="s">
        <v>18</v>
      </c>
      <c r="D54" s="1" t="s">
        <v>19</v>
      </c>
      <c r="E54" s="1">
        <v>1</v>
      </c>
      <c r="F54" s="83">
        <v>12603011</v>
      </c>
      <c r="G54" s="4">
        <v>1250</v>
      </c>
      <c r="H54" s="88" t="s">
        <v>1095</v>
      </c>
      <c r="I54" s="16" t="s">
        <v>155</v>
      </c>
      <c r="J54" s="16" t="s">
        <v>2066</v>
      </c>
      <c r="K54" s="16">
        <v>1567</v>
      </c>
      <c r="L54" s="4">
        <v>1545</v>
      </c>
      <c r="M54" s="5">
        <v>1540</v>
      </c>
      <c r="N54" s="5">
        <v>1540</v>
      </c>
      <c r="O54" s="3" t="s">
        <v>5</v>
      </c>
      <c r="P54" s="30">
        <v>1540</v>
      </c>
      <c r="Q54" s="7">
        <v>4.8</v>
      </c>
      <c r="R54" s="4">
        <v>30</v>
      </c>
      <c r="S54" s="8" t="s">
        <v>5</v>
      </c>
      <c r="T54" s="9" t="s">
        <v>5</v>
      </c>
      <c r="U54" s="9" t="s">
        <v>5</v>
      </c>
      <c r="V54" s="9" t="s">
        <v>5</v>
      </c>
      <c r="W54" s="11" t="s">
        <v>5</v>
      </c>
      <c r="X54" s="16">
        <v>58</v>
      </c>
      <c r="Y54" s="12">
        <v>2.7491999999999996</v>
      </c>
      <c r="Z54" s="7">
        <v>9.1</v>
      </c>
      <c r="AA54" s="7">
        <v>10</v>
      </c>
      <c r="AB54" s="13">
        <v>71</v>
      </c>
      <c r="AC54" s="13">
        <v>78</v>
      </c>
      <c r="AD54" s="11" t="s">
        <v>6</v>
      </c>
      <c r="AE54" s="94" t="s">
        <v>72</v>
      </c>
      <c r="AF54" s="14" t="s">
        <v>2067</v>
      </c>
    </row>
    <row r="55" spans="1:32" ht="31.5" x14ac:dyDescent="0.25">
      <c r="A55" s="1">
        <v>888</v>
      </c>
      <c r="B55" s="2">
        <v>46093</v>
      </c>
      <c r="C55" s="1" t="s">
        <v>18</v>
      </c>
      <c r="D55" s="1" t="s">
        <v>19</v>
      </c>
      <c r="E55" s="1">
        <v>2</v>
      </c>
      <c r="F55" s="83">
        <v>22603011</v>
      </c>
      <c r="G55" s="4">
        <v>1250</v>
      </c>
      <c r="H55" s="88" t="s">
        <v>1095</v>
      </c>
      <c r="I55" s="16" t="s">
        <v>83</v>
      </c>
      <c r="J55" s="16" t="s">
        <v>2068</v>
      </c>
      <c r="K55" s="16">
        <v>1570</v>
      </c>
      <c r="L55" s="4">
        <v>1540</v>
      </c>
      <c r="M55" s="4">
        <v>1547</v>
      </c>
      <c r="N55" s="5">
        <v>1548</v>
      </c>
      <c r="O55" s="5">
        <v>1547</v>
      </c>
      <c r="P55" s="30">
        <v>1547.3333333333333</v>
      </c>
      <c r="Q55" s="7">
        <v>4.5999999999999996</v>
      </c>
      <c r="R55" s="4">
        <v>33</v>
      </c>
      <c r="S55" s="8" t="s">
        <v>5</v>
      </c>
      <c r="T55" s="9">
        <v>176.2</v>
      </c>
      <c r="U55" s="9">
        <v>68</v>
      </c>
      <c r="V55" s="10">
        <v>108.19999999999999</v>
      </c>
      <c r="W55" s="11" t="s">
        <v>5</v>
      </c>
      <c r="X55" s="16">
        <v>58</v>
      </c>
      <c r="Y55" s="12">
        <v>2.6346499999999997</v>
      </c>
      <c r="Z55" s="7">
        <v>7.7</v>
      </c>
      <c r="AA55" s="7">
        <v>7.8</v>
      </c>
      <c r="AB55" s="13">
        <v>62</v>
      </c>
      <c r="AC55" s="13">
        <v>61</v>
      </c>
      <c r="AD55" s="11" t="s">
        <v>6</v>
      </c>
      <c r="AE55" s="94" t="s">
        <v>72</v>
      </c>
      <c r="AF55" s="14" t="s">
        <v>2069</v>
      </c>
    </row>
    <row r="56" spans="1:32" ht="31.5" x14ac:dyDescent="0.25">
      <c r="A56" s="1">
        <v>892</v>
      </c>
      <c r="B56" s="2">
        <v>46093</v>
      </c>
      <c r="C56" s="1" t="s">
        <v>18</v>
      </c>
      <c r="D56" s="1" t="s">
        <v>19</v>
      </c>
      <c r="E56" s="1">
        <v>2</v>
      </c>
      <c r="F56" s="83">
        <v>22603011</v>
      </c>
      <c r="G56" s="4">
        <v>1250</v>
      </c>
      <c r="H56" s="88" t="s">
        <v>1095</v>
      </c>
      <c r="I56" s="16" t="s">
        <v>80</v>
      </c>
      <c r="J56" s="16" t="s">
        <v>2070</v>
      </c>
      <c r="K56" s="4">
        <v>1568</v>
      </c>
      <c r="L56" s="4">
        <v>1550</v>
      </c>
      <c r="M56" s="4">
        <v>1548</v>
      </c>
      <c r="N56" s="5">
        <v>1545</v>
      </c>
      <c r="O56" s="5">
        <v>1543</v>
      </c>
      <c r="P56" s="30">
        <v>1545.3333333333333</v>
      </c>
      <c r="Q56" s="7">
        <v>5</v>
      </c>
      <c r="R56" s="4">
        <v>32</v>
      </c>
      <c r="S56" s="8">
        <v>31</v>
      </c>
      <c r="T56" s="9">
        <v>175</v>
      </c>
      <c r="U56" s="9">
        <v>69</v>
      </c>
      <c r="V56" s="10">
        <v>106</v>
      </c>
      <c r="W56" s="11" t="s">
        <v>5</v>
      </c>
      <c r="X56" s="16">
        <v>58</v>
      </c>
      <c r="Y56" s="12">
        <v>2.86375</v>
      </c>
      <c r="Z56" s="7">
        <v>7.6</v>
      </c>
      <c r="AA56" s="7">
        <v>7.5</v>
      </c>
      <c r="AB56" s="7">
        <v>57</v>
      </c>
      <c r="AC56" s="7">
        <v>58</v>
      </c>
      <c r="AD56" s="11" t="s">
        <v>6</v>
      </c>
      <c r="AE56" s="94" t="s">
        <v>72</v>
      </c>
      <c r="AF56" s="14" t="s">
        <v>833</v>
      </c>
    </row>
    <row r="57" spans="1:32" ht="63" x14ac:dyDescent="0.25">
      <c r="A57" s="1">
        <v>896</v>
      </c>
      <c r="B57" s="2">
        <v>46093</v>
      </c>
      <c r="C57" s="1" t="s">
        <v>18</v>
      </c>
      <c r="D57" s="1" t="s">
        <v>19</v>
      </c>
      <c r="E57" s="1">
        <v>2</v>
      </c>
      <c r="F57" s="83">
        <v>22603011</v>
      </c>
      <c r="G57" s="4">
        <v>1250</v>
      </c>
      <c r="H57" s="88" t="s">
        <v>225</v>
      </c>
      <c r="I57" s="16" t="s">
        <v>11</v>
      </c>
      <c r="J57" s="16" t="s">
        <v>2071</v>
      </c>
      <c r="K57" s="4">
        <v>1566</v>
      </c>
      <c r="L57" s="4">
        <v>1551</v>
      </c>
      <c r="M57" s="4">
        <v>1551</v>
      </c>
      <c r="N57" s="5">
        <v>1548</v>
      </c>
      <c r="O57" s="5">
        <v>1546</v>
      </c>
      <c r="P57" s="30">
        <v>1548.3333333333333</v>
      </c>
      <c r="Q57" s="7">
        <v>4.5</v>
      </c>
      <c r="R57" s="4">
        <v>32</v>
      </c>
      <c r="S57" s="8" t="s">
        <v>5</v>
      </c>
      <c r="T57" s="9">
        <v>171</v>
      </c>
      <c r="U57" s="9">
        <v>70</v>
      </c>
      <c r="V57" s="10">
        <v>101</v>
      </c>
      <c r="W57" s="11" t="s">
        <v>5</v>
      </c>
      <c r="X57" s="16">
        <v>56</v>
      </c>
      <c r="Y57" s="12">
        <v>2.4885000000000002</v>
      </c>
      <c r="Z57" s="7">
        <v>7.8</v>
      </c>
      <c r="AA57" s="7">
        <v>7.7</v>
      </c>
      <c r="AB57" s="13">
        <v>66</v>
      </c>
      <c r="AC57" s="13">
        <v>63</v>
      </c>
      <c r="AD57" s="11" t="s">
        <v>6</v>
      </c>
      <c r="AE57" s="94" t="s">
        <v>455</v>
      </c>
      <c r="AF57" s="14" t="s">
        <v>2072</v>
      </c>
    </row>
    <row r="58" spans="1:32" ht="31.5" x14ac:dyDescent="0.25">
      <c r="A58" s="1">
        <v>898</v>
      </c>
      <c r="B58" s="2">
        <v>46093</v>
      </c>
      <c r="C58" s="1" t="s">
        <v>18</v>
      </c>
      <c r="D58" s="1" t="s">
        <v>19</v>
      </c>
      <c r="E58" s="1">
        <v>2</v>
      </c>
      <c r="F58" s="83">
        <v>22603011</v>
      </c>
      <c r="G58" s="4">
        <v>1250</v>
      </c>
      <c r="H58" s="88" t="s">
        <v>225</v>
      </c>
      <c r="I58" s="16" t="s">
        <v>66</v>
      </c>
      <c r="J58" s="16" t="s">
        <v>2073</v>
      </c>
      <c r="K58" s="4">
        <v>1551</v>
      </c>
      <c r="L58" s="4">
        <v>1550</v>
      </c>
      <c r="M58" s="4">
        <v>1554</v>
      </c>
      <c r="N58" s="5" t="s">
        <v>5</v>
      </c>
      <c r="O58" s="5" t="s">
        <v>5</v>
      </c>
      <c r="P58" s="30">
        <v>1554</v>
      </c>
      <c r="Q58" s="7">
        <v>5</v>
      </c>
      <c r="R58" s="4">
        <v>37</v>
      </c>
      <c r="S58" s="8" t="s">
        <v>5</v>
      </c>
      <c r="T58" s="9">
        <v>181</v>
      </c>
      <c r="U58" s="9">
        <v>68</v>
      </c>
      <c r="V58" s="10">
        <v>113</v>
      </c>
      <c r="W58" s="11" t="s">
        <v>5</v>
      </c>
      <c r="X58" s="16">
        <v>58</v>
      </c>
      <c r="Y58" s="12">
        <v>2.86375</v>
      </c>
      <c r="Z58" s="7">
        <v>8</v>
      </c>
      <c r="AA58" s="7">
        <v>8</v>
      </c>
      <c r="AB58" s="13">
        <v>62</v>
      </c>
      <c r="AC58" s="13">
        <v>64</v>
      </c>
      <c r="AD58" s="11" t="s">
        <v>6</v>
      </c>
      <c r="AE58" s="94" t="s">
        <v>455</v>
      </c>
      <c r="AF58" s="14" t="s">
        <v>2074</v>
      </c>
    </row>
    <row r="59" spans="1:32" ht="31.5" x14ac:dyDescent="0.25">
      <c r="A59" s="1">
        <v>899</v>
      </c>
      <c r="B59" s="2">
        <v>46093</v>
      </c>
      <c r="C59" s="1" t="s">
        <v>18</v>
      </c>
      <c r="D59" s="1" t="s">
        <v>19</v>
      </c>
      <c r="E59" s="1">
        <v>2</v>
      </c>
      <c r="F59" s="83">
        <v>22603011</v>
      </c>
      <c r="G59" s="4">
        <v>1250</v>
      </c>
      <c r="H59" s="88" t="s">
        <v>225</v>
      </c>
      <c r="I59" s="16" t="s">
        <v>15</v>
      </c>
      <c r="J59" s="16" t="s">
        <v>2075</v>
      </c>
      <c r="K59" s="4">
        <v>1563</v>
      </c>
      <c r="L59" s="4">
        <v>1547</v>
      </c>
      <c r="M59" s="4">
        <v>1546</v>
      </c>
      <c r="N59" s="5">
        <v>1546</v>
      </c>
      <c r="O59" s="5" t="s">
        <v>5</v>
      </c>
      <c r="P59" s="30">
        <v>1546</v>
      </c>
      <c r="Q59" s="7">
        <v>5.3</v>
      </c>
      <c r="R59" s="4">
        <v>34</v>
      </c>
      <c r="S59" s="8" t="s">
        <v>5</v>
      </c>
      <c r="T59" s="9">
        <v>166</v>
      </c>
      <c r="U59" s="9">
        <v>60</v>
      </c>
      <c r="V59" s="10">
        <v>106</v>
      </c>
      <c r="W59" s="11" t="s">
        <v>5</v>
      </c>
      <c r="X59" s="16">
        <v>58</v>
      </c>
      <c r="Y59" s="12">
        <v>3.0355749999999997</v>
      </c>
      <c r="Z59" s="7">
        <v>8.6999999999999993</v>
      </c>
      <c r="AA59" s="7">
        <v>8.1999999999999993</v>
      </c>
      <c r="AB59" s="13">
        <v>76</v>
      </c>
      <c r="AC59" s="13">
        <v>73</v>
      </c>
      <c r="AD59" s="11" t="s">
        <v>6</v>
      </c>
      <c r="AE59" s="94" t="s">
        <v>455</v>
      </c>
      <c r="AF59" s="14" t="s">
        <v>2076</v>
      </c>
    </row>
    <row r="60" spans="1:32" ht="15.75" x14ac:dyDescent="0.25">
      <c r="A60" s="1">
        <v>924</v>
      </c>
      <c r="B60" s="2">
        <v>46093</v>
      </c>
      <c r="C60" s="1" t="s">
        <v>264</v>
      </c>
      <c r="D60" s="1" t="s">
        <v>9</v>
      </c>
      <c r="E60" s="1">
        <v>2</v>
      </c>
      <c r="F60" s="83">
        <v>22603011</v>
      </c>
      <c r="G60" s="4">
        <v>1250</v>
      </c>
      <c r="H60" s="88" t="s">
        <v>1588</v>
      </c>
      <c r="I60" s="16" t="s">
        <v>346</v>
      </c>
      <c r="J60" s="16" t="s">
        <v>2077</v>
      </c>
      <c r="K60" s="4">
        <v>1564</v>
      </c>
      <c r="L60" s="5">
        <v>1545</v>
      </c>
      <c r="M60" s="5">
        <v>1545</v>
      </c>
      <c r="N60" s="5">
        <v>1544</v>
      </c>
      <c r="O60" s="3">
        <v>1543</v>
      </c>
      <c r="P60" s="55">
        <v>1544</v>
      </c>
      <c r="Q60" s="7">
        <v>5.4</v>
      </c>
      <c r="R60" s="4">
        <v>32</v>
      </c>
      <c r="S60" s="8">
        <v>31</v>
      </c>
      <c r="T60" s="8">
        <v>178</v>
      </c>
      <c r="U60" s="8">
        <v>67</v>
      </c>
      <c r="V60" s="10">
        <v>111</v>
      </c>
      <c r="W60" s="11" t="s">
        <v>5</v>
      </c>
      <c r="X60" s="16">
        <v>58</v>
      </c>
      <c r="Y60" s="12">
        <v>3.0928500000000003</v>
      </c>
      <c r="Z60" s="7">
        <v>9.6</v>
      </c>
      <c r="AA60" s="7">
        <v>9.3000000000000007</v>
      </c>
      <c r="AB60" s="13">
        <v>77</v>
      </c>
      <c r="AC60" s="13">
        <v>76</v>
      </c>
      <c r="AD60" s="11" t="s">
        <v>6</v>
      </c>
      <c r="AE60" s="40" t="s">
        <v>455</v>
      </c>
      <c r="AF60" s="14" t="s">
        <v>397</v>
      </c>
    </row>
    <row r="61" spans="1:32" ht="31.5" x14ac:dyDescent="0.25">
      <c r="A61" s="1">
        <v>1006</v>
      </c>
      <c r="B61" s="2">
        <v>46095</v>
      </c>
      <c r="C61" s="1" t="s">
        <v>18</v>
      </c>
      <c r="D61" s="1" t="s">
        <v>258</v>
      </c>
      <c r="E61" s="1">
        <v>2</v>
      </c>
      <c r="F61" s="83">
        <v>22603015</v>
      </c>
      <c r="G61" s="4">
        <v>1230</v>
      </c>
      <c r="H61" s="88" t="s">
        <v>1588</v>
      </c>
      <c r="I61" s="16" t="s">
        <v>98</v>
      </c>
      <c r="J61" s="16" t="s">
        <v>2078</v>
      </c>
      <c r="K61" s="4">
        <v>1595</v>
      </c>
      <c r="L61" s="4">
        <v>1578</v>
      </c>
      <c r="M61" s="4">
        <v>1577</v>
      </c>
      <c r="N61" s="5">
        <v>1579</v>
      </c>
      <c r="O61" s="5" t="s">
        <v>5</v>
      </c>
      <c r="P61" s="30">
        <v>1578</v>
      </c>
      <c r="Q61" s="7">
        <v>3.7</v>
      </c>
      <c r="R61" s="4">
        <v>45</v>
      </c>
      <c r="S61" s="8" t="s">
        <v>5</v>
      </c>
      <c r="T61" s="9">
        <v>160.19999999999999</v>
      </c>
      <c r="U61" s="9">
        <v>60</v>
      </c>
      <c r="V61" s="10">
        <v>100.19999999999999</v>
      </c>
      <c r="W61" s="11" t="s">
        <v>100</v>
      </c>
      <c r="X61" s="16">
        <v>58</v>
      </c>
      <c r="Y61" s="12">
        <v>2.0852682000000002</v>
      </c>
      <c r="Z61" s="7">
        <v>10.1</v>
      </c>
      <c r="AA61" s="7">
        <v>10.6</v>
      </c>
      <c r="AB61" s="13">
        <v>89</v>
      </c>
      <c r="AC61" s="13">
        <v>96</v>
      </c>
      <c r="AD61" s="11" t="s">
        <v>6</v>
      </c>
      <c r="AE61" s="18" t="s">
        <v>2079</v>
      </c>
      <c r="AF61" s="14" t="s">
        <v>1231</v>
      </c>
    </row>
    <row r="62" spans="1:32" ht="47.25" x14ac:dyDescent="0.25">
      <c r="A62" s="1">
        <v>1010</v>
      </c>
      <c r="B62" s="2">
        <v>46095</v>
      </c>
      <c r="C62" s="1" t="s">
        <v>264</v>
      </c>
      <c r="D62" s="1" t="s">
        <v>265</v>
      </c>
      <c r="E62" s="1">
        <v>1</v>
      </c>
      <c r="F62" s="83">
        <v>12603014</v>
      </c>
      <c r="G62" s="4">
        <v>1230</v>
      </c>
      <c r="H62" s="88" t="s">
        <v>1588</v>
      </c>
      <c r="I62" s="16" t="s">
        <v>77</v>
      </c>
      <c r="J62" s="16" t="s">
        <v>2080</v>
      </c>
      <c r="K62" s="4">
        <v>1565</v>
      </c>
      <c r="L62" s="4">
        <v>1549</v>
      </c>
      <c r="M62" s="4">
        <v>1546</v>
      </c>
      <c r="N62" s="5">
        <v>1546</v>
      </c>
      <c r="O62" s="5">
        <v>1546</v>
      </c>
      <c r="P62" s="30">
        <v>1546</v>
      </c>
      <c r="Q62" s="7">
        <v>4.8</v>
      </c>
      <c r="R62" s="4">
        <v>34</v>
      </c>
      <c r="S62" s="8" t="s">
        <v>5</v>
      </c>
      <c r="T62" s="8">
        <v>159</v>
      </c>
      <c r="U62" s="8">
        <v>63</v>
      </c>
      <c r="V62" s="10">
        <v>96</v>
      </c>
      <c r="W62" s="11" t="s">
        <v>5</v>
      </c>
      <c r="X62" s="16">
        <v>58</v>
      </c>
      <c r="Y62" s="12">
        <v>2.7052128</v>
      </c>
      <c r="Z62" s="7">
        <v>10.1</v>
      </c>
      <c r="AA62" s="7">
        <v>10.7</v>
      </c>
      <c r="AB62" s="13">
        <v>96</v>
      </c>
      <c r="AC62" s="13">
        <v>96</v>
      </c>
      <c r="AD62" s="11" t="s">
        <v>6</v>
      </c>
      <c r="AE62" s="18" t="s">
        <v>455</v>
      </c>
      <c r="AF62" s="14" t="s">
        <v>2081</v>
      </c>
    </row>
    <row r="63" spans="1:32" ht="31.5" x14ac:dyDescent="0.25">
      <c r="A63" s="1">
        <v>1108</v>
      </c>
      <c r="B63" s="2">
        <v>46096</v>
      </c>
      <c r="C63" s="1" t="s">
        <v>0</v>
      </c>
      <c r="D63" s="1" t="s">
        <v>19</v>
      </c>
      <c r="E63" s="1">
        <v>1</v>
      </c>
      <c r="F63" s="83">
        <v>12603015</v>
      </c>
      <c r="G63" s="4">
        <v>1240</v>
      </c>
      <c r="H63" s="88" t="s">
        <v>1588</v>
      </c>
      <c r="I63" s="16" t="s">
        <v>277</v>
      </c>
      <c r="J63" s="16" t="s">
        <v>2082</v>
      </c>
      <c r="K63" s="4">
        <v>1572</v>
      </c>
      <c r="L63" s="4">
        <v>1543</v>
      </c>
      <c r="M63" s="5">
        <v>1542</v>
      </c>
      <c r="N63" s="5">
        <v>1541</v>
      </c>
      <c r="O63" s="5">
        <v>1542</v>
      </c>
      <c r="P63" s="30">
        <v>1541.6666666666667</v>
      </c>
      <c r="Q63" s="7">
        <v>4.8</v>
      </c>
      <c r="R63" s="4">
        <v>35</v>
      </c>
      <c r="S63" s="8">
        <v>27</v>
      </c>
      <c r="T63" s="8">
        <v>157.19999999999999</v>
      </c>
      <c r="U63" s="8">
        <v>60.4</v>
      </c>
      <c r="V63" s="10">
        <v>96.799999999999983</v>
      </c>
      <c r="W63" s="11" t="s">
        <v>5</v>
      </c>
      <c r="X63" s="16">
        <v>58</v>
      </c>
      <c r="Y63" s="12">
        <v>2.7272064</v>
      </c>
      <c r="Z63" s="7">
        <v>10.4</v>
      </c>
      <c r="AA63" s="7">
        <v>11.9</v>
      </c>
      <c r="AB63" s="13">
        <v>94</v>
      </c>
      <c r="AC63" s="13">
        <v>100</v>
      </c>
      <c r="AD63" s="11" t="s">
        <v>6</v>
      </c>
      <c r="AE63" s="130" t="s">
        <v>455</v>
      </c>
      <c r="AF63" s="14" t="s">
        <v>2083</v>
      </c>
    </row>
    <row r="64" spans="1:32" ht="15.75" x14ac:dyDescent="0.25">
      <c r="A64" s="1">
        <v>1136</v>
      </c>
      <c r="B64" s="2">
        <v>46097</v>
      </c>
      <c r="C64" s="1" t="s">
        <v>18</v>
      </c>
      <c r="D64" s="1" t="s">
        <v>1</v>
      </c>
      <c r="E64" s="1">
        <v>1</v>
      </c>
      <c r="F64" s="83">
        <v>12603015</v>
      </c>
      <c r="G64" s="4">
        <v>1260</v>
      </c>
      <c r="H64" s="88" t="s">
        <v>1283</v>
      </c>
      <c r="I64" s="16" t="s">
        <v>373</v>
      </c>
      <c r="J64" s="16" t="s">
        <v>2084</v>
      </c>
      <c r="K64" s="16">
        <v>1569</v>
      </c>
      <c r="L64" s="4">
        <v>1543</v>
      </c>
      <c r="M64" s="5">
        <v>1543</v>
      </c>
      <c r="N64" s="5">
        <v>1543</v>
      </c>
      <c r="O64" s="5">
        <v>1541</v>
      </c>
      <c r="P64" s="30">
        <v>1542.3333333333333</v>
      </c>
      <c r="Q64" s="7">
        <v>5.4</v>
      </c>
      <c r="R64" s="4">
        <v>33</v>
      </c>
      <c r="S64" s="8" t="s">
        <v>5</v>
      </c>
      <c r="T64" s="9">
        <v>168</v>
      </c>
      <c r="U64" s="9">
        <v>61</v>
      </c>
      <c r="V64" s="10">
        <v>107</v>
      </c>
      <c r="W64" s="11" t="s">
        <v>5</v>
      </c>
      <c r="X64" s="16">
        <v>58</v>
      </c>
      <c r="Y64" s="12">
        <v>3.1175928000000006</v>
      </c>
      <c r="Z64" s="7">
        <v>9.5</v>
      </c>
      <c r="AA64" s="7">
        <v>10.1</v>
      </c>
      <c r="AB64" s="13">
        <v>91</v>
      </c>
      <c r="AC64" s="13">
        <v>100</v>
      </c>
      <c r="AD64" s="11" t="s">
        <v>6</v>
      </c>
      <c r="AE64" s="94" t="s">
        <v>455</v>
      </c>
      <c r="AF64" s="14" t="s">
        <v>480</v>
      </c>
    </row>
    <row r="65" spans="1:32" ht="47.25" x14ac:dyDescent="0.25">
      <c r="A65" s="1">
        <v>1144</v>
      </c>
      <c r="B65" s="2">
        <v>46097</v>
      </c>
      <c r="C65" s="1" t="s">
        <v>18</v>
      </c>
      <c r="D65" s="1" t="s">
        <v>1</v>
      </c>
      <c r="E65" s="1">
        <v>1</v>
      </c>
      <c r="F65" s="83">
        <v>12603015</v>
      </c>
      <c r="G65" s="4">
        <v>1260</v>
      </c>
      <c r="H65" s="88" t="s">
        <v>1283</v>
      </c>
      <c r="I65" s="16" t="s">
        <v>1911</v>
      </c>
      <c r="J65" s="16" t="s">
        <v>2085</v>
      </c>
      <c r="K65" s="16">
        <v>1569</v>
      </c>
      <c r="L65" s="4">
        <v>1539</v>
      </c>
      <c r="M65" s="5">
        <v>1538</v>
      </c>
      <c r="N65" s="5">
        <v>1536</v>
      </c>
      <c r="O65" s="5">
        <v>1537</v>
      </c>
      <c r="P65" s="30">
        <v>1537</v>
      </c>
      <c r="Q65" s="7">
        <v>5</v>
      </c>
      <c r="R65" s="4">
        <v>28</v>
      </c>
      <c r="S65" s="8" t="s">
        <v>5</v>
      </c>
      <c r="T65" s="9">
        <v>159.1</v>
      </c>
      <c r="U65" s="9"/>
      <c r="V65" s="10">
        <v>159.1</v>
      </c>
      <c r="W65" s="11" t="s">
        <v>5</v>
      </c>
      <c r="X65" s="16">
        <v>58</v>
      </c>
      <c r="Y65" s="12">
        <v>2.8866600000000004</v>
      </c>
      <c r="Z65" s="7">
        <v>8.6999999999999993</v>
      </c>
      <c r="AA65" s="7">
        <v>9.1999999999999993</v>
      </c>
      <c r="AB65" s="13">
        <v>90</v>
      </c>
      <c r="AC65" s="11">
        <v>97</v>
      </c>
      <c r="AD65" s="11" t="s">
        <v>6</v>
      </c>
      <c r="AE65" s="40" t="s">
        <v>455</v>
      </c>
      <c r="AF65" s="14" t="s">
        <v>2086</v>
      </c>
    </row>
    <row r="66" spans="1:32" ht="31.5" x14ac:dyDescent="0.25">
      <c r="A66" s="1">
        <v>1157</v>
      </c>
      <c r="B66" s="2">
        <v>46097</v>
      </c>
      <c r="C66" s="1" t="s">
        <v>18</v>
      </c>
      <c r="D66" s="1" t="s">
        <v>1</v>
      </c>
      <c r="E66" s="1">
        <v>2</v>
      </c>
      <c r="F66" s="83">
        <v>22603017</v>
      </c>
      <c r="G66" s="4">
        <v>1255</v>
      </c>
      <c r="H66" s="88" t="s">
        <v>1283</v>
      </c>
      <c r="I66" s="16" t="s">
        <v>77</v>
      </c>
      <c r="J66" s="16" t="s">
        <v>2087</v>
      </c>
      <c r="K66" s="4">
        <v>1565</v>
      </c>
      <c r="L66" s="4">
        <v>1545</v>
      </c>
      <c r="M66" s="4">
        <v>1544</v>
      </c>
      <c r="N66" s="5">
        <v>1543</v>
      </c>
      <c r="O66" s="5">
        <v>1540</v>
      </c>
      <c r="P66" s="30">
        <v>1542.3333333333333</v>
      </c>
      <c r="Q66" s="7">
        <v>5.6</v>
      </c>
      <c r="R66" s="4">
        <v>31</v>
      </c>
      <c r="S66" s="8">
        <v>14</v>
      </c>
      <c r="T66" s="9">
        <v>178</v>
      </c>
      <c r="U66" s="9">
        <v>67</v>
      </c>
      <c r="V66" s="10">
        <v>111</v>
      </c>
      <c r="W66" s="11"/>
      <c r="X66" s="16">
        <v>58</v>
      </c>
      <c r="Y66" s="12">
        <v>3.2202296000000001</v>
      </c>
      <c r="Z66" s="7">
        <v>10.3</v>
      </c>
      <c r="AA66" s="7">
        <v>8.4</v>
      </c>
      <c r="AB66" s="13">
        <v>88</v>
      </c>
      <c r="AC66" s="13">
        <v>72</v>
      </c>
      <c r="AD66" s="11" t="s">
        <v>6</v>
      </c>
      <c r="AE66" s="18" t="s">
        <v>53</v>
      </c>
      <c r="AF66" s="14" t="s">
        <v>2088</v>
      </c>
    </row>
    <row r="67" spans="1:32" ht="47.25" x14ac:dyDescent="0.25">
      <c r="A67" s="1">
        <v>1272</v>
      </c>
      <c r="B67" s="2">
        <v>46098</v>
      </c>
      <c r="C67" s="1" t="s">
        <v>0</v>
      </c>
      <c r="D67" s="1" t="s">
        <v>19</v>
      </c>
      <c r="E67" s="1">
        <v>1</v>
      </c>
      <c r="F67" s="83">
        <v>12603019</v>
      </c>
      <c r="G67" s="4">
        <v>1232</v>
      </c>
      <c r="H67" s="88" t="s">
        <v>1588</v>
      </c>
      <c r="I67" s="16" t="s">
        <v>77</v>
      </c>
      <c r="J67" s="16" t="s">
        <v>2089</v>
      </c>
      <c r="K67" s="104">
        <v>1575</v>
      </c>
      <c r="L67" s="3">
        <v>1536</v>
      </c>
      <c r="M67" s="3">
        <v>1538</v>
      </c>
      <c r="N67" s="3">
        <v>1536</v>
      </c>
      <c r="O67" s="5">
        <v>1536</v>
      </c>
      <c r="P67" s="30">
        <v>1536.6666666666667</v>
      </c>
      <c r="Q67" s="7">
        <v>5.3</v>
      </c>
      <c r="R67" s="4">
        <v>30</v>
      </c>
      <c r="S67" s="8" t="s">
        <v>5</v>
      </c>
      <c r="T67" s="9">
        <v>169.3</v>
      </c>
      <c r="U67" s="9">
        <v>60</v>
      </c>
      <c r="V67" s="10">
        <v>109.30000000000001</v>
      </c>
      <c r="W67" s="11" t="s">
        <v>5</v>
      </c>
      <c r="X67" s="16">
        <v>58</v>
      </c>
      <c r="Y67" s="12">
        <v>2.9918627200000003</v>
      </c>
      <c r="Z67" s="7">
        <v>9.3000000000000007</v>
      </c>
      <c r="AA67" s="7">
        <v>9.6</v>
      </c>
      <c r="AB67" s="7">
        <v>77</v>
      </c>
      <c r="AC67" s="7">
        <v>81</v>
      </c>
      <c r="AD67" s="11" t="s">
        <v>747</v>
      </c>
      <c r="AE67" s="18" t="s">
        <v>455</v>
      </c>
      <c r="AF67" s="14" t="s">
        <v>2090</v>
      </c>
    </row>
    <row r="68" spans="1:32" ht="15.75" x14ac:dyDescent="0.25">
      <c r="A68" s="1">
        <v>1286</v>
      </c>
      <c r="B68" s="2">
        <v>46098</v>
      </c>
      <c r="C68" s="1" t="s">
        <v>0</v>
      </c>
      <c r="D68" s="1" t="s">
        <v>19</v>
      </c>
      <c r="E68" s="1">
        <v>2</v>
      </c>
      <c r="F68" s="83">
        <v>22603018</v>
      </c>
      <c r="G68" s="4">
        <v>1232</v>
      </c>
      <c r="H68" s="88" t="s">
        <v>1588</v>
      </c>
      <c r="I68" s="16" t="s">
        <v>122</v>
      </c>
      <c r="J68" s="16" t="s">
        <v>2091</v>
      </c>
      <c r="K68" s="4">
        <v>1568</v>
      </c>
      <c r="L68" s="4">
        <v>1545</v>
      </c>
      <c r="M68" s="5">
        <v>1546</v>
      </c>
      <c r="N68" s="5">
        <v>1544</v>
      </c>
      <c r="O68" s="5">
        <v>1544</v>
      </c>
      <c r="P68" s="30">
        <v>1544.6666666666667</v>
      </c>
      <c r="Q68" s="7">
        <v>5.7</v>
      </c>
      <c r="R68" s="4">
        <v>35</v>
      </c>
      <c r="S68" s="8">
        <v>2</v>
      </c>
      <c r="T68" s="9">
        <v>161</v>
      </c>
      <c r="U68" s="9">
        <v>62</v>
      </c>
      <c r="V68" s="10">
        <v>99</v>
      </c>
      <c r="W68" s="11" t="s">
        <v>5</v>
      </c>
      <c r="X68" s="16">
        <v>58</v>
      </c>
      <c r="Y68" s="12">
        <v>3.2176636800000007</v>
      </c>
      <c r="Z68" s="7">
        <v>9.1</v>
      </c>
      <c r="AA68" s="7">
        <v>9.1999999999999993</v>
      </c>
      <c r="AB68" s="13">
        <v>77</v>
      </c>
      <c r="AC68" s="13">
        <v>84</v>
      </c>
      <c r="AD68" s="11" t="s">
        <v>6</v>
      </c>
      <c r="AE68" s="18" t="s">
        <v>455</v>
      </c>
      <c r="AF68" s="18" t="s">
        <v>721</v>
      </c>
    </row>
    <row r="69" spans="1:32" ht="15.75" x14ac:dyDescent="0.25">
      <c r="A69" s="1">
        <v>1305</v>
      </c>
      <c r="B69" s="2">
        <v>46099</v>
      </c>
      <c r="C69" s="1" t="s">
        <v>18</v>
      </c>
      <c r="D69" s="1" t="s">
        <v>9</v>
      </c>
      <c r="E69" s="1">
        <v>1</v>
      </c>
      <c r="F69" s="83">
        <v>12603019</v>
      </c>
      <c r="G69" s="4">
        <v>1250</v>
      </c>
      <c r="H69" s="4" t="s">
        <v>225</v>
      </c>
      <c r="I69" s="88" t="s">
        <v>83</v>
      </c>
      <c r="J69" s="16" t="s">
        <v>2092</v>
      </c>
      <c r="K69" s="4">
        <v>1570</v>
      </c>
      <c r="L69" s="7">
        <v>1545</v>
      </c>
      <c r="M69" s="7">
        <v>1544</v>
      </c>
      <c r="N69" s="7">
        <v>1544</v>
      </c>
      <c r="O69" s="5">
        <v>1543</v>
      </c>
      <c r="P69" s="30">
        <v>1543.6666666666667</v>
      </c>
      <c r="Q69" s="7">
        <v>5.2</v>
      </c>
      <c r="R69" s="7">
        <v>35</v>
      </c>
      <c r="S69" s="8" t="s">
        <v>5</v>
      </c>
      <c r="T69" s="7">
        <v>166.3</v>
      </c>
      <c r="U69" s="7">
        <v>60</v>
      </c>
      <c r="V69" s="10">
        <v>106.30000000000001</v>
      </c>
      <c r="W69" s="11" t="s">
        <v>5</v>
      </c>
      <c r="X69" s="16">
        <v>58</v>
      </c>
      <c r="Y69" s="12">
        <v>2.9782999999999999</v>
      </c>
      <c r="Z69" s="7">
        <v>8.4</v>
      </c>
      <c r="AA69" s="7">
        <v>8.1</v>
      </c>
      <c r="AB69" s="7">
        <v>74</v>
      </c>
      <c r="AC69" s="7">
        <v>72</v>
      </c>
      <c r="AD69" s="11" t="s">
        <v>6</v>
      </c>
      <c r="AE69" s="18" t="s">
        <v>455</v>
      </c>
      <c r="AF69" s="14" t="s">
        <v>397</v>
      </c>
    </row>
    <row r="70" spans="1:32" ht="47.25" x14ac:dyDescent="0.25">
      <c r="A70" s="1">
        <v>1314</v>
      </c>
      <c r="B70" s="2">
        <v>46099</v>
      </c>
      <c r="C70" s="1" t="s">
        <v>18</v>
      </c>
      <c r="D70" s="1" t="s">
        <v>9</v>
      </c>
      <c r="E70" s="1">
        <v>1</v>
      </c>
      <c r="F70" s="83">
        <v>12603019</v>
      </c>
      <c r="G70" s="4">
        <v>1250</v>
      </c>
      <c r="H70" s="4" t="s">
        <v>1194</v>
      </c>
      <c r="I70" s="88" t="s">
        <v>164</v>
      </c>
      <c r="J70" s="16" t="s">
        <v>2093</v>
      </c>
      <c r="K70" s="4">
        <v>1566</v>
      </c>
      <c r="L70" s="4">
        <v>1542</v>
      </c>
      <c r="M70" s="5">
        <v>1538</v>
      </c>
      <c r="N70" s="5">
        <v>1538</v>
      </c>
      <c r="O70" s="5" t="s">
        <v>5</v>
      </c>
      <c r="P70" s="30">
        <v>1538</v>
      </c>
      <c r="Q70" s="7">
        <v>4.8</v>
      </c>
      <c r="R70" s="4">
        <v>35</v>
      </c>
      <c r="S70" s="8" t="s">
        <v>5</v>
      </c>
      <c r="T70" s="9" t="s">
        <v>5</v>
      </c>
      <c r="U70" s="9" t="s">
        <v>5</v>
      </c>
      <c r="V70" s="10" t="s">
        <v>5</v>
      </c>
      <c r="W70" s="11" t="s">
        <v>5</v>
      </c>
      <c r="X70" s="16">
        <v>58</v>
      </c>
      <c r="Y70" s="12">
        <v>2.7491999999999996</v>
      </c>
      <c r="Z70" s="7">
        <v>8.5</v>
      </c>
      <c r="AA70" s="7">
        <v>9</v>
      </c>
      <c r="AB70" s="7">
        <v>75</v>
      </c>
      <c r="AC70" s="7">
        <v>80</v>
      </c>
      <c r="AD70" s="11" t="s">
        <v>6</v>
      </c>
      <c r="AE70" s="18" t="s">
        <v>72</v>
      </c>
      <c r="AF70" s="14" t="s">
        <v>2094</v>
      </c>
    </row>
    <row r="71" spans="1:32" ht="31.5" x14ac:dyDescent="0.25">
      <c r="A71" s="1">
        <v>1315</v>
      </c>
      <c r="B71" s="2">
        <v>46099</v>
      </c>
      <c r="C71" s="1" t="s">
        <v>18</v>
      </c>
      <c r="D71" s="1" t="s">
        <v>9</v>
      </c>
      <c r="E71" s="1">
        <v>2</v>
      </c>
      <c r="F71" s="83">
        <v>22603018</v>
      </c>
      <c r="G71" s="4">
        <v>1232</v>
      </c>
      <c r="H71" s="4" t="s">
        <v>1588</v>
      </c>
      <c r="I71" s="88" t="s">
        <v>126</v>
      </c>
      <c r="J71" s="16" t="s">
        <v>2095</v>
      </c>
      <c r="K71" s="4">
        <v>1568</v>
      </c>
      <c r="L71" s="4">
        <v>1542</v>
      </c>
      <c r="M71" s="5">
        <v>1541</v>
      </c>
      <c r="N71" s="5">
        <v>1542</v>
      </c>
      <c r="O71" s="5">
        <v>1538</v>
      </c>
      <c r="P71" s="30">
        <v>1540.3333333333333</v>
      </c>
      <c r="Q71" s="7">
        <v>4.8</v>
      </c>
      <c r="R71" s="4">
        <v>42</v>
      </c>
      <c r="S71" s="8" t="s">
        <v>5</v>
      </c>
      <c r="T71" s="8">
        <v>186.7</v>
      </c>
      <c r="U71" s="8">
        <v>68</v>
      </c>
      <c r="V71" s="10">
        <v>118.69999999999999</v>
      </c>
      <c r="W71" s="11" t="s">
        <v>5</v>
      </c>
      <c r="X71" s="16">
        <v>58</v>
      </c>
      <c r="Y71" s="12">
        <v>2.7096115200000002</v>
      </c>
      <c r="Z71" s="7">
        <v>8.8000000000000007</v>
      </c>
      <c r="AA71" s="7">
        <v>8.1</v>
      </c>
      <c r="AB71" s="7">
        <v>89</v>
      </c>
      <c r="AC71" s="7">
        <v>82</v>
      </c>
      <c r="AD71" s="11" t="s">
        <v>6</v>
      </c>
      <c r="AE71" s="18" t="s">
        <v>455</v>
      </c>
      <c r="AF71" s="14" t="s">
        <v>2096</v>
      </c>
    </row>
    <row r="72" spans="1:32" ht="15.75" x14ac:dyDescent="0.25">
      <c r="A72" s="1">
        <v>1317</v>
      </c>
      <c r="B72" s="2">
        <v>46099</v>
      </c>
      <c r="C72" s="1" t="s">
        <v>18</v>
      </c>
      <c r="D72" s="1" t="s">
        <v>9</v>
      </c>
      <c r="E72" s="1">
        <v>2</v>
      </c>
      <c r="F72" s="83">
        <v>22603018</v>
      </c>
      <c r="G72" s="4">
        <v>1232</v>
      </c>
      <c r="H72" s="4" t="s">
        <v>1588</v>
      </c>
      <c r="I72" s="88" t="s">
        <v>371</v>
      </c>
      <c r="J72" s="16" t="s">
        <v>2097</v>
      </c>
      <c r="K72" s="4">
        <v>1570</v>
      </c>
      <c r="L72" s="5">
        <v>1545</v>
      </c>
      <c r="M72" s="5">
        <v>1547</v>
      </c>
      <c r="N72" s="5">
        <v>1546</v>
      </c>
      <c r="O72" s="5">
        <v>1544</v>
      </c>
      <c r="P72" s="30">
        <v>1545.6666666666667</v>
      </c>
      <c r="Q72" s="7">
        <v>5.5</v>
      </c>
      <c r="R72" s="4">
        <v>39</v>
      </c>
      <c r="S72" s="8">
        <v>37</v>
      </c>
      <c r="T72" s="8">
        <v>185</v>
      </c>
      <c r="U72" s="8">
        <v>68</v>
      </c>
      <c r="V72" s="10">
        <v>117</v>
      </c>
      <c r="W72" s="11" t="s">
        <v>5</v>
      </c>
      <c r="X72" s="16">
        <v>58</v>
      </c>
      <c r="Y72" s="12">
        <v>3.1047632000000003</v>
      </c>
      <c r="Z72" s="7">
        <v>10.1</v>
      </c>
      <c r="AA72" s="7">
        <v>9.5</v>
      </c>
      <c r="AB72" s="7">
        <v>89</v>
      </c>
      <c r="AC72" s="7">
        <v>78</v>
      </c>
      <c r="AD72" s="11" t="s">
        <v>6</v>
      </c>
      <c r="AE72" s="18" t="s">
        <v>53</v>
      </c>
      <c r="AF72" s="14" t="s">
        <v>418</v>
      </c>
    </row>
    <row r="73" spans="1:32" ht="15.75" x14ac:dyDescent="0.25">
      <c r="A73" s="1">
        <v>1319</v>
      </c>
      <c r="B73" s="2">
        <v>46099</v>
      </c>
      <c r="C73" s="1" t="s">
        <v>18</v>
      </c>
      <c r="D73" s="1" t="s">
        <v>9</v>
      </c>
      <c r="E73" s="1">
        <v>2</v>
      </c>
      <c r="F73" s="83">
        <v>22603018</v>
      </c>
      <c r="G73" s="4">
        <v>1250</v>
      </c>
      <c r="H73" s="4" t="s">
        <v>225</v>
      </c>
      <c r="I73" s="88" t="s">
        <v>164</v>
      </c>
      <c r="J73" s="131" t="s">
        <v>2098</v>
      </c>
      <c r="K73" s="4">
        <v>1575</v>
      </c>
      <c r="L73" s="105">
        <v>1546</v>
      </c>
      <c r="M73" s="105">
        <v>1545</v>
      </c>
      <c r="N73" s="5">
        <v>1545</v>
      </c>
      <c r="O73" s="5">
        <v>1544</v>
      </c>
      <c r="P73" s="30">
        <v>1544.6666666666667</v>
      </c>
      <c r="Q73" s="7">
        <v>5.3</v>
      </c>
      <c r="R73" s="4">
        <v>32</v>
      </c>
      <c r="S73" s="8">
        <v>25</v>
      </c>
      <c r="T73" s="8">
        <v>168</v>
      </c>
      <c r="U73" s="8">
        <v>68</v>
      </c>
      <c r="V73" s="10">
        <v>100</v>
      </c>
      <c r="W73" s="11" t="s">
        <v>5</v>
      </c>
      <c r="X73" s="16">
        <v>58</v>
      </c>
      <c r="Y73" s="12">
        <v>3.0355749999999997</v>
      </c>
      <c r="Z73" s="7">
        <v>9.3000000000000007</v>
      </c>
      <c r="AA73" s="7">
        <v>8.6999999999999993</v>
      </c>
      <c r="AB73" s="13">
        <v>81</v>
      </c>
      <c r="AC73" s="13">
        <v>74</v>
      </c>
      <c r="AD73" s="11" t="s">
        <v>6</v>
      </c>
      <c r="AE73" s="18" t="s">
        <v>72</v>
      </c>
      <c r="AF73" s="14" t="s">
        <v>418</v>
      </c>
    </row>
    <row r="74" spans="1:32" ht="47.25" x14ac:dyDescent="0.25">
      <c r="A74" s="1">
        <v>1320</v>
      </c>
      <c r="B74" s="2">
        <v>46099</v>
      </c>
      <c r="C74" s="1" t="s">
        <v>18</v>
      </c>
      <c r="D74" s="1" t="s">
        <v>9</v>
      </c>
      <c r="E74" s="1">
        <v>2</v>
      </c>
      <c r="F74" s="83">
        <v>22603018</v>
      </c>
      <c r="G74" s="4">
        <v>1250</v>
      </c>
      <c r="H74" s="4" t="s">
        <v>1095</v>
      </c>
      <c r="I74" s="88" t="s">
        <v>66</v>
      </c>
      <c r="J74" s="16" t="s">
        <v>2099</v>
      </c>
      <c r="K74" s="126">
        <v>1568</v>
      </c>
      <c r="L74" s="101">
        <v>1540</v>
      </c>
      <c r="M74" s="101">
        <v>1538</v>
      </c>
      <c r="N74" s="105">
        <v>1537</v>
      </c>
      <c r="O74" s="5">
        <v>1536</v>
      </c>
      <c r="P74" s="127">
        <v>1537</v>
      </c>
      <c r="Q74" s="7">
        <v>5.5</v>
      </c>
      <c r="R74" s="4">
        <v>29</v>
      </c>
      <c r="S74" s="8">
        <v>12</v>
      </c>
      <c r="T74" s="9">
        <v>166</v>
      </c>
      <c r="U74" s="9">
        <v>61</v>
      </c>
      <c r="V74" s="9">
        <v>105</v>
      </c>
      <c r="W74" s="11" t="s">
        <v>5</v>
      </c>
      <c r="X74" s="16">
        <v>58</v>
      </c>
      <c r="Y74" s="12">
        <v>3.1501250000000001</v>
      </c>
      <c r="Z74" s="7">
        <v>9.5</v>
      </c>
      <c r="AA74" s="7">
        <v>9</v>
      </c>
      <c r="AB74" s="7">
        <v>81</v>
      </c>
      <c r="AC74" s="7">
        <v>77</v>
      </c>
      <c r="AD74" s="11" t="s">
        <v>6</v>
      </c>
      <c r="AE74" s="18" t="s">
        <v>72</v>
      </c>
      <c r="AF74" s="14" t="s">
        <v>2100</v>
      </c>
    </row>
    <row r="75" spans="1:32" ht="31.5" x14ac:dyDescent="0.25">
      <c r="A75" s="1">
        <v>1322</v>
      </c>
      <c r="B75" s="2">
        <v>46099</v>
      </c>
      <c r="C75" s="1" t="s">
        <v>18</v>
      </c>
      <c r="D75" s="1" t="s">
        <v>9</v>
      </c>
      <c r="E75" s="1">
        <v>2</v>
      </c>
      <c r="F75" s="83">
        <v>22603018</v>
      </c>
      <c r="G75" s="4">
        <v>1250</v>
      </c>
      <c r="H75" s="4" t="s">
        <v>1095</v>
      </c>
      <c r="I75" s="88" t="s">
        <v>269</v>
      </c>
      <c r="J75" s="16" t="s">
        <v>2101</v>
      </c>
      <c r="K75" s="1">
        <v>1570</v>
      </c>
      <c r="L75" s="5">
        <v>1543</v>
      </c>
      <c r="M75" s="5">
        <v>1543</v>
      </c>
      <c r="N75" s="5">
        <v>1542</v>
      </c>
      <c r="O75" s="5">
        <v>1543</v>
      </c>
      <c r="P75" s="30">
        <v>1542.6666666666667</v>
      </c>
      <c r="Q75" s="7">
        <v>5</v>
      </c>
      <c r="R75" s="4">
        <v>37</v>
      </c>
      <c r="S75" s="8" t="s">
        <v>5</v>
      </c>
      <c r="T75" s="9">
        <v>171</v>
      </c>
      <c r="U75" s="9">
        <v>60</v>
      </c>
      <c r="V75" s="9">
        <v>111</v>
      </c>
      <c r="W75" s="11" t="s">
        <v>5</v>
      </c>
      <c r="X75" s="16">
        <v>58</v>
      </c>
      <c r="Y75" s="12">
        <v>2.86375</v>
      </c>
      <c r="Z75" s="7">
        <v>18.100000000000001</v>
      </c>
      <c r="AA75" s="7">
        <v>9.3000000000000007</v>
      </c>
      <c r="AB75" s="7">
        <v>89</v>
      </c>
      <c r="AC75" s="7">
        <v>82</v>
      </c>
      <c r="AD75" s="11" t="s">
        <v>6</v>
      </c>
      <c r="AE75" s="18" t="s">
        <v>72</v>
      </c>
      <c r="AF75" s="14" t="s">
        <v>983</v>
      </c>
    </row>
    <row r="76" spans="1:32" ht="31.5" x14ac:dyDescent="0.25">
      <c r="A76" s="1">
        <v>1324</v>
      </c>
      <c r="B76" s="2">
        <v>46099</v>
      </c>
      <c r="C76" s="1" t="s">
        <v>18</v>
      </c>
      <c r="D76" s="1" t="s">
        <v>9</v>
      </c>
      <c r="E76" s="1">
        <v>2</v>
      </c>
      <c r="F76" s="83">
        <v>22603018</v>
      </c>
      <c r="G76" s="4">
        <v>1250</v>
      </c>
      <c r="H76" s="4" t="s">
        <v>1095</v>
      </c>
      <c r="I76" s="88" t="s">
        <v>277</v>
      </c>
      <c r="J76" s="16" t="s">
        <v>2102</v>
      </c>
      <c r="K76" s="4">
        <v>1570</v>
      </c>
      <c r="L76" s="5">
        <v>1546</v>
      </c>
      <c r="M76" s="5">
        <v>1545</v>
      </c>
      <c r="N76" s="5">
        <v>1546</v>
      </c>
      <c r="O76" s="5">
        <v>1543</v>
      </c>
      <c r="P76" s="30">
        <v>1544.6666666666667</v>
      </c>
      <c r="Q76" s="7">
        <v>5.3</v>
      </c>
      <c r="R76" s="4">
        <v>37</v>
      </c>
      <c r="S76" s="8" t="s">
        <v>5</v>
      </c>
      <c r="T76" s="8">
        <v>165</v>
      </c>
      <c r="U76" s="8">
        <v>56</v>
      </c>
      <c r="V76" s="10">
        <v>109</v>
      </c>
      <c r="W76" s="11" t="s">
        <v>5</v>
      </c>
      <c r="X76" s="16">
        <v>58</v>
      </c>
      <c r="Y76" s="12">
        <v>3.0355749999999997</v>
      </c>
      <c r="Z76" s="7">
        <v>9.3000000000000007</v>
      </c>
      <c r="AA76" s="7">
        <v>8.3000000000000007</v>
      </c>
      <c r="AB76" s="13">
        <v>94</v>
      </c>
      <c r="AC76" s="13">
        <v>82</v>
      </c>
      <c r="AD76" s="11" t="s">
        <v>6</v>
      </c>
      <c r="AE76" s="18" t="s">
        <v>72</v>
      </c>
      <c r="AF76" s="14" t="s">
        <v>1424</v>
      </c>
    </row>
    <row r="77" spans="1:32" ht="15.75" x14ac:dyDescent="0.25">
      <c r="A77" s="1">
        <v>1326</v>
      </c>
      <c r="B77" s="2">
        <v>46099</v>
      </c>
      <c r="C77" s="1" t="s">
        <v>18</v>
      </c>
      <c r="D77" s="1" t="s">
        <v>9</v>
      </c>
      <c r="E77" s="1">
        <v>2</v>
      </c>
      <c r="F77" s="83">
        <v>22603018</v>
      </c>
      <c r="G77" s="4">
        <v>1250</v>
      </c>
      <c r="H77" s="4" t="s">
        <v>225</v>
      </c>
      <c r="I77" s="88" t="s">
        <v>303</v>
      </c>
      <c r="J77" s="16" t="s">
        <v>2103</v>
      </c>
      <c r="K77" s="4">
        <v>1570</v>
      </c>
      <c r="L77" s="5">
        <v>1550</v>
      </c>
      <c r="M77" s="5">
        <v>1550</v>
      </c>
      <c r="N77" s="5">
        <v>1548</v>
      </c>
      <c r="O77" s="5">
        <v>1540</v>
      </c>
      <c r="P77" s="30">
        <v>1546</v>
      </c>
      <c r="Q77" s="7">
        <v>4.5999999999999996</v>
      </c>
      <c r="R77" s="4">
        <v>36</v>
      </c>
      <c r="S77" s="8" t="s">
        <v>5</v>
      </c>
      <c r="T77" s="8">
        <v>165.2</v>
      </c>
      <c r="U77" s="9">
        <v>60.1</v>
      </c>
      <c r="V77" s="10">
        <v>105.1</v>
      </c>
      <c r="W77" s="11" t="s">
        <v>5</v>
      </c>
      <c r="X77" s="16">
        <v>58</v>
      </c>
      <c r="Y77" s="12">
        <v>2.6346499999999997</v>
      </c>
      <c r="Z77" s="7">
        <v>9.9</v>
      </c>
      <c r="AA77" s="7">
        <v>9.5</v>
      </c>
      <c r="AB77" s="13">
        <v>87</v>
      </c>
      <c r="AC77" s="13">
        <v>87</v>
      </c>
      <c r="AD77" s="11" t="s">
        <v>6</v>
      </c>
      <c r="AE77" s="18" t="s">
        <v>72</v>
      </c>
      <c r="AF77" s="14" t="s">
        <v>397</v>
      </c>
    </row>
    <row r="78" spans="1:32" ht="31.5" x14ac:dyDescent="0.25">
      <c r="A78" s="1">
        <v>1382</v>
      </c>
      <c r="B78" s="2">
        <v>46100</v>
      </c>
      <c r="C78" s="1" t="s">
        <v>18</v>
      </c>
      <c r="D78" s="1" t="s">
        <v>9</v>
      </c>
      <c r="E78" s="1">
        <v>1</v>
      </c>
      <c r="F78" s="83">
        <v>12603020</v>
      </c>
      <c r="G78" s="4">
        <v>1250</v>
      </c>
      <c r="H78" s="4" t="s">
        <v>1588</v>
      </c>
      <c r="I78" s="88" t="s">
        <v>261</v>
      </c>
      <c r="J78" s="16" t="s">
        <v>2104</v>
      </c>
      <c r="K78" s="4">
        <v>1568</v>
      </c>
      <c r="L78" s="4">
        <v>1547</v>
      </c>
      <c r="M78" s="5">
        <v>1546</v>
      </c>
      <c r="N78" s="5">
        <v>1548</v>
      </c>
      <c r="O78" s="5">
        <v>1547</v>
      </c>
      <c r="P78" s="30">
        <v>1547</v>
      </c>
      <c r="Q78" s="7">
        <v>5.2</v>
      </c>
      <c r="R78" s="4">
        <v>34</v>
      </c>
      <c r="S78" s="8" t="s">
        <v>5</v>
      </c>
      <c r="T78" s="8">
        <v>164.5</v>
      </c>
      <c r="U78" s="8">
        <v>57.5</v>
      </c>
      <c r="V78" s="9">
        <v>107</v>
      </c>
      <c r="W78" s="11" t="s">
        <v>5</v>
      </c>
      <c r="X78" s="16">
        <v>58</v>
      </c>
      <c r="Y78" s="12">
        <v>2.9782999999999999</v>
      </c>
      <c r="Z78" s="7">
        <v>9.1</v>
      </c>
      <c r="AA78" s="7">
        <v>9.3000000000000007</v>
      </c>
      <c r="AB78" s="13">
        <v>77</v>
      </c>
      <c r="AC78" s="13">
        <v>79</v>
      </c>
      <c r="AD78" s="11" t="s">
        <v>6</v>
      </c>
      <c r="AE78" s="40" t="s">
        <v>455</v>
      </c>
      <c r="AF78" s="14" t="s">
        <v>757</v>
      </c>
    </row>
    <row r="79" spans="1:32" ht="47.25" x14ac:dyDescent="0.25">
      <c r="A79" s="1">
        <v>1387</v>
      </c>
      <c r="B79" s="2">
        <v>46100</v>
      </c>
      <c r="C79" s="1" t="s">
        <v>18</v>
      </c>
      <c r="D79" s="1" t="s">
        <v>9</v>
      </c>
      <c r="E79" s="1">
        <v>1</v>
      </c>
      <c r="F79" s="83">
        <v>12603020</v>
      </c>
      <c r="G79" s="4">
        <v>1250</v>
      </c>
      <c r="H79" s="4" t="s">
        <v>1159</v>
      </c>
      <c r="I79" s="88" t="s">
        <v>80</v>
      </c>
      <c r="J79" s="16" t="s">
        <v>2105</v>
      </c>
      <c r="K79" s="4">
        <v>1568</v>
      </c>
      <c r="L79" s="4">
        <v>1542</v>
      </c>
      <c r="M79" s="5">
        <v>1541</v>
      </c>
      <c r="N79" s="5">
        <v>1539</v>
      </c>
      <c r="O79" s="5">
        <v>1540</v>
      </c>
      <c r="P79" s="30">
        <v>1540</v>
      </c>
      <c r="Q79" s="7">
        <v>5.5</v>
      </c>
      <c r="R79" s="4">
        <v>38</v>
      </c>
      <c r="S79" s="8" t="s">
        <v>5</v>
      </c>
      <c r="T79" s="8" t="s">
        <v>5</v>
      </c>
      <c r="U79" s="8" t="s">
        <v>5</v>
      </c>
      <c r="V79" s="10" t="s">
        <v>5</v>
      </c>
      <c r="W79" s="11" t="s">
        <v>5</v>
      </c>
      <c r="X79" s="16">
        <v>56</v>
      </c>
      <c r="Y79" s="12">
        <v>3.0415000000000001</v>
      </c>
      <c r="Z79" s="7">
        <v>8.6</v>
      </c>
      <c r="AA79" s="7">
        <v>9.1</v>
      </c>
      <c r="AB79" s="7">
        <v>78</v>
      </c>
      <c r="AC79" s="7">
        <v>81</v>
      </c>
      <c r="AD79" s="11" t="s">
        <v>6</v>
      </c>
      <c r="AE79" s="40" t="s">
        <v>455</v>
      </c>
      <c r="AF79" s="14" t="s">
        <v>2106</v>
      </c>
    </row>
    <row r="80" spans="1:32" ht="47.25" x14ac:dyDescent="0.25">
      <c r="A80" s="1">
        <v>1411</v>
      </c>
      <c r="B80" s="2">
        <v>46100</v>
      </c>
      <c r="C80" s="1" t="s">
        <v>264</v>
      </c>
      <c r="D80" s="1" t="s">
        <v>265</v>
      </c>
      <c r="E80" s="1">
        <v>1</v>
      </c>
      <c r="F80" s="83">
        <v>12603020</v>
      </c>
      <c r="G80" s="4">
        <v>1255</v>
      </c>
      <c r="H80" s="4" t="s">
        <v>707</v>
      </c>
      <c r="I80" s="88" t="s">
        <v>277</v>
      </c>
      <c r="J80" s="16" t="s">
        <v>2107</v>
      </c>
      <c r="K80" s="16">
        <v>1567</v>
      </c>
      <c r="L80" s="4">
        <v>1545</v>
      </c>
      <c r="M80" s="4">
        <v>1542</v>
      </c>
      <c r="N80" s="5">
        <v>1540</v>
      </c>
      <c r="O80" s="5" t="s">
        <v>5</v>
      </c>
      <c r="P80" s="30">
        <v>1541</v>
      </c>
      <c r="Q80" s="7">
        <v>4.8</v>
      </c>
      <c r="R80" s="4">
        <v>39</v>
      </c>
      <c r="S80" s="8" t="s">
        <v>5</v>
      </c>
      <c r="T80" s="9" t="s">
        <v>5</v>
      </c>
      <c r="U80" s="9" t="s">
        <v>5</v>
      </c>
      <c r="V80" s="10" t="s">
        <v>5</v>
      </c>
      <c r="W80" s="11" t="s">
        <v>5</v>
      </c>
      <c r="X80" s="16">
        <v>58</v>
      </c>
      <c r="Y80" s="12">
        <v>2.7601968000000001</v>
      </c>
      <c r="Z80" s="7">
        <v>8.9</v>
      </c>
      <c r="AA80" s="7">
        <v>6.6</v>
      </c>
      <c r="AB80" s="13">
        <v>69</v>
      </c>
      <c r="AC80" s="13">
        <v>87</v>
      </c>
      <c r="AD80" s="11" t="s">
        <v>6</v>
      </c>
      <c r="AE80" s="18" t="s">
        <v>455</v>
      </c>
      <c r="AF80" s="14" t="s">
        <v>2108</v>
      </c>
    </row>
    <row r="81" spans="1:32" ht="15.75" x14ac:dyDescent="0.25">
      <c r="A81" s="1">
        <v>1412</v>
      </c>
      <c r="B81" s="2">
        <v>46100</v>
      </c>
      <c r="C81" s="1" t="s">
        <v>264</v>
      </c>
      <c r="D81" s="1" t="s">
        <v>265</v>
      </c>
      <c r="E81" s="1">
        <v>1</v>
      </c>
      <c r="F81" s="83">
        <v>12603021</v>
      </c>
      <c r="G81" s="4">
        <v>1255</v>
      </c>
      <c r="H81" s="4" t="s">
        <v>1588</v>
      </c>
      <c r="I81" s="88" t="s">
        <v>98</v>
      </c>
      <c r="J81" s="16" t="s">
        <v>2109</v>
      </c>
      <c r="K81" s="16">
        <v>1605</v>
      </c>
      <c r="L81" s="4">
        <v>1570</v>
      </c>
      <c r="M81" s="4">
        <v>1571</v>
      </c>
      <c r="N81" s="5">
        <v>1571</v>
      </c>
      <c r="O81" s="5">
        <v>1571</v>
      </c>
      <c r="P81" s="30">
        <v>1571</v>
      </c>
      <c r="Q81" s="7">
        <v>3.7</v>
      </c>
      <c r="R81" s="4">
        <v>43</v>
      </c>
      <c r="S81" s="8" t="s">
        <v>5</v>
      </c>
      <c r="T81" s="9">
        <v>167</v>
      </c>
      <c r="U81" s="9">
        <v>63</v>
      </c>
      <c r="V81" s="10">
        <v>104</v>
      </c>
      <c r="W81" s="11" t="s">
        <v>100</v>
      </c>
      <c r="X81" s="16">
        <v>58</v>
      </c>
      <c r="Y81" s="12">
        <v>2.1276517000000004</v>
      </c>
      <c r="Z81" s="7">
        <v>7.4</v>
      </c>
      <c r="AA81" s="7">
        <v>7.3</v>
      </c>
      <c r="AB81" s="13">
        <v>78</v>
      </c>
      <c r="AC81" s="13">
        <v>72</v>
      </c>
      <c r="AD81" s="11" t="s">
        <v>6</v>
      </c>
      <c r="AE81" s="18" t="s">
        <v>72</v>
      </c>
      <c r="AF81" s="14" t="s">
        <v>721</v>
      </c>
    </row>
    <row r="82" spans="1:32" ht="15.75" x14ac:dyDescent="0.25">
      <c r="A82" s="1">
        <v>1479</v>
      </c>
      <c r="B82" s="2">
        <v>46101</v>
      </c>
      <c r="C82" s="1" t="s">
        <v>18</v>
      </c>
      <c r="D82" s="1" t="s">
        <v>9</v>
      </c>
      <c r="E82" s="1">
        <v>2</v>
      </c>
      <c r="F82" s="83">
        <v>22603020</v>
      </c>
      <c r="G82" s="4">
        <v>1250</v>
      </c>
      <c r="H82" s="4" t="s">
        <v>1095</v>
      </c>
      <c r="I82" s="88" t="s">
        <v>15</v>
      </c>
      <c r="J82" s="16" t="s">
        <v>2110</v>
      </c>
      <c r="K82" s="4">
        <v>1568</v>
      </c>
      <c r="L82" s="5">
        <v>1547</v>
      </c>
      <c r="M82" s="5">
        <v>1546</v>
      </c>
      <c r="N82" s="5">
        <v>1545</v>
      </c>
      <c r="O82" s="5">
        <v>1545</v>
      </c>
      <c r="P82" s="30">
        <v>1545.3333333333333</v>
      </c>
      <c r="Q82" s="7">
        <v>5.5</v>
      </c>
      <c r="R82" s="4">
        <v>36</v>
      </c>
      <c r="S82" s="8">
        <v>38</v>
      </c>
      <c r="T82" s="9">
        <v>181</v>
      </c>
      <c r="U82" s="9">
        <v>68</v>
      </c>
      <c r="V82" s="10">
        <v>113</v>
      </c>
      <c r="W82" s="11" t="s">
        <v>5</v>
      </c>
      <c r="X82" s="16">
        <v>58</v>
      </c>
      <c r="Y82" s="12">
        <v>3.1501250000000001</v>
      </c>
      <c r="Z82" s="7">
        <v>9.3000000000000007</v>
      </c>
      <c r="AA82" s="7">
        <v>9.6999999999999993</v>
      </c>
      <c r="AB82" s="13">
        <v>74</v>
      </c>
      <c r="AC82" s="13">
        <v>78</v>
      </c>
      <c r="AD82" s="11" t="s">
        <v>6</v>
      </c>
      <c r="AE82" s="18" t="s">
        <v>72</v>
      </c>
      <c r="AF82" s="14" t="s">
        <v>721</v>
      </c>
    </row>
    <row r="83" spans="1:32" ht="31.5" x14ac:dyDescent="0.25">
      <c r="A83" s="1">
        <v>1583</v>
      </c>
      <c r="B83" s="2">
        <v>46102</v>
      </c>
      <c r="C83" s="1" t="s">
        <v>264</v>
      </c>
      <c r="D83" s="1" t="s">
        <v>19</v>
      </c>
      <c r="E83" s="1">
        <v>2</v>
      </c>
      <c r="F83" s="83">
        <v>22603021</v>
      </c>
      <c r="G83" s="4">
        <v>1250</v>
      </c>
      <c r="H83" s="4" t="s">
        <v>1588</v>
      </c>
      <c r="I83" s="88" t="s">
        <v>331</v>
      </c>
      <c r="J83" s="16" t="s">
        <v>2111</v>
      </c>
      <c r="K83" s="4">
        <v>1568</v>
      </c>
      <c r="L83" s="4">
        <v>1544</v>
      </c>
      <c r="M83" s="4">
        <v>1544</v>
      </c>
      <c r="N83" s="5">
        <v>1543</v>
      </c>
      <c r="O83" s="5" t="s">
        <v>5</v>
      </c>
      <c r="P83" s="30">
        <v>1543.5</v>
      </c>
      <c r="Q83" s="7">
        <v>5.5</v>
      </c>
      <c r="R83" s="4">
        <v>36</v>
      </c>
      <c r="S83" s="8" t="s">
        <v>5</v>
      </c>
      <c r="T83" s="9">
        <v>181</v>
      </c>
      <c r="U83" s="9">
        <v>68</v>
      </c>
      <c r="V83" s="10">
        <v>113</v>
      </c>
      <c r="W83" s="11" t="s">
        <v>5</v>
      </c>
      <c r="X83" s="16">
        <v>58</v>
      </c>
      <c r="Y83" s="12">
        <v>3.1501250000000001</v>
      </c>
      <c r="Z83" s="7">
        <v>8.8000000000000007</v>
      </c>
      <c r="AA83" s="7">
        <v>9.8000000000000007</v>
      </c>
      <c r="AB83" s="7">
        <v>86</v>
      </c>
      <c r="AC83" s="7">
        <v>77</v>
      </c>
      <c r="AD83" s="11" t="s">
        <v>6</v>
      </c>
      <c r="AE83" s="18" t="s">
        <v>53</v>
      </c>
      <c r="AF83" s="14" t="s">
        <v>2112</v>
      </c>
    </row>
    <row r="84" spans="1:32" ht="47.25" x14ac:dyDescent="0.25">
      <c r="A84" s="1">
        <v>1589</v>
      </c>
      <c r="B84" s="2">
        <v>46102</v>
      </c>
      <c r="C84" s="1" t="s">
        <v>0</v>
      </c>
      <c r="D84" s="1" t="s">
        <v>258</v>
      </c>
      <c r="E84" s="1">
        <v>1</v>
      </c>
      <c r="F84" s="83">
        <v>12603023</v>
      </c>
      <c r="G84" s="4">
        <v>1250</v>
      </c>
      <c r="H84" s="4" t="s">
        <v>222</v>
      </c>
      <c r="I84" s="88" t="s">
        <v>229</v>
      </c>
      <c r="J84" s="69" t="s">
        <v>2113</v>
      </c>
      <c r="K84" s="99">
        <v>1565</v>
      </c>
      <c r="L84" s="4">
        <v>1546</v>
      </c>
      <c r="M84" s="4">
        <v>1540</v>
      </c>
      <c r="N84" s="5">
        <v>1536</v>
      </c>
      <c r="O84" s="5">
        <v>1538</v>
      </c>
      <c r="P84" s="30">
        <v>1538</v>
      </c>
      <c r="Q84" s="7">
        <v>5</v>
      </c>
      <c r="R84" s="4">
        <v>33</v>
      </c>
      <c r="S84" s="8" t="s">
        <v>5</v>
      </c>
      <c r="T84" s="9" t="s">
        <v>5</v>
      </c>
      <c r="U84" s="9" t="s">
        <v>5</v>
      </c>
      <c r="V84" s="10" t="s">
        <v>5</v>
      </c>
      <c r="W84" s="11" t="s">
        <v>5</v>
      </c>
      <c r="X84" s="16">
        <v>58</v>
      </c>
      <c r="Y84" s="12">
        <v>2.86375</v>
      </c>
      <c r="Z84" s="7">
        <v>11.5</v>
      </c>
      <c r="AA84" s="7">
        <v>12.9</v>
      </c>
      <c r="AB84" s="13">
        <v>82</v>
      </c>
      <c r="AC84" s="13">
        <v>90</v>
      </c>
      <c r="AD84" s="11" t="s">
        <v>6</v>
      </c>
      <c r="AE84" s="18" t="s">
        <v>72</v>
      </c>
      <c r="AF84" s="14" t="s">
        <v>2114</v>
      </c>
    </row>
    <row r="85" spans="1:32" ht="31.5" x14ac:dyDescent="0.25">
      <c r="A85" s="1">
        <v>1594</v>
      </c>
      <c r="B85" s="2">
        <v>46102</v>
      </c>
      <c r="C85" s="1" t="s">
        <v>0</v>
      </c>
      <c r="D85" s="1" t="s">
        <v>258</v>
      </c>
      <c r="E85" s="1">
        <v>1</v>
      </c>
      <c r="F85" s="83">
        <v>12603023</v>
      </c>
      <c r="G85" s="4">
        <v>1250</v>
      </c>
      <c r="H85" s="4" t="s">
        <v>225</v>
      </c>
      <c r="I85" s="88" t="s">
        <v>103</v>
      </c>
      <c r="J85" s="69" t="s">
        <v>2115</v>
      </c>
      <c r="K85" s="99">
        <v>1564</v>
      </c>
      <c r="L85" s="4">
        <v>1543</v>
      </c>
      <c r="M85" s="5">
        <v>1543</v>
      </c>
      <c r="N85" s="5">
        <v>1541</v>
      </c>
      <c r="O85" s="5">
        <v>1541</v>
      </c>
      <c r="P85" s="30">
        <v>1541.6666666666667</v>
      </c>
      <c r="Q85" s="7">
        <v>5.5</v>
      </c>
      <c r="R85" s="4">
        <v>35</v>
      </c>
      <c r="S85" s="8" t="s">
        <v>5</v>
      </c>
      <c r="T85" s="9">
        <v>160</v>
      </c>
      <c r="U85" s="9">
        <v>60</v>
      </c>
      <c r="V85" s="9">
        <v>100</v>
      </c>
      <c r="W85" s="11" t="s">
        <v>5</v>
      </c>
      <c r="X85" s="16">
        <v>58</v>
      </c>
      <c r="Y85" s="12">
        <v>3.1501250000000001</v>
      </c>
      <c r="Z85" s="7">
        <v>13.2</v>
      </c>
      <c r="AA85" s="7">
        <v>13.7</v>
      </c>
      <c r="AB85" s="13">
        <v>92</v>
      </c>
      <c r="AC85" s="13">
        <v>94</v>
      </c>
      <c r="AD85" s="11" t="s">
        <v>6</v>
      </c>
      <c r="AE85" s="18" t="s">
        <v>72</v>
      </c>
      <c r="AF85" s="14" t="s">
        <v>2116</v>
      </c>
    </row>
    <row r="86" spans="1:32" ht="31.5" x14ac:dyDescent="0.25">
      <c r="A86" s="1">
        <v>1602</v>
      </c>
      <c r="B86" s="2">
        <v>46102</v>
      </c>
      <c r="C86" s="1" t="s">
        <v>0</v>
      </c>
      <c r="D86" s="1" t="s">
        <v>258</v>
      </c>
      <c r="E86" s="1">
        <v>1</v>
      </c>
      <c r="F86" s="83">
        <v>12603023</v>
      </c>
      <c r="G86" s="4">
        <v>1250</v>
      </c>
      <c r="H86" s="4" t="s">
        <v>225</v>
      </c>
      <c r="I86" s="88" t="s">
        <v>126</v>
      </c>
      <c r="J86" s="69" t="s">
        <v>2117</v>
      </c>
      <c r="K86" s="4">
        <v>1570</v>
      </c>
      <c r="L86" s="4">
        <v>1547</v>
      </c>
      <c r="M86" s="5">
        <v>1545</v>
      </c>
      <c r="N86" s="5">
        <v>1546</v>
      </c>
      <c r="O86" s="5" t="s">
        <v>5</v>
      </c>
      <c r="P86" s="30">
        <v>1545.5</v>
      </c>
      <c r="Q86" s="7">
        <v>5</v>
      </c>
      <c r="R86" s="4">
        <v>30</v>
      </c>
      <c r="S86" s="8" t="s">
        <v>5</v>
      </c>
      <c r="T86" s="9">
        <v>162</v>
      </c>
      <c r="U86" s="9">
        <v>60</v>
      </c>
      <c r="V86" s="10">
        <v>102</v>
      </c>
      <c r="W86" s="11" t="s">
        <v>5</v>
      </c>
      <c r="X86" s="16">
        <v>58</v>
      </c>
      <c r="Y86" s="12">
        <v>2.86375</v>
      </c>
      <c r="Z86" s="7">
        <v>12.1</v>
      </c>
      <c r="AA86" s="7">
        <v>11.9</v>
      </c>
      <c r="AB86" s="13">
        <v>92</v>
      </c>
      <c r="AC86" s="13">
        <v>100</v>
      </c>
      <c r="AD86" s="11" t="s">
        <v>6</v>
      </c>
      <c r="AE86" s="18" t="s">
        <v>72</v>
      </c>
      <c r="AF86" s="14" t="s">
        <v>2118</v>
      </c>
    </row>
    <row r="87" spans="1:32" ht="15.75" x14ac:dyDescent="0.25">
      <c r="A87" s="1">
        <v>1629</v>
      </c>
      <c r="B87" s="2">
        <v>46103</v>
      </c>
      <c r="C87" s="1" t="s">
        <v>18</v>
      </c>
      <c r="D87" s="1" t="s">
        <v>265</v>
      </c>
      <c r="E87" s="1">
        <v>2</v>
      </c>
      <c r="F87" s="83">
        <v>22603021</v>
      </c>
      <c r="G87" s="4">
        <v>1250</v>
      </c>
      <c r="H87" s="88" t="s">
        <v>225</v>
      </c>
      <c r="I87" s="16" t="s">
        <v>273</v>
      </c>
      <c r="J87" s="16" t="s">
        <v>2119</v>
      </c>
      <c r="K87" s="4">
        <v>1568</v>
      </c>
      <c r="L87" s="4">
        <v>1540</v>
      </c>
      <c r="M87" s="4">
        <v>1544</v>
      </c>
      <c r="N87" s="5">
        <v>1544</v>
      </c>
      <c r="O87" s="5" t="s">
        <v>5</v>
      </c>
      <c r="P87" s="30">
        <v>1544</v>
      </c>
      <c r="Q87" s="7">
        <v>4.7</v>
      </c>
      <c r="R87" s="4">
        <v>39</v>
      </c>
      <c r="S87" s="8">
        <v>35</v>
      </c>
      <c r="T87" s="9">
        <v>171.6</v>
      </c>
      <c r="U87" s="9">
        <v>56.5</v>
      </c>
      <c r="V87" s="9">
        <v>115.1</v>
      </c>
      <c r="W87" s="11">
        <v>19.100000000000001</v>
      </c>
      <c r="X87" s="16">
        <v>58</v>
      </c>
      <c r="Y87" s="12">
        <v>2.6919249999999999</v>
      </c>
      <c r="Z87" s="7">
        <v>9.9</v>
      </c>
      <c r="AA87" s="7">
        <v>9.6999999999999993</v>
      </c>
      <c r="AB87" s="13">
        <v>81</v>
      </c>
      <c r="AC87" s="13">
        <v>81</v>
      </c>
      <c r="AD87" s="11" t="s">
        <v>6</v>
      </c>
      <c r="AE87" s="18" t="s">
        <v>72</v>
      </c>
      <c r="AF87" s="14" t="s">
        <v>397</v>
      </c>
    </row>
    <row r="88" spans="1:32" ht="15.75" x14ac:dyDescent="0.25">
      <c r="A88" s="1">
        <v>1634</v>
      </c>
      <c r="B88" s="2">
        <v>46103</v>
      </c>
      <c r="C88" s="1" t="s">
        <v>18</v>
      </c>
      <c r="D88" s="1" t="s">
        <v>265</v>
      </c>
      <c r="E88" s="1">
        <v>2</v>
      </c>
      <c r="F88" s="83">
        <v>22603022</v>
      </c>
      <c r="G88" s="4">
        <v>1250</v>
      </c>
      <c r="H88" s="88" t="s">
        <v>225</v>
      </c>
      <c r="I88" s="16" t="s">
        <v>194</v>
      </c>
      <c r="J88" s="16" t="s">
        <v>2120</v>
      </c>
      <c r="K88" s="4">
        <v>1565</v>
      </c>
      <c r="L88" s="4">
        <v>1542</v>
      </c>
      <c r="M88" s="4">
        <v>1545</v>
      </c>
      <c r="N88" s="5">
        <v>1544</v>
      </c>
      <c r="O88" s="5">
        <v>1542</v>
      </c>
      <c r="P88" s="30">
        <v>1543.6666666666667</v>
      </c>
      <c r="Q88" s="7">
        <v>5.2</v>
      </c>
      <c r="R88" s="4">
        <v>34</v>
      </c>
      <c r="S88" s="8">
        <v>25</v>
      </c>
      <c r="T88" s="9">
        <v>180</v>
      </c>
      <c r="U88" s="9">
        <v>69</v>
      </c>
      <c r="V88" s="9">
        <v>111</v>
      </c>
      <c r="W88" s="11" t="s">
        <v>5</v>
      </c>
      <c r="X88" s="16">
        <v>58</v>
      </c>
      <c r="Y88" s="12">
        <v>2.9782999999999999</v>
      </c>
      <c r="Z88" s="7">
        <v>9.3000000000000007</v>
      </c>
      <c r="AA88" s="7">
        <v>8.9</v>
      </c>
      <c r="AB88" s="13">
        <v>77</v>
      </c>
      <c r="AC88" s="13">
        <v>73</v>
      </c>
      <c r="AD88" s="11" t="s">
        <v>6</v>
      </c>
      <c r="AE88" s="18" t="s">
        <v>72</v>
      </c>
      <c r="AF88" s="14" t="s">
        <v>480</v>
      </c>
    </row>
    <row r="89" spans="1:32" ht="15.75" x14ac:dyDescent="0.25">
      <c r="A89" s="1">
        <v>1659</v>
      </c>
      <c r="B89" s="2">
        <v>46103</v>
      </c>
      <c r="C89" s="1" t="s">
        <v>264</v>
      </c>
      <c r="D89" s="1" t="s">
        <v>19</v>
      </c>
      <c r="E89" s="1">
        <v>2</v>
      </c>
      <c r="F89" s="83">
        <v>22603022</v>
      </c>
      <c r="G89" s="4">
        <v>1250</v>
      </c>
      <c r="H89" s="88" t="s">
        <v>225</v>
      </c>
      <c r="I89" s="16" t="s">
        <v>132</v>
      </c>
      <c r="J89" s="16" t="s">
        <v>2121</v>
      </c>
      <c r="K89" s="4">
        <v>1570</v>
      </c>
      <c r="L89" s="4">
        <v>1545</v>
      </c>
      <c r="M89" s="5">
        <v>1543</v>
      </c>
      <c r="N89" s="5">
        <v>1543</v>
      </c>
      <c r="O89" s="5" t="s">
        <v>5</v>
      </c>
      <c r="P89" s="30">
        <v>1543</v>
      </c>
      <c r="Q89" s="7">
        <v>5.9</v>
      </c>
      <c r="R89" s="4">
        <v>31</v>
      </c>
      <c r="S89" s="8" t="s">
        <v>5</v>
      </c>
      <c r="T89" s="8">
        <v>154.6</v>
      </c>
      <c r="U89" s="8">
        <v>60</v>
      </c>
      <c r="V89" s="9">
        <v>94.6</v>
      </c>
      <c r="W89" s="11" t="s">
        <v>5</v>
      </c>
      <c r="X89" s="16">
        <v>58</v>
      </c>
      <c r="Y89" s="12">
        <v>3.3792249999999999</v>
      </c>
      <c r="Z89" s="7">
        <v>11.2</v>
      </c>
      <c r="AA89" s="7">
        <v>11.2</v>
      </c>
      <c r="AB89" s="7">
        <v>95</v>
      </c>
      <c r="AC89" s="7">
        <v>80</v>
      </c>
      <c r="AD89" s="11" t="s">
        <v>6</v>
      </c>
      <c r="AE89" s="18" t="s">
        <v>72</v>
      </c>
      <c r="AF89" s="40" t="s">
        <v>418</v>
      </c>
    </row>
    <row r="90" spans="1:32" ht="47.25" x14ac:dyDescent="0.25">
      <c r="A90" s="1">
        <v>1776</v>
      </c>
      <c r="B90" s="2">
        <v>46105</v>
      </c>
      <c r="C90" s="1" t="s">
        <v>18</v>
      </c>
      <c r="D90" s="1" t="s">
        <v>265</v>
      </c>
      <c r="E90" s="1">
        <v>2</v>
      </c>
      <c r="F90" s="83">
        <v>22603024</v>
      </c>
      <c r="G90" s="4">
        <v>1250</v>
      </c>
      <c r="H90" s="4" t="s">
        <v>1588</v>
      </c>
      <c r="I90" s="88" t="s">
        <v>126</v>
      </c>
      <c r="J90" s="16" t="s">
        <v>2122</v>
      </c>
      <c r="K90" s="4">
        <v>1568</v>
      </c>
      <c r="L90" s="4">
        <v>1544</v>
      </c>
      <c r="M90" s="5">
        <v>1542</v>
      </c>
      <c r="N90" s="5">
        <v>1542</v>
      </c>
      <c r="O90" s="5" t="s">
        <v>5</v>
      </c>
      <c r="P90" s="30">
        <v>1542</v>
      </c>
      <c r="Q90" s="7">
        <v>5.2</v>
      </c>
      <c r="R90" s="4">
        <v>30</v>
      </c>
      <c r="S90" s="8" t="s">
        <v>5</v>
      </c>
      <c r="T90" s="8">
        <v>171.2</v>
      </c>
      <c r="U90" s="8">
        <v>67.900000000000006</v>
      </c>
      <c r="V90" s="10">
        <v>103.29999999999998</v>
      </c>
      <c r="W90" s="11">
        <v>14.5</v>
      </c>
      <c r="X90" s="16">
        <v>58</v>
      </c>
      <c r="Y90" s="12">
        <v>2.9782999999999999</v>
      </c>
      <c r="Z90" s="7">
        <v>10.5</v>
      </c>
      <c r="AA90" s="7">
        <v>11.5</v>
      </c>
      <c r="AB90" s="7">
        <v>97</v>
      </c>
      <c r="AC90" s="7">
        <v>100</v>
      </c>
      <c r="AD90" s="11" t="s">
        <v>6</v>
      </c>
      <c r="AE90" s="18" t="s">
        <v>53</v>
      </c>
      <c r="AF90" s="14" t="s">
        <v>2123</v>
      </c>
    </row>
    <row r="91" spans="1:32" ht="78.75" x14ac:dyDescent="0.25">
      <c r="A91" s="1">
        <v>1777</v>
      </c>
      <c r="B91" s="2">
        <v>46105</v>
      </c>
      <c r="C91" s="1" t="s">
        <v>18</v>
      </c>
      <c r="D91" s="1" t="s">
        <v>265</v>
      </c>
      <c r="E91" s="1">
        <v>2</v>
      </c>
      <c r="F91" s="83">
        <v>22603024</v>
      </c>
      <c r="G91" s="4">
        <v>1250</v>
      </c>
      <c r="H91" s="4" t="s">
        <v>225</v>
      </c>
      <c r="I91" s="88" t="s">
        <v>331</v>
      </c>
      <c r="J91" s="16" t="s">
        <v>2124</v>
      </c>
      <c r="K91" s="4">
        <v>1565</v>
      </c>
      <c r="L91" s="4">
        <v>1541</v>
      </c>
      <c r="M91" s="5">
        <v>1540</v>
      </c>
      <c r="N91" s="5">
        <v>1538</v>
      </c>
      <c r="O91" s="5">
        <v>1537</v>
      </c>
      <c r="P91" s="30">
        <v>1538.3333333333333</v>
      </c>
      <c r="Q91" s="7">
        <v>4.2</v>
      </c>
      <c r="R91" s="4">
        <v>43</v>
      </c>
      <c r="S91" s="8" t="s">
        <v>5</v>
      </c>
      <c r="T91" s="9">
        <v>177</v>
      </c>
      <c r="U91" s="8">
        <v>66</v>
      </c>
      <c r="V91" s="10">
        <v>111</v>
      </c>
      <c r="W91" s="11">
        <v>11.4</v>
      </c>
      <c r="X91" s="16">
        <v>58</v>
      </c>
      <c r="Y91" s="12">
        <v>2.4055499999999999</v>
      </c>
      <c r="Z91" s="7">
        <v>11</v>
      </c>
      <c r="AA91" s="7">
        <v>11.7</v>
      </c>
      <c r="AB91" s="7">
        <v>93</v>
      </c>
      <c r="AC91" s="7">
        <v>57</v>
      </c>
      <c r="AD91" s="11" t="s">
        <v>6</v>
      </c>
      <c r="AE91" s="18" t="s">
        <v>72</v>
      </c>
      <c r="AF91" s="14" t="s">
        <v>2125</v>
      </c>
    </row>
    <row r="92" spans="1:32" ht="31.5" x14ac:dyDescent="0.25">
      <c r="A92" s="1">
        <v>1782</v>
      </c>
      <c r="B92" s="2">
        <v>46105</v>
      </c>
      <c r="C92" s="1" t="s">
        <v>18</v>
      </c>
      <c r="D92" s="1" t="s">
        <v>265</v>
      </c>
      <c r="E92" s="1">
        <v>2</v>
      </c>
      <c r="F92" s="83">
        <v>22603024</v>
      </c>
      <c r="G92" s="4">
        <v>1250</v>
      </c>
      <c r="H92" s="4" t="s">
        <v>225</v>
      </c>
      <c r="I92" s="88" t="s">
        <v>15</v>
      </c>
      <c r="J92" s="16" t="s">
        <v>2126</v>
      </c>
      <c r="K92" s="4">
        <v>1573</v>
      </c>
      <c r="L92" s="5">
        <v>1548</v>
      </c>
      <c r="M92" s="5">
        <v>1546</v>
      </c>
      <c r="N92" s="5">
        <v>1544</v>
      </c>
      <c r="O92" s="5" t="s">
        <v>5</v>
      </c>
      <c r="P92" s="30">
        <v>1545</v>
      </c>
      <c r="Q92" s="7">
        <v>5</v>
      </c>
      <c r="R92" s="4">
        <v>36</v>
      </c>
      <c r="S92" s="8" t="s">
        <v>5</v>
      </c>
      <c r="T92" s="8">
        <v>172.3</v>
      </c>
      <c r="U92" s="9">
        <v>60</v>
      </c>
      <c r="V92" s="10">
        <v>112.30000000000001</v>
      </c>
      <c r="W92" s="11">
        <v>10.4</v>
      </c>
      <c r="X92" s="16">
        <v>58</v>
      </c>
      <c r="Y92" s="12">
        <v>2.86375</v>
      </c>
      <c r="Z92" s="7">
        <v>11.8</v>
      </c>
      <c r="AA92" s="7">
        <v>11.7</v>
      </c>
      <c r="AB92" s="13">
        <v>98</v>
      </c>
      <c r="AC92" s="13">
        <v>96</v>
      </c>
      <c r="AD92" s="11" t="s">
        <v>6</v>
      </c>
      <c r="AE92" s="18" t="s">
        <v>72</v>
      </c>
      <c r="AF92" s="14" t="s">
        <v>2127</v>
      </c>
    </row>
    <row r="93" spans="1:32" ht="63" x14ac:dyDescent="0.25">
      <c r="A93" s="1">
        <v>1783</v>
      </c>
      <c r="B93" s="2">
        <v>46105</v>
      </c>
      <c r="C93" s="1" t="s">
        <v>18</v>
      </c>
      <c r="D93" s="1" t="s">
        <v>265</v>
      </c>
      <c r="E93" s="1">
        <v>2</v>
      </c>
      <c r="F93" s="83">
        <v>22603024</v>
      </c>
      <c r="G93" s="4">
        <v>1250</v>
      </c>
      <c r="H93" s="4" t="s">
        <v>1095</v>
      </c>
      <c r="I93" s="88" t="s">
        <v>269</v>
      </c>
      <c r="J93" s="131" t="s">
        <v>2128</v>
      </c>
      <c r="K93" s="4">
        <v>1567</v>
      </c>
      <c r="L93" s="105">
        <v>1548</v>
      </c>
      <c r="M93" s="105">
        <v>1549</v>
      </c>
      <c r="N93" s="5">
        <v>1549</v>
      </c>
      <c r="O93" s="5" t="s">
        <v>5</v>
      </c>
      <c r="P93" s="30">
        <v>1549</v>
      </c>
      <c r="Q93" s="7">
        <v>4.9000000000000004</v>
      </c>
      <c r="R93" s="4">
        <v>34</v>
      </c>
      <c r="S93" s="8">
        <v>12</v>
      </c>
      <c r="T93" s="9">
        <v>162</v>
      </c>
      <c r="U93" s="8">
        <v>61</v>
      </c>
      <c r="V93" s="10">
        <v>101</v>
      </c>
      <c r="W93" s="11" t="s">
        <v>5</v>
      </c>
      <c r="X93" s="16">
        <v>58</v>
      </c>
      <c r="Y93" s="12">
        <v>2.8064750000000003</v>
      </c>
      <c r="Z93" s="7">
        <v>11.3</v>
      </c>
      <c r="AA93" s="7">
        <v>11.7</v>
      </c>
      <c r="AB93" s="13">
        <v>91</v>
      </c>
      <c r="AC93" s="13">
        <v>98</v>
      </c>
      <c r="AD93" s="11" t="s">
        <v>6</v>
      </c>
      <c r="AE93" s="18" t="s">
        <v>72</v>
      </c>
      <c r="AF93" s="14" t="s">
        <v>2129</v>
      </c>
    </row>
    <row r="94" spans="1:32" ht="31.5" x14ac:dyDescent="0.25">
      <c r="A94" s="1">
        <v>1811</v>
      </c>
      <c r="B94" s="2">
        <v>46105</v>
      </c>
      <c r="C94" s="1" t="s">
        <v>264</v>
      </c>
      <c r="D94" s="1" t="s">
        <v>19</v>
      </c>
      <c r="E94" s="1">
        <v>2</v>
      </c>
      <c r="F94" s="83">
        <v>22603024</v>
      </c>
      <c r="G94" s="4">
        <v>1250</v>
      </c>
      <c r="H94" s="4" t="s">
        <v>222</v>
      </c>
      <c r="I94" s="88" t="s">
        <v>56</v>
      </c>
      <c r="J94" s="16" t="s">
        <v>2130</v>
      </c>
      <c r="K94" s="16">
        <v>1566</v>
      </c>
      <c r="L94" s="4">
        <v>1549</v>
      </c>
      <c r="M94" s="4">
        <v>1550</v>
      </c>
      <c r="N94" s="5">
        <v>1548</v>
      </c>
      <c r="O94" s="5">
        <v>1547</v>
      </c>
      <c r="P94" s="30">
        <v>1548.3333333333333</v>
      </c>
      <c r="Q94" s="7">
        <v>5.4</v>
      </c>
      <c r="R94" s="4">
        <v>31</v>
      </c>
      <c r="S94" s="8" t="s">
        <v>5</v>
      </c>
      <c r="T94" s="9">
        <v>168.37</v>
      </c>
      <c r="U94" s="9">
        <v>61.8</v>
      </c>
      <c r="V94" s="9">
        <v>106.57000000000001</v>
      </c>
      <c r="W94" s="11" t="s">
        <v>5</v>
      </c>
      <c r="X94" s="16">
        <v>56</v>
      </c>
      <c r="Y94" s="12">
        <v>2.9862000000000006</v>
      </c>
      <c r="Z94" s="7">
        <v>11.8</v>
      </c>
      <c r="AA94" s="7">
        <v>11.3</v>
      </c>
      <c r="AB94" s="13">
        <v>97</v>
      </c>
      <c r="AC94" s="13">
        <v>94</v>
      </c>
      <c r="AD94" s="11" t="s">
        <v>6</v>
      </c>
      <c r="AE94" s="18" t="s">
        <v>72</v>
      </c>
      <c r="AF94" s="14" t="s">
        <v>564</v>
      </c>
    </row>
    <row r="95" spans="1:32" ht="31.5" x14ac:dyDescent="0.25">
      <c r="A95" s="1">
        <v>1854</v>
      </c>
      <c r="B95" s="2">
        <v>46106</v>
      </c>
      <c r="C95" s="1" t="s">
        <v>18</v>
      </c>
      <c r="D95" s="1" t="s">
        <v>265</v>
      </c>
      <c r="E95" s="1">
        <v>2</v>
      </c>
      <c r="F95" s="83">
        <v>22603025</v>
      </c>
      <c r="G95" s="4">
        <v>1250</v>
      </c>
      <c r="H95" s="4" t="s">
        <v>1159</v>
      </c>
      <c r="I95" s="88" t="s">
        <v>132</v>
      </c>
      <c r="J95" s="16" t="s">
        <v>2131</v>
      </c>
      <c r="K95" s="4">
        <v>1580</v>
      </c>
      <c r="L95" s="4">
        <v>1549</v>
      </c>
      <c r="M95" s="5">
        <v>1549</v>
      </c>
      <c r="N95" s="5">
        <v>1550</v>
      </c>
      <c r="O95" s="5">
        <v>1551</v>
      </c>
      <c r="P95" s="30">
        <v>1550</v>
      </c>
      <c r="Q95" s="7">
        <v>4</v>
      </c>
      <c r="R95" s="4">
        <v>37</v>
      </c>
      <c r="S95" s="8">
        <v>27</v>
      </c>
      <c r="T95" s="8">
        <v>165.4</v>
      </c>
      <c r="U95" s="8">
        <v>64.5</v>
      </c>
      <c r="V95" s="10">
        <v>100.9</v>
      </c>
      <c r="W95" s="11" t="s">
        <v>5</v>
      </c>
      <c r="X95" s="16">
        <v>58</v>
      </c>
      <c r="Y95" s="12">
        <v>2.2909999999999999</v>
      </c>
      <c r="Z95" s="7">
        <v>10.5</v>
      </c>
      <c r="AA95" s="7">
        <v>10.4</v>
      </c>
      <c r="AB95" s="7">
        <v>93</v>
      </c>
      <c r="AC95" s="7">
        <v>91</v>
      </c>
      <c r="AD95" s="11" t="s">
        <v>6</v>
      </c>
      <c r="AE95" s="18" t="s">
        <v>53</v>
      </c>
      <c r="AF95" s="14" t="s">
        <v>2132</v>
      </c>
    </row>
    <row r="96" spans="1:32" ht="15.75" x14ac:dyDescent="0.25">
      <c r="A96" s="1">
        <v>2062</v>
      </c>
      <c r="B96" s="2">
        <v>46108</v>
      </c>
      <c r="C96" s="1" t="s">
        <v>0</v>
      </c>
      <c r="D96" s="1" t="s">
        <v>9</v>
      </c>
      <c r="E96" s="1">
        <v>2</v>
      </c>
      <c r="F96" s="83">
        <v>22603029</v>
      </c>
      <c r="G96" s="4">
        <v>1250</v>
      </c>
      <c r="H96" s="4" t="s">
        <v>1095</v>
      </c>
      <c r="I96" s="88" t="s">
        <v>194</v>
      </c>
      <c r="J96" s="16" t="s">
        <v>2133</v>
      </c>
      <c r="K96" s="4">
        <v>1570</v>
      </c>
      <c r="L96" s="4">
        <v>1540</v>
      </c>
      <c r="M96" s="4">
        <v>1541</v>
      </c>
      <c r="N96" s="5">
        <v>1539</v>
      </c>
      <c r="O96" s="5">
        <v>1539</v>
      </c>
      <c r="P96" s="30">
        <v>1539.6666666666667</v>
      </c>
      <c r="Q96" s="7">
        <v>5.0999999999999996</v>
      </c>
      <c r="R96" s="4">
        <v>37</v>
      </c>
      <c r="S96" s="8" t="s">
        <v>5</v>
      </c>
      <c r="T96" s="9">
        <v>165</v>
      </c>
      <c r="U96" s="8">
        <v>62</v>
      </c>
      <c r="V96" s="10">
        <v>103</v>
      </c>
      <c r="W96" s="11" t="s">
        <v>5</v>
      </c>
      <c r="X96" s="16">
        <v>58</v>
      </c>
      <c r="Y96" s="12">
        <v>2.9210249999999998</v>
      </c>
      <c r="Z96" s="7">
        <v>10</v>
      </c>
      <c r="AA96" s="7">
        <v>10.3</v>
      </c>
      <c r="AB96" s="13">
        <v>77</v>
      </c>
      <c r="AC96" s="13">
        <v>80</v>
      </c>
      <c r="AD96" s="11" t="s">
        <v>6</v>
      </c>
      <c r="AE96" s="18" t="s">
        <v>72</v>
      </c>
      <c r="AF96" s="14" t="s">
        <v>721</v>
      </c>
    </row>
    <row r="97" spans="1:32" ht="47.25" x14ac:dyDescent="0.25">
      <c r="A97" s="1">
        <v>2088</v>
      </c>
      <c r="B97" s="2">
        <v>46109</v>
      </c>
      <c r="C97" s="1" t="s">
        <v>18</v>
      </c>
      <c r="D97" s="1" t="s">
        <v>276</v>
      </c>
      <c r="E97" s="1">
        <v>2</v>
      </c>
      <c r="F97" s="83">
        <v>22603029</v>
      </c>
      <c r="G97" s="4">
        <v>1250</v>
      </c>
      <c r="H97" s="4" t="s">
        <v>1159</v>
      </c>
      <c r="I97" s="88" t="s">
        <v>132</v>
      </c>
      <c r="J97" s="69" t="s">
        <v>2134</v>
      </c>
      <c r="K97" s="4">
        <v>1574</v>
      </c>
      <c r="L97" s="4">
        <v>1544</v>
      </c>
      <c r="M97" s="5">
        <v>1546</v>
      </c>
      <c r="N97" s="5">
        <v>1545</v>
      </c>
      <c r="O97" s="5">
        <v>1545</v>
      </c>
      <c r="P97" s="30">
        <v>1545.3333333333333</v>
      </c>
      <c r="Q97" s="7">
        <v>5.5</v>
      </c>
      <c r="R97" s="4">
        <v>35</v>
      </c>
      <c r="S97" s="8"/>
      <c r="T97" s="9">
        <v>181</v>
      </c>
      <c r="U97" s="9">
        <v>68</v>
      </c>
      <c r="V97" s="10">
        <v>113</v>
      </c>
      <c r="W97" s="11"/>
      <c r="X97" s="16">
        <v>58</v>
      </c>
      <c r="Y97" s="12">
        <v>3.1501250000000001</v>
      </c>
      <c r="Z97" s="7">
        <v>10.5</v>
      </c>
      <c r="AA97" s="7">
        <v>9</v>
      </c>
      <c r="AB97" s="13">
        <v>80</v>
      </c>
      <c r="AC97" s="13">
        <v>72</v>
      </c>
      <c r="AD97" s="11" t="s">
        <v>6</v>
      </c>
      <c r="AE97" s="40" t="s">
        <v>53</v>
      </c>
      <c r="AF97" s="14" t="s">
        <v>2135</v>
      </c>
    </row>
    <row r="98" spans="1:32" ht="31.5" x14ac:dyDescent="0.25">
      <c r="A98" s="1">
        <v>2093</v>
      </c>
      <c r="B98" s="2">
        <v>46109</v>
      </c>
      <c r="C98" s="1" t="s">
        <v>18</v>
      </c>
      <c r="D98" s="1" t="s">
        <v>276</v>
      </c>
      <c r="E98" s="1">
        <v>2</v>
      </c>
      <c r="F98" s="83">
        <v>22603029</v>
      </c>
      <c r="G98" s="4">
        <v>1250</v>
      </c>
      <c r="H98" s="4" t="s">
        <v>1159</v>
      </c>
      <c r="I98" s="88" t="s">
        <v>261</v>
      </c>
      <c r="J98" s="16" t="s">
        <v>2136</v>
      </c>
      <c r="K98" s="4">
        <v>1570</v>
      </c>
      <c r="L98" s="4">
        <v>1546</v>
      </c>
      <c r="M98" s="5">
        <v>1546</v>
      </c>
      <c r="N98" s="5">
        <v>1544</v>
      </c>
      <c r="O98" s="5">
        <v>1540</v>
      </c>
      <c r="P98" s="30">
        <v>1543.3333333333333</v>
      </c>
      <c r="Q98" s="7">
        <v>4.8</v>
      </c>
      <c r="R98" s="4">
        <v>40</v>
      </c>
      <c r="S98" s="8"/>
      <c r="T98" s="9">
        <v>155</v>
      </c>
      <c r="U98" s="9">
        <v>65</v>
      </c>
      <c r="V98" s="10">
        <v>90</v>
      </c>
      <c r="W98" s="11"/>
      <c r="X98" s="16">
        <v>58</v>
      </c>
      <c r="Y98" s="12">
        <v>2.7491999999999996</v>
      </c>
      <c r="Z98" s="7">
        <v>8.8000000000000007</v>
      </c>
      <c r="AA98" s="7">
        <v>8.6999999999999993</v>
      </c>
      <c r="AB98" s="7">
        <v>83</v>
      </c>
      <c r="AC98" s="7">
        <v>73</v>
      </c>
      <c r="AD98" s="11" t="s">
        <v>6</v>
      </c>
      <c r="AE98" s="40" t="s">
        <v>53</v>
      </c>
      <c r="AF98" s="14" t="s">
        <v>2137</v>
      </c>
    </row>
    <row r="99" spans="1:32" ht="15.75" x14ac:dyDescent="0.25">
      <c r="A99" s="1">
        <v>2094</v>
      </c>
      <c r="B99" s="2">
        <v>46109</v>
      </c>
      <c r="C99" s="1" t="s">
        <v>18</v>
      </c>
      <c r="D99" s="1" t="s">
        <v>276</v>
      </c>
      <c r="E99" s="1">
        <v>2</v>
      </c>
      <c r="F99" s="83">
        <v>22603029</v>
      </c>
      <c r="G99" s="4">
        <v>1250</v>
      </c>
      <c r="H99" s="4" t="s">
        <v>1159</v>
      </c>
      <c r="I99" s="88" t="s">
        <v>83</v>
      </c>
      <c r="J99" s="16" t="s">
        <v>2138</v>
      </c>
      <c r="K99" s="4">
        <v>1567</v>
      </c>
      <c r="L99" s="4">
        <v>1540</v>
      </c>
      <c r="M99" s="5">
        <v>1539</v>
      </c>
      <c r="N99" s="5">
        <v>1540</v>
      </c>
      <c r="O99" s="5">
        <v>1540</v>
      </c>
      <c r="P99" s="30">
        <v>1539.6666666666667</v>
      </c>
      <c r="Q99" s="7">
        <v>5.3</v>
      </c>
      <c r="R99" s="4">
        <v>40</v>
      </c>
      <c r="S99" s="8"/>
      <c r="T99" s="8">
        <v>178</v>
      </c>
      <c r="U99" s="8">
        <v>72</v>
      </c>
      <c r="V99" s="10">
        <v>106</v>
      </c>
      <c r="W99" s="11"/>
      <c r="X99" s="16">
        <v>58</v>
      </c>
      <c r="Y99" s="12">
        <v>3.0355749999999997</v>
      </c>
      <c r="Z99" s="7">
        <v>10.8</v>
      </c>
      <c r="AA99" s="7">
        <v>9.1</v>
      </c>
      <c r="AB99" s="7">
        <v>87</v>
      </c>
      <c r="AC99" s="7">
        <v>70</v>
      </c>
      <c r="AD99" s="11" t="s">
        <v>6</v>
      </c>
      <c r="AE99" s="18" t="s">
        <v>53</v>
      </c>
      <c r="AF99" s="14" t="s">
        <v>2139</v>
      </c>
    </row>
    <row r="100" spans="1:32" ht="15.75" x14ac:dyDescent="0.25">
      <c r="A100" s="1">
        <v>2120</v>
      </c>
      <c r="B100" s="2">
        <v>46109</v>
      </c>
      <c r="C100" s="1" t="s">
        <v>264</v>
      </c>
      <c r="D100" s="1" t="s">
        <v>258</v>
      </c>
      <c r="E100" s="1">
        <v>2</v>
      </c>
      <c r="F100" s="83">
        <v>22603029</v>
      </c>
      <c r="G100" s="4">
        <v>1250</v>
      </c>
      <c r="H100" s="4" t="s">
        <v>1159</v>
      </c>
      <c r="I100" s="88" t="s">
        <v>129</v>
      </c>
      <c r="J100" s="16" t="s">
        <v>2140</v>
      </c>
      <c r="K100" s="16">
        <v>1565</v>
      </c>
      <c r="L100" s="4">
        <v>1548</v>
      </c>
      <c r="M100" s="4">
        <v>1545</v>
      </c>
      <c r="N100" s="5">
        <v>1547</v>
      </c>
      <c r="O100" s="5">
        <v>1548</v>
      </c>
      <c r="P100" s="30">
        <v>1546.6666666666667</v>
      </c>
      <c r="Q100" s="7">
        <v>5.5</v>
      </c>
      <c r="R100" s="4">
        <v>33</v>
      </c>
      <c r="S100" s="8"/>
      <c r="T100" s="9">
        <v>162</v>
      </c>
      <c r="U100" s="9">
        <v>60</v>
      </c>
      <c r="V100" s="9">
        <v>102</v>
      </c>
      <c r="W100" s="11"/>
      <c r="X100" s="16">
        <v>58</v>
      </c>
      <c r="Y100" s="12">
        <v>3.1501250000000001</v>
      </c>
      <c r="Z100" s="7">
        <v>10.3</v>
      </c>
      <c r="AA100" s="7">
        <v>9.5</v>
      </c>
      <c r="AB100" s="13">
        <v>87</v>
      </c>
      <c r="AC100" s="13">
        <v>83</v>
      </c>
      <c r="AD100" s="11" t="s">
        <v>6</v>
      </c>
      <c r="AE100" s="18" t="s">
        <v>53</v>
      </c>
      <c r="AF100" s="14" t="s">
        <v>1106</v>
      </c>
    </row>
    <row r="101" spans="1:32" ht="31.5" x14ac:dyDescent="0.25">
      <c r="A101" s="1">
        <v>2207</v>
      </c>
      <c r="B101" s="2">
        <v>46110</v>
      </c>
      <c r="C101" s="1" t="s">
        <v>264</v>
      </c>
      <c r="D101" s="1" t="s">
        <v>9</v>
      </c>
      <c r="E101" s="1">
        <v>2</v>
      </c>
      <c r="F101" s="1">
        <v>22603030</v>
      </c>
      <c r="G101" s="4">
        <v>1230</v>
      </c>
      <c r="H101" s="88" t="s">
        <v>1588</v>
      </c>
      <c r="I101" s="16" t="s">
        <v>59</v>
      </c>
      <c r="J101" s="16" t="s">
        <v>2141</v>
      </c>
      <c r="K101" s="4">
        <v>1565</v>
      </c>
      <c r="L101" s="4">
        <v>1554</v>
      </c>
      <c r="M101" s="5">
        <v>1554</v>
      </c>
      <c r="N101" s="5">
        <v>1553</v>
      </c>
      <c r="O101" s="5" t="s">
        <v>5</v>
      </c>
      <c r="P101" s="30">
        <v>1553.5</v>
      </c>
      <c r="Q101" s="7">
        <v>5</v>
      </c>
      <c r="R101" s="4">
        <v>38</v>
      </c>
      <c r="S101" s="7" t="s">
        <v>5</v>
      </c>
      <c r="T101" s="9">
        <v>167</v>
      </c>
      <c r="U101" s="8">
        <v>62</v>
      </c>
      <c r="V101" s="118">
        <v>105</v>
      </c>
      <c r="W101" s="7" t="s">
        <v>5</v>
      </c>
      <c r="X101" s="7">
        <v>58</v>
      </c>
      <c r="Y101" s="12">
        <v>2.81793</v>
      </c>
      <c r="Z101" s="7">
        <v>12.5</v>
      </c>
      <c r="AA101" s="7">
        <v>11.8</v>
      </c>
      <c r="AB101" s="13">
        <v>9</v>
      </c>
      <c r="AC101" s="13">
        <v>96</v>
      </c>
      <c r="AD101" s="7" t="s">
        <v>6</v>
      </c>
      <c r="AE101" s="40" t="s">
        <v>72</v>
      </c>
      <c r="AF101" s="14" t="s">
        <v>2142</v>
      </c>
    </row>
    <row r="102" spans="1:32" ht="15.75" x14ac:dyDescent="0.25">
      <c r="A102" s="1">
        <v>2222</v>
      </c>
      <c r="B102" s="2">
        <v>46110</v>
      </c>
      <c r="C102" s="1" t="s">
        <v>0</v>
      </c>
      <c r="D102" s="1" t="s">
        <v>265</v>
      </c>
      <c r="E102" s="1">
        <v>2</v>
      </c>
      <c r="F102" s="1">
        <v>22603030</v>
      </c>
      <c r="G102" s="4">
        <v>1230</v>
      </c>
      <c r="H102" s="88" t="s">
        <v>1588</v>
      </c>
      <c r="I102" s="16" t="s">
        <v>273</v>
      </c>
      <c r="J102" s="16" t="s">
        <v>2143</v>
      </c>
      <c r="K102" s="4">
        <v>1565</v>
      </c>
      <c r="L102" s="5">
        <v>1546</v>
      </c>
      <c r="M102" s="5">
        <v>1547</v>
      </c>
      <c r="N102" s="5">
        <v>1547</v>
      </c>
      <c r="O102" s="5" t="s">
        <v>5</v>
      </c>
      <c r="P102" s="30">
        <v>1547</v>
      </c>
      <c r="Q102" s="7">
        <v>5.0999999999999996</v>
      </c>
      <c r="R102" s="4">
        <v>37</v>
      </c>
      <c r="S102" s="7">
        <v>18</v>
      </c>
      <c r="T102" s="118">
        <v>175.1</v>
      </c>
      <c r="U102" s="9">
        <v>66</v>
      </c>
      <c r="V102" s="118">
        <v>109.1</v>
      </c>
      <c r="W102" s="7" t="s">
        <v>5</v>
      </c>
      <c r="X102" s="7">
        <v>58</v>
      </c>
      <c r="Y102" s="12">
        <v>2.8742885999999999</v>
      </c>
      <c r="Z102" s="7">
        <v>11.5</v>
      </c>
      <c r="AA102" s="7">
        <v>11.6</v>
      </c>
      <c r="AB102" s="13">
        <v>91</v>
      </c>
      <c r="AC102" s="13">
        <v>95</v>
      </c>
      <c r="AD102" s="7" t="s">
        <v>6</v>
      </c>
      <c r="AE102" s="40" t="s">
        <v>53</v>
      </c>
      <c r="AF102" s="14" t="s">
        <v>1670</v>
      </c>
    </row>
    <row r="103" spans="1:32" ht="15.75" x14ac:dyDescent="0.25">
      <c r="A103" s="1">
        <v>2314</v>
      </c>
      <c r="B103" s="2">
        <v>46112</v>
      </c>
      <c r="C103" s="1" t="s">
        <v>18</v>
      </c>
      <c r="D103" s="1" t="s">
        <v>19</v>
      </c>
      <c r="E103" s="1">
        <v>1</v>
      </c>
      <c r="F103" s="83">
        <v>12603031</v>
      </c>
      <c r="G103" s="4">
        <v>1232</v>
      </c>
      <c r="H103" s="88" t="s">
        <v>1588</v>
      </c>
      <c r="I103" s="16" t="s">
        <v>189</v>
      </c>
      <c r="J103" s="16" t="s">
        <v>2144</v>
      </c>
      <c r="K103" s="16">
        <v>1568</v>
      </c>
      <c r="L103" s="4">
        <v>1549</v>
      </c>
      <c r="M103" s="5">
        <v>1547</v>
      </c>
      <c r="N103" s="5">
        <v>1549</v>
      </c>
      <c r="O103" s="5">
        <v>1549</v>
      </c>
      <c r="P103" s="30">
        <v>1548.3333333333333</v>
      </c>
      <c r="Q103" s="7">
        <v>5.5</v>
      </c>
      <c r="R103" s="4">
        <v>39</v>
      </c>
      <c r="S103" s="8" t="s">
        <v>5</v>
      </c>
      <c r="T103" s="9" t="s">
        <v>5</v>
      </c>
      <c r="U103" s="9" t="s">
        <v>5</v>
      </c>
      <c r="V103" s="9" t="e">
        <v>#VALUE!</v>
      </c>
      <c r="W103" s="9" t="s">
        <v>5</v>
      </c>
      <c r="X103" s="16">
        <v>58</v>
      </c>
      <c r="Y103" s="12">
        <v>3.1047632000000003</v>
      </c>
      <c r="Z103" s="7">
        <v>10.8</v>
      </c>
      <c r="AA103" s="7">
        <v>9.4</v>
      </c>
      <c r="AB103" s="13">
        <v>95</v>
      </c>
      <c r="AC103" s="13">
        <v>82</v>
      </c>
      <c r="AD103" s="18" t="s">
        <v>6</v>
      </c>
      <c r="AE103" s="18" t="s">
        <v>53</v>
      </c>
      <c r="AF103" s="14" t="s">
        <v>397</v>
      </c>
    </row>
    <row r="104" spans="1:32" ht="31.5" x14ac:dyDescent="0.25">
      <c r="A104" s="1">
        <v>2348</v>
      </c>
      <c r="B104" s="2">
        <v>46112</v>
      </c>
      <c r="C104" s="1" t="s">
        <v>264</v>
      </c>
      <c r="D104" s="1" t="s">
        <v>9</v>
      </c>
      <c r="E104" s="1">
        <v>2</v>
      </c>
      <c r="F104" s="83">
        <v>22603032</v>
      </c>
      <c r="G104" s="4">
        <v>1230</v>
      </c>
      <c r="H104" s="88" t="s">
        <v>1588</v>
      </c>
      <c r="I104" s="16" t="s">
        <v>74</v>
      </c>
      <c r="J104" s="16" t="s">
        <v>2145</v>
      </c>
      <c r="K104" s="99">
        <v>1568</v>
      </c>
      <c r="L104" s="4">
        <v>1549</v>
      </c>
      <c r="M104" s="5">
        <v>1548</v>
      </c>
      <c r="N104" s="5">
        <v>1544</v>
      </c>
      <c r="O104" s="5" t="s">
        <v>5</v>
      </c>
      <c r="P104" s="30">
        <v>1546</v>
      </c>
      <c r="Q104" s="7">
        <v>5.6</v>
      </c>
      <c r="R104" s="4">
        <v>35</v>
      </c>
      <c r="S104" s="8" t="s">
        <v>5</v>
      </c>
      <c r="T104" s="9">
        <v>161.52000000000001</v>
      </c>
      <c r="U104" s="9">
        <v>60</v>
      </c>
      <c r="V104" s="9">
        <v>101.52000000000001</v>
      </c>
      <c r="W104" s="9" t="s">
        <v>5</v>
      </c>
      <c r="X104" s="16">
        <v>58</v>
      </c>
      <c r="Y104" s="12">
        <v>3.1560815999999998</v>
      </c>
      <c r="Z104" s="7">
        <v>10.1</v>
      </c>
      <c r="AA104" s="7">
        <v>9.9</v>
      </c>
      <c r="AB104" s="13">
        <v>82</v>
      </c>
      <c r="AC104" s="13">
        <v>78</v>
      </c>
      <c r="AD104" s="18" t="s">
        <v>6</v>
      </c>
      <c r="AE104" s="40" t="s">
        <v>53</v>
      </c>
      <c r="AF104" s="14" t="s">
        <v>2146</v>
      </c>
    </row>
    <row r="105" spans="1:32" ht="15.75" x14ac:dyDescent="0.25">
      <c r="A105" s="1">
        <v>2377</v>
      </c>
      <c r="B105" s="2">
        <v>46112</v>
      </c>
      <c r="C105" s="1" t="s">
        <v>0</v>
      </c>
      <c r="D105" s="1" t="s">
        <v>265</v>
      </c>
      <c r="E105" s="1">
        <v>2</v>
      </c>
      <c r="F105" s="83">
        <v>22603032</v>
      </c>
      <c r="G105" s="4">
        <v>1230</v>
      </c>
      <c r="H105" s="88" t="s">
        <v>1588</v>
      </c>
      <c r="I105" s="16" t="s">
        <v>80</v>
      </c>
      <c r="J105" s="88" t="s">
        <v>2147</v>
      </c>
      <c r="K105" s="4">
        <v>1574</v>
      </c>
      <c r="L105" s="4">
        <v>1547</v>
      </c>
      <c r="M105" s="5">
        <v>1547</v>
      </c>
      <c r="N105" s="5">
        <v>1548</v>
      </c>
      <c r="O105" s="5" t="s">
        <v>5</v>
      </c>
      <c r="P105" s="30">
        <v>1547.5</v>
      </c>
      <c r="Q105" s="7">
        <v>5.2</v>
      </c>
      <c r="R105" s="4">
        <v>30</v>
      </c>
      <c r="S105" s="8">
        <v>23</v>
      </c>
      <c r="T105" s="9">
        <v>151.4</v>
      </c>
      <c r="U105" s="9">
        <v>63</v>
      </c>
      <c r="V105" s="9">
        <v>88.4</v>
      </c>
      <c r="W105" s="9" t="s">
        <v>5</v>
      </c>
      <c r="X105" s="16">
        <v>58</v>
      </c>
      <c r="Y105" s="12">
        <v>2.9306472000000001</v>
      </c>
      <c r="Z105" s="7">
        <v>10</v>
      </c>
      <c r="AA105" s="7">
        <v>9.4</v>
      </c>
      <c r="AB105" s="13">
        <v>82</v>
      </c>
      <c r="AC105" s="13">
        <v>84</v>
      </c>
      <c r="AD105" s="18" t="s">
        <v>6</v>
      </c>
      <c r="AE105" s="40" t="s">
        <v>53</v>
      </c>
      <c r="AF105" s="14" t="s">
        <v>721</v>
      </c>
    </row>
    <row r="106" spans="1:32" ht="31.5" x14ac:dyDescent="0.25">
      <c r="A106" s="1">
        <v>2379</v>
      </c>
      <c r="B106" s="2">
        <v>46112</v>
      </c>
      <c r="C106" s="1" t="s">
        <v>0</v>
      </c>
      <c r="D106" s="1" t="s">
        <v>265</v>
      </c>
      <c r="E106" s="1">
        <v>2</v>
      </c>
      <c r="F106" s="83">
        <v>22603032</v>
      </c>
      <c r="G106" s="4">
        <v>1230</v>
      </c>
      <c r="H106" s="88" t="s">
        <v>2148</v>
      </c>
      <c r="I106" s="16" t="s">
        <v>331</v>
      </c>
      <c r="J106" s="88" t="s">
        <v>2149</v>
      </c>
      <c r="K106" s="4">
        <v>1568</v>
      </c>
      <c r="L106" s="4">
        <v>1539</v>
      </c>
      <c r="M106" s="5">
        <v>1538</v>
      </c>
      <c r="N106" s="5">
        <v>1538</v>
      </c>
      <c r="O106" s="5" t="s">
        <v>5</v>
      </c>
      <c r="P106" s="30">
        <v>1538</v>
      </c>
      <c r="Q106" s="7">
        <v>4.0999999999999996</v>
      </c>
      <c r="R106" s="4">
        <v>37</v>
      </c>
      <c r="S106" s="8">
        <v>4</v>
      </c>
      <c r="T106" s="8">
        <v>161.69999999999999</v>
      </c>
      <c r="U106" s="8">
        <v>64.2</v>
      </c>
      <c r="V106" s="9">
        <v>97.499999999999986</v>
      </c>
      <c r="W106" s="9" t="s">
        <v>5</v>
      </c>
      <c r="X106" s="16">
        <v>58</v>
      </c>
      <c r="Y106" s="12">
        <v>2.3107025999999999</v>
      </c>
      <c r="Z106" s="7">
        <v>10</v>
      </c>
      <c r="AA106" s="7">
        <v>9.5</v>
      </c>
      <c r="AB106" s="13">
        <v>80</v>
      </c>
      <c r="AC106" s="13">
        <v>75</v>
      </c>
      <c r="AD106" s="11" t="s">
        <v>6</v>
      </c>
      <c r="AE106" s="40" t="s">
        <v>455</v>
      </c>
      <c r="AF106" s="14" t="s">
        <v>2150</v>
      </c>
    </row>
    <row r="107" spans="1:32" ht="15.75" x14ac:dyDescent="0.25">
      <c r="A107" s="1">
        <v>2380</v>
      </c>
      <c r="B107" s="2">
        <v>46112</v>
      </c>
      <c r="C107" s="1" t="s">
        <v>0</v>
      </c>
      <c r="D107" s="1" t="s">
        <v>265</v>
      </c>
      <c r="E107" s="1">
        <v>2</v>
      </c>
      <c r="F107" s="83">
        <v>22603032</v>
      </c>
      <c r="G107" s="4">
        <v>1230</v>
      </c>
      <c r="H107" s="88" t="s">
        <v>2148</v>
      </c>
      <c r="I107" s="16" t="s">
        <v>371</v>
      </c>
      <c r="J107" s="88" t="s">
        <v>2151</v>
      </c>
      <c r="K107" s="4">
        <v>1570</v>
      </c>
      <c r="L107" s="4">
        <v>1544</v>
      </c>
      <c r="M107" s="5">
        <v>1546</v>
      </c>
      <c r="N107" s="5">
        <v>1543</v>
      </c>
      <c r="O107" s="5">
        <v>1542</v>
      </c>
      <c r="P107" s="30">
        <v>1543.6666666666667</v>
      </c>
      <c r="Q107" s="7">
        <v>3.7</v>
      </c>
      <c r="R107" s="4">
        <v>34</v>
      </c>
      <c r="S107" s="8">
        <v>7</v>
      </c>
      <c r="T107" s="9">
        <v>182.1</v>
      </c>
      <c r="U107" s="9">
        <v>97</v>
      </c>
      <c r="V107" s="9">
        <v>85.1</v>
      </c>
      <c r="W107" s="9" t="s">
        <v>5</v>
      </c>
      <c r="X107" s="16">
        <v>58</v>
      </c>
      <c r="Y107" s="12">
        <v>2.0852682000000002</v>
      </c>
      <c r="Z107" s="7">
        <v>9.1</v>
      </c>
      <c r="AA107" s="7">
        <v>8.9</v>
      </c>
      <c r="AB107" s="13">
        <v>81</v>
      </c>
      <c r="AC107" s="13">
        <v>79</v>
      </c>
      <c r="AD107" s="11" t="s">
        <v>6</v>
      </c>
      <c r="AE107" s="40" t="s">
        <v>72</v>
      </c>
      <c r="AF107" s="14" t="s">
        <v>2152</v>
      </c>
    </row>
    <row r="108" spans="1:32" ht="31.5" x14ac:dyDescent="0.25">
      <c r="A108" s="1">
        <v>2385</v>
      </c>
      <c r="B108" s="2">
        <v>46112</v>
      </c>
      <c r="C108" s="1" t="s">
        <v>0</v>
      </c>
      <c r="D108" s="1" t="s">
        <v>265</v>
      </c>
      <c r="E108" s="1">
        <v>2</v>
      </c>
      <c r="F108" s="83">
        <v>22603032</v>
      </c>
      <c r="G108" s="4">
        <v>1230</v>
      </c>
      <c r="H108" s="88" t="s">
        <v>1588</v>
      </c>
      <c r="I108" s="16" t="s">
        <v>269</v>
      </c>
      <c r="J108" s="88" t="s">
        <v>2153</v>
      </c>
      <c r="K108" s="4">
        <v>1568</v>
      </c>
      <c r="L108" s="5">
        <v>1546</v>
      </c>
      <c r="M108" s="5">
        <v>1546</v>
      </c>
      <c r="N108" s="5">
        <v>1546</v>
      </c>
      <c r="O108" s="5" t="s">
        <v>5</v>
      </c>
      <c r="P108" s="30">
        <v>1546</v>
      </c>
      <c r="Q108" s="7">
        <v>4.9000000000000004</v>
      </c>
      <c r="R108" s="4">
        <v>35</v>
      </c>
      <c r="S108" s="8">
        <v>37</v>
      </c>
      <c r="T108" s="9">
        <v>165</v>
      </c>
      <c r="U108" s="9">
        <v>63</v>
      </c>
      <c r="V108" s="9">
        <v>102</v>
      </c>
      <c r="W108" s="9" t="s">
        <v>5</v>
      </c>
      <c r="X108" s="16">
        <v>58</v>
      </c>
      <c r="Y108" s="12">
        <v>2.7615714000000002</v>
      </c>
      <c r="Z108" s="7">
        <v>9.6</v>
      </c>
      <c r="AA108" s="7">
        <v>9.6</v>
      </c>
      <c r="AB108" s="13">
        <v>86</v>
      </c>
      <c r="AC108" s="13">
        <v>83</v>
      </c>
      <c r="AD108" s="11" t="s">
        <v>6</v>
      </c>
      <c r="AE108" s="40" t="s">
        <v>53</v>
      </c>
      <c r="AF108" s="14" t="s">
        <v>2154</v>
      </c>
    </row>
  </sheetData>
  <mergeCells count="28">
    <mergeCell ref="AE1:AE2"/>
    <mergeCell ref="AF1:AF2"/>
    <mergeCell ref="A3:K3"/>
    <mergeCell ref="Q3:AE3"/>
    <mergeCell ref="W1:W2"/>
    <mergeCell ref="X1:X2"/>
    <mergeCell ref="Y1:Y2"/>
    <mergeCell ref="Z1:AA1"/>
    <mergeCell ref="AB1:AC1"/>
    <mergeCell ref="AD1:AD2"/>
    <mergeCell ref="Q1:Q2"/>
    <mergeCell ref="R1:R2"/>
    <mergeCell ref="S1:S2"/>
    <mergeCell ref="T1:T2"/>
    <mergeCell ref="U1:U2"/>
    <mergeCell ref="V1:V2"/>
    <mergeCell ref="G1:G2"/>
    <mergeCell ref="H1:H2"/>
    <mergeCell ref="I1:I2"/>
    <mergeCell ref="J1:J2"/>
    <mergeCell ref="K1:K2"/>
    <mergeCell ref="L1:P2"/>
    <mergeCell ref="A1:A2"/>
    <mergeCell ref="B1:B2"/>
    <mergeCell ref="C1:C2"/>
    <mergeCell ref="D1:D2"/>
    <mergeCell ref="E1:E2"/>
    <mergeCell ref="F1:F2"/>
  </mergeCells>
  <conditionalFormatting sqref="L3:P3">
    <cfRule type="cellIs" dxfId="65" priority="65" stopIfTrue="1" operator="greaterThanOrEqual">
      <formula>1565</formula>
    </cfRule>
    <cfRule type="cellIs" dxfId="64" priority="66" stopIfTrue="1" operator="lessThanOrEqual">
      <formula>1545</formula>
    </cfRule>
  </conditionalFormatting>
  <conditionalFormatting sqref="L4:P4">
    <cfRule type="cellIs" dxfId="63" priority="63" stopIfTrue="1" operator="greaterThanOrEqual">
      <formula>1565</formula>
    </cfRule>
    <cfRule type="cellIs" dxfId="62" priority="64" stopIfTrue="1" operator="lessThanOrEqual">
      <formula>1545</formula>
    </cfRule>
  </conditionalFormatting>
  <conditionalFormatting sqref="L5:P5">
    <cfRule type="cellIs" dxfId="60" priority="61" stopIfTrue="1" operator="greaterThanOrEqual">
      <formula>1565</formula>
    </cfRule>
    <cfRule type="cellIs" dxfId="61" priority="62" stopIfTrue="1" operator="lessThanOrEqual">
      <formula>1545</formula>
    </cfRule>
  </conditionalFormatting>
  <conditionalFormatting sqref="L6:P6">
    <cfRule type="cellIs" dxfId="58" priority="59" stopIfTrue="1" operator="greaterThanOrEqual">
      <formula>1565</formula>
    </cfRule>
    <cfRule type="cellIs" dxfId="59" priority="60" stopIfTrue="1" operator="lessThanOrEqual">
      <formula>1545</formula>
    </cfRule>
  </conditionalFormatting>
  <conditionalFormatting sqref="L7:P13">
    <cfRule type="cellIs" dxfId="56" priority="57" stopIfTrue="1" operator="greaterThanOrEqual">
      <formula>1565</formula>
    </cfRule>
    <cfRule type="cellIs" dxfId="57" priority="58" stopIfTrue="1" operator="lessThanOrEqual">
      <formula>1545</formula>
    </cfRule>
  </conditionalFormatting>
  <conditionalFormatting sqref="M23:P23 O20:P22 L14:P19">
    <cfRule type="cellIs" dxfId="54" priority="55" stopIfTrue="1" operator="greaterThanOrEqual">
      <formula>1565</formula>
    </cfRule>
    <cfRule type="cellIs" dxfId="55" priority="56" stopIfTrue="1" operator="lessThanOrEqual">
      <formula>1545</formula>
    </cfRule>
  </conditionalFormatting>
  <conditionalFormatting sqref="L20:N22">
    <cfRule type="cellIs" dxfId="53" priority="53" stopIfTrue="1" operator="greaterThanOrEqual">
      <formula>1565</formula>
    </cfRule>
    <cfRule type="cellIs" dxfId="52" priority="54" stopIfTrue="1" operator="lessThanOrEqual">
      <formula>1545</formula>
    </cfRule>
  </conditionalFormatting>
  <conditionalFormatting sqref="O30:P34 L24:P29">
    <cfRule type="cellIs" dxfId="51" priority="51" stopIfTrue="1" operator="greaterThanOrEqual">
      <formula>1565</formula>
    </cfRule>
    <cfRule type="cellIs" dxfId="50" priority="52" stopIfTrue="1" operator="lessThanOrEqual">
      <formula>1545</formula>
    </cfRule>
  </conditionalFormatting>
  <conditionalFormatting sqref="L30:N34">
    <cfRule type="cellIs" dxfId="49" priority="49" stopIfTrue="1" operator="greaterThanOrEqual">
      <formula>1565</formula>
    </cfRule>
    <cfRule type="cellIs" dxfId="48" priority="50" stopIfTrue="1" operator="lessThanOrEqual">
      <formula>1545</formula>
    </cfRule>
  </conditionalFormatting>
  <conditionalFormatting sqref="O37:P39 L35:P36">
    <cfRule type="cellIs" dxfId="46" priority="47" stopIfTrue="1" operator="greaterThanOrEqual">
      <formula>1565</formula>
    </cfRule>
    <cfRule type="cellIs" dxfId="47" priority="48" stopIfTrue="1" operator="lessThanOrEqual">
      <formula>1545</formula>
    </cfRule>
  </conditionalFormatting>
  <conditionalFormatting sqref="L37:N39">
    <cfRule type="cellIs" dxfId="44" priority="45" stopIfTrue="1" operator="greaterThanOrEqual">
      <formula>1565</formula>
    </cfRule>
    <cfRule type="cellIs" dxfId="45" priority="46" stopIfTrue="1" operator="lessThanOrEqual">
      <formula>1545</formula>
    </cfRule>
  </conditionalFormatting>
  <conditionalFormatting sqref="L40:O40">
    <cfRule type="cellIs" dxfId="42" priority="41" stopIfTrue="1" operator="greaterThanOrEqual">
      <formula>1565</formula>
    </cfRule>
    <cfRule type="cellIs" dxfId="43" priority="42" stopIfTrue="1" operator="lessThanOrEqual">
      <formula>1545</formula>
    </cfRule>
  </conditionalFormatting>
  <conditionalFormatting sqref="P40">
    <cfRule type="cellIs" dxfId="40" priority="43" stopIfTrue="1" operator="greaterThanOrEqual">
      <formula>1565</formula>
    </cfRule>
    <cfRule type="cellIs" dxfId="41" priority="44" stopIfTrue="1" operator="lessThanOrEqual">
      <formula>1545</formula>
    </cfRule>
  </conditionalFormatting>
  <conditionalFormatting sqref="L41:P43">
    <cfRule type="cellIs" dxfId="39" priority="39" stopIfTrue="1" operator="greaterThanOrEqual">
      <formula>1565</formula>
    </cfRule>
    <cfRule type="cellIs" dxfId="38" priority="40" stopIfTrue="1" operator="lessThanOrEqual">
      <formula>1545</formula>
    </cfRule>
  </conditionalFormatting>
  <conditionalFormatting sqref="L44:P48">
    <cfRule type="cellIs" dxfId="36" priority="37" stopIfTrue="1" operator="greaterThanOrEqual">
      <formula>1565</formula>
    </cfRule>
    <cfRule type="cellIs" dxfId="37" priority="38" stopIfTrue="1" operator="lessThanOrEqual">
      <formula>1545</formula>
    </cfRule>
  </conditionalFormatting>
  <conditionalFormatting sqref="M53:P53 O50:P52 L49:P49">
    <cfRule type="cellIs" dxfId="34" priority="35" stopIfTrue="1" operator="greaterThanOrEqual">
      <formula>1565</formula>
    </cfRule>
    <cfRule type="cellIs" dxfId="35" priority="36" stopIfTrue="1" operator="lessThanOrEqual">
      <formula>1545</formula>
    </cfRule>
  </conditionalFormatting>
  <conditionalFormatting sqref="L50:N52">
    <cfRule type="cellIs" dxfId="33" priority="33" stopIfTrue="1" operator="greaterThanOrEqual">
      <formula>1565</formula>
    </cfRule>
    <cfRule type="cellIs" dxfId="32" priority="34" stopIfTrue="1" operator="lessThanOrEqual">
      <formula>1545</formula>
    </cfRule>
  </conditionalFormatting>
  <conditionalFormatting sqref="L60:P60 M56:P59 L54:P55">
    <cfRule type="cellIs" dxfId="31" priority="31" stopIfTrue="1" operator="greaterThanOrEqual">
      <formula>1565</formula>
    </cfRule>
    <cfRule type="cellIs" dxfId="30" priority="32" stopIfTrue="1" operator="lessThanOrEqual">
      <formula>1545</formula>
    </cfRule>
  </conditionalFormatting>
  <conditionalFormatting sqref="M61:P62">
    <cfRule type="cellIs" dxfId="28" priority="29" stopIfTrue="1" operator="greaterThanOrEqual">
      <formula>1565</formula>
    </cfRule>
    <cfRule type="cellIs" dxfId="29" priority="30" stopIfTrue="1" operator="lessThanOrEqual">
      <formula>1545</formula>
    </cfRule>
  </conditionalFormatting>
  <conditionalFormatting sqref="M63:P63">
    <cfRule type="cellIs" dxfId="26" priority="27" stopIfTrue="1" operator="greaterThanOrEqual">
      <formula>1565</formula>
    </cfRule>
    <cfRule type="cellIs" dxfId="27" priority="28" stopIfTrue="1" operator="lessThanOrEqual">
      <formula>1545</formula>
    </cfRule>
  </conditionalFormatting>
  <conditionalFormatting sqref="M66:P66 L64:P65">
    <cfRule type="cellIs" dxfId="24" priority="25" stopIfTrue="1" operator="greaterThanOrEqual">
      <formula>1565</formula>
    </cfRule>
    <cfRule type="cellIs" dxfId="25" priority="26" stopIfTrue="1" operator="lessThanOrEqual">
      <formula>1545</formula>
    </cfRule>
  </conditionalFormatting>
  <conditionalFormatting sqref="L67:N67">
    <cfRule type="cellIs" dxfId="23" priority="21" stopIfTrue="1" operator="greaterThanOrEqual">
      <formula>1565</formula>
    </cfRule>
    <cfRule type="cellIs" dxfId="22" priority="22" stopIfTrue="1" operator="lessThanOrEqual">
      <formula>1545</formula>
    </cfRule>
  </conditionalFormatting>
  <conditionalFormatting sqref="P69:P77 M68:P68 O67:P67">
    <cfRule type="cellIs" dxfId="21" priority="23" stopIfTrue="1" operator="greaterThanOrEqual">
      <formula>1565</formula>
    </cfRule>
    <cfRule type="cellIs" dxfId="20" priority="24" stopIfTrue="1" operator="lessThanOrEqual">
      <formula>1545</formula>
    </cfRule>
  </conditionalFormatting>
  <conditionalFormatting sqref="L70:O77 O69">
    <cfRule type="cellIs" dxfId="18" priority="19" stopIfTrue="1" operator="greaterThanOrEqual">
      <formula>1565</formula>
    </cfRule>
    <cfRule type="cellIs" dxfId="19" priority="20" stopIfTrue="1" operator="lessThanOrEqual">
      <formula>1545</formula>
    </cfRule>
  </conditionalFormatting>
  <conditionalFormatting sqref="L78:P79">
    <cfRule type="cellIs" dxfId="17" priority="17" stopIfTrue="1" operator="greaterThanOrEqual">
      <formula>1565</formula>
    </cfRule>
    <cfRule type="cellIs" dxfId="16" priority="18" stopIfTrue="1" operator="lessThanOrEqual">
      <formula>1545</formula>
    </cfRule>
  </conditionalFormatting>
  <conditionalFormatting sqref="L80:P82">
    <cfRule type="cellIs" dxfId="15" priority="15" stopIfTrue="1" operator="greaterThanOrEqual">
      <formula>1565</formula>
    </cfRule>
    <cfRule type="cellIs" dxfId="14" priority="16" stopIfTrue="1" operator="lessThanOrEqual">
      <formula>1545</formula>
    </cfRule>
  </conditionalFormatting>
  <conditionalFormatting sqref="M87:P89 L83:P86">
    <cfRule type="cellIs" dxfId="12" priority="13" stopIfTrue="1" operator="greaterThanOrEqual">
      <formula>1565</formula>
    </cfRule>
    <cfRule type="cellIs" dxfId="13" priority="14" stopIfTrue="1" operator="lessThanOrEqual">
      <formula>1545</formula>
    </cfRule>
  </conditionalFormatting>
  <conditionalFormatting sqref="L90:P93">
    <cfRule type="cellIs" dxfId="11" priority="11" stopIfTrue="1" operator="greaterThanOrEqual">
      <formula>1565</formula>
    </cfRule>
    <cfRule type="cellIs" dxfId="10" priority="12" stopIfTrue="1" operator="lessThanOrEqual">
      <formula>1545</formula>
    </cfRule>
  </conditionalFormatting>
  <conditionalFormatting sqref="L94:P95">
    <cfRule type="cellIs" dxfId="9" priority="9" stopIfTrue="1" operator="greaterThanOrEqual">
      <formula>1565</formula>
    </cfRule>
    <cfRule type="cellIs" dxfId="8" priority="10" stopIfTrue="1" operator="lessThanOrEqual">
      <formula>1545</formula>
    </cfRule>
  </conditionalFormatting>
  <conditionalFormatting sqref="L96:P101">
    <cfRule type="cellIs" dxfId="7" priority="7" stopIfTrue="1" operator="greaterThanOrEqual">
      <formula>1565</formula>
    </cfRule>
    <cfRule type="cellIs" dxfId="6" priority="8" stopIfTrue="1" operator="lessThanOrEqual">
      <formula>1545</formula>
    </cfRule>
  </conditionalFormatting>
  <conditionalFormatting sqref="L102:O102">
    <cfRule type="cellIs" dxfId="4" priority="3" stopIfTrue="1" operator="greaterThanOrEqual">
      <formula>1565</formula>
    </cfRule>
    <cfRule type="cellIs" dxfId="5" priority="4" stopIfTrue="1" operator="lessThanOrEqual">
      <formula>1545</formula>
    </cfRule>
  </conditionalFormatting>
  <conditionalFormatting sqref="P102">
    <cfRule type="cellIs" dxfId="3" priority="5" stopIfTrue="1" operator="greaterThanOrEqual">
      <formula>1565</formula>
    </cfRule>
    <cfRule type="cellIs" dxfId="2" priority="6" stopIfTrue="1" operator="lessThanOrEqual">
      <formula>1545</formula>
    </cfRule>
  </conditionalFormatting>
  <conditionalFormatting sqref="L108:P108 M105:P107 L103:P104">
    <cfRule type="cellIs" dxfId="0" priority="1" stopIfTrue="1" operator="greaterThanOrEqual">
      <formula>1565</formula>
    </cfRule>
    <cfRule type="cellIs" dxfId="1" priority="2" stopIfTrue="1" operator="lessThanOrEqual">
      <formula>1545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 25</vt:lpstr>
      <vt:lpstr>May 25</vt:lpstr>
      <vt:lpstr>June 25</vt:lpstr>
      <vt:lpstr>July 25</vt:lpstr>
      <vt:lpstr>Aug 25</vt:lpstr>
      <vt:lpstr>Sept 25</vt:lpstr>
      <vt:lpstr>Oct 25</vt:lpstr>
      <vt:lpstr>Nov 25</vt:lpstr>
      <vt:lpstr>Dec 25</vt:lpstr>
      <vt:lpstr>Jan 26</vt:lpstr>
      <vt:lpstr>Feb 26</vt:lpstr>
      <vt:lpstr>Mar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BHOI</dc:creator>
  <cp:lastModifiedBy>PRATYUSH BHOI</cp:lastModifiedBy>
  <dcterms:created xsi:type="dcterms:W3CDTF">2015-06-05T18:17:20Z</dcterms:created>
  <dcterms:modified xsi:type="dcterms:W3CDTF">2026-04-10T04:48:23Z</dcterms:modified>
</cp:coreProperties>
</file>