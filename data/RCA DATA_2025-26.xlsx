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1903" documentId="11_0B1D56BE9CDCCE836B02CE7A5FB0D4A9BBFD1C62" xr6:coauthVersionLast="47" xr6:coauthVersionMax="47" xr10:uidLastSave="{C8B4EEBA-BC71-4D1B-897C-FB75D27C2311}"/>
  <bookViews>
    <workbookView xWindow="240" yWindow="105" windowWidth="14805" windowHeight="8010" firstSheet="33" activeTab="33" xr2:uid="{00000000-000D-0000-FFFF-FFFF00000000}"/>
  </bookViews>
  <sheets>
    <sheet name="RCA Template" sheetId="5" r:id="rId1"/>
    <sheet name="CAPA Template" sheetId="13" r:id="rId2"/>
    <sheet name="RCA April" sheetId="2" r:id="rId3"/>
    <sheet name="RCA May" sheetId="6" r:id="rId4"/>
    <sheet name="RCA June" sheetId="7" r:id="rId5"/>
    <sheet name="RCA July" sheetId="8" r:id="rId6"/>
    <sheet name="RCA August" sheetId="9" r:id="rId7"/>
    <sheet name="CAPA September" sheetId="15" r:id="rId8"/>
    <sheet name="RCA September" sheetId="10" r:id="rId9"/>
    <sheet name="RCA  October" sheetId="11" r:id="rId10"/>
    <sheet name="DELAY24-25" sheetId="35" r:id="rId11"/>
    <sheet name="CAPA October" sheetId="16" r:id="rId12"/>
    <sheet name="RCA  November" sheetId="17" r:id="rId13"/>
    <sheet name="CAPA November" sheetId="18" r:id="rId14"/>
    <sheet name="RCA December" sheetId="19" r:id="rId15"/>
    <sheet name="CAPA December" sheetId="20" r:id="rId16"/>
    <sheet name="RCA JAN25" sheetId="21" r:id="rId17"/>
    <sheet name="CAPA JAN25" sheetId="22" r:id="rId18"/>
    <sheet name="RCA FEB25 " sheetId="23" r:id="rId19"/>
    <sheet name="RCA MAR25" sheetId="26" r:id="rId20"/>
    <sheet name="RCA APR25 " sheetId="28" r:id="rId21"/>
    <sheet name="RCA MAY25" sheetId="30" r:id="rId22"/>
    <sheet name="CAPA MAR25" sheetId="25" r:id="rId23"/>
    <sheet name="CAPA APR25 " sheetId="29" r:id="rId24"/>
    <sheet name="RCA JUNE25" sheetId="31" r:id="rId25"/>
    <sheet name="RCA JULY25 " sheetId="33" r:id="rId26"/>
    <sheet name="RCA AUG25  " sheetId="34" r:id="rId27"/>
    <sheet name="RCA SEP25" sheetId="36" r:id="rId28"/>
    <sheet name="RCA OCT25 " sheetId="37" r:id="rId29"/>
    <sheet name="RCA NOV 25 " sheetId="38" r:id="rId30"/>
    <sheet name="RCA DEC25" sheetId="39" r:id="rId31"/>
    <sheet name="RCA JAN26" sheetId="41" r:id="rId32"/>
    <sheet name="RCA FEB26" sheetId="42" r:id="rId33"/>
    <sheet name="RCA MAR26" sheetId="44" r:id="rId34"/>
    <sheet name="CAPA MAR26" sheetId="43" r:id="rId35"/>
    <sheet name="Sheet2" sheetId="45" r:id="rId36"/>
    <sheet name="Sheet1" sheetId="40" r:id="rId37"/>
  </sheets>
  <definedNames>
    <definedName name="_xlnm._FilterDatabase" localSheetId="12" hidden="1">'RCA  November'!$A$2:$N$36</definedName>
    <definedName name="_xlnm._FilterDatabase" localSheetId="9" hidden="1">'RCA  October'!$A$2:$N$24</definedName>
    <definedName name="_xlnm._FilterDatabase" localSheetId="20" hidden="1">'RCA APR25 '!$B$3:$U$3</definedName>
    <definedName name="_xlnm._FilterDatabase" localSheetId="2" hidden="1">'RCA April'!$B$2:$K$23</definedName>
    <definedName name="_xlnm._FilterDatabase" localSheetId="26" hidden="1">'RCA AUG25  '!$B$2:$K$25</definedName>
    <definedName name="_xlnm._FilterDatabase" localSheetId="6" hidden="1">'RCA August'!$B$2:$K$20</definedName>
    <definedName name="_xlnm._FilterDatabase" localSheetId="30" hidden="1">'RCA DEC25'!$B$2:$K$21</definedName>
    <definedName name="_xlnm._FilterDatabase" localSheetId="14" hidden="1">'RCA December'!$B$2:$K$25</definedName>
    <definedName name="_xlnm._FilterDatabase" localSheetId="18" hidden="1">'RCA FEB25 '!$B$2:$K$7</definedName>
    <definedName name="_xlnm._FilterDatabase" localSheetId="32" hidden="1">'RCA FEB26'!$B$2:$K$25</definedName>
    <definedName name="_xlnm._FilterDatabase" localSheetId="16" hidden="1">'RCA JAN25'!$B$2:$K$13</definedName>
    <definedName name="_xlnm._FilterDatabase" localSheetId="31" hidden="1">'RCA JAN26'!$B$2:$K$25</definedName>
    <definedName name="_xlnm._FilterDatabase" localSheetId="5" hidden="1">'RCA July'!$B$2:$K$23</definedName>
    <definedName name="_xlnm._FilterDatabase" localSheetId="25" hidden="1">'RCA JULY25 '!$B$2:$K$30</definedName>
    <definedName name="_xlnm._FilterDatabase" localSheetId="4" hidden="1">'RCA June'!$B$2:$K$17</definedName>
    <definedName name="_xlnm._FilterDatabase" localSheetId="24" hidden="1">'RCA JUNE25'!$B$2:$K$3</definedName>
    <definedName name="_xlnm._FilterDatabase" localSheetId="19" hidden="1">'RCA MAR25'!$B$2:$K$31</definedName>
    <definedName name="_xlnm._FilterDatabase" localSheetId="33" hidden="1">'RCA MAR26'!$B$2:$K$29</definedName>
    <definedName name="_xlnm._FilterDatabase" localSheetId="3" hidden="1">'RCA May'!$B$2:$K$18</definedName>
    <definedName name="_xlnm._FilterDatabase" localSheetId="21" hidden="1">'RCA MAY25'!$C$3:$D$3</definedName>
    <definedName name="_xlnm._FilterDatabase" localSheetId="29" hidden="1">'RCA NOV 25 '!$B$2:$K$20</definedName>
    <definedName name="_xlnm._FilterDatabase" localSheetId="28" hidden="1">'RCA OCT25 '!$B$2:$K$17</definedName>
    <definedName name="_xlnm._FilterDatabase" localSheetId="27" hidden="1">'RCA SEP25'!$B$2:$K$17</definedName>
    <definedName name="_xlnm._FilterDatabase" localSheetId="8" hidden="1">'RCA September'!$B$2:$K$27</definedName>
    <definedName name="_xlnm._FilterDatabase" localSheetId="0" hidden="1">'RCA Template'!$B$2:$K$23</definedName>
    <definedName name="_xlnm.Print_Area" localSheetId="13">'CAPA November'!$A$2:$L$35</definedName>
    <definedName name="_xlnm.Print_Area" localSheetId="11">'CAPA October'!$A$156:$L$189</definedName>
    <definedName name="_xlnm.Print_Area" localSheetId="12">'RCA  November'!$B$489:$G$520</definedName>
    <definedName name="_xlnm.Print_Area" localSheetId="9">'RCA  October'!$B$168:$G$199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45" l="1"/>
  <c r="B10" i="45"/>
  <c r="D29" i="44"/>
  <c r="C29" i="44"/>
  <c r="C31" i="44" s="1"/>
  <c r="D25" i="42"/>
  <c r="C25" i="42"/>
  <c r="C27" i="42"/>
  <c r="D17" i="36"/>
  <c r="C17" i="36"/>
  <c r="D25" i="41"/>
  <c r="C25" i="41"/>
  <c r="C27" i="41"/>
  <c r="D21" i="39"/>
  <c r="C21" i="39"/>
  <c r="C23" i="39" s="1"/>
  <c r="D20" i="38"/>
  <c r="C20" i="38"/>
  <c r="C25" i="28"/>
  <c r="C22" i="38"/>
  <c r="D17" i="37"/>
  <c r="C17" i="37"/>
  <c r="C19" i="37" s="1"/>
  <c r="C19" i="36"/>
  <c r="C25" i="34"/>
  <c r="D25" i="34"/>
  <c r="C22" i="35"/>
  <c r="D22" i="35"/>
  <c r="C27" i="34"/>
  <c r="D30" i="33"/>
  <c r="C30" i="33"/>
  <c r="C32" i="33" s="1"/>
  <c r="D28" i="31"/>
  <c r="C28" i="31"/>
  <c r="C30" i="31" s="1"/>
  <c r="D23" i="30"/>
  <c r="C23" i="30"/>
  <c r="C25" i="30" s="1"/>
  <c r="D23" i="28"/>
  <c r="C23" i="28"/>
  <c r="D31" i="26"/>
  <c r="C31" i="26"/>
  <c r="C33" i="26" s="1"/>
  <c r="D7" i="23"/>
  <c r="C7" i="23"/>
  <c r="C9" i="23" s="1"/>
  <c r="D36" i="17"/>
  <c r="C36" i="17"/>
  <c r="D25" i="19"/>
  <c r="C25" i="19"/>
  <c r="D13" i="21"/>
  <c r="C13" i="21"/>
  <c r="C15" i="21" s="1"/>
  <c r="C27" i="19"/>
  <c r="C38" i="17"/>
  <c r="AG6" i="10"/>
  <c r="AG7" i="10"/>
  <c r="AG8" i="10"/>
  <c r="AG9" i="10"/>
  <c r="AG10" i="10"/>
  <c r="AG11" i="10"/>
  <c r="AG12" i="10"/>
  <c r="AG13" i="10"/>
  <c r="AG14" i="10"/>
  <c r="AG15" i="10"/>
  <c r="AG16" i="10"/>
  <c r="AG17" i="10"/>
  <c r="AG18" i="10"/>
  <c r="AG19" i="10"/>
  <c r="AG20" i="10"/>
  <c r="AG21" i="10"/>
  <c r="AG22" i="10"/>
  <c r="AG5" i="10"/>
  <c r="AG4" i="10"/>
  <c r="D26" i="11"/>
  <c r="C26" i="11"/>
  <c r="C28" i="11" s="1"/>
  <c r="D27" i="10"/>
  <c r="C27" i="10"/>
  <c r="C29" i="10" s="1"/>
  <c r="D20" i="9"/>
  <c r="C20" i="9"/>
  <c r="C22" i="9" s="1"/>
  <c r="C23" i="8"/>
  <c r="D23" i="8"/>
  <c r="C25" i="8"/>
  <c r="C17" i="7"/>
  <c r="D17" i="7"/>
  <c r="C19" i="7"/>
  <c r="C20" i="6"/>
  <c r="D19" i="6"/>
  <c r="C19" i="6"/>
  <c r="D18" i="6"/>
  <c r="C18" i="6"/>
  <c r="D23" i="5"/>
  <c r="C23" i="5"/>
  <c r="C25" i="5" s="1"/>
  <c r="C23" i="2"/>
  <c r="D23" i="2"/>
  <c r="C25" i="2"/>
  <c r="C24" i="35" l="1"/>
</calcChain>
</file>

<file path=xl/sharedStrings.xml><?xml version="1.0" encoding="utf-8"?>
<sst xmlns="http://schemas.openxmlformats.org/spreadsheetml/2006/main" count="13395" uniqueCount="2899">
  <si>
    <t>Sr. No.</t>
  </si>
  <si>
    <t>Caster Affected &amp; Duration (min)</t>
  </si>
  <si>
    <t xml:space="preserve">Date </t>
  </si>
  <si>
    <t xml:space="preserve">Shift </t>
  </si>
  <si>
    <t xml:space="preserve"> Shift Incharge </t>
  </si>
  <si>
    <t xml:space="preserve">Delay reason </t>
  </si>
  <si>
    <t>RCA (Yes/No)</t>
  </si>
  <si>
    <t xml:space="preserve">Root Cause </t>
  </si>
  <si>
    <t xml:space="preserve">Action Taken/Action Plan </t>
  </si>
  <si>
    <t>Caster 1</t>
  </si>
  <si>
    <t xml:space="preserve">Caster 2 </t>
  </si>
  <si>
    <t xml:space="preserve">Total </t>
  </si>
  <si>
    <t xml:space="preserve">Grand Total </t>
  </si>
  <si>
    <t xml:space="preserve">
Project Unnati</t>
  </si>
  <si>
    <t xml:space="preserve">JSW BPSL </t>
  </si>
  <si>
    <t>DOC.NO.</t>
  </si>
  <si>
    <t>Root Cause Analysis Report</t>
  </si>
  <si>
    <t xml:space="preserve">ISSUE DATE: </t>
  </si>
  <si>
    <t xml:space="preserve">Date of Incident : </t>
  </si>
  <si>
    <t>19.11.2024</t>
  </si>
  <si>
    <t>Shift:C</t>
  </si>
  <si>
    <t>Area:</t>
  </si>
  <si>
    <t>EAF-1</t>
  </si>
  <si>
    <t>Repeated Breakdown (Y/N)</t>
  </si>
  <si>
    <t xml:space="preserve">Time of Incident : </t>
  </si>
  <si>
    <t>Delay Agency</t>
  </si>
  <si>
    <t>ELECTRICAL</t>
  </si>
  <si>
    <t>Machine:</t>
  </si>
  <si>
    <t>Electrode arm</t>
  </si>
  <si>
    <t>N</t>
  </si>
  <si>
    <t>Production Loss (Y/N) :</t>
  </si>
  <si>
    <t>Y</t>
  </si>
  <si>
    <t>Time Loss (minutes)</t>
  </si>
  <si>
    <t>Equipment:</t>
  </si>
  <si>
    <t>Insulating protection plate</t>
  </si>
  <si>
    <t>RCA Team members :</t>
  </si>
  <si>
    <t>Sashikanta Mohanty, Anil Tiwari</t>
  </si>
  <si>
    <t>Problem Description (What, when, where, how significant, provide details): EAF-1 stopped due to sparking near El-3, checked and found metal deposition in gap between arm and protecting insulating plate.</t>
  </si>
  <si>
    <t>Immediate Actions Taken</t>
  </si>
  <si>
    <t>Taken by</t>
  </si>
  <si>
    <t>Metal deposition was cleaned</t>
  </si>
  <si>
    <t>Mechanical</t>
  </si>
  <si>
    <t>Transformer secondary resistance was checked</t>
  </si>
  <si>
    <t>Electrical</t>
  </si>
  <si>
    <t>RCA (Root Cause Analysis - Why Why)</t>
  </si>
  <si>
    <t>WHY?</t>
  </si>
  <si>
    <t>EAF-1 stopped due to sparking near EL-3</t>
  </si>
  <si>
    <t>Due to metal deposition between front side of El-3 arm and mast</t>
  </si>
  <si>
    <t>Due to gap in front side protection insulating plate</t>
  </si>
  <si>
    <t>Due to misallignment of SS box</t>
  </si>
  <si>
    <t>Due to bolt loose</t>
  </si>
  <si>
    <t>Due to vibration</t>
  </si>
  <si>
    <t>#</t>
  </si>
  <si>
    <t>CAPA ( Corrective Action and Preventive Action)</t>
  </si>
  <si>
    <t>Target Date</t>
  </si>
  <si>
    <t>Responsibility</t>
  </si>
  <si>
    <t>Status</t>
  </si>
  <si>
    <t>Tightness of bolts by providing nord lock washer and checknut</t>
  </si>
  <si>
    <t>03.12.2024</t>
  </si>
  <si>
    <t>F. Mahananda/ Kishore Sahoo</t>
  </si>
  <si>
    <t>Under progress</t>
  </si>
  <si>
    <t>Proper allignment of SS box (to be checked in every shell change)</t>
  </si>
  <si>
    <t>28.11.2024</t>
  </si>
  <si>
    <t>Horizontal deployment possible (Y/N)</t>
  </si>
  <si>
    <t>Equipment Name/Area</t>
  </si>
  <si>
    <t>EAF-1,2,3,4</t>
  </si>
  <si>
    <t>Prepared  by Sign:
Date:</t>
  </si>
  <si>
    <t>Reviewed by
Sign:
Date:</t>
  </si>
  <si>
    <t>Approved by
Sign:
Date:</t>
  </si>
  <si>
    <t>JSW BPSL Sambalpur Works</t>
  </si>
  <si>
    <t>8D REPORT NO:                                                                       DATE:</t>
  </si>
  <si>
    <t>DATE</t>
  </si>
  <si>
    <t>11.07.2024</t>
  </si>
  <si>
    <t>FORMAT NO : SMS-1/MM / CAPA / -- ( REV 02)</t>
  </si>
  <si>
    <t xml:space="preserve">Nameof Key Member: 1. Chandra Bhusan Pandey, 2. Prashant O. Chavan, 3. </t>
  </si>
  <si>
    <t>CURRENT REVISION DATE: 01/04/2021</t>
  </si>
  <si>
    <r>
      <rPr>
        <b/>
        <i/>
        <sz val="10"/>
        <color rgb="FF000000"/>
        <rFont val="Verdana"/>
      </rPr>
      <t xml:space="preserve">D1: </t>
    </r>
    <r>
      <rPr>
        <b/>
        <sz val="10"/>
        <color rgb="FF000000"/>
        <rFont val="Verdana"/>
      </rPr>
      <t>Form team to solve the problem ( Why,when,where,how,what,who) : Name of team members: 1.Chandra Bhusan Pandey, 2. Prashant O. Chavan, 3.</t>
    </r>
  </si>
  <si>
    <t xml:space="preserve">Department: CSP CASTER </t>
  </si>
  <si>
    <t>Section: Caster 1</t>
  </si>
  <si>
    <r>
      <rPr>
        <b/>
        <sz val="10"/>
        <color rgb="FF000000"/>
        <rFont val="Verdana"/>
      </rPr>
      <t>Area:</t>
    </r>
    <r>
      <rPr>
        <b/>
        <sz val="12"/>
        <color rgb="FF000000"/>
        <rFont val="Verdana"/>
      </rPr>
      <t xml:space="preserve"> </t>
    </r>
    <r>
      <rPr>
        <b/>
        <sz val="10"/>
        <color rgb="FF000000"/>
        <rFont val="Verdana"/>
      </rPr>
      <t>Caster - 1</t>
    </r>
  </si>
  <si>
    <t>Name of Initiator:</t>
  </si>
  <si>
    <t xml:space="preserve">                                                </t>
  </si>
  <si>
    <t xml:space="preserve">     Miscellaneous related reports:</t>
  </si>
  <si>
    <r>
      <t>D2:</t>
    </r>
    <r>
      <rPr>
        <b/>
        <sz val="10"/>
        <rFont val="Verdana"/>
        <family val="2"/>
      </rPr>
      <t xml:space="preserve">  Describe problem</t>
    </r>
  </si>
  <si>
    <r>
      <rPr>
        <b/>
        <i/>
        <sz val="10"/>
        <color rgb="FF000000"/>
        <rFont val="Verdana"/>
      </rPr>
      <t xml:space="preserve"> D3:</t>
    </r>
    <r>
      <rPr>
        <b/>
        <sz val="10"/>
        <color rgb="FF000000"/>
        <rFont val="Verdana"/>
      </rPr>
      <t xml:space="preserve">  Containment Action/ Immediate Action taken</t>
    </r>
  </si>
  <si>
    <r>
      <t>D4:</t>
    </r>
    <r>
      <rPr>
        <b/>
        <sz val="10"/>
        <rFont val="Verdana"/>
        <family val="2"/>
      </rPr>
      <t xml:space="preserve">   Find &amp; verify Root Cause/ Why-Why Analysis</t>
    </r>
  </si>
  <si>
    <r>
      <t>D5:</t>
    </r>
    <r>
      <rPr>
        <b/>
        <sz val="10"/>
        <rFont val="Verdana"/>
        <family val="2"/>
      </rPr>
      <t xml:space="preserve">  Define Permanent Corrective Action</t>
    </r>
  </si>
  <si>
    <r>
      <t>D6:</t>
    </r>
    <r>
      <rPr>
        <b/>
        <sz val="10"/>
        <rFont val="Verdana"/>
        <family val="2"/>
      </rPr>
      <t xml:space="preserve">  Implement Corrective Action &amp; Validate</t>
    </r>
  </si>
  <si>
    <r>
      <t xml:space="preserve">D7: </t>
    </r>
    <r>
      <rPr>
        <b/>
        <sz val="10"/>
        <rFont val="Verdana"/>
        <family val="2"/>
      </rPr>
      <t xml:space="preserve"> Prevent recurrence</t>
    </r>
  </si>
  <si>
    <t>(What, when, where, how significant, provide details)</t>
  </si>
  <si>
    <t>(Action, when, verification)</t>
  </si>
  <si>
    <t>(Root cause analysis, verification)</t>
  </si>
  <si>
    <t>(What, when, where, how, who, why)</t>
  </si>
  <si>
    <t>(What, when, where, how, who, why) and Implementation of Error Proofing Techinque</t>
  </si>
  <si>
    <t>(How will you transfer the lesson learnt in other dept / section / areas)</t>
  </si>
  <si>
    <t>Reason for Delay</t>
  </si>
  <si>
    <t xml:space="preserve">1. Heat returned to L.F. 
2. 
3.
4. 
5. 
6. Trial taken and clearance given for heat.  
7. Casting started.  </t>
  </si>
  <si>
    <t>Question-</t>
  </si>
  <si>
    <r>
      <rPr>
        <b/>
        <sz val="10"/>
        <color rgb="FF000000"/>
        <rFont val="Verdana"/>
      </rPr>
      <t>1.What -</t>
    </r>
    <r>
      <rPr>
        <sz val="10"/>
        <color rgb="FF000000"/>
        <rFont val="Verdana"/>
      </rPr>
      <t xml:space="preserve"> 
When- 
Where- 
How-  
Who-
Why- 
</t>
    </r>
    <r>
      <rPr>
        <b/>
        <sz val="10"/>
        <color rgb="FF000000"/>
        <rFont val="Verdana"/>
      </rPr>
      <t>2. What -</t>
    </r>
    <r>
      <rPr>
        <sz val="10"/>
        <color rgb="FF000000"/>
        <rFont val="Verdana"/>
      </rPr>
      <t xml:space="preserve"> 
When- 
Where-  
How-   
Who- 
Why-  
</t>
    </r>
    <r>
      <rPr>
        <b/>
        <sz val="10"/>
        <color rgb="FF000000"/>
        <rFont val="Verdana"/>
      </rPr>
      <t>3. What</t>
    </r>
    <r>
      <rPr>
        <sz val="10"/>
        <color rgb="FF000000"/>
        <rFont val="Verdana"/>
      </rPr>
      <t xml:space="preserve"> - 
When- 
Where- 
How- 
Who- 
Why- </t>
    </r>
  </si>
  <si>
    <t xml:space="preserve">1.What - 
When-
Where- 
How-  
Who- 
Why- 
2. What - 
When- 
Where- 
How- 
Who- 
Why- 
3. What - 
When-
Where-  
How- 
Who-  team
Why-  
</t>
  </si>
  <si>
    <t>Horizontal deployment in of all corrective &amp; Preventive measures at caster 1 ECR</t>
  </si>
  <si>
    <t xml:space="preserve">Answer- </t>
  </si>
  <si>
    <t>Date - 21.09.2024 at around 16:05 Hrs.</t>
  </si>
  <si>
    <t xml:space="preserve">Question- </t>
  </si>
  <si>
    <t>Caster -1/2</t>
  </si>
  <si>
    <t xml:space="preserve">Caster start delayed for 327 mins as Drive PLC CPU goes to OFF mode, when checked all memory from Drive PLC found erased. </t>
  </si>
  <si>
    <t xml:space="preserve">Answer - </t>
  </si>
  <si>
    <t xml:space="preserve">Answer -  </t>
  </si>
  <si>
    <r>
      <t>D8:</t>
    </r>
    <r>
      <rPr>
        <b/>
        <sz val="10"/>
        <rFont val="Verdana"/>
        <family val="2"/>
      </rPr>
      <t xml:space="preserve"> Recognize Team effort: </t>
    </r>
    <r>
      <rPr>
        <sz val="10"/>
        <rFont val="Verdana"/>
        <family val="2"/>
      </rPr>
      <t>(For Example: Medal/ Trophy/Appreciation letter/Commendation letter/Public Announcement/Display of Photograph on notice board/Gift/Paid holiday/Picnic)</t>
    </r>
  </si>
  <si>
    <t>Activities</t>
  </si>
  <si>
    <t>Name</t>
  </si>
  <si>
    <t>Signature</t>
  </si>
  <si>
    <t>Date</t>
  </si>
  <si>
    <t>Prepared by:</t>
  </si>
  <si>
    <t>Prashant O. Chavan</t>
  </si>
  <si>
    <t xml:space="preserve">Note: (1) 8D denotes  Eight disciplines of continuous improvements  (2 ) Use extra pages for any of the Eight disciplines when required. Record the extra pages added  </t>
  </si>
  <si>
    <t>Checked by:</t>
  </si>
  <si>
    <t>Chandra Bhusan Pandey</t>
  </si>
  <si>
    <t>Approved by:</t>
  </si>
  <si>
    <t>Page No:</t>
  </si>
  <si>
    <t>Total Pages:</t>
  </si>
  <si>
    <t xml:space="preserve">Continued:  Yes / No </t>
  </si>
  <si>
    <t>Released by:</t>
  </si>
  <si>
    <t>01.04.2024</t>
  </si>
  <si>
    <t>C</t>
  </si>
  <si>
    <t>Ranjit Bardhan</t>
  </si>
  <si>
    <t>CAST ABORT DUE TO IPC FAILURE(SEGMENT AUTOMATION SYSTEM) &amp; SEGMENT - 03 RIGHT BOTTOM SHOWED ZERO VALUES.</t>
  </si>
  <si>
    <t>Yes</t>
  </si>
  <si>
    <t>HSA IPC faulty.</t>
  </si>
  <si>
    <t xml:space="preserve">HSA IPC  replaced and system made ready.	</t>
  </si>
  <si>
    <t>06.04.2024</t>
  </si>
  <si>
    <t>B</t>
  </si>
  <si>
    <t>DISCONTINUED DUE TO LCR NOT ENABLED, SEGMENT - 01 STATE NO. DOESNOT CHANGE FROM 130</t>
  </si>
  <si>
    <t>HSA IPC hanged.</t>
  </si>
  <si>
    <t xml:space="preserve">HSA IPC  restarted and system made ready.	</t>
  </si>
  <si>
    <t>07.04.2024</t>
  </si>
  <si>
    <t xml:space="preserve">WORK ON SHEAR MOTOR , ABNORMAL SOUND FROM MOTOR </t>
  </si>
  <si>
    <t>Shear resistance box one core found burnt.</t>
  </si>
  <si>
    <t>Fresh connection done and system made ready.</t>
  </si>
  <si>
    <t>08.04.2024</t>
  </si>
  <si>
    <t>Biswambar Bhoi</t>
  </si>
  <si>
    <t>CAST ABORT  DUE TO SHEAR MOTOR NOT WORKING(MOTOR CHANGED)</t>
  </si>
  <si>
    <t>Drive end bearing damaged</t>
  </si>
  <si>
    <t>Shear motor replaced with spare one and made ready.</t>
  </si>
  <si>
    <t>09.04.2024</t>
  </si>
  <si>
    <t>DISCONTINUED DUE TO HEAVY MOULD LEVEL FLUCTUATION(SRM HIGH)</t>
  </si>
  <si>
    <t>No</t>
  </si>
  <si>
    <t>16.04.2024</t>
  </si>
  <si>
    <t>DISCONTINUED DUE TO MOULD CLAMPING ERROR MOULD LOOSE SIDE BOTTOM PRESSURE DROPPED TO 74 BAR.</t>
  </si>
  <si>
    <t>Mould loose side bottom pressure switch malfunctioned.</t>
  </si>
  <si>
    <t xml:space="preserve">  Mould loose side bottom pressure switch replaced with new one.</t>
  </si>
  <si>
    <t>18.04.2024</t>
  </si>
  <si>
    <t>Tanmay Das</t>
  </si>
  <si>
    <t>DUMMY BAR NOT OPERATED IN AUTO MODE HOME POSITION PROXY MALFUNTIONING BEFORE DUMMY BAR INSERT POSITION</t>
  </si>
  <si>
    <t>19.04.2024</t>
  </si>
  <si>
    <t>CAST ABORT DUE TO E-CLOSE ACTIVATED AND MOULD LEVEL DROP</t>
  </si>
  <si>
    <t>Problem wasnot concluded.</t>
  </si>
  <si>
    <t>Berthold system cleaning and scintillation counter JB  connections tightness done</t>
  </si>
  <si>
    <t>20.04.2024</t>
  </si>
  <si>
    <t>A</t>
  </si>
  <si>
    <t>DELAY IN CONNECTION REMOVAL (MOULD &amp; SEG)</t>
  </si>
  <si>
    <t>21.04.2024</t>
  </si>
  <si>
    <t>Amit Kumar</t>
  </si>
  <si>
    <t>DISCONTINUED DUE TO TURRET ROTATION PROBLEM</t>
  </si>
  <si>
    <t>Communication Network failure</t>
  </si>
  <si>
    <t>Removed the by-passed signal and system made ready.</t>
  </si>
  <si>
    <t>22.04.2024</t>
  </si>
  <si>
    <t>SEGMENT-3 CLAMPING NOT OPERATE</t>
  </si>
  <si>
    <t>23.04.2024</t>
  </si>
  <si>
    <t>CAST ABORT DUE TO MOULD OVERFLOW - NO ELECTRICAL PROBLEM</t>
  </si>
  <si>
    <t>Stopper rod mechanism found jammed.</t>
  </si>
  <si>
    <t>SRM maintenance carried out by Mechanical Deprtment at SRM test stand.</t>
  </si>
  <si>
    <t>25.04.2024</t>
  </si>
  <si>
    <t xml:space="preserve">DELAY IN MOULD CALIBRATION </t>
  </si>
  <si>
    <t>Saroj Singh</t>
  </si>
  <si>
    <t>CAST ABORT DUE TO SLAB STUCK IN SHEAR</t>
  </si>
  <si>
    <t xml:space="preserve">Shear Position transducer cylinder replaced with spare one.	</t>
  </si>
  <si>
    <t>26.04.2026</t>
  </si>
  <si>
    <t xml:space="preserve">Card for propertional valve (Rexroth) replaced with new one	</t>
  </si>
  <si>
    <t>26.04.2024</t>
  </si>
  <si>
    <t xml:space="preserve">One indicating hooter connectd at +11E3M12 to monitor the shear before cut.	</t>
  </si>
  <si>
    <t>27.04.2024</t>
  </si>
  <si>
    <t xml:space="preserve">Analog O/P Module for shear frame movement replaced at ET+11E3M11. Shear frame movement propertional valve tops with cable replaced with new for both forward and backward movement.Shear frame forward movement limit changed from 30 to 15 in FC 1432 NW-1. Shear frame voltage changed in VAT table as in CA-2."	</t>
  </si>
  <si>
    <t>28.04.2024</t>
  </si>
  <si>
    <t>MOULD RIGHT-SIDE SERVO MOTOR PROBLEM RIGHT SIDE TOP MKL - 02 MOTOR TRIPPED WITH SWITCHING FAULT</t>
  </si>
  <si>
    <t>RsTs Servomotor connector faulty</t>
  </si>
  <si>
    <t xml:space="preserve">Servomotor replaced with new one and made ready.	</t>
  </si>
  <si>
    <t>30.04.2024</t>
  </si>
  <si>
    <t xml:space="preserve">Shear frame voltage changed in VAT table as in CA-2.	</t>
  </si>
  <si>
    <t>BHUSHAN POWER &amp; STEEL LIMITED</t>
  </si>
  <si>
    <t>SAMBALPUR UNIT</t>
  </si>
  <si>
    <t>DOC. NO.:</t>
  </si>
  <si>
    <t>5 PRINCIPLES FOR PROBLEM SOLVING WORK SHEET</t>
  </si>
  <si>
    <t>Delay (min)</t>
  </si>
  <si>
    <t>ISSUE/REV.NO.          DATE :</t>
  </si>
  <si>
    <t>CSP/CMM/WW/001</t>
  </si>
  <si>
    <t xml:space="preserve">    01  /00                    01/04/2024</t>
  </si>
  <si>
    <t>NATURE OF PROBLEM</t>
  </si>
  <si>
    <t>118</t>
  </si>
  <si>
    <t xml:space="preserve">DEPARTMENT   :-  CASTER  1                                          ELECTRICAL   MAINT.                                                            </t>
  </si>
  <si>
    <t>DIVISION           :-  CSP. Caster</t>
  </si>
  <si>
    <t xml:space="preserve">PREPARED BY :-  CASTER E&amp;I Team                </t>
  </si>
  <si>
    <t xml:space="preserve"> </t>
  </si>
  <si>
    <t>WHY</t>
  </si>
  <si>
    <t>QUESTION</t>
  </si>
  <si>
    <t>Why  was cast Abort ?</t>
  </si>
  <si>
    <t>why HSA IPC stopped working?</t>
  </si>
  <si>
    <t>Why error showed in HSA IPC communication ?</t>
  </si>
  <si>
    <t>ANSWER</t>
  </si>
  <si>
    <t xml:space="preserve">HSA IPC stopped working.	</t>
  </si>
  <si>
    <t xml:space="preserve">HSA IPC communication error.	</t>
  </si>
  <si>
    <t xml:space="preserve">HSA APCI 1710  card faulty.	</t>
  </si>
  <si>
    <t xml:space="preserve">       ROOT CAUSE                                                                      </t>
  </si>
  <si>
    <t xml:space="preserve"> CORRECTIVE COUNTER MEASURE</t>
  </si>
  <si>
    <t xml:space="preserve">HSA IPC faulty.	</t>
  </si>
  <si>
    <t xml:space="preserve">Immediate Action : -HSA IPC  replaced and system made ready.	
Future Action :   HSA IPC to be cleaned in every shutdown.	
Responsibility :  Chandra Bhushan Pandey  Chandra Bhushan Pandey
                             </t>
  </si>
  <si>
    <t xml:space="preserve">HORIZONTAL DEPLOYMENT </t>
  </si>
  <si>
    <t>SIMILAR EQUIPMENT'S</t>
  </si>
  <si>
    <t>ACTION</t>
  </si>
  <si>
    <t>REMARKS</t>
  </si>
  <si>
    <t>APPROVED BY</t>
  </si>
  <si>
    <t>ISSUED BY</t>
  </si>
  <si>
    <t>PAGE NO.</t>
  </si>
  <si>
    <t>1 OF 6</t>
  </si>
  <si>
    <t>CSP/CMM/WW/002</t>
  </si>
  <si>
    <t xml:space="preserve">    01  /00                    06/04/2024</t>
  </si>
  <si>
    <t xml:space="preserve">DISCONTINUED DUE TO LCR NOT ENABLED			</t>
  </si>
  <si>
    <t xml:space="preserve">Segment-1 state number did not change.	</t>
  </si>
  <si>
    <t xml:space="preserve">HSA IPC hanged.	</t>
  </si>
  <si>
    <t xml:space="preserve">Immediate Action : -  HSA IPC  restarted and system made ready.
Future Action :   HSA IPC to be cleaned in every shutdown.	
Responsibility :  Chandra Bhushan Pandey  </t>
  </si>
  <si>
    <t>2 OF 6</t>
  </si>
  <si>
    <t>CSP/CMM/WW/003</t>
  </si>
  <si>
    <t xml:space="preserve">    01  /00                   07/04/2024</t>
  </si>
  <si>
    <t xml:space="preserve">SHEAR MOTOR abnormal sound			</t>
  </si>
  <si>
    <t>Why shear motor cause abnormal sound?</t>
  </si>
  <si>
    <t xml:space="preserve">Shear motor abnormal sound.	</t>
  </si>
  <si>
    <t xml:space="preserve">One core(Blue) found burnt at resistance box.	</t>
  </si>
  <si>
    <t xml:space="preserve">Shear resistance box one core found burnt.	</t>
  </si>
  <si>
    <t xml:space="preserve">Immediate Action : -  Fresh connection done and system made ready.	
Future Action :   Resistance box to be checked in every shutdown.	
Responsibility :  Chandra Bhushan Pandey  </t>
  </si>
  <si>
    <t>CSP/CMM/WW/004</t>
  </si>
  <si>
    <t xml:space="preserve">    01  /00                    08/04/2024</t>
  </si>
  <si>
    <t xml:space="preserve">Shear not ready for cut.			</t>
  </si>
  <si>
    <t>Why shear showed not ready for cut?</t>
  </si>
  <si>
    <t>why was shear motor tripping?</t>
  </si>
  <si>
    <t>why was shear motor taking high current?</t>
  </si>
  <si>
    <t xml:space="preserve">Shear not ready for cut.	</t>
  </si>
  <si>
    <t xml:space="preserve">Shear motor was tripping frequently.	</t>
  </si>
  <si>
    <t xml:space="preserve">Shear motor was taking high current.	</t>
  </si>
  <si>
    <t xml:space="preserve">Drive end bearing damaged	</t>
  </si>
  <si>
    <t xml:space="preserve">Immediate Action : -  Shear motor replaced with spare one and made ready.	
Future Action :   Shear motor current to be monitored daily and carbon brushes to be checked in every shutdown.	
Responsibility :  Chandra Bhushan Pandey  </t>
  </si>
  <si>
    <t>CSP/CMM/WW/005</t>
  </si>
  <si>
    <t xml:space="preserve">    01  /00                    21/04/2024</t>
  </si>
  <si>
    <t xml:space="preserve">Ladle turret rotation problem.			</t>
  </si>
  <si>
    <t>Why  was casting delayed ?</t>
  </si>
  <si>
    <t>why did ladle turret not  rotate?</t>
  </si>
  <si>
    <t>Why ladle turret lock didnot open?</t>
  </si>
  <si>
    <t xml:space="preserve">Ladle turret not rotate	</t>
  </si>
  <si>
    <t xml:space="preserve">Ladle turret lock was not opened.	</t>
  </si>
  <si>
    <t xml:space="preserve">Network bypassed from PLC	</t>
  </si>
  <si>
    <t xml:space="preserve">Communication Network failure	</t>
  </si>
  <si>
    <t xml:space="preserve">Immediate Action : -  Removed the by-passed signal and system made ready.	
Future Action :   It is to be cheked that the every hardware (ET) should be communicated expect the bassed Et.	
Responsibility :  Chandra Bhushan Pandey  </t>
  </si>
  <si>
    <t>CSP/CMM/WW/006</t>
  </si>
  <si>
    <t xml:space="preserve">    01  /00                    23/04/2024</t>
  </si>
  <si>
    <t xml:space="preserve">CAST ABORT DUE TO MOULD OVERFLOW			</t>
  </si>
  <si>
    <t>Why was cast aborted?</t>
  </si>
  <si>
    <t>why mould level became high?</t>
  </si>
  <si>
    <t>why did the SRM stop working?</t>
  </si>
  <si>
    <t xml:space="preserve">Mould level high and overflown.	</t>
  </si>
  <si>
    <t xml:space="preserve">SRM stopped working and stuck at particular position.	</t>
  </si>
  <si>
    <t xml:space="preserve">Stopper rod mechanism found jammed.	</t>
  </si>
  <si>
    <t xml:space="preserve">Immediate Action : -  SRM maintenance carried out by Mechanical Deprtment at SRM test stand.	
Future Action :   Following maintenance, SRM will be thoroughly examined at the test stand with mechanical Department.	
Responsibility :  Chandra Bhushan Pandey  </t>
  </si>
  <si>
    <t>CSP/CMM/WW/007</t>
  </si>
  <si>
    <t xml:space="preserve">    01  /00                    25/04/2024</t>
  </si>
  <si>
    <t xml:space="preserve">CAST ABORT DUE TO SLAB STUCK IN SHEAR			</t>
  </si>
  <si>
    <t>Why slab stucked in shear?</t>
  </si>
  <si>
    <t>Why did Shear not operate in auto?</t>
  </si>
  <si>
    <t xml:space="preserve">Slab stuck at shear	</t>
  </si>
  <si>
    <t xml:space="preserve">Shear did not operate in auto	</t>
  </si>
  <si>
    <t xml:space="preserve">Abnormal movement of Shear frame	</t>
  </si>
  <si>
    <t xml:space="preserve">Problem was not concluded	</t>
  </si>
  <si>
    <t xml:space="preserve">Immediate Action : -  Shear Position transducer cylinder replaced with spare one.	
Future Action :   Shear conditions under observation in every cut.	
Responsibility :  Chandra Bhushan Pandey  </t>
  </si>
  <si>
    <t>CSP/CMM/WW/009</t>
  </si>
  <si>
    <t xml:space="preserve">    01  /00                  26/04/2024</t>
  </si>
  <si>
    <t xml:space="preserve">Immediate Action : -  Card for propertional valve (Rexroth) replaced with new one	
Future Action :   Shear conditions under observation in every cut.	
Responsibility :  Chandra Bhushan Pandey  </t>
  </si>
  <si>
    <t xml:space="preserve">Immediate Action : -  One indicating hooter connectd at +11E3M12 to monitor the shear before cut.	
Future Action :   Shear conditions under observation in every cut.	
Responsibility :  Chandra Bhushan Pandey  </t>
  </si>
  <si>
    <t xml:space="preserve">    01  /00                    27/04/2024</t>
  </si>
  <si>
    <t xml:space="preserve">found Shear cluch engagement delayed.	</t>
  </si>
  <si>
    <t xml:space="preserve">Immediate Action : -  Analog O/P Module for shear frame movement replaced at ET+11E3M11. Shear frame movement propertional valve tops with cable replaced with new for both forward and backward movement.Shear frame forward movement limit changed from 30 to 15 in FC 1432 NW-1.                                                                          
Shear frame voltage changed in VAT table as in CA-2.
Future Action :   Shear conditions under observation in every cut.	
Responsibility :  Chandra Bhushan Pandey  </t>
  </si>
  <si>
    <t xml:space="preserve">    01  /00                    28/04/2024</t>
  </si>
  <si>
    <t xml:space="preserve">MOULD RIGHT-SIDE SERVO MOTOR PROBLEM			</t>
  </si>
  <si>
    <t xml:space="preserve">Why Mould right side servo motor was not operating?			</t>
  </si>
  <si>
    <t>Why Mould was not ready?</t>
  </si>
  <si>
    <t>Why Mould was showing switching fault	?</t>
  </si>
  <si>
    <t xml:space="preserve">Why was RsTs Servomotor connector faulty?	</t>
  </si>
  <si>
    <t xml:space="preserve">Why were Cables frequently change from one to another?	</t>
  </si>
  <si>
    <t xml:space="preserve">Mould was not ready	</t>
  </si>
  <si>
    <t xml:space="preserve">Mould showed switching fault	</t>
  </si>
  <si>
    <t xml:space="preserve">RsTs Servomotor connector faulty	</t>
  </si>
  <si>
    <t xml:space="preserve">Cables frequently change from one to another	</t>
  </si>
  <si>
    <t xml:space="preserve">Unavailability of cable.	</t>
  </si>
  <si>
    <t xml:space="preserve">Immediate Action : -  Servomotor replaced with new one and made ready.	
Future Action :   Cable changing frequency to be reduced.	
Responsibility :  Chandra Bhushan Pandey  </t>
  </si>
  <si>
    <t xml:space="preserve">    01  /00                    30/04/2024</t>
  </si>
  <si>
    <t xml:space="preserve">Shear not operate in auto	</t>
  </si>
  <si>
    <t xml:space="preserve">Shear cluch engagement delayed	</t>
  </si>
  <si>
    <t xml:space="preserve">Immediate Action : -  Shear frame voltage changed in VAT table as in CA-2.	
Future Action :   Shear conditions under observation in every cut.	
Responsibility :  Chandra Bhushan Pandey  </t>
  </si>
  <si>
    <t>12 OF 12</t>
  </si>
  <si>
    <t xml:space="preserve">    01  /00                    16/04/2024</t>
  </si>
  <si>
    <t xml:space="preserve">DISCONTINUED DUE TO MOULD CLAMPING ERROR			</t>
  </si>
  <si>
    <t xml:space="preserve">DEPARTMENT   :-  CASTER  2                                       ELECTRICAL   MAINT.                                                            </t>
  </si>
  <si>
    <t>Why was cast dicontinued?</t>
  </si>
  <si>
    <t>Why was Mould clamping error?</t>
  </si>
  <si>
    <t xml:space="preserve">Why had Mould loose side bottom pressure reduced?	</t>
  </si>
  <si>
    <t xml:space="preserve">Mould clamping error.	</t>
  </si>
  <si>
    <t xml:space="preserve">Mould loose side bottom pressure reduced	</t>
  </si>
  <si>
    <t xml:space="preserve">Mould loose side bottom pressure switch malfunctioned.	</t>
  </si>
  <si>
    <t xml:space="preserve">Immediate Action : -  Mould loose side bottom pressure switch replaced with new one.	
Future Action :    Monitor and control humidity levels in the environment where the pressure switch is installed regularly.	
Responsibility :  Chandra Bhushan Pandey  </t>
  </si>
  <si>
    <t>1 OF 2</t>
  </si>
  <si>
    <t xml:space="preserve">    01  /00                    19/04/2024</t>
  </si>
  <si>
    <t xml:space="preserve">CAST ABORT DUE TO E-CLOSE ACTIVATED			</t>
  </si>
  <si>
    <t xml:space="preserve">DEPARTMENT   :-  CASTER  2                                         ELECTRICAL   MAINT.                                                            </t>
  </si>
  <si>
    <t xml:space="preserve">Why had Mould Level dropped?	</t>
  </si>
  <si>
    <t>Mould Level dropped.</t>
  </si>
  <si>
    <t xml:space="preserve">E-Close got activated.	</t>
  </si>
  <si>
    <t>Root cause was not concluded</t>
  </si>
  <si>
    <t xml:space="preserve">Immediate Action : -  Berthold system cleaning and scintillation counter JB  connections tightness done	
Future Action :   In every mould change, scintillation counter cable condition  to be checked.	
Responsibility :  Chandra Bhushan Pandey  </t>
  </si>
  <si>
    <t>2 OF 2</t>
  </si>
  <si>
    <t>04.05.2024</t>
  </si>
  <si>
    <t xml:space="preserve">CAST ABORT DUE TO E-CLOSED ACTIVATED(MLC PROBLEM) , MOULD WATER LEAKAGE ,WATER FOUND IN SCINTILLATION COUNTER CONNECTION </t>
  </si>
  <si>
    <t>yes</t>
  </si>
  <si>
    <t xml:space="preserve">Scintillation counter malfunctioning	</t>
  </si>
  <si>
    <t>COUNTER AND CABLE REPLACED BY SPARE COUNTER AND CABLE</t>
  </si>
  <si>
    <t>08.05.2024</t>
  </si>
  <si>
    <t>Abhijit Roy</t>
  </si>
  <si>
    <t>CAST ABORT DUE TO E-CLOSE ACTIVETED. MCB NO. 12AX001.E22-F21 TRIPPING FROM ET NO. +1205M12(ESTOP)</t>
  </si>
  <si>
    <t xml:space="preserve">Load side LSG pendant short circuit	</t>
  </si>
  <si>
    <t>ARM CASTING SIDE AND LOADING SIDE LSG PENDANT CHANGED.</t>
  </si>
  <si>
    <t>11.05.2024</t>
  </si>
  <si>
    <t xml:space="preserve">CAST ABORT DUE TO ET COMMUNICATION FAULT, RJ - 45 CABLE FROM TCS TO PLC DRIVE DAMAGED </t>
  </si>
  <si>
    <t xml:space="preserve">RJ45 cable faulty	</t>
  </si>
  <si>
    <t>RJ -45 CABLE REPLACED FROM TCS TO DRIVE PLC AND TAGGING DONE.</t>
  </si>
  <si>
    <t>12.05.2024</t>
  </si>
  <si>
    <t>MLC E-CLOSE OCCURRED</t>
  </si>
  <si>
    <t>CAST ABORT DUE TO MLC EMERGENCY CAME AFTER LADDLE OPEN</t>
  </si>
  <si>
    <t>COUNTER AND CABLE REPLACED BY SPARE COUNTER AND CABLE . BASE CARD REPLACED AT BERTHOLD .</t>
  </si>
  <si>
    <t>17.05.2024</t>
  </si>
  <si>
    <t>SEGMENT-1 CABLE CHANGE , SEGMENT - 1 WAS NOT GETTING CALIBRATED</t>
  </si>
  <si>
    <t xml:space="preserve">SEGMENT-1 CABLE AND TCS TO MANIFOLD BLOCK CABLE BURNT	</t>
  </si>
  <si>
    <t>SEGMENT 1 CABLE BURNT BECAUSE OF BREAKOUT. BURNT CABLE REPLACED WITH SPARE ONE . FRESH CONNECTION DONE AT MANIFOLD BLOCK</t>
  </si>
  <si>
    <t>19.05.2024</t>
  </si>
  <si>
    <t>SEGMENT-1 CALIBRATION</t>
  </si>
  <si>
    <t>20.05.2024</t>
  </si>
  <si>
    <t>MOULD PENDENT CHANGE , MOULD CALLIBRATION PROBLEM</t>
  </si>
  <si>
    <t xml:space="preserve">SRM mechanism failure as actual position did not follow the reference position.	</t>
  </si>
  <si>
    <t>MOULD PENDENT CHANGE WITH SPARE ONE</t>
  </si>
  <si>
    <t>21.05.2024</t>
  </si>
  <si>
    <t>MOULD PENDENT PROBLEM, MOULD LEVEL FLUCTUATION</t>
  </si>
  <si>
    <t>23.05.2024</t>
  </si>
  <si>
    <t>PINCH ROLL CALIBRATION</t>
  </si>
  <si>
    <t xml:space="preserve">Mould Level fluctuation	</t>
  </si>
  <si>
    <t>27.05.2024</t>
  </si>
  <si>
    <t>AMLC E-CLOSE ACTIVATED</t>
  </si>
  <si>
    <t>29.05.2024</t>
  </si>
  <si>
    <t>CAST ABORT DUE TO ELECTRICAL FAULT IN CASTER &amp; STOPPER RISE MCB F32, F23, F24 TRIPPED AT 12D5M14 RIO(T/D CAR-2) BECAUSE SHROUD MANIPULATOR PENDENT CABLE SHORT</t>
  </si>
  <si>
    <t xml:space="preserve">Shroud manipulator pendant cable one core found short.	</t>
  </si>
  <si>
    <t>FAULTY CABLE REPLACED WITH NEW ONES AND FRESH CONNECTION DONE</t>
  </si>
  <si>
    <t>TUNDISH SHIFTING &amp; MOULD PENDENT WORK</t>
  </si>
  <si>
    <t>31.05.2024</t>
  </si>
  <si>
    <t>CAST ABORT SHEAR FRAME MOVEMENT PROBLEM , SHEAR FRAME POSITION TRANSDUCER MALFUNTIONING</t>
  </si>
  <si>
    <t xml:space="preserve">SHEAR FRAME CYLINDER MAGNET CIRCLIP BROKEN	</t>
  </si>
  <si>
    <t>SHEAR FRAME CYLINDER REPLACED WITH SPARE CYLINDER</t>
  </si>
  <si>
    <t xml:space="preserve">    01  /00                    11/05/2024</t>
  </si>
  <si>
    <t xml:space="preserve">CAST ABORT DUE TO ET COMMUNICATION FAULT			</t>
  </si>
  <si>
    <t>Why was communication failure occurred?</t>
  </si>
  <si>
    <t>Why was RJ 45 cable malfunctioned?</t>
  </si>
  <si>
    <t xml:space="preserve">ET Communication failure	</t>
  </si>
  <si>
    <t xml:space="preserve">RJ 45 cable malfunctioned	</t>
  </si>
  <si>
    <t xml:space="preserve">Cable found pressed and bend in the cable route	</t>
  </si>
  <si>
    <t>RJ Cable faulty</t>
  </si>
  <si>
    <t xml:space="preserve">Immediate Action : -RJ45 cable replaced from TCS to PLC network switch with spare one and system made ready.	
Future Action :   Network switch to be cleaned in every shutdown.	
Responsibility :  Chandra Bhushan Pandey  
                             </t>
  </si>
  <si>
    <t>1 OF 4</t>
  </si>
  <si>
    <t xml:space="preserve">    01  /00                    17/05/2024</t>
  </si>
  <si>
    <t xml:space="preserve">CASTER-1 CAST START DELAY DUE TO SEGMENT-1 CABLE REPLACEMENT AND  TCS TO MANIFOLD BLOCK CABLE FRESH CONNECTIONS			</t>
  </si>
  <si>
    <t xml:space="preserve">WHY WAS CAST START DELAY	</t>
  </si>
  <si>
    <t xml:space="preserve">WHY WAS CAST START DELAYED?	</t>
  </si>
  <si>
    <t xml:space="preserve">WHY SEGMENT-1 WAS NOT READY	</t>
  </si>
  <si>
    <t xml:space="preserve">WHY WAS SEGMENT-1 CABLE AND TCS TO MANIFOLD BLOCK CABLE  BURNT?	</t>
  </si>
  <si>
    <t xml:space="preserve">CAST START DELAY	</t>
  </si>
  <si>
    <t xml:space="preserve">SEGMENT-1 WAS NOT READY	</t>
  </si>
  <si>
    <t>CABLE BURNT DUE TO MOLTEN METAL FLOWING DUE TO BREAKOUT</t>
  </si>
  <si>
    <t xml:space="preserve">Immediate Action : -SEGMENT-1 CABLE REPLACED WITH SPARE CABLE AND  TCS TO MANIFOLD BLOCK BURNT PART CABLE CUT &amp; FRESH CONNECTIONS DONE.	
Future Action :   ALL CABLES COVERED WITH SLEEVE AND MANIFOLD BLOCK COVERED WITH GLASSWOOL. 	
Responsibility :  Chandra Bhushan Pandey  
                             </t>
  </si>
  <si>
    <t>2 OF 4</t>
  </si>
  <si>
    <t xml:space="preserve">    01  /00                    20/05/2024</t>
  </si>
  <si>
    <t xml:space="preserve">CASTER-1 CAST ABORTED DUE TO MOULD LEVEL HIGH.			</t>
  </si>
  <si>
    <t>WHY CASTER-1 WAS STOPPED?</t>
  </si>
  <si>
    <t xml:space="preserve">WHY CAST WAS ABORTED?	</t>
  </si>
  <si>
    <t xml:space="preserve">WHY MOULD LEVEL WAS HIGH?	</t>
  </si>
  <si>
    <t xml:space="preserve">WHY HAD SRM FAILED?	</t>
  </si>
  <si>
    <t xml:space="preserve">CAST ABORTED	</t>
  </si>
  <si>
    <t xml:space="preserve">MOULD LEVEL HIGH	</t>
  </si>
  <si>
    <t xml:space="preserve">SRM FAILURE	</t>
  </si>
  <si>
    <t xml:space="preserve">SRM STUCK	</t>
  </si>
  <si>
    <t xml:space="preserve">Immediate Action : -SRM cable and connectors checked, no abnormalities found from electrical side.	
Future Action :   SRM to be checked at test stand properly as per SOP.	
Responsibility :  Chandra Bhushan Pandey  
                             </t>
  </si>
  <si>
    <t>3 OF 4</t>
  </si>
  <si>
    <t xml:space="preserve">    01  /00                    23/05/2024</t>
  </si>
  <si>
    <t xml:space="preserve">CAST STOPPED DUE TO TAILOUT ACTIVATED			</t>
  </si>
  <si>
    <t>Why was Cast stopped?</t>
  </si>
  <si>
    <t xml:space="preserve">Why had Tailout signal Activated?	</t>
  </si>
  <si>
    <t xml:space="preserve">Why had Mould Operator pressed the Breakout button?	</t>
  </si>
  <si>
    <t xml:space="preserve"> Tailout signal Activated	</t>
  </si>
  <si>
    <t xml:space="preserve">Mould Operator pressed the Breakout button	</t>
  </si>
  <si>
    <t xml:space="preserve">Mould Level fluctuation observed by Operator	</t>
  </si>
  <si>
    <t xml:space="preserve">Immediate Action : -OS-03 Panel dedusting  done , Breakout, Tailout button elements tightness done	
Future Action :   Breakout, Tailout button elements tightness to be checked &amp; signal feedback to be checked properly to avoid malfuntions.	
Responsibility :  Chandra Bhushan Pandey  
                             </t>
  </si>
  <si>
    <t>4 OF 4</t>
  </si>
  <si>
    <t xml:space="preserve">    01  /00                   04 /05/2024</t>
  </si>
  <si>
    <t xml:space="preserve">CAST ABORT DUE TO E-CLOSE ACTIVATED(MLC PROBLEM)			</t>
  </si>
  <si>
    <t>Why was Cast aborted?</t>
  </si>
  <si>
    <t>Why had Mould level dropped?</t>
  </si>
  <si>
    <t xml:space="preserve">Why had MLC E-close activated?	</t>
  </si>
  <si>
    <t xml:space="preserve">Why had Berthold system malfunctioned?	</t>
  </si>
  <si>
    <t xml:space="preserve">Mould level dropped	</t>
  </si>
  <si>
    <t xml:space="preserve">MLC E-close activated	</t>
  </si>
  <si>
    <t xml:space="preserve">Berthold system malfunctioned	</t>
  </si>
  <si>
    <t xml:space="preserve">Immediate Action : - Scintillation counter replaced with spare one	
Future Action :    In every mould change, scintillation counter cable condition  to be checked.	
Responsibility :  Chandra Bhushan Pandey  
                             </t>
  </si>
  <si>
    <t>1 OF 5</t>
  </si>
  <si>
    <t xml:space="preserve">    01  /00                  08 /05/2024</t>
  </si>
  <si>
    <t xml:space="preserve">CAST ABORT DUE TO ET supervision fault			</t>
  </si>
  <si>
    <t xml:space="preserve">Why ET supervision fault?	</t>
  </si>
  <si>
    <t>Why was MCB F21 tripped at ET12D5M12?</t>
  </si>
  <si>
    <t xml:space="preserve">ET supervision fault	</t>
  </si>
  <si>
    <t xml:space="preserve">MCB F21 tripped at ET12D5M12	</t>
  </si>
  <si>
    <t xml:space="preserve">Immediate Action : - LSG pendant replaced with spare one	
Future Action :    LSG pendant to be replced in every three month. Fusable Terminals to be provided in pendent circuit.	
Responsibility :  Chandra Bhushan Pandey  
                             </t>
  </si>
  <si>
    <t>2 OF 5</t>
  </si>
  <si>
    <t xml:space="preserve">    01  /00                   12 /05/2024</t>
  </si>
  <si>
    <t xml:space="preserve">CAST ABORT DUE TO MLC EMERGENCY CLOSE ACTIVATED AFTER LADDLE OPEN			</t>
  </si>
  <si>
    <t xml:space="preserve">Immediate Action : - Scintillation counter and cable replaced with new one	
Future Action :    In every mould change, scintillation counter cable condition  to be checked &amp; Berthold system to be cleaned in monthly shutdown.	
Responsibility :  Chandra Bhushan Pandey  
                             </t>
  </si>
  <si>
    <t>3 OF 5</t>
  </si>
  <si>
    <t xml:space="preserve">    01  /00                 29 /05/2024</t>
  </si>
  <si>
    <t xml:space="preserve">CAST ABORT DUE TO ET SUPERVISION FAULT			</t>
  </si>
  <si>
    <t>WHY DELAY HAPPENED?</t>
  </si>
  <si>
    <t xml:space="preserve">WHY WAS CAST ABORTED?	</t>
  </si>
  <si>
    <t xml:space="preserve">WHY WAS ET SUPERVISION FAULT?	</t>
  </si>
  <si>
    <t xml:space="preserve">WHY HAD MCB TRIPPED AT ET +12D5M14?	</t>
  </si>
  <si>
    <t xml:space="preserve">ET SUPERVISION FAULT	</t>
  </si>
  <si>
    <t xml:space="preserve">MCB TRIPPED AT ET +12D5M14	</t>
  </si>
  <si>
    <t xml:space="preserve">Shroud manipulator cable one core found short.	</t>
  </si>
  <si>
    <t xml:space="preserve">Immediate Action : - Spare core connected and pendant made ready	
Future Action :    In every sequence break, shroud manipulator cable condition &amp; operation   to be checked.	
Responsibility :  Chandra Bhushan Pandey  
                             </t>
  </si>
  <si>
    <t>4 OF 5</t>
  </si>
  <si>
    <t xml:space="preserve">    01  /00                  31  /05/2024</t>
  </si>
  <si>
    <t xml:space="preserve">CAST ABORT SHEAR FRAME MOVEMENT PROBLEM			</t>
  </si>
  <si>
    <t>why delay happened?</t>
  </si>
  <si>
    <t>WHY HAD SHEAR FRAME POSITION FAILED?</t>
  </si>
  <si>
    <t xml:space="preserve">SHEAR FRAME POSITION FAILURE	</t>
  </si>
  <si>
    <t xml:space="preserve">Immediate Action : - SHEAR FRAME CYLINDER REPLACED WITH SPARE ONE.	
Future Action :    IN EVERY THREE MONTH SHEAR FRAME CYLINDER EPLACED WITH SPARE ONE	
Responsibility :  Chandra Bhushan Pandey  
                             </t>
  </si>
  <si>
    <t>5 OF 5</t>
  </si>
  <si>
    <t>02.06.2024</t>
  </si>
  <si>
    <t>PINCHROLL ENCODER PROBLEM AND WATER NOT COMING AT OPERATOR SIDE TEMPOSONIC BLOCK</t>
  </si>
  <si>
    <t xml:space="preserve">Pinch Roll Brake Faulty	</t>
  </si>
  <si>
    <t xml:space="preserve">PINCH ROLL BRAKE TO BE INSTALLED IN NEXT SHUTDOWN AS PER AVAILABILITY	</t>
  </si>
  <si>
    <t>DISCONTINUED DUE TO PINCHROLL POSITION OUT</t>
  </si>
  <si>
    <t xml:space="preserve">Water Line Nozzle chocked	</t>
  </si>
  <si>
    <t xml:space="preserve">All Nozzzle cleaned.Water &amp; Air Line to be checked at Regular interval for Pinch Roll Position Transducer	</t>
  </si>
  <si>
    <t>CAST ABORT DUE TO SLAB DISCONNECTION ERROR</t>
  </si>
  <si>
    <t xml:space="preserve">DUMMY BAR LIFE IS ELAPSED	</t>
  </si>
  <si>
    <t xml:space="preserve">DUMMY BAR REPLACED BY SPARE ONE	</t>
  </si>
  <si>
    <t>DUMMY BAR CHANGE</t>
  </si>
  <si>
    <t>03.06.2024</t>
  </si>
  <si>
    <t>DUMMY BAR OPERATED USING BYPASS MCB</t>
  </si>
  <si>
    <t>04.06.2024</t>
  </si>
  <si>
    <t>MOULD &amp; SEGMENT CLAMPING ERROR</t>
  </si>
  <si>
    <t>GRID JAM DUE TO CLAMPING ERROR</t>
  </si>
  <si>
    <t>09.06.2024</t>
  </si>
  <si>
    <t>CAST ABORT DUE TO MOULD LEVEL HIGH CAST STOPPED DUE TO AUTO TAIL OUT MOULD LEVEL HIGH (99 %)</t>
  </si>
  <si>
    <t xml:space="preserve">Berthold system cleaning and scintillation counter JB  connections tightness done	</t>
  </si>
  <si>
    <t>DUMMY BAR TRIP</t>
  </si>
  <si>
    <t>11.06.2024</t>
  </si>
  <si>
    <t>CAST ABORT DUE TO MOULD LEVEL DROP</t>
  </si>
  <si>
    <t>22.06.2024</t>
  </si>
  <si>
    <t>CAST ABORT DUE TO HMO FAILURE &amp; AUTO TAIL OUT OCCURED AS SMPS FOR HMO SSI MALFUNCTIONED</t>
  </si>
  <si>
    <t xml:space="preserve">SMPS FAILURE	</t>
  </si>
  <si>
    <t xml:space="preserve">SMPS REPLACED WITH NEW ONE	</t>
  </si>
  <si>
    <t>25.06.2024</t>
  </si>
  <si>
    <t>MOULD BOTTOM  MOTOR DRIVE PROBLEM</t>
  </si>
  <si>
    <t xml:space="preserve">circuit breaker faulty	</t>
  </si>
  <si>
    <t xml:space="preserve">Circiut creaker bus bar tightness done.	</t>
  </si>
  <si>
    <t>26.06.2024</t>
  </si>
  <si>
    <t xml:space="preserve">HMO motor feeder failure	</t>
  </si>
  <si>
    <t xml:space="preserve">HMO motor feeder cleaned &amp; tightness done. moter terminal cable tightness done.	</t>
  </si>
  <si>
    <t xml:space="preserve">    01  /00                    02/06/2024</t>
  </si>
  <si>
    <t xml:space="preserve">CASTER-1 CAST START DELAY DUE TO PINCHROLL MOTOR PROBLEM			</t>
  </si>
  <si>
    <t>WHY WAS CASTER-1 CAST START DELAY?</t>
  </si>
  <si>
    <t xml:space="preserve">Why was Pinch Roll Motor Problem?	</t>
  </si>
  <si>
    <t xml:space="preserve">Why did Pinch Roll Motor Heated?	</t>
  </si>
  <si>
    <t xml:space="preserve">Why did Pinch Roll Brake Jam?	</t>
  </si>
  <si>
    <t xml:space="preserve">Why did Pinch Roll Brake not Opened?	</t>
  </si>
  <si>
    <t xml:space="preserve">Pinch Roll Motor Problem	</t>
  </si>
  <si>
    <t xml:space="preserve">Pinch Roll Motor Heated	</t>
  </si>
  <si>
    <t xml:space="preserve">Pinch Roll Brake Jam	</t>
  </si>
  <si>
    <t xml:space="preserve">Pinch Roll Brake not Opened	</t>
  </si>
  <si>
    <t xml:space="preserve">Immediate Action : -PINCH ROLL BRAKE TO BE INSTALLED IN NEXT SHUTDOWN AS PER AVAILABILITY	
Future Action :   DAMAGED PINCH ROLL BRAKE REMOVED FROM MOTOR &amp; SYSTEM MADE READY	
Responsibility :  Chandra Bhushan Pandey  
                             </t>
  </si>
  <si>
    <t xml:space="preserve">CAST ABORT DUE TO PINCHROLL POSITION ABNORMAL			</t>
  </si>
  <si>
    <t xml:space="preserve">Why was Pinch Roll Position showing abnormal?	</t>
  </si>
  <si>
    <t xml:space="preserve">Why did Pinch Roll Position Transducer got heated?	</t>
  </si>
  <si>
    <t xml:space="preserve">Why was Cooling Water not coming? 	</t>
  </si>
  <si>
    <t xml:space="preserve">Pinch Roll Position abnormal	</t>
  </si>
  <si>
    <t xml:space="preserve">Pinch Roll Position Transducer got heated	</t>
  </si>
  <si>
    <t xml:space="preserve">Cooling Water not coming 	</t>
  </si>
  <si>
    <t xml:space="preserve"> Water Line Nozzle chocked	</t>
  </si>
  <si>
    <t xml:space="preserve">Immediate Action : - All Nozzle cleaned 	
Future Action :    Water &amp; Air Line to be checked at Regular interval for Pinch Roll Position Transducer	
Responsibility :  Chandra Bhushan Pandey  
                             </t>
  </si>
  <si>
    <t xml:space="preserve">CAST ABORT DUE TO SLAB DISCONNECTION ERROR			</t>
  </si>
  <si>
    <t>WHY WAS CAST ABORTED?</t>
  </si>
  <si>
    <t xml:space="preserve">WHY WAS SLAB DISCONNECTION ERROR?	</t>
  </si>
  <si>
    <t>WHY WAS DUMMY BAR NOT IDENTICAL?</t>
  </si>
  <si>
    <t xml:space="preserve">WHY DID SOME PORTION RUBBED?	</t>
  </si>
  <si>
    <t xml:space="preserve">SLAB DISCONNECTION ERROR	</t>
  </si>
  <si>
    <t xml:space="preserve">DUMMY BAR IS NOT IDENTICAL	</t>
  </si>
  <si>
    <t xml:space="preserve">SOME PORTION RUBBED	</t>
  </si>
  <si>
    <t xml:space="preserve">Immediate Action : -DUMMY BAR REPLACED BY SPARE ONE	
Future Action :   DUMMY BAR TO BE REPLACED AS PER LIFE &amp; CONDITIONS	
Responsibility :  Chandra Bhushan Pandey  
                             </t>
  </si>
  <si>
    <t xml:space="preserve">    01  /00                    03/06/2024</t>
  </si>
  <si>
    <t xml:space="preserve">Dummy Bar Replacement			</t>
  </si>
  <si>
    <t xml:space="preserve">WHY DID DUMMY BAR REPLACED?	</t>
  </si>
  <si>
    <t xml:space="preserve">WHY DUMMY BAR IS NOT IDENTICAL?	</t>
  </si>
  <si>
    <t xml:space="preserve">DUMMY BAR REPLACEMENT	</t>
  </si>
  <si>
    <t xml:space="preserve">    01  /00                    22/06/2024</t>
  </si>
  <si>
    <t xml:space="preserve">CAST ABORT DUE TO HMO failure			</t>
  </si>
  <si>
    <t>WHY WAS DELAY HAPPENED?</t>
  </si>
  <si>
    <t xml:space="preserve">WHY  CAST WAS ABORTED?	</t>
  </si>
  <si>
    <t>WHY DID HMO FAIL?</t>
  </si>
  <si>
    <t xml:space="preserve">WHY DID SSI SIGNAL FAIL?	</t>
  </si>
  <si>
    <t xml:space="preserve">HMO FAILURE	</t>
  </si>
  <si>
    <t xml:space="preserve">SSI SIGNAL FAILURE	</t>
  </si>
  <si>
    <t xml:space="preserve">Immediate Action : -SMPS REPLACED WITH NEW ONE	
Future Action :   SMPS VOLTAGE TO BE MONITORED MONTHLY.	
Responsibility :  Chandra Bhushan Pandey  
                             </t>
  </si>
  <si>
    <t xml:space="preserve">    01  /00                    09/06/2024</t>
  </si>
  <si>
    <t xml:space="preserve"> CAST STOPPED DUE TO AUTO TAIL OUT MOULD LEVEL HIGH (99 %)</t>
  </si>
  <si>
    <t>WHY WAS CAST STOPPED?</t>
  </si>
  <si>
    <t xml:space="preserve">Why auto tailout from plc?	</t>
  </si>
  <si>
    <t xml:space="preserve">Cast abort as auto tailout from plc.	</t>
  </si>
  <si>
    <t xml:space="preserve">Mould level reach at 99 %	</t>
  </si>
  <si>
    <t xml:space="preserve">Not conclude	</t>
  </si>
  <si>
    <t xml:space="preserve">Immediate Action : -Berthold system cleaning and scintillation counter JB  connections tightness done	
Future Action :   Cable connecton at Connecting JB and at connector at Scintillation counter to be checked in every sequence Brake.	
Responsibility :  Chandra Bhushan Pandey  </t>
  </si>
  <si>
    <t>1 OF 1</t>
  </si>
  <si>
    <t>uly</t>
  </si>
  <si>
    <t>DISCONTINUED SHEAR FRAME POSITION OUT</t>
  </si>
  <si>
    <t xml:space="preserve">SHEAR FRAME CYLINDER TEMPOSONIC MALFUNCTIONED	</t>
  </si>
  <si>
    <t xml:space="preserve">SHEAR FRAME CYLINDER REPLACED WITH SPARE ONE.	</t>
  </si>
  <si>
    <t>SEGMENT 2 TEMPOSONIC WORK</t>
  </si>
  <si>
    <t>RsTs TEMPOSONIC BLOCK REPLACED WITH GN40 .(GN30 REMOVED)</t>
  </si>
  <si>
    <t>CAST ABORT DUE TO POWER FLUCTUATION ACB TRIPPED AT PCC</t>
  </si>
  <si>
    <t xml:space="preserve">INCOMER-1 ACB's CT failure	</t>
  </si>
  <si>
    <t>INCOMER 1 ACB RACKED OUT AND BUS COUPLER MADE RACKED IN.</t>
  </si>
  <si>
    <t>DELAY FROM CASTER(MOULD LEVEL CALIBERATION WORK)</t>
  </si>
  <si>
    <t>CAST ABORT DUE TO POWER FLUCTUATION</t>
  </si>
  <si>
    <t xml:space="preserve">ACB FAILURE	</t>
  </si>
  <si>
    <t>BUS COUPLER 1 BREAKER REPLACED WITH INCOMER 1 BREAKER BUT TRIPPED AGAIN . BREAKER FROM SMS 1 IS INSTALLED AND MADE READY</t>
  </si>
  <si>
    <t>POWER FLUCTUATION</t>
  </si>
  <si>
    <t>DELAY FROM CASTER DUE TO MOULD DRIVE FAULT &amp; BREAKER CHANGE</t>
  </si>
  <si>
    <t>CAST ABORT DUE TO POWER FLUCTUATIONS</t>
  </si>
  <si>
    <t>FAN SHIFTED TO PCC AND MADE READY</t>
  </si>
  <si>
    <t>19.07.2024</t>
  </si>
  <si>
    <t>BUSBAR TIGHTNESS AND CONTACT DONE AND ACB REPLACED</t>
  </si>
  <si>
    <t>20.07.2024</t>
  </si>
  <si>
    <t>ACB Failure</t>
  </si>
  <si>
    <t>22.07.2024</t>
  </si>
  <si>
    <t>PROBLEM IN ZEROING OF STOPPER IN TUNDISH CAR</t>
  </si>
  <si>
    <t>CA1 CAR2 DURING TRAVEL DRAGCHAIN DAMAGED AND 2 CABLE GOT DAMAGED . SO AR TRAVEL OTOR GETTING TRIPPD. SRM ALL CONTROL CABLE REMOVED AT +11201C03-X3.2 . DAMAGED CABLE REPLACED WITH NEW CABLE .</t>
  </si>
  <si>
    <t>23.07.2024</t>
  </si>
  <si>
    <t>CAST ABORT DUE TO OSCILLATOR HYDRAULIC PUMP TRIP</t>
  </si>
  <si>
    <t>HMO MOTOR 1&amp;2 FEEDER CLEANED AND TIGHTNESS DONE. MOTOR SIDE CONNECTION CHECKED</t>
  </si>
  <si>
    <t>CAST ABORT DUE TO OSCILLATION STOP</t>
  </si>
  <si>
    <t xml:space="preserve">Module malfunctioned	</t>
  </si>
  <si>
    <t>AT MCC-1 ET +11EEMCC1 MODULE (ALL -DO5) REPLACED BY SPARE</t>
  </si>
  <si>
    <t>MOULD PENDENT STOPPER NOT WORKING &amp; CALIBERATION PROBLEM MCW PRESSURE AND FLOW WAS FLUCTUATING</t>
  </si>
  <si>
    <t>MOTOR-1 TAKING 255 A AND MOTOR 2 140 A. MOTOR 3 FEEDER MADE ON . MOTOR AND FEEDER TEMPERATURE - 110 DEG C . MOTOR 1 MADE OFF . COOLER PROVIDED AT MCC-2B FOR FEEDER COOLING</t>
  </si>
  <si>
    <t>24.07.2024</t>
  </si>
  <si>
    <t>CAR-1 SIMULATION DELAY</t>
  </si>
  <si>
    <t>26.07.2024</t>
  </si>
  <si>
    <t>CAST ABORT DUE TO PINCH ROLL DRIVE FAULT AND AUTO TAIL OUT</t>
  </si>
  <si>
    <t xml:space="preserve">NC element malfunctioned at OS-03(I 31.3).	</t>
  </si>
  <si>
    <t>AUTOTAIL OUT OCCURED DUE TO ESTOP ACTIVATED AT OS-3 (SLAB STUCK IN MACHINE) . OS-03 (I31.3) NC ELEMENTS REPLACED WITH NEW ONE.</t>
  </si>
  <si>
    <t>30.07.2024</t>
  </si>
  <si>
    <t>SEGMENT 2 CALIBRATION PROBLEM</t>
  </si>
  <si>
    <t xml:space="preserve">    01  /00                  19/07/2024</t>
  </si>
  <si>
    <t xml:space="preserve">CASTER-1 CAST START DELAY DUE TO Incomer-01 circuit breaker tripped 			</t>
  </si>
  <si>
    <t>Why was Caster-1 cast start delay?</t>
  </si>
  <si>
    <t>Why was Incomer-01 circuit breaker problem?</t>
  </si>
  <si>
    <t xml:space="preserve">Why did circuit breaker heat?	</t>
  </si>
  <si>
    <t xml:space="preserve">Why was Circuit breaker bus bar loose?	</t>
  </si>
  <si>
    <t xml:space="preserve">Incomer-01 circuit breaker problem	</t>
  </si>
  <si>
    <t xml:space="preserve">circuit breaker heated	</t>
  </si>
  <si>
    <t xml:space="preserve">Circuit breaker bus bar loose	</t>
  </si>
  <si>
    <t xml:space="preserve">Immediate Action : -Circuit breaker replaced &amp; system made ready	
Future Action :   Circuit breaker maintainance to be done in every quarter.	
Responsibility :  Chandra Bhushan Pandey  
                             </t>
  </si>
  <si>
    <t xml:space="preserve">    01  /00                   23 /07/2024</t>
  </si>
  <si>
    <t xml:space="preserve">HMO motor-2 problem			</t>
  </si>
  <si>
    <t>Why was delay happened?</t>
  </si>
  <si>
    <t>Why did Hmo motor-2 stop?</t>
  </si>
  <si>
    <t xml:space="preserve">Why was HMO motor-2 feeder problem?	</t>
  </si>
  <si>
    <t xml:space="preserve">Hmo motor-2 stopped	</t>
  </si>
  <si>
    <t xml:space="preserve">HMO motor-2 feeder problem	</t>
  </si>
  <si>
    <t xml:space="preserve">HMO motor-2 feeder side control supply missing .	</t>
  </si>
  <si>
    <t xml:space="preserve">Immediate Action : -HMO motor feeder cleaned &amp; tightness done. moter terminal cable tightness done.	
Future Action :   Motor feeder cleaning &amp; tightness done at regular interval.	
Responsibility :  Chandra Bhushan Pandey  
                             </t>
  </si>
  <si>
    <t xml:space="preserve">    01  /00                    23/07/2024</t>
  </si>
  <si>
    <t xml:space="preserve">Cast aborted due to oscillation stopped.			</t>
  </si>
  <si>
    <t xml:space="preserve">Why was Cast aborted?	</t>
  </si>
  <si>
    <t xml:space="preserve">Why did Mould oscillation stop?	</t>
  </si>
  <si>
    <t xml:space="preserve">Why did HMO motor-1 stop?	</t>
  </si>
  <si>
    <t xml:space="preserve">Cast aborted 	</t>
  </si>
  <si>
    <t xml:space="preserve">Mould oscillation stopped	</t>
  </si>
  <si>
    <t xml:space="preserve">HMO motor-1 stopped	</t>
  </si>
  <si>
    <t xml:space="preserve">Immediate Action : -Module(A11-05) replaced at ET+11EEMCC1	
Future Action :   Motor feeder cleaning &amp; tightness done at regular interval.	
Responsibility :  Chandra Bhushan Pandey  
                             </t>
  </si>
  <si>
    <t xml:space="preserve">    01  /00                  26/07/2024</t>
  </si>
  <si>
    <t xml:space="preserve">CAST ABORT DUE TO PINCH ROLL DRIVE FAULT AND AUTO TAIL OUT			</t>
  </si>
  <si>
    <t xml:space="preserve">Why did Pinch roll drive trip?	</t>
  </si>
  <si>
    <t xml:space="preserve">Why did Slab stick in machine?	</t>
  </si>
  <si>
    <t xml:space="preserve">Why did Auto-tail out occurr?	</t>
  </si>
  <si>
    <t xml:space="preserve">Why was  E-stop activated from OS-03.	</t>
  </si>
  <si>
    <t xml:space="preserve">Pinch roll drive tripped.	</t>
  </si>
  <si>
    <t xml:space="preserve">Slab stuck in machine	</t>
  </si>
  <si>
    <t xml:space="preserve">Auto-tail out occurred.	</t>
  </si>
  <si>
    <t xml:space="preserve">E-stop activated from OS-03.	</t>
  </si>
  <si>
    <t xml:space="preserve">NC element malfunctioned at OS-03(I 31.3)
		</t>
  </si>
  <si>
    <t xml:space="preserve">Immediate Action : -At OS -03(I 31.3) push button NC element replaced.	
Future Action :   OS-03 to be cleaned &amp; tightness at regular interval.	
Responsibility :  Chandra Bhushan Pandey  
                             </t>
  </si>
  <si>
    <t xml:space="preserve">    01  /00                   07 /07/2024</t>
  </si>
  <si>
    <t xml:space="preserve">WHY WAS SHEAR FRAME POSITION FAILURE?	</t>
  </si>
  <si>
    <t xml:space="preserve">Immediate Action : -SHEAR FRAME CYLINDER REPLACED WITH SPARE ONE.	
Future Action :   IN EVERY THREE MONTH SHEAR FRAME CYLINDER EPLACED WITH SPARE ONE	
Responsibility :  Chandra Bhushan Pandey  
                             </t>
  </si>
  <si>
    <t xml:space="preserve">    01  /00                  13  /07/2024</t>
  </si>
  <si>
    <t xml:space="preserve">CAST ABORT DUE TO POWER FAILURE			</t>
  </si>
  <si>
    <t xml:space="preserve">WHY WAS POWER FAILURE?	</t>
  </si>
  <si>
    <t xml:space="preserve">WHY WAS INCOMER-1 ACB TRIPPED?	</t>
  </si>
  <si>
    <t xml:space="preserve">CAST ABORTED.	</t>
  </si>
  <si>
    <t xml:space="preserve">POWER FAILURE.	</t>
  </si>
  <si>
    <t xml:space="preserve">INCOMER-1 ACB TRIPPED.	</t>
  </si>
  <si>
    <t>CURRENT TRANSFORMER FAILURE	.</t>
  </si>
  <si>
    <t xml:space="preserve">Immediate Action : -Incomer-1 ACB replaced with spare one	
Future Action :   Air circuit breeaker maintenance to be done yearly shutdown.	
Responsibility :  Chandra Bhushan Pandey  
                             </t>
  </si>
  <si>
    <t xml:space="preserve">    01  /00                    18/07/2024</t>
  </si>
  <si>
    <t xml:space="preserve">POWER FAILURE	</t>
  </si>
  <si>
    <t xml:space="preserve">INCOMER-1 ACB TRIPPED	</t>
  </si>
  <si>
    <t xml:space="preserve">    01  /00                    20/07/2024</t>
  </si>
  <si>
    <t xml:space="preserve">Immediate Action : -Busbar tightness done and Incomer-1 ACB contact kit replaced with spare one	
Future Action :   Air circuit breeaker maintenance to be done yearly shutdown.	
Responsibility :  Chandra Bhushan Pandey  
                             </t>
  </si>
  <si>
    <t>ZEROING PROBLEM</t>
  </si>
  <si>
    <t>DISCONTINUED TURRET POSITIONING PROBLEM</t>
  </si>
  <si>
    <t xml:space="preserve">Encoder Shaft coupling malfunctioning	</t>
  </si>
  <si>
    <t>CA-1 L/T MOTOR TURRET , INCREMENTAL ENCODER CONNECTION CHECKED ALONG WITH COUPLING.</t>
  </si>
  <si>
    <t>Tanmaya Das</t>
  </si>
  <si>
    <t>STEAM EXHAUST FAN NOT STARTED</t>
  </si>
  <si>
    <t xml:space="preserve">STEAM EXHAUST MOTOR FEEDER MADE READY </t>
  </si>
  <si>
    <t>TUNDISH CAR MOVING DRIVE FAULT</t>
  </si>
  <si>
    <t>MOULD DRIVE FAULT</t>
  </si>
  <si>
    <t>T/D CAR -1 TRAVEL DRIVE FUSE CONNECTED AND TRIAL TAKEN.</t>
  </si>
  <si>
    <t>DELAY FROM CASTER</t>
  </si>
  <si>
    <t>CA-2 SEG-1 RSBS BURNT CABLE REPLACED WITH SPARE ONE.</t>
  </si>
  <si>
    <t>CAST ABORT DUE TO LADLE TURRET ROTATION PROBLEM &amp; LANCING</t>
  </si>
  <si>
    <t xml:space="preserve">Limit Switch malfunctioned	</t>
  </si>
  <si>
    <t xml:space="preserve">CA-1 L/T limit switch tightness done, replacement done in subsequent shift	</t>
  </si>
  <si>
    <t xml:space="preserve">SEGMENT-1 BLOCK CHANGE </t>
  </si>
  <si>
    <t>CA-2 SEG-1 (OS) TEMPOSONIC BLOCK PIN FOUND BROKEN.TEMPOSONIC BLOCK REPAIRED WITH SPARE BLOCK AND MADE READY</t>
  </si>
  <si>
    <t>CAST ABORT DUE TO MOULD OVERFLOW</t>
  </si>
  <si>
    <t xml:space="preserve">Push button malfunctionig	</t>
  </si>
  <si>
    <t xml:space="preserve">Fresh Connection was done at OS-03 panel	</t>
  </si>
  <si>
    <t>MOULD OVERFLOW (METAL JAM IN MACHINE)</t>
  </si>
  <si>
    <t>CAST ABORT DUE TO MOULD LEVEL DROPPED</t>
  </si>
  <si>
    <t>CA-1 HMO SERVO VALVE ,LEFT SIDE CABLE REPLACED BY SPARE ONE AS CABLE WAS BURNT.CA-1 YD-15 (MOULD WATER INLET THERMOCOUPLE)ACNEL FOUND BURNT FROM MIDDLE . SO THE BURNT PORTION WAS CUT AND FRESH CONNECTION WAS DONE.</t>
  </si>
  <si>
    <t>DURING  DUMMYBAR  INSERTION THREE TIMES DUMMYBAR STOPPED</t>
  </si>
  <si>
    <t>CA-2 DUMMY BAR DIDN'T OPERATE IN AUTO, SO AGAIN OPERATED IN BYPASS USING MCB</t>
  </si>
  <si>
    <t>ZEROING PROBLEM ; ZEROING NOT PROPERLY OPERATED AT CAR1</t>
  </si>
  <si>
    <t>ACKNOWLEDGE DONE FROM HMI, TRIALS TAKEN AND WORKING PROPERLY</t>
  </si>
  <si>
    <t xml:space="preserve">CAST ABORT DUE TO AMLC FAULT &amp; DUE TO COMMUNICATION FAILURE </t>
  </si>
  <si>
    <t xml:space="preserve">Communication failure 	</t>
  </si>
  <si>
    <t>PROFIBUS AND CABLE TIGHTNESS DONE AT +1205M12</t>
  </si>
  <si>
    <t xml:space="preserve">TEMPOSONIC CHANGE IN SEGMENT -1 </t>
  </si>
  <si>
    <t xml:space="preserve">    01  /00                    01/08/2024</t>
  </si>
  <si>
    <t xml:space="preserve">DISCONTINUED TURRET POSITIONING PROBLEM			</t>
  </si>
  <si>
    <t>Why was Turret not showing correct position?</t>
  </si>
  <si>
    <t xml:space="preserve">Why was Ladle Turret Degree Not Displaying Accurate Value?	</t>
  </si>
  <si>
    <t xml:space="preserve">Why was Incremental encoder coupling loose? 	</t>
  </si>
  <si>
    <t xml:space="preserve">Ladle Turret Degree Not Displaying Accurate Value	</t>
  </si>
  <si>
    <t xml:space="preserve">Incremental encoder coupling loose 	</t>
  </si>
  <si>
    <t xml:space="preserve">Wear and tear on the encoder shaft or coupling	</t>
  </si>
  <si>
    <t xml:space="preserve">Immediate Action : -CA-1 L/T TURRET  MOTOR , INCREMENTAL ENCODER CONNECTION CHECKED ALONG WITH COUPLING.	
Future Action :   CA-1 L/T TURRET MOTOR  , INCREMENTAL ENCODER CONNECTION TO BE CHECKED QUARTERLY.	
Responsibility :  Chandra Bhushan Pandey  
                             </t>
  </si>
  <si>
    <t>1 OF 3</t>
  </si>
  <si>
    <t xml:space="preserve">    01  /00                    12/08/2024</t>
  </si>
  <si>
    <t xml:space="preserve">CAST ABORT DUE TO LADLE TURRET ROTATION PROBLEM &amp; LANCING			</t>
  </si>
  <si>
    <t xml:space="preserve">Why Laddle Turret did not rotate?	</t>
  </si>
  <si>
    <t xml:space="preserve">Why Unlocking did not happen in Auto?	</t>
  </si>
  <si>
    <t>Why was Limit Switch lever malfunctioned?</t>
  </si>
  <si>
    <t xml:space="preserve">Laddle Turret did not rotate	</t>
  </si>
  <si>
    <t xml:space="preserve">Unlocking did not happen in Auto	</t>
  </si>
  <si>
    <t xml:space="preserve">Limit Switch lever malfunctioned	</t>
  </si>
  <si>
    <t xml:space="preserve">Immediate Action : -CA-1 L/T limit switch tightness done, replacement done in subsequent shift	
Future Action :   Laddle turret limit switch to be checked at every shutdown	
Responsibility :  Chandra Bhushan Pandey  
                             </t>
  </si>
  <si>
    <t>2 OF 3</t>
  </si>
  <si>
    <t xml:space="preserve">    01  /00                    17/08/2024</t>
  </si>
  <si>
    <t>Why Turndish emergency Slide gate did not operate?</t>
  </si>
  <si>
    <t xml:space="preserve">Why was T/D emergency Push Button Malfnctioned?	</t>
  </si>
  <si>
    <t>Why P/B NC element was not giving feedback?</t>
  </si>
  <si>
    <t xml:space="preserve">Turndish emergency Slide gate did not operate	</t>
  </si>
  <si>
    <t xml:space="preserve">T/D emergency Push Button Malfnctioned	</t>
  </si>
  <si>
    <t xml:space="preserve">P/B NC element was not giving feedback	</t>
  </si>
  <si>
    <t xml:space="preserve">Push button malfunctioned	</t>
  </si>
  <si>
    <t xml:space="preserve">Push button malfunctioning	</t>
  </si>
  <si>
    <t xml:space="preserve">Immediate Action : -Fresh Connection was done at OS-03 panel	
Future Action :   Panel Dedusting to be done at every shutdown	
Responsibility :  Chandra Bhushan Pandey  
                             </t>
  </si>
  <si>
    <t>3 OF 3</t>
  </si>
  <si>
    <t xml:space="preserve">    01  /00                    31/08/2024</t>
  </si>
  <si>
    <t xml:space="preserve">CAST ABORT DUE TO AMLC FAULT &amp; DUE TO COMMUNICATION FAILURE 			</t>
  </si>
  <si>
    <t xml:space="preserve">Why did mould level drop?	</t>
  </si>
  <si>
    <t>Why was E-closed activated?</t>
  </si>
  <si>
    <t xml:space="preserve">Cast stop as mould level dropped.	</t>
  </si>
  <si>
    <t xml:space="preserve">Mould level droped as E-closed activated,	</t>
  </si>
  <si>
    <t xml:space="preserve">E-closed activated beacause of communication failure from +12D5M12	</t>
  </si>
  <si>
    <t xml:space="preserve">Immediate Action : -PROFIBUS AND CABLE TIGHTNESS DONE AT +1205M12	
Future Action :   Network cable and strength of communication network to be checked by Profitrace tool in Every 3 month	
Responsibility :  Chandra Bhushan Pandey  </t>
  </si>
  <si>
    <t>Nameof Key Member: 1. Chandra Bhusan Pandey, 2. Prashant O. Chavan, 3. Tanmaya Das</t>
  </si>
  <si>
    <r>
      <rPr>
        <b/>
        <i/>
        <sz val="10"/>
        <color rgb="FF000000"/>
        <rFont val="Verdana"/>
      </rPr>
      <t xml:space="preserve">D1: </t>
    </r>
    <r>
      <rPr>
        <b/>
        <sz val="10"/>
        <color rgb="FF000000"/>
        <rFont val="Verdana"/>
      </rPr>
      <t>Form team to solve the problem ( Why,when,where,how,what,who) : Name of team members: 1.Chandra Bhusan Pandey, 2. Prashant O. Chavan, 3.Tanmaya Das</t>
    </r>
  </si>
  <si>
    <t>Drive PLC Fault</t>
  </si>
  <si>
    <t xml:space="preserve">1. Heat returned to L.F. 
2. As one of the CP (Rack 16) showing fault, so the CP replaced with new one.  
3. Programs downloaded, and system made ready.
4. Holes matched and new bolts inserted. 
5. Some permissive was not showing so checked and found the online DB are missing, so the online DB downloaded from backup of DRV &amp; BWA PLC.  
6. Trial taken and clearance given for heat.  
7. Casting started.  </t>
  </si>
  <si>
    <t xml:space="preserve">Question-Why cast start delay ? </t>
  </si>
  <si>
    <t>Ans- Drive PLC CPU goes to OFF mode</t>
  </si>
  <si>
    <t>Question- Why Drive PLC goes to off mode?</t>
  </si>
  <si>
    <t>Caster -1</t>
  </si>
  <si>
    <t>Answer- CP (Rack 16) showing fault</t>
  </si>
  <si>
    <t>CAST ABORT DUE TO DUMMYBAR TRACKING FAILURE; D/B TRIPPED AND SLAB STUCK IN MACHINE,BENDING ROLL OPERATED DUE TO DISCONNECTION ERROR (DISCONNECTION PROXY HIGH );METALS COME IN FRONT OF PROXY D/B HEAD BROKEN.</t>
  </si>
  <si>
    <t>Slab with Dummy bar stucked at position and tracking continued due to pinch roll motor rotating.</t>
  </si>
  <si>
    <t>Proximity sensors cleaned and pinch roll motor encoders checked.</t>
  </si>
  <si>
    <t>HMO NOT READY</t>
  </si>
  <si>
    <t>CABLE TIGHNESS DONE AT PLC-1, SIMULATION TAKEN AND MACHINE MADE READY.</t>
  </si>
  <si>
    <t>DUMMY BAR PROBLEM</t>
  </si>
  <si>
    <t>DUMMY BAR OPERATED USING MCB. DUMMY BAR PROXY MADE CLEAN AND MACHINE MADE READY</t>
  </si>
  <si>
    <t xml:space="preserve">SEGMENT -1 CLAMPING ERROR; SEG-1 LEFT BOTTOM POSITION SHOWED AN OFFSET VALUE OF 50 </t>
  </si>
  <si>
    <t>SEG-1 LEFT BOTTOM TEMPOSONIC BLOCK AND CABLE REPLACED BY SPARE.</t>
  </si>
  <si>
    <t>RECTIFIER CHANGE (CARD CHANGE )</t>
  </si>
  <si>
    <t>AMLC &amp; DUMMY BAR PUSH BUTTON AND MOULD DRIVE PROBLEM</t>
  </si>
  <si>
    <t>RELAY RSETTING DONE IN SEQUENCE BREAK.FRESH CONNECTION DONE AT MOLD JB.</t>
  </si>
  <si>
    <t>RECTIFIER CHANGE(CASTER TURRET) FAULT F006 &amp;F010 ERROR WERE DETECTED</t>
  </si>
  <si>
    <t xml:space="preserve">CAST FLOOR RECTIFIER UNIT REPLACED WITH SPARE ONE </t>
  </si>
  <si>
    <t>SEGMENT-2 BLOCK CHANGE. SEG-2 SHOWED CLAMPING ERROR</t>
  </si>
  <si>
    <t>SEG- 2 RIGHT TOP BLOCK CHANGED WITH SPARE ONE.FLUSHING DONE .ALL SIDES PRESSURE SHOWING ZERO .BLOCKING VALVE WAS NOT OPERATED BECAUSE OF SOLENOID COIL FAULTY. COIL REPLACED WITH NEW ONE.</t>
  </si>
  <si>
    <t>DELAY FROM CASTER(MOULD NOT READY) MOULD NO- 9 RIGHT BOTTOM TRIPPED WITH SWITCHING ERROR (33)</t>
  </si>
  <si>
    <t>MOULD MOTOR'S CABLE CONNECTOR AND PIN CLEANED BY CRC AND JB SIDE CONNECTOR CLEANED WITH CRC</t>
  </si>
  <si>
    <t>DELAY FROM CASTER(SEGMENT NOT READY).SEG-2 RIGHT BOTTOM BLOCK FOUND PIN INSERTED.SEG-3 RIGHT TOP CABLE COULD NOT BE CONNECTED .</t>
  </si>
  <si>
    <t>SEG-2 RIGHT BOTTOM BLOCK REPLACED WITH SPARE ONE.SEG- 3 RIGHT TOP BLOCK REPLACED WITH SPARE ONE.</t>
  </si>
  <si>
    <t>DELAY FROM CASTER(MOULD NOT READY)</t>
  </si>
  <si>
    <t>CONNECTION CHECKED AT CONNECTING JB .CLEANING WITH CRC AND TIGHTNESS DONE</t>
  </si>
  <si>
    <t>BOPS  MOULD CHANGE</t>
  </si>
  <si>
    <t>DRIVE PLC FAULT</t>
  </si>
  <si>
    <t>CP, PLC power supply unit ,memory card and batteries replaced with spare ones. Program downloaded</t>
  </si>
  <si>
    <t>DRIVE PLC GOES OFF MODE AND ALL SYSTEM STOPPED WORKING.CP REPLACED WITH SPARE ONE.STILL THE FAULT PERSIST.PLC POWER SUPPLY REPLACED WITH NEW BATTERIES.STILL THE FAULT SHOWING . MEMORY(RAM) REPLACED WITH NEW ONE.ONLINE DB DOWNLOADED FROM BACKUP OF DRIVE PLC AND BWA PLC AND MACHINE MADE READY.CA-1 DRIVE PLC PLC RACK , CPU AND CP REPLACED WITH SPARE ONE.DRIVE PLC MADE READY BY UPLOADING THE BACKUP.</t>
  </si>
  <si>
    <t>CAST ABORT DUE TO DRIVE PLC FAULT</t>
  </si>
  <si>
    <t>CAST ABORT  DUE TO MOULD LEVEL DROP</t>
  </si>
  <si>
    <t>Root cause not concluded</t>
  </si>
  <si>
    <t>Contactor connecting E-close is activated to BAS (K11 NO - contact)  to be checked in shutdown</t>
  </si>
  <si>
    <t>SEPARATE SUPPLY GIVEN TO DRIVE PLC PANEL THROUGH MCB</t>
  </si>
  <si>
    <t>CAST ABORT DUE TO SHEAR FRAME POSITION OUT</t>
  </si>
  <si>
    <t>Eccentric shaft rotation feedback delayed by nnearly 0.3 secs in every cut failure incident.Further analysis underway to fix the root cause.</t>
  </si>
  <si>
    <t>Frame voltage reduced to synchronise casting speed and degree of rotation.Accumulator and clutch and brake valves connection checked and fresh connection done.  By Mechanical accumulator and clutch Brake operating valve replaced with spare one.</t>
  </si>
  <si>
    <t>SEGMENT-3 BLOCK CHANGE</t>
  </si>
  <si>
    <t>TUNDISH CAR  HEAD ADJUSTMENT</t>
  </si>
  <si>
    <t>CALIBRATION DONE BY ELECTRICAL</t>
  </si>
  <si>
    <t>CASTER STRAND RECTIFIER DAMAGE</t>
  </si>
  <si>
    <t>1 DC link fuse and 1 thyristor within the rectifier bridge got damaged</t>
  </si>
  <si>
    <t>Rectifier unit replaced with spare one.</t>
  </si>
  <si>
    <t xml:space="preserve">    01  /00                    21/09/2024</t>
  </si>
  <si>
    <t>Why cast aborted?</t>
  </si>
  <si>
    <t>Why drive PLC goes in stop mode?</t>
  </si>
  <si>
    <t>why communication failed?</t>
  </si>
  <si>
    <t>Drive PLC goes in stop mode</t>
  </si>
  <si>
    <t>Communication Failure</t>
  </si>
  <si>
    <t>CP(Communication Processor Rack - 16)  faulty</t>
  </si>
  <si>
    <t xml:space="preserve">CP(Communication Processor) faulty
</t>
  </si>
  <si>
    <t xml:space="preserve">Immediate Action : -CP, PLC power supply unit ,memory card and batteries replaced with spare ones. Program downloaded.
Future Action :   PLC batteries to be monitored weekly as scheduled.PLC bachup to be taken in every quarter or after program modification.
Responsibility :  Chandra Bhushan Pandey  
                             </t>
  </si>
  <si>
    <t xml:space="preserve">    01  /00                    22/09/2024</t>
  </si>
  <si>
    <t>320+230</t>
  </si>
  <si>
    <t>CP(Communication Processor Rack - 14) and Drive PLC CPU  faulty</t>
  </si>
  <si>
    <t xml:space="preserve">CP(Communication Processor Rack - 14) and Drive PLC CPU  faulty
</t>
  </si>
  <si>
    <t xml:space="preserve">Immediate Action : -Drive PLC CPU,CP(rack-14)&amp; PLC Rack replaced with spare ones. Program downloaded.
Future Action :   PLC batteries to be monitored weekly as scheduled.PLC backup to be taken in every quarter or after program modification. Status of PLC network to be monitored in every quarter using profibus diagnosis tool.
Responsibility :  Chandra Bhushan Pandey  
                             </t>
  </si>
  <si>
    <t xml:space="preserve">    01  /00                  23/09/2024</t>
  </si>
  <si>
    <t>Why Mould level dropped?</t>
  </si>
  <si>
    <t>Why emergency signal activated ?</t>
  </si>
  <si>
    <t>cast aborted due to drop in mould level</t>
  </si>
  <si>
    <t>Emergency signal activated from TCS system</t>
  </si>
  <si>
    <t>Root Cause not concluded</t>
  </si>
  <si>
    <t xml:space="preserve">Immediate Action : - 
Future Action : - Contactor connecting E-close is activated to BAS (K11 NO - contact)  to be checked in shutdown
Responsibility :  Chandra Bhushan Pandey                  </t>
  </si>
  <si>
    <t xml:space="preserve">    01  /00                  23  /09/2024</t>
  </si>
  <si>
    <t>445 +145</t>
  </si>
  <si>
    <t>Why Conecting node at CP (slot-16) was faulty?</t>
  </si>
  <si>
    <t>PLC communication failed because conecting node at CP (slot-16) was faulty</t>
  </si>
  <si>
    <t xml:space="preserve">PLC communication failed because conecting node at CP (slot-16) was faulty
</t>
  </si>
  <si>
    <t xml:space="preserve">Immediate Action : - Isolated the connecting node(Mould Test Stand Drive) from Drive PLC network.
Future Action :   PLC batteries to be monitored weekly as scheduled.PLC backup to be taken in every quarter or after program modification. Status of PLC network to be monitored in every quarter using profibus diagnosis tool.
Responsibility :  Chandra Bhushan Pandey  
                             </t>
  </si>
  <si>
    <t xml:space="preserve"> 4 OF 5</t>
  </si>
  <si>
    <t xml:space="preserve">    01  /00                   24 /09/2024</t>
  </si>
  <si>
    <t>Why cast Aborted?</t>
  </si>
  <si>
    <t>why Slab stucked at shear?</t>
  </si>
  <si>
    <t>why shaft movement was slower?</t>
  </si>
  <si>
    <t>Why disarray in the timing of clutch engagement and brake engagement response occured?</t>
  </si>
  <si>
    <t>Slab stuck at Shear</t>
  </si>
  <si>
    <t>Frame movement response was faster than shear shaft movement and shaft movement started slower.</t>
  </si>
  <si>
    <t>The timing of clutch engagement and brake disengagement response was not proper.(Delay in feedback)</t>
  </si>
  <si>
    <t>Eccentric shaft rotation feedback delayed by nearly 0.3 secs in every cut failure incident.Further analysis underway to fix the root cause.</t>
  </si>
  <si>
    <t xml:space="preserve">Immediate Action : -Frame voltage adjusted .
Future Action :   Every Shear cut to be monitored
Responsibility :  Chandra Bhushan Pandey  
                             </t>
  </si>
  <si>
    <t xml:space="preserve"> 5 OF 5</t>
  </si>
  <si>
    <t xml:space="preserve">    01  /00                   02 /09/2024</t>
  </si>
  <si>
    <t>Why tracking failed?</t>
  </si>
  <si>
    <t>Why tracking continued?</t>
  </si>
  <si>
    <t xml:space="preserve">Cast aborted due to dummy bar tracking failure </t>
  </si>
  <si>
    <t xml:space="preserve">Slab with Dummy bar stucked at position and tracking continued </t>
  </si>
  <si>
    <t>Pinch roll motor rotated (with high current )</t>
  </si>
  <si>
    <t xml:space="preserve">Immediate Action : -  Proximity sensors cleaned and pinch roll motor encoders checked.
Future Action :   Proximity sensors signals to be monitored and proxmity sensors to be cleaned in every sequence break.
Responsibility :  Chandra Bhushan Pandey  
                             </t>
  </si>
  <si>
    <t xml:space="preserve"> 1 OF 3</t>
  </si>
  <si>
    <t xml:space="preserve">    01  /00                   14 /09/2024</t>
  </si>
  <si>
    <t>Why cast floor RRU tripped?</t>
  </si>
  <si>
    <t>Why F006 and F010 fault occurred?</t>
  </si>
  <si>
    <t xml:space="preserve">Why DC bus overvoltage and phase failure in regenerative bridge occurred?
</t>
  </si>
  <si>
    <t>Cast floor RRU (rectififier Regenerative Unit) tripped</t>
  </si>
  <si>
    <t>F006 and F010 fault occured</t>
  </si>
  <si>
    <t>DC bus overvoltage and phase failure in regenerative bridge.</t>
  </si>
  <si>
    <t>Power control card malfunctioned.</t>
  </si>
  <si>
    <t xml:space="preserve">Power control card malfunctioned.
</t>
  </si>
  <si>
    <t xml:space="preserve">Immediate Action : - RRU unit replaced and power control card replaced.
Future Action :   Resistance value and checking for ground by Multimeter. Cleaning and dedusting to be done in every shutdown.
Responsibility :  Chandra Bhushan Pandey  
                             </t>
  </si>
  <si>
    <t xml:space="preserve"> 2 OF 3</t>
  </si>
  <si>
    <t xml:space="preserve">    01  /00                   29 /09/2024</t>
  </si>
  <si>
    <t>Why cast machine drives were not working?</t>
  </si>
  <si>
    <t>Why cast machine rectifier tripped?</t>
  </si>
  <si>
    <t>Why Fault F031 occured?</t>
  </si>
  <si>
    <t>Emergency activated by operator due to mould level fluctuation and cast machine drives stopped working.</t>
  </si>
  <si>
    <t>cast machine rectifier tripped.</t>
  </si>
  <si>
    <t>cast machine rectifier tripped due to fault F031</t>
  </si>
  <si>
    <t xml:space="preserve">1 DC link fuse and 1 thyristor within the rectifier bridge got damaged  </t>
  </si>
  <si>
    <t xml:space="preserve">1 DC link fuse and 1 thyristor within the rectifier bridge got damaged  
</t>
  </si>
  <si>
    <t xml:space="preserve">Immediate Action : - DClink and Thyristor replaced with spare one.
Future Action :    Resistance value and checking for ground by Multimeter. Cleaning and dedusting to be done in every shutdown.
Responsibility :  Chandra Bhushan Pandey  
                             </t>
  </si>
  <si>
    <t xml:space="preserve"> 3 OF 3</t>
  </si>
  <si>
    <t>DISCONTINUED DUE TO WIDTH CHANGE PROBLEM(TAPER ASSYMETRIC)</t>
  </si>
  <si>
    <t>Mould Motor were working properly from electrical side.</t>
  </si>
  <si>
    <t>CAR-4 Srm connecting JB Harting connector  melted because of sen preheater. MCB f22 and f12 tripped at tcs panel because of short circuit</t>
  </si>
  <si>
    <t>Fresh Connection done at jB replacing all harting connectors and pin. SRM 1&amp;2 power isolation done with separate MCBs which were installed in tcs panel.</t>
  </si>
  <si>
    <t>WIDTH AND TAPPER ADJUSTMENT</t>
  </si>
  <si>
    <t>DISCONTINUED DUE TO PINCH ROLL MOTOR CHANGE (P/R MOTOR TAKING HIGH CURRENT AND TRIPPED)</t>
  </si>
  <si>
    <t xml:space="preserve">Motor Winding shorted with body </t>
  </si>
  <si>
    <t>Pinch roll motor replaced with spare one and machine made ready. Vibration monitoring to be done.</t>
  </si>
  <si>
    <t>SEN EMERGENCY CHOP PLATE NOT WORKING</t>
  </si>
  <si>
    <t>TUNDISH CAR MOVEMENT PROBLEM &amp; MOULD TAPER RISE</t>
  </si>
  <si>
    <t>F011 fault occurred due to overcurrent threshold exceeded.</t>
  </si>
  <si>
    <t xml:space="preserve"> After breakout field tundish removed by crane and track cleaning done .Trial taken and car removed from cast position to heat position.</t>
  </si>
  <si>
    <t>CAST ABORT DUE TO ELECTRICAL FAULT(STRAND GUIDE RECTIFIER FAULT).CAST MACHINE RECTIFIER TRIPPED WITH FAULT F103(GROUND/THYRISTOR FAULT).</t>
  </si>
  <si>
    <t xml:space="preserve">crop removal drive tripped with fault F008 (DC bus Undervoltage)		</t>
  </si>
  <si>
    <t xml:space="preserve"> Crop removal drive replaced with spare one</t>
  </si>
  <si>
    <t>CAST ABORT DUE TO STRAND GUIDE RECTIFIER TRIP</t>
  </si>
  <si>
    <t>F033 fault occured due to CT damaged.</t>
  </si>
  <si>
    <t xml:space="preserve"> RRU(rectifier Regenerative Unit) replaced with spare one. </t>
  </si>
  <si>
    <t>DELAY SEGMENT CALLIBRATION ISSUE</t>
  </si>
  <si>
    <t>Signal cable conecting from JB to manifold block was faulty.</t>
  </si>
  <si>
    <t>Segment cable from Position transducer to manifold block replaced with spare one.Segment block replaced with spare one.
Signal cable connecting from JB to manifold block replaced with spare one.</t>
  </si>
  <si>
    <t>MOULD PENDENT PROBLEM</t>
  </si>
  <si>
    <t>Mould pendent changed with spare one</t>
  </si>
  <si>
    <t>CAST ABORT DUE TO PINCH ROLL TRIPPED</t>
  </si>
  <si>
    <t xml:space="preserve"> one core was open within the connection at the joint (proximity sensor)</t>
  </si>
  <si>
    <t>Dummy bar proxy cleaned and connection done</t>
  </si>
  <si>
    <t>SEGMENT -3 BLOCK CHANGE</t>
  </si>
  <si>
    <t>connection within JB faulty.</t>
  </si>
  <si>
    <t>Fresh connection done at jJB and temposonic block replaced with spare one.</t>
  </si>
  <si>
    <t>CAST ABORT DUE TO STAND GUIDE DRIVE STOP</t>
  </si>
  <si>
    <t>Cast machine rectifier made ready  for clearing stuck slab in machine.Cast machine rectifier control card was exchanged with cast floor rectifier control card for further observation</t>
  </si>
  <si>
    <t>SCHINTILATION COUNTER &amp; CABLE CHANGE(AMLC FAULT)</t>
  </si>
  <si>
    <t>Scintillation cable was faulty</t>
  </si>
  <si>
    <t xml:space="preserve">Schintillation counter and cable replaced with spare one. </t>
  </si>
  <si>
    <t>DUMMYBAR TRACKING</t>
  </si>
  <si>
    <t>Dummy Bar Proxy Failure</t>
  </si>
  <si>
    <t>AMLC PROBLEM</t>
  </si>
  <si>
    <t>Scintillation counter was faulty</t>
  </si>
  <si>
    <t xml:space="preserve">Schintillation counter replaced with spare one. </t>
  </si>
  <si>
    <t>SCINTILLATION COUNTER CHANGE</t>
  </si>
  <si>
    <t>Caster</t>
  </si>
  <si>
    <t>JSW BPSL</t>
  </si>
  <si>
    <t>CA-1</t>
  </si>
  <si>
    <t xml:space="preserve"> 01  /00                  03/10/24&amp; 04/10/24</t>
  </si>
  <si>
    <t>256+144+124</t>
  </si>
  <si>
    <t xml:space="preserve">Immediate Action : -Frame voltage reduced to synchronise casting speed and degree of rotation. Accumulator,clutch and brake valves connection checked and fresh connection done. 
Future Action :   Shear frame voltage with respect to cast speed to be monitored.
                           Exploring program modification for shear frame movement with angular feedback of eccentric shaft. 20 deg- 40 deg is under consideration for implementing new logic in program.
Responsibility :  Chandra Bhushan Pandey  
                             </t>
  </si>
  <si>
    <t xml:space="preserve">    01  /00                    10/10/2024</t>
  </si>
  <si>
    <t>DISCONTINUED DUE TO PINCH ROLL MOTOR CHANGE Pinch Roll Motor(Loose side) continously took 65 amps and got tripped</t>
  </si>
  <si>
    <t>Why cast delayed?</t>
  </si>
  <si>
    <t>why pinch roll motor changed?</t>
  </si>
  <si>
    <t>Why pinch roll motor taking high current?</t>
  </si>
  <si>
    <t>Pinch roll motor changed</t>
  </si>
  <si>
    <t>Pinch roll motor was taking high current and making abnormal sound</t>
  </si>
  <si>
    <t>Motor windings were shorted with the body</t>
  </si>
  <si>
    <t xml:space="preserve">Immediate Action : -Pinch roll motor replaced with spare one and machie made ready
Future Action :   Pinch roll motor temperature to be checked regularly and current to be monitored
Responsibility :  Chandra Bhushan Pandey  
                             </t>
  </si>
  <si>
    <t xml:space="preserve">    01  /00                    16/10/2024</t>
  </si>
  <si>
    <t>55+80</t>
  </si>
  <si>
    <t>why was there an issue with segment callibration?</t>
  </si>
  <si>
    <t>Why Segment 1 left bottom position not shown in HMI?</t>
  </si>
  <si>
    <t>Why segment 1 left bottom position transducer signal not received at PLC?</t>
  </si>
  <si>
    <t>Cast was delayed because of issue with segment callibration</t>
  </si>
  <si>
    <t>Segment 1 left bottom position not shown in HMI</t>
  </si>
  <si>
    <t>segment 1 left bottom position transducer signal not received at PLC</t>
  </si>
  <si>
    <t>Signal cable connecting from JB to manifold block was faulty.</t>
  </si>
  <si>
    <t xml:space="preserve">Immediate Action : - Segment cable from Position transducer to manifold block replaced with spare one.
                                  -Segment block replaced with spare one.
                                  -Signal cable connecting from JB to manifold block replaced with spare one.
Future Action :           After segment callibration , block pins condition to be checked at mould shop.
                                    Segment manifold block connections to be checked at every quarter.
                                    Spare cable and connectors to be kept ready with proper checking.
Responsibility :  Chandra Bhushan Pandey  
                          </t>
  </si>
  <si>
    <t xml:space="preserve">    01  /00                    18/10/2024</t>
  </si>
  <si>
    <t>Why was error (39) showing in HMI?</t>
  </si>
  <si>
    <t>Why seg-3 left top temposonic not showing position?</t>
  </si>
  <si>
    <t>cast was delayed due to error showing in HMI(39)</t>
  </si>
  <si>
    <t>Segment 3 temposonic block not showing position.</t>
  </si>
  <si>
    <t>Connection within JB faulty</t>
  </si>
  <si>
    <t>Immediate Action : - Segment cable from Position transducer to manifold block replaced with spare one.
                                  -Segment block replaced with spare one.
                                  -Fresh connection done in JB nd all connection tightness done.
Future Action :           After segment callibration , block pins condition to be checked at mould shop.
                                    Segment manifold block connections to be checked at every quarter.
                                    Spare cable and connectors to be kept ready with proper checking.
Responsibility :  Chandra Bhushan Pandey</t>
  </si>
  <si>
    <t>CSP/CMM/WW/008</t>
  </si>
  <si>
    <t xml:space="preserve">    01  /00                    26/10/2024</t>
  </si>
  <si>
    <t>SCHINTILATION COUNTER CHANGE(TMC NOT READY)</t>
  </si>
  <si>
    <t>Why was cast delayed?</t>
  </si>
  <si>
    <t>Why permissive was not showing for cast mode?</t>
  </si>
  <si>
    <t>Why TMC was not ready?</t>
  </si>
  <si>
    <t>Why MLC was not ready?</t>
  </si>
  <si>
    <t>Why was the Berthold system showing fault M501?</t>
  </si>
  <si>
    <t>Cast was delayed as before cast start permissive was not showing for cast mode</t>
  </si>
  <si>
    <t>TMC was not ready</t>
  </si>
  <si>
    <t>MLC was not ready</t>
  </si>
  <si>
    <t>The Berthold system was displaying fault M501 (No detector found).</t>
  </si>
  <si>
    <t xml:space="preserve">The scintillation counter was faulty. </t>
  </si>
  <si>
    <t xml:space="preserve">Scintillation counter was found faulty.
</t>
  </si>
  <si>
    <t xml:space="preserve">Immediate Action : - Schintillation counter replaced with spare one. 
Future Action :   The condition of cable connections and Harting connectors should be checked during every mold change and sequence break.
Responsibility :  Chandra Bhushan Pandey  </t>
  </si>
  <si>
    <t xml:space="preserve">    01  /00                    27/10/2024</t>
  </si>
  <si>
    <t>SCHINTILATION COUNTER CHANGE</t>
  </si>
  <si>
    <t>Why mould level fluctuations occured?</t>
  </si>
  <si>
    <t>cast delayed due to mould level fluctuations.</t>
  </si>
  <si>
    <t>Schintillation counter faulty</t>
  </si>
  <si>
    <t>CA-2</t>
  </si>
  <si>
    <t xml:space="preserve">    01  /00                    05/10/2024</t>
  </si>
  <si>
    <t>Why mould level dropped?</t>
  </si>
  <si>
    <t>Why MCB F12 and F22 tripped?</t>
  </si>
  <si>
    <t>Why terminals short circuited?</t>
  </si>
  <si>
    <t xml:space="preserve">Mould level Dropped </t>
  </si>
  <si>
    <t>Mould level dropped because MCB f22 and f12 tripped at tcs panel.</t>
  </si>
  <si>
    <t>MCB f12 and f22 tripped because short circuit of terminals at SRM connecting JB.</t>
  </si>
  <si>
    <t>CAR-4 Srm connecting JB Harting connector melted because of sen preheater's heat.</t>
  </si>
  <si>
    <t xml:space="preserve">Immediate Action : -Fresh Connection done at jB replacing all harting connectors and pin. SRM 1&amp;2 power isolation done with separate MCBs which were installed in tcs panel.
Future Action :   JB conditions to be checked in every quarter.
Responsibility :  Chandra Bhushan Pandey  
                             </t>
  </si>
  <si>
    <t>1 OF 7</t>
  </si>
  <si>
    <t xml:space="preserve">    01  /00                    12/10/2024</t>
  </si>
  <si>
    <t xml:space="preserve">DEPARTMENT   :-  CASTER  2                                          ELECTRICAL   MAINT.                                                            </t>
  </si>
  <si>
    <t>Why tundish car movement problem occured?</t>
  </si>
  <si>
    <t>Why F011 fault occured?</t>
  </si>
  <si>
    <t>Why overcurrent threshold exceeded?</t>
  </si>
  <si>
    <t>Cast delayed due to tundish car movement problem.</t>
  </si>
  <si>
    <t>Tundish car drive tripped with F11 fault.</t>
  </si>
  <si>
    <t xml:space="preserve">Immediate Action : - After breakout field tundish removed by crane and track cleaning done .Trial taken and car removed from cast position to heat position.
Future Action :   
Responsibility :  Chandra Bhushan Pandey  
                             </t>
  </si>
  <si>
    <t>2 OF 7</t>
  </si>
  <si>
    <t xml:space="preserve">    01  /00                    15/10/2024</t>
  </si>
  <si>
    <t>CAST ABORT DUE TO CAST MACHINE RECTIFIER TRIPPED</t>
  </si>
  <si>
    <t>Why F033 fault occured?</t>
  </si>
  <si>
    <t>Why CT damaged?</t>
  </si>
  <si>
    <t>Cast machine rectifier tripped.</t>
  </si>
  <si>
    <t>Cast machine rectifier tripped with fault F033 (DC Bus open Fault)</t>
  </si>
  <si>
    <t xml:space="preserve">Immediate Action : - RRU(rectifier Regenerative Unit) replaced with spare one. 
Future Action :   Cleaning and Dedusting to be done in every shutdown.
Responsibility :  Chandra Bhushan Pandey  
                             </t>
  </si>
  <si>
    <t>3 OF 7</t>
  </si>
  <si>
    <t xml:space="preserve">    01  /00                    14/10/2024</t>
  </si>
  <si>
    <t>crop removal drive tripped with fault F008 (DC bus Undervoltage)</t>
  </si>
  <si>
    <t xml:space="preserve">Immediate Action : - Crop removal drive replaced with spare one. 
Future Action :   Cable and Drive conditions to be checked quarterly.
Responsibility :  Chandra Bhushan Pandey  
                             </t>
  </si>
  <si>
    <t>4 OF 7</t>
  </si>
  <si>
    <t>why dummy bar disconnection didnot happen?</t>
  </si>
  <si>
    <t>Why Proximity sensor didnot work properly?</t>
  </si>
  <si>
    <t>Why one core was open within the joint?</t>
  </si>
  <si>
    <t>Cast was aborted because dummy bar disconnection didnot happen</t>
  </si>
  <si>
    <t>Dummy bar end of release and disconnection proxy did not work properly</t>
  </si>
  <si>
    <t>Proximity sensor didnot work because one core was open within the connection at the joint</t>
  </si>
  <si>
    <t xml:space="preserve">Immediate Action : - Dummy bar proxy cleaned and connection done 
Future Action :   
Responsibility :  Chandra Bhushan Pandey  
                             </t>
  </si>
  <si>
    <t>5 OF 7</t>
  </si>
  <si>
    <t xml:space="preserve">    01  /00                    19/10/2024</t>
  </si>
  <si>
    <t>CAST ABORT DUE TO STRAND GUIDE DRIVE STOP</t>
  </si>
  <si>
    <t>Why Cast machine rectifer was  tripped.?</t>
  </si>
  <si>
    <t>Why Rectifier showing error 0.?</t>
  </si>
  <si>
    <t>Cast machine rectifer was  tripped.</t>
  </si>
  <si>
    <t>Rectifier showing  error 0.</t>
  </si>
  <si>
    <t xml:space="preserve">Immediate Action : -Cast machine rectifier made ready  for clrearing stuck slab in machine. Later Cast machine rectifier control card was exchanged with cast floor rectifier control card for further observation.
Future Action :   Cleaning and Dedusting to be done in every shutdown and connections to checked in every shutdown.
Responsibility :  Chandra Bhushan Pandey  
                             </t>
  </si>
  <si>
    <t>6 OF 7</t>
  </si>
  <si>
    <t>Why error M306 occurred?</t>
  </si>
  <si>
    <t>Why scintillation counter and cable did not work properly?</t>
  </si>
  <si>
    <t>Scintillation counter was faulty?</t>
  </si>
  <si>
    <t>Cast was delayed due to error M306 showing in Berthold system during mould calibration.</t>
  </si>
  <si>
    <t>Scintillation counter and cable did not work properly</t>
  </si>
  <si>
    <t xml:space="preserve">Immediate Action : - Scintillation counter and cable replaced with spare one. 
Future Action :   Cable connection and harting connectors condition to be checked in every mould change during sequence break.
Responsibility :  Chandra Bhushan Pandey  </t>
  </si>
  <si>
    <t>7 OF 7</t>
  </si>
  <si>
    <t>03.10.2024</t>
  </si>
  <si>
    <t>CURRENT REVISION DATE: 03/10/2024</t>
  </si>
  <si>
    <t>Cast aborted due to slab stuck at shear</t>
  </si>
  <si>
    <t xml:space="preserve">1. Heat returned to L.F. 
2. slab stuck within the machine
3. slab bulged between pinch roll and withdrawl motor.
4.slab removed by gas cutter 
5. Shear frame cylinder replaced with spare one.
6. Trial taken and clearance given for heat.  
7. Casting started.  </t>
  </si>
  <si>
    <t>Question-Why cast Aborted?</t>
  </si>
  <si>
    <r>
      <rPr>
        <sz val="10"/>
        <color rgb="FF000000"/>
        <rFont val="Verdana"/>
      </rPr>
      <t>1.</t>
    </r>
    <r>
      <rPr>
        <b/>
        <sz val="10"/>
        <color rgb="FF000000"/>
        <rFont val="Verdana"/>
      </rPr>
      <t>What</t>
    </r>
    <r>
      <rPr>
        <sz val="10"/>
        <color rgb="FF000000"/>
        <rFont val="Verdana"/>
      </rPr>
      <t xml:space="preserve"> - shear frame cylinder changed
</t>
    </r>
    <r>
      <rPr>
        <b/>
        <sz val="10"/>
        <color rgb="FF000000"/>
        <rFont val="Verdana"/>
      </rPr>
      <t>When</t>
    </r>
    <r>
      <rPr>
        <sz val="10"/>
        <color rgb="FF000000"/>
        <rFont val="Verdana"/>
      </rPr>
      <t xml:space="preserve">-Immediately
</t>
    </r>
    <r>
      <rPr>
        <b/>
        <sz val="10"/>
        <color rgb="FF000000"/>
        <rFont val="Verdana"/>
      </rPr>
      <t>Where</t>
    </r>
    <r>
      <rPr>
        <sz val="10"/>
        <color rgb="FF000000"/>
        <rFont val="Verdana"/>
      </rPr>
      <t xml:space="preserve">-At shear caster-1
</t>
    </r>
    <r>
      <rPr>
        <b/>
        <sz val="10"/>
        <color rgb="FF000000"/>
        <rFont val="Verdana"/>
      </rPr>
      <t>How</t>
    </r>
    <r>
      <rPr>
        <sz val="10"/>
        <color rgb="FF000000"/>
        <rFont val="Verdana"/>
      </rPr>
      <t xml:space="preserve">- Done with the help of machanical team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Shear frame movement response was faster
2. </t>
    </r>
    <r>
      <rPr>
        <b/>
        <sz val="10"/>
        <color rgb="FF000000"/>
        <rFont val="Verdana"/>
      </rPr>
      <t>What</t>
    </r>
    <r>
      <rPr>
        <sz val="10"/>
        <color rgb="FF000000"/>
        <rFont val="Verdana"/>
      </rPr>
      <t xml:space="preserve"> - Shear frame voltage adjusted with respect to speed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caster 1 PLC 
</t>
    </r>
    <r>
      <rPr>
        <b/>
        <sz val="10"/>
        <color rgb="FF000000"/>
        <rFont val="Verdana"/>
      </rPr>
      <t>How</t>
    </r>
    <r>
      <rPr>
        <sz val="10"/>
        <color rgb="FF000000"/>
        <rFont val="Verdana"/>
      </rPr>
      <t xml:space="preserve">- Analysed in iba wrt speed and adjusted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Respone of shear frame voltage was faster than cast speed
3. </t>
    </r>
    <r>
      <rPr>
        <b/>
        <sz val="10"/>
        <color rgb="FF000000"/>
        <rFont val="Verdana"/>
      </rPr>
      <t>What</t>
    </r>
    <r>
      <rPr>
        <sz val="10"/>
        <color rgb="FF000000"/>
        <rFont val="Verdana"/>
      </rPr>
      <t xml:space="preserve"> - Accumulator clutch &amp; brake valve connection checked
</t>
    </r>
    <r>
      <rPr>
        <b/>
        <sz val="10"/>
        <color rgb="FF000000"/>
        <rFont val="Verdana"/>
      </rPr>
      <t>When</t>
    </r>
    <r>
      <rPr>
        <sz val="10"/>
        <color rgb="FF000000"/>
        <rFont val="Verdana"/>
      </rPr>
      <t xml:space="preserve">-Immediately
</t>
    </r>
    <r>
      <rPr>
        <b/>
        <sz val="10"/>
        <color rgb="FF000000"/>
        <rFont val="Verdana"/>
      </rPr>
      <t>Where</t>
    </r>
    <r>
      <rPr>
        <sz val="10"/>
        <color rgb="FF000000"/>
        <rFont val="Verdana"/>
      </rPr>
      <t xml:space="preserve">-  At shear caster -1
</t>
    </r>
    <r>
      <rPr>
        <b/>
        <sz val="10"/>
        <color rgb="FF000000"/>
        <rFont val="Verdana"/>
      </rPr>
      <t>How</t>
    </r>
    <r>
      <rPr>
        <sz val="10"/>
        <color rgb="FF000000"/>
        <rFont val="Verdana"/>
      </rPr>
      <t xml:space="preserve">- Done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The timing of clutch engagement and brake disengagement response was not proper
</t>
    </r>
  </si>
  <si>
    <r>
      <rPr>
        <sz val="10"/>
        <color rgb="FF000000"/>
        <rFont val="Verdana"/>
      </rPr>
      <t>1.</t>
    </r>
    <r>
      <rPr>
        <b/>
        <sz val="10"/>
        <color rgb="FF000000"/>
        <rFont val="Verdana"/>
      </rPr>
      <t>What</t>
    </r>
    <r>
      <rPr>
        <sz val="10"/>
        <color rgb="FF000000"/>
        <rFont val="Verdana"/>
      </rPr>
      <t xml:space="preserve"> - shear frame cylinder changed
</t>
    </r>
    <r>
      <rPr>
        <b/>
        <sz val="10"/>
        <color rgb="FF000000"/>
        <rFont val="Verdana"/>
      </rPr>
      <t>When</t>
    </r>
    <r>
      <rPr>
        <sz val="10"/>
        <color rgb="FF000000"/>
        <rFont val="Verdana"/>
      </rPr>
      <t xml:space="preserve">-Immediately
</t>
    </r>
    <r>
      <rPr>
        <b/>
        <sz val="10"/>
        <color rgb="FF000000"/>
        <rFont val="Verdana"/>
      </rPr>
      <t>Where</t>
    </r>
    <r>
      <rPr>
        <sz val="10"/>
        <color rgb="FF000000"/>
        <rFont val="Verdana"/>
      </rPr>
      <t xml:space="preserve">-At shear caster-1
</t>
    </r>
    <r>
      <rPr>
        <b/>
        <sz val="10"/>
        <color rgb="FF000000"/>
        <rFont val="Verdana"/>
      </rPr>
      <t>How</t>
    </r>
    <r>
      <rPr>
        <sz val="10"/>
        <color rgb="FF000000"/>
        <rFont val="Verdana"/>
      </rPr>
      <t xml:space="preserve">- Done with the help of machanical team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Shear frame movement response was faster
2.</t>
    </r>
    <r>
      <rPr>
        <b/>
        <sz val="10"/>
        <color rgb="FF000000"/>
        <rFont val="Verdana"/>
      </rPr>
      <t xml:space="preserve"> What</t>
    </r>
    <r>
      <rPr>
        <sz val="10"/>
        <color rgb="FF000000"/>
        <rFont val="Verdana"/>
      </rPr>
      <t xml:space="preserve"> - Shear frame voltage adjusted with respect to speed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caster 1 PLC 
</t>
    </r>
    <r>
      <rPr>
        <b/>
        <sz val="10"/>
        <color rgb="FF000000"/>
        <rFont val="Verdana"/>
      </rPr>
      <t>How</t>
    </r>
    <r>
      <rPr>
        <sz val="10"/>
        <color rgb="FF000000"/>
        <rFont val="Verdana"/>
      </rPr>
      <t xml:space="preserve">- Analysed in iba wrt speed and adjusted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Respone of shear frame voltage was faster than cast speed
3. </t>
    </r>
    <r>
      <rPr>
        <b/>
        <sz val="10"/>
        <color rgb="FF000000"/>
        <rFont val="Verdana"/>
      </rPr>
      <t>What</t>
    </r>
    <r>
      <rPr>
        <sz val="10"/>
        <color rgb="FF000000"/>
        <rFont val="Verdana"/>
      </rPr>
      <t xml:space="preserve"> - Accumulator clutch &amp; brake valve connection checked
</t>
    </r>
    <r>
      <rPr>
        <b/>
        <sz val="10"/>
        <color rgb="FF000000"/>
        <rFont val="Verdana"/>
      </rPr>
      <t>When</t>
    </r>
    <r>
      <rPr>
        <sz val="10"/>
        <color rgb="FF000000"/>
        <rFont val="Verdana"/>
      </rPr>
      <t xml:space="preserve">-Immediately
</t>
    </r>
    <r>
      <rPr>
        <b/>
        <sz val="10"/>
        <color rgb="FF000000"/>
        <rFont val="Verdana"/>
      </rPr>
      <t>Where</t>
    </r>
    <r>
      <rPr>
        <sz val="10"/>
        <color rgb="FF000000"/>
        <rFont val="Verdana"/>
      </rPr>
      <t xml:space="preserve">-  At shear caster -1
</t>
    </r>
    <r>
      <rPr>
        <b/>
        <sz val="10"/>
        <color rgb="FF000000"/>
        <rFont val="Verdana"/>
      </rPr>
      <t>How</t>
    </r>
    <r>
      <rPr>
        <sz val="10"/>
        <color rgb="FF000000"/>
        <rFont val="Verdana"/>
      </rPr>
      <t xml:space="preserve">- Done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The timing of clutch engagement and brake disengagement response was not proper
</t>
    </r>
  </si>
  <si>
    <t>Answer- Slab stuck at Shear</t>
  </si>
  <si>
    <t>Date - 03.10.2024 at around 17:00 Hrs.&amp; 04.10.2024 at 08:23 hrs &amp;16:30 hrs</t>
  </si>
  <si>
    <t>Question- why Slab stuck at shear?</t>
  </si>
  <si>
    <t>Caster -1 pendulum shear</t>
  </si>
  <si>
    <t>Answer- Frame movement response was faster than shear shaft movement and shaft movement started slower.</t>
  </si>
  <si>
    <t xml:space="preserve">Caster 1 cast stopped at 5 pm due to slab stucked at shear. </t>
  </si>
  <si>
    <t>Question- why shaft movement was slower?</t>
  </si>
  <si>
    <t>Answer- The timing of clutch engagement and brake disengagement response was not proper.(Delay in feedback)</t>
  </si>
  <si>
    <t xml:space="preserve">Prepared by: </t>
  </si>
  <si>
    <t>Satish Chandra Srivastava</t>
  </si>
  <si>
    <t>14.10.2024</t>
  </si>
  <si>
    <t>Section: Caster 2</t>
  </si>
  <si>
    <r>
      <rPr>
        <b/>
        <sz val="10"/>
        <color rgb="FF000000"/>
        <rFont val="Verdana"/>
      </rPr>
      <t>Area:</t>
    </r>
    <r>
      <rPr>
        <b/>
        <sz val="12"/>
        <color rgb="FF000000"/>
        <rFont val="Verdana"/>
      </rPr>
      <t xml:space="preserve"> </t>
    </r>
    <r>
      <rPr>
        <b/>
        <sz val="10"/>
        <color rgb="FF000000"/>
        <rFont val="Verdana"/>
      </rPr>
      <t>Caster - 2</t>
    </r>
  </si>
  <si>
    <t xml:space="preserve">F033 fault occured due to CT damaged.	</t>
  </si>
  <si>
    <t xml:space="preserve">1. cast aborted  due to cast machine tripping.. 
2. Heat returned to LF
3. Rectifer replaced with spare one.
4. CUR Card replaced with spare one.
5. Drive Parameterisation done with old backup.
6. Trial taken and clearance given for heat.  
7. Casting started.  </t>
  </si>
  <si>
    <t>Question-Why was cast aborted?</t>
  </si>
  <si>
    <r>
      <rPr>
        <b/>
        <sz val="10"/>
        <color rgb="FF000000"/>
        <rFont val="Verdana"/>
      </rPr>
      <t xml:space="preserve">
1.What - </t>
    </r>
    <r>
      <rPr>
        <sz val="10"/>
        <color rgb="FF000000"/>
        <rFont val="Verdana"/>
      </rPr>
      <t xml:space="preserve">Thyristors to be checked
</t>
    </r>
    <r>
      <rPr>
        <b/>
        <sz val="10"/>
        <color rgb="FF000000"/>
        <rFont val="Verdana"/>
      </rPr>
      <t xml:space="preserve">When-  </t>
    </r>
    <r>
      <rPr>
        <sz val="10"/>
        <color rgb="FF000000"/>
        <rFont val="Verdana"/>
      </rPr>
      <t xml:space="preserve">At every shutdown
</t>
    </r>
    <r>
      <rPr>
        <b/>
        <sz val="10"/>
        <color rgb="FF000000"/>
        <rFont val="Verdana"/>
      </rPr>
      <t xml:space="preserve">Where- </t>
    </r>
    <r>
      <rPr>
        <sz val="10"/>
        <color rgb="FF000000"/>
        <rFont val="Verdana"/>
      </rPr>
      <t>At the RRU unit</t>
    </r>
    <r>
      <rPr>
        <b/>
        <sz val="10"/>
        <color rgb="FF000000"/>
        <rFont val="Verdana"/>
      </rPr>
      <t xml:space="preserve"> 
How-   </t>
    </r>
    <r>
      <rPr>
        <sz val="10"/>
        <color rgb="FF000000"/>
        <rFont val="Verdana"/>
      </rPr>
      <t>Resistance value and checking for ground</t>
    </r>
    <r>
      <rPr>
        <b/>
        <sz val="10"/>
        <color rgb="FF000000"/>
        <rFont val="Verdana"/>
      </rPr>
      <t xml:space="preserve"> b</t>
    </r>
    <r>
      <rPr>
        <sz val="10"/>
        <color rgb="FF000000"/>
        <rFont val="Verdana"/>
      </rPr>
      <t xml:space="preserve">y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 xml:space="preserve">To check health of Thyristor
</t>
    </r>
    <r>
      <rPr>
        <b/>
        <sz val="10"/>
        <color rgb="FF000000"/>
        <rFont val="Verdana"/>
      </rPr>
      <t xml:space="preserve">
2. What - </t>
    </r>
    <r>
      <rPr>
        <sz val="10"/>
        <color rgb="FF000000"/>
        <rFont val="Verdana"/>
      </rPr>
      <t xml:space="preserve">Cleaning and dedusting and cable tightnesss to be checked
</t>
    </r>
    <r>
      <rPr>
        <b/>
        <sz val="10"/>
        <color rgb="FF000000"/>
        <rFont val="Verdana"/>
      </rPr>
      <t xml:space="preserve">When-  </t>
    </r>
    <r>
      <rPr>
        <sz val="10"/>
        <color rgb="FF000000"/>
        <rFont val="Verdana"/>
      </rPr>
      <t xml:space="preserve">At every shutdown
</t>
    </r>
    <r>
      <rPr>
        <b/>
        <sz val="10"/>
        <color rgb="FF000000"/>
        <rFont val="Verdana"/>
      </rPr>
      <t xml:space="preserve">Where- </t>
    </r>
    <r>
      <rPr>
        <sz val="10"/>
        <color rgb="FF000000"/>
        <rFont val="Verdana"/>
      </rPr>
      <t>At the RRU unit</t>
    </r>
    <r>
      <rPr>
        <b/>
        <sz val="10"/>
        <color rgb="FF000000"/>
        <rFont val="Verdana"/>
      </rPr>
      <t xml:space="preserve"> 
How-  </t>
    </r>
    <r>
      <rPr>
        <sz val="10"/>
        <color rgb="FF000000"/>
        <rFont val="Verdana"/>
      </rPr>
      <t xml:space="preserve">Using blower for dedusting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To remove any possibilties of fault</t>
    </r>
  </si>
  <si>
    <r>
      <rPr>
        <sz val="10"/>
        <color rgb="FF000000"/>
        <rFont val="Verdana"/>
      </rPr>
      <t>1</t>
    </r>
    <r>
      <rPr>
        <b/>
        <sz val="10"/>
        <color rgb="FF000000"/>
        <rFont val="Verdana"/>
      </rPr>
      <t>.What</t>
    </r>
    <r>
      <rPr>
        <sz val="10"/>
        <color rgb="FF000000"/>
        <rFont val="Verdana"/>
      </rPr>
      <t xml:space="preserve"> - RRU(rectifier Regenerative Unit)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Strand guide unit
</t>
    </r>
    <r>
      <rPr>
        <b/>
        <sz val="10"/>
        <color rgb="FF000000"/>
        <rFont val="Verdana"/>
      </rPr>
      <t>How</t>
    </r>
    <r>
      <rPr>
        <sz val="10"/>
        <color rgb="FF000000"/>
        <rFont val="Verdana"/>
      </rPr>
      <t xml:space="preserve">- Isolated the power supply , Disconnected the busbars and replaced the RRU unit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F033 fault occured at RRU unit.
2. </t>
    </r>
    <r>
      <rPr>
        <b/>
        <sz val="10"/>
        <color rgb="FF000000"/>
        <rFont val="Verdana"/>
      </rPr>
      <t>What</t>
    </r>
    <r>
      <rPr>
        <sz val="10"/>
        <color rgb="FF000000"/>
        <rFont val="Verdana"/>
      </rPr>
      <t xml:space="preserve"> - CUR Card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Rectifier Unit
</t>
    </r>
    <r>
      <rPr>
        <b/>
        <sz val="10"/>
        <color rgb="FF000000"/>
        <rFont val="Verdana"/>
      </rPr>
      <t>How</t>
    </r>
    <r>
      <rPr>
        <sz val="10"/>
        <color rgb="FF000000"/>
        <rFont val="Verdana"/>
      </rPr>
      <t xml:space="preserve">-   Isolated the power supply, opened the front panel of RRU and replaced the card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CUR card damaged(Burnt)
3. </t>
    </r>
    <r>
      <rPr>
        <b/>
        <sz val="10"/>
        <color rgb="FF000000"/>
        <rFont val="Verdana"/>
      </rPr>
      <t>What</t>
    </r>
    <r>
      <rPr>
        <sz val="10"/>
        <color rgb="FF000000"/>
        <rFont val="Verdana"/>
      </rPr>
      <t xml:space="preserve"> - Drive Parameterisation done with old backup.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Rectifier Unit
</t>
    </r>
    <r>
      <rPr>
        <b/>
        <sz val="10"/>
        <color rgb="FF000000"/>
        <rFont val="Verdana"/>
      </rPr>
      <t>How</t>
    </r>
    <r>
      <rPr>
        <sz val="10"/>
        <color rgb="FF000000"/>
        <rFont val="Verdana"/>
      </rPr>
      <t xml:space="preserve">- Using DriveMonitor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Parameters lost due to CUR card damaged</t>
    </r>
  </si>
  <si>
    <t>Horizontal deployment in of all corrective &amp; Preventive measures at caster 2 ECR</t>
  </si>
  <si>
    <t>Answer- Cast machine rectifier tripped.</t>
  </si>
  <si>
    <t>Date - 14.10.2024 at around 14:10 Hrs &amp;15.10.2024 at around15:30 hrs.</t>
  </si>
  <si>
    <t>Question- Why cast machine rectifier tripped?</t>
  </si>
  <si>
    <t>Caster -2</t>
  </si>
  <si>
    <t>Answer- Cast machine rectifier tripped with fault F033 (DC Bus open Fault)</t>
  </si>
  <si>
    <t>Caster 2 cast stopped due to cast machine rectifier tripped.</t>
  </si>
  <si>
    <t>Question- Why F033 fault occured?</t>
  </si>
  <si>
    <t>Answer- F033 fault occured due to CT damaged.</t>
  </si>
  <si>
    <t>19.10.2024</t>
  </si>
  <si>
    <t>Nameof Key Member: 1. Chandra Bhusan Pandey, 2. Prashant O. Chavan, 3. Biswambar Bhoi</t>
  </si>
  <si>
    <r>
      <rPr>
        <b/>
        <i/>
        <sz val="10"/>
        <color rgb="FF000000"/>
        <rFont val="Verdana"/>
      </rPr>
      <t xml:space="preserve">D1: </t>
    </r>
    <r>
      <rPr>
        <b/>
        <sz val="10"/>
        <color rgb="FF000000"/>
        <rFont val="Verdana"/>
      </rPr>
      <t>Form team to solve the problem ( Why,when,where,how,what,who) : Name of team members: 1.Chandra Bhusan Pandey, 2. Prashant O. Chavan, 3. Biswambar Bhoi</t>
    </r>
  </si>
  <si>
    <t>1. cast aborted due to cast machine rectifier tripped.</t>
  </si>
  <si>
    <t xml:space="preserve">1. cast aborted  due to cast machine rectifier tripping. 
2. Heat returned to LF
3. Cast machine rectifier exchanged with cast floor rectifier.
4. Recifier made ON
and clearance given for heat.  
5. Casting started.  </t>
  </si>
  <si>
    <r>
      <rPr>
        <sz val="10"/>
        <color rgb="FF000000"/>
        <rFont val="Verdana"/>
      </rPr>
      <t>1</t>
    </r>
    <r>
      <rPr>
        <b/>
        <sz val="10"/>
        <color rgb="FF000000"/>
        <rFont val="Verdana"/>
      </rPr>
      <t>.What</t>
    </r>
    <r>
      <rPr>
        <sz val="10"/>
        <color rgb="FF000000"/>
        <rFont val="Verdana"/>
      </rPr>
      <t xml:space="preserve"> - Cast machine rectifier control card exchanged with cast floor rectifier control card.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Strand guide unit
</t>
    </r>
    <r>
      <rPr>
        <b/>
        <sz val="10"/>
        <color rgb="FF000000"/>
        <rFont val="Verdana"/>
      </rPr>
      <t>How</t>
    </r>
    <r>
      <rPr>
        <sz val="10"/>
        <color rgb="FF000000"/>
        <rFont val="Verdana"/>
      </rPr>
      <t xml:space="preserve">- Isolated the power supply , Disconnected the busbars and replaced the RRU unit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Rectifier error '0'.
</t>
    </r>
  </si>
  <si>
    <t>Date - 19.10.2024 from 3:49:00 PM to 5:19:00 PM</t>
  </si>
  <si>
    <t>Answer- Fault was unidentified</t>
  </si>
  <si>
    <t>Caster 2 cast start  delayed due to cast Mould callibration error.</t>
  </si>
  <si>
    <t>Nameof Key Member: 1. Chandra Bhusan Pandey, 2. Prashant O. Chavan, 3. Biswambar Bhoi.</t>
  </si>
  <si>
    <r>
      <rPr>
        <b/>
        <i/>
        <sz val="10"/>
        <color rgb="FF000000"/>
        <rFont val="Verdana"/>
      </rPr>
      <t xml:space="preserve">D1: </t>
    </r>
    <r>
      <rPr>
        <b/>
        <sz val="10"/>
        <color rgb="FF000000"/>
        <rFont val="Verdana"/>
      </rPr>
      <t>Form team to solve the problem ( Why,when,where,how,what,who) : Name of team members: 1.Chandra Bhusan Pandey, 2. Prashant O. Chavan, 3.Biswambar Bhoi.</t>
    </r>
  </si>
  <si>
    <t>M036 fault occured due to Scintillation counter faulty.</t>
  </si>
  <si>
    <t xml:space="preserve">1. Caster 2 cast start  delayed due to cast Mould callibration error.
2. Scintillation counter   replaced with new one
3. Mould callibration Parameterisation done.
4. Trial taken and clearance given for heat. .  
5. Casting started.  </t>
  </si>
  <si>
    <t>Question-Why was cast start delayed?</t>
  </si>
  <si>
    <r>
      <rPr>
        <b/>
        <sz val="10"/>
        <color rgb="FF000000"/>
        <rFont val="Verdana"/>
      </rPr>
      <t xml:space="preserve">What - </t>
    </r>
    <r>
      <rPr>
        <sz val="10"/>
        <color rgb="FF000000"/>
        <rFont val="Verdana"/>
      </rPr>
      <t xml:space="preserve">Scintillation counter connections to be checked
</t>
    </r>
    <r>
      <rPr>
        <b/>
        <sz val="10"/>
        <color rgb="FF000000"/>
        <rFont val="Verdana"/>
      </rPr>
      <t xml:space="preserve">When-  </t>
    </r>
    <r>
      <rPr>
        <sz val="10"/>
        <color rgb="FF000000"/>
        <rFont val="Verdana"/>
      </rPr>
      <t xml:space="preserve">At every shutdown
</t>
    </r>
    <r>
      <rPr>
        <b/>
        <sz val="10"/>
        <color rgb="FF000000"/>
        <rFont val="Verdana"/>
      </rPr>
      <t xml:space="preserve">Where- </t>
    </r>
    <r>
      <rPr>
        <sz val="10"/>
        <color rgb="FF000000"/>
        <rFont val="Verdana"/>
      </rPr>
      <t xml:space="preserve">At +8 meter in counter cable connection junction.
</t>
    </r>
    <r>
      <rPr>
        <b/>
        <sz val="10"/>
        <color rgb="FF000000"/>
        <rFont val="Verdana"/>
      </rPr>
      <t xml:space="preserve">How-   </t>
    </r>
    <r>
      <rPr>
        <sz val="10"/>
        <color rgb="FF000000"/>
        <rFont val="Verdana"/>
      </rPr>
      <t>Resistance value and checking for ground</t>
    </r>
    <r>
      <rPr>
        <b/>
        <sz val="10"/>
        <color rgb="FF000000"/>
        <rFont val="Verdana"/>
      </rPr>
      <t xml:space="preserve"> b</t>
    </r>
    <r>
      <rPr>
        <sz val="10"/>
        <color rgb="FF000000"/>
        <rFont val="Verdana"/>
      </rPr>
      <t xml:space="preserve">y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 xml:space="preserve">To check health of counter and cable.
</t>
    </r>
    <r>
      <rPr>
        <b/>
        <sz val="10"/>
        <color rgb="FF000000"/>
        <rFont val="Verdana"/>
      </rPr>
      <t xml:space="preserve">
</t>
    </r>
  </si>
  <si>
    <r>
      <rPr>
        <sz val="10"/>
        <color rgb="FF000000"/>
        <rFont val="Verdana"/>
      </rPr>
      <t>1</t>
    </r>
    <r>
      <rPr>
        <b/>
        <sz val="10"/>
        <color rgb="FF000000"/>
        <rFont val="Verdana"/>
      </rPr>
      <t>.What</t>
    </r>
    <r>
      <rPr>
        <sz val="10"/>
        <color rgb="FF000000"/>
        <rFont val="Verdana"/>
      </rPr>
      <t xml:space="preserve"> - Schintillation counter and cable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Mould level source junction.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M306 fault occured at berthold system(LB-452).
</t>
    </r>
  </si>
  <si>
    <t>Answer-M306 showed in Berthold system during mould callibration.</t>
  </si>
  <si>
    <t>Date - 19.10.2024 at around 5:19:00 PM to 7:15:00 PM</t>
  </si>
  <si>
    <t>Question- Why error M306 occurred?</t>
  </si>
  <si>
    <t xml:space="preserve">Answer- Scintillation counter and cable did not work properly
</t>
  </si>
  <si>
    <t xml:space="preserve">Question- Why scintillation counter and cable did not work properly?
</t>
  </si>
  <si>
    <t>Answer- Scintillation counter was faulty.</t>
  </si>
  <si>
    <t>26.10.2024</t>
  </si>
  <si>
    <t>Name of Key Member: 1. Chandra Bhusan Pandey, 2. Prashant O. Chavan, 3. Ranjit Bardhan.</t>
  </si>
  <si>
    <r>
      <rPr>
        <b/>
        <i/>
        <sz val="10"/>
        <color rgb="FF000000"/>
        <rFont val="Verdana"/>
      </rPr>
      <t xml:space="preserve">D1: </t>
    </r>
    <r>
      <rPr>
        <b/>
        <sz val="10"/>
        <color rgb="FF000000"/>
        <rFont val="Verdana"/>
      </rPr>
      <t>Form team to solve the problem ( Why,when,where,how,what,who) : Name of team members: 1.Chandra Bhusan Pandey, 2. Prashant O. Chavan, 3.Biswambar Bhoi, 4. Ranjit Bardhan.</t>
    </r>
  </si>
  <si>
    <t xml:space="preserve">Cast permissive not ready due to M501(No detector found) fault at Berthold system for AMLC. </t>
  </si>
  <si>
    <t xml:space="preserve">1. Caster 1 cast start delayed due to scintillation counter fault. 
2. The faulty scintillation counter was promptly replaced with a spare unit.
3. Calibration of the mold was performed to ensure accuracy and proper functioning.
4. Trial taken and clearance given for heat. 
5. Casting started.  </t>
  </si>
  <si>
    <r>
      <rPr>
        <b/>
        <sz val="10"/>
        <color rgb="FF000000"/>
        <rFont val="Verdana"/>
      </rPr>
      <t xml:space="preserve">What - </t>
    </r>
    <r>
      <rPr>
        <sz val="10"/>
        <color rgb="FF000000"/>
        <rFont val="Verdana"/>
      </rPr>
      <t xml:space="preserve">Regular checks of the scintillation counter connections will be conducted.
</t>
    </r>
    <r>
      <rPr>
        <b/>
        <sz val="10"/>
        <color rgb="FF000000"/>
        <rFont val="Verdana"/>
      </rPr>
      <t xml:space="preserve">When- </t>
    </r>
    <r>
      <rPr>
        <sz val="10"/>
        <color rgb="FF000000"/>
        <rFont val="Verdana"/>
      </rPr>
      <t xml:space="preserve"> These checks will take place during every shutdown and during any long sequence break.
</t>
    </r>
    <r>
      <rPr>
        <b/>
        <sz val="10"/>
        <color rgb="FF000000"/>
        <rFont val="Verdana"/>
      </rPr>
      <t xml:space="preserve">Where- </t>
    </r>
    <r>
      <rPr>
        <sz val="10"/>
        <color rgb="FF000000"/>
        <rFont val="Verdana"/>
      </rPr>
      <t xml:space="preserve">At +8 meter in counter cable connection junction.
</t>
    </r>
    <r>
      <rPr>
        <b/>
        <sz val="10"/>
        <color rgb="FF000000"/>
        <rFont val="Verdana"/>
      </rPr>
      <t xml:space="preserve">How-   </t>
    </r>
    <r>
      <rPr>
        <sz val="10"/>
        <color rgb="FF000000"/>
        <rFont val="Verdana"/>
      </rPr>
      <t>Resistance value and checking for ground</t>
    </r>
    <r>
      <rPr>
        <b/>
        <sz val="10"/>
        <color rgb="FF000000"/>
        <rFont val="Verdana"/>
      </rPr>
      <t xml:space="preserve"> </t>
    </r>
    <r>
      <rPr>
        <sz val="10"/>
        <color rgb="FF000000"/>
        <rFont val="Verdana"/>
      </rPr>
      <t xml:space="preserve">by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 xml:space="preserve">This action is necessary to ensure the reliability and functionality of the scintillation counter and its connections, preventing future faults.
</t>
    </r>
    <r>
      <rPr>
        <b/>
        <sz val="10"/>
        <color rgb="FF000000"/>
        <rFont val="Verdana"/>
      </rPr>
      <t xml:space="preserve">
</t>
    </r>
  </si>
  <si>
    <r>
      <rPr>
        <sz val="10"/>
        <color rgb="FF000000"/>
        <rFont val="Verdana"/>
      </rPr>
      <t>1</t>
    </r>
    <r>
      <rPr>
        <b/>
        <sz val="10"/>
        <color rgb="FF000000"/>
        <rFont val="Verdana"/>
      </rPr>
      <t>.What</t>
    </r>
    <r>
      <rPr>
        <sz val="10"/>
        <color rgb="FF000000"/>
        <rFont val="Verdana"/>
      </rPr>
      <t xml:space="preserve"> - Schintillation counter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Mould level source junction.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M501 fault occured at berthold system(LB-452).
</t>
    </r>
  </si>
  <si>
    <t>Answer-Cast mode permissive was not ready</t>
  </si>
  <si>
    <t>Date - 27.10.2024 at around 02:30:00 AM to 03:15:00 AM</t>
  </si>
  <si>
    <t>Question- Why cast mode permissive not ready?</t>
  </si>
  <si>
    <t xml:space="preserve">Answer- TMC was not ready
</t>
  </si>
  <si>
    <t xml:space="preserve">Caster 1 cast start delayed due to scintillation counter fault and replacement of the counter. </t>
  </si>
  <si>
    <t xml:space="preserve">Question- Why TMC was not ready?
</t>
  </si>
  <si>
    <t>Answer- Due to MLC fault.</t>
  </si>
  <si>
    <t>Question- Why MLC Fault?</t>
  </si>
  <si>
    <t>Answer -  Berthold system showing error M501(No detector foun)</t>
  </si>
  <si>
    <t>Question- Why was the Berthold system showing fault M501?</t>
  </si>
  <si>
    <t xml:space="preserve">Answer -  The scintillation counter was faulty. </t>
  </si>
  <si>
    <t>November</t>
  </si>
  <si>
    <t>CAPA(Yes/No)</t>
  </si>
  <si>
    <t>RANJIT BARDHAN</t>
  </si>
  <si>
    <t>MOULD COOLING PUMP STOP(LATE)</t>
  </si>
  <si>
    <t>Valve (AUMA) was not fully closed due to jam.</t>
  </si>
  <si>
    <t>Manually operated and jam cleared</t>
  </si>
  <si>
    <t>SRM CABLE FAULT</t>
  </si>
  <si>
    <t>Cable were damaged due to excessive temperature due to SEN pre-heater.</t>
  </si>
  <si>
    <t xml:space="preserve"> The damaged cable connections are isolated, and replaced with new.</t>
  </si>
  <si>
    <t>TUNDISH CAR-3 RAMPING ADUJSTMENT</t>
  </si>
  <si>
    <t>Tundish height shows abnormal value</t>
  </si>
  <si>
    <t>T/D height value reset was done from HMI and ramping adjustment done.</t>
  </si>
  <si>
    <t>SAROJ SINGH</t>
  </si>
  <si>
    <t>CAST ABORT DUE TO POWER FAILURE(CSP INCOMER FAULT &amp; BREAKER CHANGE)</t>
  </si>
  <si>
    <t>Jaw contacts failed because of carbon deposition and wear &amp; tear of contacts</t>
  </si>
  <si>
    <t>Jaw contacts and CT(current Transformer ) replaced with spare ones.</t>
  </si>
  <si>
    <t>SEGMENT-2 TEMPOSONIC CABLE CHANGE &amp; SIMULATION TAKEN TUNDISH CAR-4</t>
  </si>
  <si>
    <t xml:space="preserve">Segment -2 cables &amp; temposonic  blocks contact loose. </t>
  </si>
  <si>
    <t xml:space="preserve">Segment-2 left top side  &amp; right top side segment cables replaced &amp; right side temposonic block replaced. </t>
  </si>
  <si>
    <t>CAR-4 SRM PROBLEM</t>
  </si>
  <si>
    <t>SRM cable connector lock was damaged from the JB side, so the lock was replaced with new one.</t>
  </si>
  <si>
    <t>Connector lock from JB side was replaced with  new one.</t>
  </si>
  <si>
    <t>CAST ABORT DUE TO DUMMY BAR STOP</t>
  </si>
  <si>
    <t>Slab stuck inside the machine.</t>
  </si>
  <si>
    <t>Spare dummy bar replaced with spare one by Operation Dept.</t>
  </si>
  <si>
    <t>BISWAMBAR BHOI</t>
  </si>
  <si>
    <t>CAST ABORT DUE TO ALL DRIVE STOP</t>
  </si>
  <si>
    <t>There was a spark and the SMPS got damaged due to voltage fluctuation.</t>
  </si>
  <si>
    <t>SMPS replaced with spare one.</t>
  </si>
  <si>
    <t>Drive feedback to SRM wasnot generated.</t>
  </si>
  <si>
    <t>Connections checked at SRM and Drive checked &amp; tightness done.</t>
  </si>
  <si>
    <t>TANMAY DAS</t>
  </si>
  <si>
    <t>SRM  ZEROING PROBLEM</t>
  </si>
  <si>
    <t>SRM drive does not work properly for sometime.</t>
  </si>
  <si>
    <t>Block provided at SRM, power reset done from TCS system of SRM drive.</t>
  </si>
  <si>
    <t>SEGMENT-2 CLAMPING ERROR</t>
  </si>
  <si>
    <t>Position Transducer/Cable faulty</t>
  </si>
  <si>
    <t>Seg-02 temposonic block changed with spare one.</t>
  </si>
  <si>
    <t>SEG-2 left top position transducer showed offset value.</t>
  </si>
  <si>
    <t>APCI 1710 card replaced at IPC 2 for segment clamping error.</t>
  </si>
  <si>
    <t>ABHIJIT ROY</t>
  </si>
  <si>
    <t>AMLC  FAULT</t>
  </si>
  <si>
    <t>T/D car travel to slagbox emergency signal (I36.4) continously high.</t>
  </si>
  <si>
    <t>Emergency released , condition checked and machine made ready for casting.</t>
  </si>
  <si>
    <t>CAST ABORT DUE TO SLAB STUCK IN WITHDRAWL-1(PINCH ROLL POSTION OUT AFTER CASTING START)</t>
  </si>
  <si>
    <t>Control Cable faulty</t>
  </si>
  <si>
    <t>Fresh connection done at JB and system made ready.</t>
  </si>
  <si>
    <t>AMIT KUMAR</t>
  </si>
  <si>
    <t>PRE-HEATER NOT WORKING</t>
  </si>
  <si>
    <t>Pre-heater -4 hydraulic motor starter 's control connections were loose.</t>
  </si>
  <si>
    <t>Pre-heater hydraulic motor"s starter cleaned &amp; tightness done.</t>
  </si>
  <si>
    <t>SEGMENT POSITION OPEN</t>
  </si>
  <si>
    <t>Segment clamping error due to hydraulic valve closed</t>
  </si>
  <si>
    <t>Segment 1 and mould removed for grid jam cutting</t>
  </si>
  <si>
    <t>SEG-2 Right top position transducer showed offset value.</t>
  </si>
  <si>
    <t>SEG-2 Right top position transducer replaced with spare one.</t>
  </si>
  <si>
    <t>TANMAY DAS/ AMIT KUMAR</t>
  </si>
  <si>
    <t>GRID JAM (SEGMENT CLAMPING ERROR) (C31)</t>
  </si>
  <si>
    <t xml:space="preserve">False feedback appeared due to level switch malfunctioned.	</t>
  </si>
  <si>
    <t>Main hydraulic oil level Magnetic level switch callibrated through magnet.</t>
  </si>
  <si>
    <t>DUMMY BAR TRACKING ISSUE(C30)</t>
  </si>
  <si>
    <t>Connections within selector switch were loose.</t>
  </si>
  <si>
    <t xml:space="preserve"> Dummy bar Bypass tracking selector switch connection and tightness done and PLC logic verified.</t>
  </si>
  <si>
    <t>RAM ADJUSTMENT PENDENT NOT WORK(C33)</t>
  </si>
  <si>
    <t>Mould drives didnot operate because mould was not clamped properly.</t>
  </si>
  <si>
    <t>Mould was clamped properly.</t>
  </si>
  <si>
    <t>SEGMENT-3 CALIBRATION PROBLEM</t>
  </si>
  <si>
    <t>Moisture was found inside the position transducer.</t>
  </si>
  <si>
    <t>Position transducer replaced with spare.</t>
  </si>
  <si>
    <t>ELECTRICAL BLOCK CHANGE</t>
  </si>
  <si>
    <t>PINCH ROLL ENCODER CHANGE(C37)</t>
  </si>
  <si>
    <t>Deviation in cut length value received by mill and speed variation occured.</t>
  </si>
  <si>
    <t>PR motor incremental encoder replaced with spare one.</t>
  </si>
  <si>
    <t>COUNTER FAULT CABLE CHANGE(C38)</t>
  </si>
  <si>
    <t>Scintillation counter cable faulty.</t>
  </si>
  <si>
    <t xml:space="preserve"> Scintillation counter cable replaced.</t>
  </si>
  <si>
    <t>SEGMENT-1 GRID JAM(C40)</t>
  </si>
  <si>
    <t>Grid jam happened due segment clamiping error.</t>
  </si>
  <si>
    <t>Segment recallibration done during sequence break.</t>
  </si>
  <si>
    <t>AMLC and LSG not open(C41)</t>
  </si>
  <si>
    <t>Root cause not identified</t>
  </si>
  <si>
    <t>RCA yet to be findout</t>
  </si>
  <si>
    <t xml:space="preserve">Tundish shifting was not done </t>
  </si>
  <si>
    <t>SEGMENT-1 GRID JAM,ALL HYDRAULIC &amp; DRIVE TRIP AFTER MOULD CHANGE</t>
  </si>
  <si>
    <t>SEGMENT 1&amp;2 GRID JAM (SEGMENT 2 CLAMPING ERROR)</t>
  </si>
  <si>
    <t>ET SUPERVISION FAULT(C43)</t>
  </si>
  <si>
    <t>ZOS-80 TEMPERATURE SENSOR POWER SUPPLY SHORT</t>
  </si>
  <si>
    <t>THE SUPPLY TO INSTRUMENT ISOLATED</t>
  </si>
  <si>
    <t xml:space="preserve"> 01  /00                  02/11/2024</t>
  </si>
  <si>
    <t>Why cast start delayed?</t>
  </si>
  <si>
    <t>Why segements were in clamping error?</t>
  </si>
  <si>
    <t>Why MCB tripped in TCS Panel?</t>
  </si>
  <si>
    <t>Why cable inside JB got damaged?</t>
  </si>
  <si>
    <t>All segments showed clamping error.</t>
  </si>
  <si>
    <t>MCB =12EF080.M02-F12 tripped at TCS Panel +12EE201C03</t>
  </si>
  <si>
    <t xml:space="preserve">T/D car-2 SRM JB cables damaged and got short circuited. </t>
  </si>
  <si>
    <t xml:space="preserve">Immediate Action : The damaged cable connections are isolated, and replaced with new.
Future Action :  Install fusable terminal blocks for each connection to provide better protection against future electrical faults.
Responsibility :  Chandra Bhushan Pandey  
                             </t>
  </si>
  <si>
    <t xml:space="preserve"> 01  /00                  04/11/2024</t>
  </si>
  <si>
    <t xml:space="preserve">CAST ABORT DUE TO POWER FAILURE </t>
  </si>
  <si>
    <t>Why equipments go to off mode?</t>
  </si>
  <si>
    <t>why power failure happened?</t>
  </si>
  <si>
    <t>Why incomer-2 ACB tripped?</t>
  </si>
  <si>
    <t>Why jaw contacts and CT failed?</t>
  </si>
  <si>
    <t>Casting was aborted due to Caster 1, 2 equiments went to off mode.</t>
  </si>
  <si>
    <t>Equipments went to Off mode because Power failure happened at pcc incomer-2.</t>
  </si>
  <si>
    <t>Power failure happened because incomer 2 ACB (4000 A) tripped.</t>
  </si>
  <si>
    <t>ACB tripped because Jaw contacts and CT(Current Transformer) failed</t>
  </si>
  <si>
    <t xml:space="preserve">Immediate Action : Jaw contacts and CT(current Transformer ) replaced with spare ones.
Future Action :  Jaw contacts and CT (current transformer) to be replaced in every half year.
Responsibility :  Chandra Bhushan Pandey </t>
  </si>
  <si>
    <t xml:space="preserve">2 OF </t>
  </si>
  <si>
    <t xml:space="preserve"> 01  /00                  05/11/2024</t>
  </si>
  <si>
    <t>Caster-2,Segemnt-2 left top &amp; right top showing off-set value.</t>
  </si>
  <si>
    <t>Why segement-2 showing off-set value?</t>
  </si>
  <si>
    <t>why Segment-2 both side cables &amp; temposonic blocks malfunction?</t>
  </si>
  <si>
    <t>Csater-2, segemnt -2 right top &amp; left top showing off-set value.</t>
  </si>
  <si>
    <t>Segment-2 both side cables &amp; temposonic blocks malfunction.</t>
  </si>
  <si>
    <t xml:space="preserve">Immediate Action : Segment-2 left top side  &amp; right top side segment cables replaced &amp; right side temposonic block replaced. 
Future Action :Segment cables to be replaced in as per schedule.
Responsibility :  Chandra Bhushan Pandey </t>
  </si>
  <si>
    <t xml:space="preserve"> 01  /00                  06/11/2024</t>
  </si>
  <si>
    <t>TUNDISH CAR-2 SRM PROBLEM</t>
  </si>
  <si>
    <t>Why SRM zeroing not work?</t>
  </si>
  <si>
    <t>Why SRM drive showing fault F04 &amp; F06?</t>
  </si>
  <si>
    <t>Why resolver cable was not connected properly ?</t>
  </si>
  <si>
    <t>Tundish car-2 SRM zeroing not work.</t>
  </si>
  <si>
    <t>SRM drive showing fault F04 and F06.</t>
  </si>
  <si>
    <t>The resolver cable was not conntected properly from JB side.</t>
  </si>
  <si>
    <t>Connector lock from JB side was damaged.</t>
  </si>
  <si>
    <t>Immediate Action : Connector lock from JB side was replaced with  new one.
Future Action :  During sequence break or shutdown all the connectors to inspected properly.
Responsibility : Prashant</t>
  </si>
  <si>
    <t>CA-2 CASTABORTED DUE TO DUMMY BAR STOPPED.</t>
  </si>
  <si>
    <t>212+29</t>
  </si>
  <si>
    <t>Why Dummy bar stopped?</t>
  </si>
  <si>
    <t>Why D/B motor tripped.?</t>
  </si>
  <si>
    <t>Why was D/B motor taken over cuurent ?</t>
  </si>
  <si>
    <t>Dummy bar stopped.</t>
  </si>
  <si>
    <t>D/B motor tripped.</t>
  </si>
  <si>
    <t>D/B motor was taken over cuurent.</t>
  </si>
  <si>
    <t xml:space="preserve">Delay is not belonged to Electrical Dept. (At 6.67 mtr one slow down occurred. @ 6.89mtr Dummy bar current was started taking high current. @ 7.12 mtr Dummy bar motor got tripped.)                       </t>
  </si>
  <si>
    <t>Immediate Action : Spare dummy bar replaced with spare one by Operation Dept.
Responsibility : Prashant</t>
  </si>
  <si>
    <t xml:space="preserve"> 01  /00                  07/11/2024</t>
  </si>
  <si>
    <t>ALL DRIVES CAST M/C TRIPPED DURING CAST START</t>
  </si>
  <si>
    <t>Why cast start aborted?</t>
  </si>
  <si>
    <t>Why All drive tripped during cast srart?</t>
  </si>
  <si>
    <t>Why a MPCB from HMO panel tripped.(+12E0M10)?</t>
  </si>
  <si>
    <t>Why the SMPS of the ET panel got damaged.. ?</t>
  </si>
  <si>
    <t>All drive tripped during cast srart</t>
  </si>
  <si>
    <t>a MPCB from HMO panel tripped.(+12E0M10)</t>
  </si>
  <si>
    <t>The SMPS of the ET panel got damaged..</t>
  </si>
  <si>
    <t>There was a sparked and the SMPS got damaged due to voltage fluctuation in the ETpanel(+12E0M10)</t>
  </si>
  <si>
    <t xml:space="preserve">Immediate Action : SMPS was replaced with  new one.
Future Action :  SMPS voltage to be monitored and noted in every quarter.
Responsibility :  Chandra Bhushan Pandey </t>
  </si>
  <si>
    <t>MOULD LEVEL DROPPED</t>
  </si>
  <si>
    <t>Why autotailout occured?</t>
  </si>
  <si>
    <t>Why SRM actual position wasnot in line with ref. position?</t>
  </si>
  <si>
    <t>Cast aborted because mould level dropped.</t>
  </si>
  <si>
    <t xml:space="preserve">Mould level dropped because Autotailout occured. </t>
  </si>
  <si>
    <t>SRM reference position reached 95 %   and actual position wasnot in line with ref. position.</t>
  </si>
  <si>
    <t xml:space="preserve">Drive feedback to SRM wasnot generated.
</t>
  </si>
  <si>
    <t xml:space="preserve">Immediate Action : Connections checked at SRM and Drive checked &amp; tightness done.
Future Action :  Drive cleaning and dedusting to be done as per schedule.
Responsibility :  Chandra Bhushan Pandey </t>
  </si>
  <si>
    <t xml:space="preserve"> 01  /00                  09/11/2024</t>
  </si>
  <si>
    <t>Why fault F04 and F06 occured?</t>
  </si>
  <si>
    <t>SRM drive showing fault F04 and F06. Drive could not reset properly from software PC.</t>
  </si>
  <si>
    <t>Immediate Action : Block provided at SRM, power reset done from TCS system of SRM drive.
Future Action :  During long sequence break SRM drive healthyness to be checked.
Responsibility : Prashant</t>
  </si>
  <si>
    <t xml:space="preserve"> 01  /00                  10/11/2024</t>
  </si>
  <si>
    <t>Why seg-02 showed clamping error?</t>
  </si>
  <si>
    <t>Why Seg-02 left top position transducer showed offset value?</t>
  </si>
  <si>
    <t>Seg-02 showed Clamping error</t>
  </si>
  <si>
    <t>Seg-02 left top position transducer showed offset value</t>
  </si>
  <si>
    <t>Immediate Action : Seg-02 temposonic block changed with spare one.
Future Action :
Responsibility : Chandra Bhusan Pandey</t>
  </si>
  <si>
    <t>9 OF 9</t>
  </si>
  <si>
    <t xml:space="preserve"> 01  /00                  16/11/2024</t>
  </si>
  <si>
    <t xml:space="preserve">DEPARTMENT   :-  CASTER  2 ELECTRICAL   MAINT.                                                            </t>
  </si>
  <si>
    <t>Pre-heater -4 not working.</t>
  </si>
  <si>
    <t>Pre-heater -4 hydraulic motor tripped.</t>
  </si>
  <si>
    <t xml:space="preserve">Pre-heater -4 hydraulic motor tripped.
</t>
  </si>
  <si>
    <t xml:space="preserve">Pre-heater -4 hydraulic motor starter 's control missing.
</t>
  </si>
  <si>
    <t>Immediate Action :Pre-heater hydraulic motor"s starter cleaned &amp; tightness done.
Responsibility : Chandra Bhusan Pandey</t>
  </si>
  <si>
    <t>c31</t>
  </si>
  <si>
    <t xml:space="preserve"> 01  /00                  19/11/2024</t>
  </si>
  <si>
    <t xml:space="preserve">GRID JAM (SEGMENT CLAMPING ERROR) </t>
  </si>
  <si>
    <t>Why grid jam occured at all segments?</t>
  </si>
  <si>
    <t>Why all segments got clamped?</t>
  </si>
  <si>
    <t>Why hydraulic oil empty false feedback generated?</t>
  </si>
  <si>
    <t>Cast start was delayed due to grid jam at all segments</t>
  </si>
  <si>
    <t>All segments got clamped.</t>
  </si>
  <si>
    <t>Segments got clamped due to hydraulic oil empty false feedback generated.</t>
  </si>
  <si>
    <t>False feedback appeared due to level switch malfunctioned.</t>
  </si>
  <si>
    <t>False feedback appeared due to Main hyraulic oil empty level switch malfunctioned.</t>
  </si>
  <si>
    <t>Immediate Action :Magnetic level switch callibrated through magnet.
Future action: One bypass MCB installed  for level empty signal to avoid such error.
Responsibilty : Chandra Bhusan Pandey</t>
  </si>
  <si>
    <t xml:space="preserve"> 01  /00                  22/11/2024</t>
  </si>
  <si>
    <t>Why was there an issue with callibration of seg-03?</t>
  </si>
  <si>
    <t>Why Right top position transducer showed an offset value?</t>
  </si>
  <si>
    <t xml:space="preserve">
Why Position transducer malfunctioned?</t>
  </si>
  <si>
    <t>The Seg-03 couldnot be callibrated</t>
  </si>
  <si>
    <t>The right top Position Transducer showed an offset value.</t>
  </si>
  <si>
    <t>Position transducer malfunctioned</t>
  </si>
  <si>
    <t>Moisture was found inside the position transducer</t>
  </si>
  <si>
    <t>Immediate Action : Position transducer replaced with spare 
Future action: Position transducer to be cleaned in every quarter with proper procedures.
Responsibilty : Chandra Bhusan Pandey</t>
  </si>
  <si>
    <t>c38</t>
  </si>
  <si>
    <t xml:space="preserve"> 01  /00                  25/11/2024</t>
  </si>
  <si>
    <t>COUNTER FAULT CABLE CHANGE</t>
  </si>
  <si>
    <t>MLC E -close showing.</t>
  </si>
  <si>
    <t>why Berthold system showed fault(M501)?</t>
  </si>
  <si>
    <t>Berthold system showing fault (M501)</t>
  </si>
  <si>
    <t>Immediate Action : Scintillation counter cable replaced.
Future Action : Scintillation counter cable condition to be checked at every mould change and cable to be replaced every half year.
Responsibility : Chandra Bhusan Pandey</t>
  </si>
  <si>
    <t xml:space="preserve"> 01  /00                  29/11/2024</t>
  </si>
  <si>
    <t>Communication Fault</t>
  </si>
  <si>
    <t>Why communication fault in hydraulic RIO node?</t>
  </si>
  <si>
    <t>Why OBT malfunction?</t>
  </si>
  <si>
    <t>Why fibre optic connection loose?</t>
  </si>
  <si>
    <t>Communication fault in Hydraulic system RIO node.</t>
  </si>
  <si>
    <t xml:space="preserve">Optical Bus Terminal (OBT) Tighten the profibus connectior and re-connected the fible optic cores. </t>
  </si>
  <si>
    <t>Fibre optical connection loose or OBT faulty.</t>
  </si>
  <si>
    <t>Loose connection of fibre optic core or cable faulty.</t>
  </si>
  <si>
    <t>Root cause not identified.</t>
  </si>
  <si>
    <t>Immediate Action : Tightened the profibus connector at OBT and the existing fibre optic connection removed and fixed again in the slot. 
Future action: Fresh connections of the fibre optic cable to be done in upcoming shutdown. 
Responsibilty : Chandra Bhusan Pandey</t>
  </si>
  <si>
    <t>c43</t>
  </si>
  <si>
    <t xml:space="preserve"> 01  /00                  30/11/2024</t>
  </si>
  <si>
    <t>ET SUPERVISION FAULT</t>
  </si>
  <si>
    <t>Why caster was no ready?</t>
  </si>
  <si>
    <t>Why showing ET supervision fault?</t>
  </si>
  <si>
    <t>Why MCB tripped?</t>
  </si>
  <si>
    <t>Why ZOS-80 Temperature sensor connection short?</t>
  </si>
  <si>
    <t>Showing ET supervision fault at ET +12E3M11</t>
  </si>
  <si>
    <t>MCB M35.F25 tripped</t>
  </si>
  <si>
    <t>ZOS-80 Temperature sensor connection short.</t>
  </si>
  <si>
    <t xml:space="preserve">Water falling from roof due drainage line of water blocked at 0 Mtr area. </t>
  </si>
  <si>
    <t xml:space="preserve">Falling water from roof due to drain blockage. </t>
  </si>
  <si>
    <t>Immediate Action : The connection of the instrument is isolated
Future action: Connection to be made proper in shut down.
Responsibilty : Chandra Bhusan Pandey</t>
  </si>
  <si>
    <t>CAST ABORT DUE TO POWER FAILURE</t>
  </si>
  <si>
    <t xml:space="preserve">DEPARTMENT   :-  CASTER  1                                        ELECTRICAL   MAINT.                                                            </t>
  </si>
  <si>
    <t>Why jaw contacts and CT(Current Transformers) failed?</t>
  </si>
  <si>
    <t>Caster 1, 2 equiments goes to off mode</t>
  </si>
  <si>
    <t>Power failure happened at pcc incomer-2</t>
  </si>
  <si>
    <t xml:space="preserve"> 01  /00                  15/11/2024</t>
  </si>
  <si>
    <t xml:space="preserve">DEPARTMENT   :-  CASTER  1 ELECTRICAL   MAINT.                                                            </t>
  </si>
  <si>
    <t>Why LSG E-close signal showing in HMI?</t>
  </si>
  <si>
    <t>Why T/D travel to cast position emergency showing activated ?</t>
  </si>
  <si>
    <t>Why T/D car E-travel to slagbox is continously high.?</t>
  </si>
  <si>
    <t>LSG E-close signal showing in HMI</t>
  </si>
  <si>
    <t xml:space="preserve">T/D travel to cast position emergency showing activated </t>
  </si>
  <si>
    <t>T/D car E-travel to slagbox is continously high.</t>
  </si>
  <si>
    <t>emergency signal (I36.4) continously high.</t>
  </si>
  <si>
    <t>Immediate Action :emergency released , condition checked and machine made ready for casting.
Responsibility : Chandra Bhusan Pandey</t>
  </si>
  <si>
    <t xml:space="preserve">DEPARTMENT   :-  CASTER  1                                       ELECTRICAL   MAINT.                                                            </t>
  </si>
  <si>
    <t>Why Slab stuck in machine?</t>
  </si>
  <si>
    <t>Why error occured in pinch roll DS?</t>
  </si>
  <si>
    <t>Why Pinch roll DS position showed 268mm?</t>
  </si>
  <si>
    <t>Why +24V Supply missing?</t>
  </si>
  <si>
    <t>Slab got stuck in machine</t>
  </si>
  <si>
    <t>Slab stuck due to error in pinch roll</t>
  </si>
  <si>
    <t>Pinch roll DS position showed 268mm.</t>
  </si>
  <si>
    <t>+24V Supply missing</t>
  </si>
  <si>
    <t>Cable Faulty at JB.</t>
  </si>
  <si>
    <t>Immediate Action : Fresh connection done at JB and system made ready.
Responsibility : Chandra Bhusan Pandey</t>
  </si>
  <si>
    <t xml:space="preserve"> 01  /00                  17/11/2024</t>
  </si>
  <si>
    <t>Why Segment gri jammed</t>
  </si>
  <si>
    <t>Why segment clamping error</t>
  </si>
  <si>
    <t>Due to grid Jam at segment 3</t>
  </si>
  <si>
    <t>Due to segment clamping error</t>
  </si>
  <si>
    <t>Hydraulic valve closed due to oil leakage</t>
  </si>
  <si>
    <t>Segment was in clamping error due to hydraulic valve closed by mechanical</t>
  </si>
  <si>
    <t>Immediate Action :Segment 1 and mould removed for grid jam cutting
Responsibility : Chandra Bhusan Pandey</t>
  </si>
  <si>
    <t>c30</t>
  </si>
  <si>
    <t xml:space="preserve"> 01  /00                  20/11/2024</t>
  </si>
  <si>
    <t xml:space="preserve"> DUMMY BAR TRACKING ISSUE.</t>
  </si>
  <si>
    <t>Why Dummy bar motor stopped before 1.44 meter tracking length?</t>
  </si>
  <si>
    <t>Why Dummy bar tracking problem occured?</t>
  </si>
  <si>
    <t>why selector switch malfunctioned?</t>
  </si>
  <si>
    <t>Dummy bar motor stopped before 1.44 meter tracking length.</t>
  </si>
  <si>
    <t>Dummy bar tracking problem.</t>
  </si>
  <si>
    <t>Dummy bar Bypass tracking selector switch malfunctioned.</t>
  </si>
  <si>
    <t>Connections within selector switch were loose .</t>
  </si>
  <si>
    <t>Immediate Action : Dummy bar Bypass tracking selector switch connection and tightness done. 
                                PLC logic verified.
Responsibility : Chandra Bhusan Pandey</t>
  </si>
  <si>
    <t>c41</t>
  </si>
  <si>
    <t xml:space="preserve"> 01  /00                  27/11/2024</t>
  </si>
  <si>
    <t>AMLC PROBLEM AND LSG NOT OPEN</t>
  </si>
  <si>
    <t>Why T/D shifting could not be done?</t>
  </si>
  <si>
    <t>Why T/D car-2 was in cast position?</t>
  </si>
  <si>
    <t>Why Ca-1 simulation was been taken?</t>
  </si>
  <si>
    <t>Why LSG operation was being checked at cast position?</t>
  </si>
  <si>
    <t>T/D shifting could not be done.</t>
  </si>
  <si>
    <t>T/D car-2 was in cast position</t>
  </si>
  <si>
    <t>Ca-1 simulation was been taken..</t>
  </si>
  <si>
    <t>LSG operation was being checked at cast position.</t>
  </si>
  <si>
    <t>Root cause not identified .</t>
  </si>
  <si>
    <t>Immediate Action :
Future action: 
Responsibilty : Chandra Bhusan Pandey</t>
  </si>
  <si>
    <t>Why did heat returned?</t>
  </si>
  <si>
    <t>Why Heat hold for 21 minutes?</t>
  </si>
  <si>
    <t>Why LSG did not open?</t>
  </si>
  <si>
    <t>Heat hold for 21 minutes.</t>
  </si>
  <si>
    <t>LSG did not open.</t>
  </si>
  <si>
    <t>02.11.2024</t>
  </si>
  <si>
    <r>
      <rPr>
        <b/>
        <i/>
        <sz val="10"/>
        <color rgb="FF000000"/>
        <rFont val="Verdana"/>
      </rPr>
      <t xml:space="preserve">D1: </t>
    </r>
    <r>
      <rPr>
        <b/>
        <sz val="10"/>
        <color rgb="FF000000"/>
        <rFont val="Verdana"/>
      </rPr>
      <t>Form team to solve the problem ( Why,when,where,how,what,who) : Name of team members: 1.Chandra Bhusan Pandey, 2. Prashant O. Chavan, 3. Ranjit Bardhan.</t>
    </r>
  </si>
  <si>
    <t>Cast permissive not showing as all segments showing clamping error</t>
  </si>
  <si>
    <t xml:space="preserve">1. Caster 2 cast start delayed due to segments not ready for cast. 
2. The faulty SRM drive isolated from system and MCB made ON.
3. All the segments made ready, flushing and calibration done.
4. Again dummy bar inserted and machine made ready for casting. 
5. Casting started.  </t>
  </si>
  <si>
    <r>
      <rPr>
        <b/>
        <sz val="10"/>
        <color rgb="FF000000"/>
        <rFont val="Verdana"/>
      </rPr>
      <t xml:space="preserve">What - </t>
    </r>
    <r>
      <rPr>
        <sz val="10"/>
        <color rgb="FF000000"/>
        <rFont val="Verdana"/>
      </rPr>
      <t xml:space="preserve">Regular checks of the SRM JB and improve heat isolation. 
</t>
    </r>
    <r>
      <rPr>
        <b/>
        <sz val="10"/>
        <color rgb="FF000000"/>
        <rFont val="Verdana"/>
      </rPr>
      <t xml:space="preserve">When- </t>
    </r>
    <r>
      <rPr>
        <sz val="10"/>
        <color rgb="FF000000"/>
        <rFont val="Verdana"/>
      </rPr>
      <t xml:space="preserve"> These checks will take place during every shutdown and long sequence break.
</t>
    </r>
    <r>
      <rPr>
        <b/>
        <sz val="10"/>
        <color rgb="FF000000"/>
        <rFont val="Verdana"/>
      </rPr>
      <t xml:space="preserve">Where- </t>
    </r>
    <r>
      <rPr>
        <sz val="10"/>
        <color rgb="FF000000"/>
        <rFont val="Verdana"/>
      </rPr>
      <t xml:space="preserve">At all Tundish car JB and cable tray located near the JB.
</t>
    </r>
    <r>
      <rPr>
        <b/>
        <sz val="10"/>
        <color rgb="FF000000"/>
        <rFont val="Verdana"/>
      </rPr>
      <t xml:space="preserve">How-   </t>
    </r>
    <r>
      <rPr>
        <sz val="10"/>
        <color rgb="FF000000"/>
        <rFont val="Verdana"/>
      </rPr>
      <t>Resistance value and checking for ground</t>
    </r>
    <r>
      <rPr>
        <b/>
        <sz val="10"/>
        <color rgb="FF000000"/>
        <rFont val="Verdana"/>
      </rPr>
      <t xml:space="preserve"> </t>
    </r>
    <r>
      <rPr>
        <sz val="10"/>
        <color rgb="FF000000"/>
        <rFont val="Verdana"/>
      </rPr>
      <t xml:space="preserve">by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 xml:space="preserve">To prevent future occurrences of cable damage due to excessive temperature, ensuring the reliability of the casting process and minimizing downtime.
</t>
    </r>
    <r>
      <rPr>
        <b/>
        <sz val="10"/>
        <color rgb="FF000000"/>
        <rFont val="Verdana"/>
      </rPr>
      <t xml:space="preserve">
</t>
    </r>
  </si>
  <si>
    <r>
      <rPr>
        <sz val="10"/>
        <color rgb="FF000000"/>
        <rFont val="Verdana"/>
      </rPr>
      <t>1</t>
    </r>
    <r>
      <rPr>
        <b/>
        <sz val="10"/>
        <color rgb="FF000000"/>
        <rFont val="Verdana"/>
      </rPr>
      <t>.What</t>
    </r>
    <r>
      <rPr>
        <sz val="10"/>
        <color rgb="FF000000"/>
        <rFont val="Verdana"/>
      </rPr>
      <t xml:space="preserve"> - Schintillation counter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Mould level source junction.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To prevent overheating damage and ensure system reliability through proactive monitoring.
</t>
    </r>
  </si>
  <si>
    <t>Date - 02.11.2024 at around 03:40:00 PM to 04:30:00 PM</t>
  </si>
  <si>
    <t>Answer- All segments showed clamping error.</t>
  </si>
  <si>
    <t>Caster 2 cast start delayed due to segments showing clamping error</t>
  </si>
  <si>
    <t>Question- Why segements were in clamping error?</t>
  </si>
  <si>
    <t>Answer- MCB =12EF080.M02-F12 tripped at TCS Panel +12EE201C03</t>
  </si>
  <si>
    <t>Question- Why MCB tripped in TCS Panel?</t>
  </si>
  <si>
    <t xml:space="preserve">Answer -  T/D car-2 SRM JB cables damaged and got short circuited. </t>
  </si>
  <si>
    <t>Question- Why cable inside JB got damaged?</t>
  </si>
  <si>
    <t>Answer - Cable were damaged due to excessive temperature due to SEN pre-heater.</t>
  </si>
  <si>
    <t>07.11.2024</t>
  </si>
  <si>
    <t xml:space="preserve">1. Caster 2 cast aborted due to Dummy Bar stopped.
2. Slab stuck in machine.
3. Dummy bar head got bent.
4. Slab removed from machine.
5. Spare dummy bar inserted and machine made ready for casting.                              6. Casting started.  </t>
  </si>
  <si>
    <r>
      <rPr>
        <b/>
        <sz val="10"/>
        <color rgb="FF000000"/>
        <rFont val="Verdana"/>
      </rPr>
      <t xml:space="preserve">What - </t>
    </r>
    <r>
      <rPr>
        <sz val="10"/>
        <color rgb="FF000000"/>
        <rFont val="Verdana"/>
      </rPr>
      <t xml:space="preserve">Regular check segments roll conditions. 
</t>
    </r>
    <r>
      <rPr>
        <b/>
        <sz val="10"/>
        <color rgb="FF000000"/>
        <rFont val="Verdana"/>
      </rPr>
      <t xml:space="preserve">When- </t>
    </r>
    <r>
      <rPr>
        <sz val="10"/>
        <color rgb="FF000000"/>
        <rFont val="Verdana"/>
      </rPr>
      <t xml:space="preserve"> These checks will take place in long sequence break.
</t>
    </r>
    <r>
      <rPr>
        <b/>
        <sz val="10"/>
        <color rgb="FF000000"/>
        <rFont val="Verdana"/>
      </rPr>
      <t xml:space="preserve">Where- </t>
    </r>
    <r>
      <rPr>
        <sz val="10"/>
        <color rgb="FF000000"/>
        <rFont val="Verdana"/>
      </rPr>
      <t xml:space="preserve">Segments placed inside the machine.
</t>
    </r>
    <r>
      <rPr>
        <b/>
        <sz val="10"/>
        <color rgb="FF000000"/>
        <rFont val="Verdana"/>
      </rPr>
      <t xml:space="preserve">How-   </t>
    </r>
    <r>
      <rPr>
        <sz val="10"/>
        <color rgb="FF000000"/>
        <rFont val="Verdana"/>
      </rPr>
      <t xml:space="preserve">Segments Roll movement manually.
</t>
    </r>
    <r>
      <rPr>
        <b/>
        <sz val="10"/>
        <color rgb="FF000000"/>
        <rFont val="Verdana"/>
      </rPr>
      <t xml:space="preserve">Who-   </t>
    </r>
    <r>
      <rPr>
        <sz val="10"/>
        <color rgb="FF000000"/>
        <rFont val="Verdana"/>
      </rPr>
      <t xml:space="preserve">Operation Team
</t>
    </r>
  </si>
  <si>
    <r>
      <rPr>
        <sz val="10"/>
        <color rgb="FF000000"/>
        <rFont val="Verdana"/>
      </rPr>
      <t>1</t>
    </r>
    <r>
      <rPr>
        <b/>
        <sz val="10"/>
        <color rgb="FF000000"/>
        <rFont val="Verdana"/>
      </rPr>
      <t>.What</t>
    </r>
    <r>
      <rPr>
        <sz val="10"/>
        <color rgb="FF000000"/>
        <rFont val="Verdana"/>
      </rPr>
      <t xml:space="preserve"> - Spare dummy bar replaced.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In side machine.
</t>
    </r>
    <r>
      <rPr>
        <b/>
        <sz val="10"/>
        <color rgb="FF000000"/>
        <rFont val="Verdana"/>
      </rPr>
      <t>How</t>
    </r>
    <r>
      <rPr>
        <sz val="10"/>
        <color rgb="FF000000"/>
        <rFont val="Verdana"/>
      </rPr>
      <t xml:space="preserve">- With the help of crane and OS panel.
</t>
    </r>
    <r>
      <rPr>
        <b/>
        <sz val="10"/>
        <color rgb="FF000000"/>
        <rFont val="Verdana"/>
      </rPr>
      <t>Who</t>
    </r>
    <r>
      <rPr>
        <sz val="10"/>
        <color rgb="FF000000"/>
        <rFont val="Verdana"/>
      </rPr>
      <t xml:space="preserve">- Operation Team.
</t>
    </r>
  </si>
  <si>
    <t>This delay is not belonged to Electrical Dept.</t>
  </si>
  <si>
    <t>Answer-Dummy bar stopped</t>
  </si>
  <si>
    <t>Date - 06.11.2024 from 21:32:00  to 01:20:00.</t>
  </si>
  <si>
    <t>Question- Why Dummy bar stopped?</t>
  </si>
  <si>
    <t>Answer- Dummy bar tripped.</t>
  </si>
  <si>
    <t>Caster 2 cast start  delayed due to slab stuck in machine.</t>
  </si>
  <si>
    <t>Question- Why Dummy bar tripped?</t>
  </si>
  <si>
    <t>Answer- D/B motor was taken Over current.</t>
  </si>
  <si>
    <t>Question- Why was D/B motor  taken Over curren?</t>
  </si>
  <si>
    <t>Answer- Slab stuck in machine.</t>
  </si>
  <si>
    <t>06.11.2024</t>
  </si>
  <si>
    <t>Name of Key Member: 1. Chandra Bhusan Pandey, 2. Prashant O. Chavan, 3. Biswambar Bhoi.</t>
  </si>
  <si>
    <r>
      <rPr>
        <b/>
        <i/>
        <sz val="10"/>
        <color rgb="FF000000"/>
        <rFont val="Verdana"/>
      </rPr>
      <t xml:space="preserve">D1: </t>
    </r>
    <r>
      <rPr>
        <b/>
        <sz val="10"/>
        <color rgb="FF000000"/>
        <rFont val="Verdana"/>
      </rPr>
      <t>Form team to solve the problem ( Why,when,where,how,what,who) : Name of team members: 1.Chandra Bhusan Pandey, 2. Prashant O. Chavan, 3. Biswambar Bhoi.</t>
    </r>
  </si>
  <si>
    <t>Caster 2 cast aborted due to tripping of all drives of cast machine.</t>
  </si>
  <si>
    <t xml:space="preserve">1. Caster 2 cast aborted due to tripping of all drives of cast machine.
2. The Faulty SMPS was removed from the ET(+12E0M10)
3. Main Power supply was made off
4. MPCB was made off. 
5. New SMPS was installed in place of the faulty one.  </t>
  </si>
  <si>
    <r>
      <rPr>
        <b/>
        <sz val="10"/>
        <color rgb="FF000000"/>
        <rFont val="Verdana"/>
      </rPr>
      <t xml:space="preserve">What - </t>
    </r>
    <r>
      <rPr>
        <sz val="10"/>
        <color rgb="FF000000"/>
        <rFont val="Verdana"/>
      </rPr>
      <t xml:space="preserve">Regular checks of the SMPS voltage in every month. 
</t>
    </r>
    <r>
      <rPr>
        <b/>
        <sz val="10"/>
        <color rgb="FF000000"/>
        <rFont val="Verdana"/>
      </rPr>
      <t xml:space="preserve">When- </t>
    </r>
    <r>
      <rPr>
        <sz val="10"/>
        <color rgb="FF000000"/>
        <rFont val="Verdana"/>
      </rPr>
      <t xml:space="preserve"> These checks will take place during every shutdown and long sequence break.
</t>
    </r>
    <r>
      <rPr>
        <b/>
        <sz val="10"/>
        <color rgb="FF000000"/>
        <rFont val="Verdana"/>
      </rPr>
      <t xml:space="preserve">Where- </t>
    </r>
    <r>
      <rPr>
        <sz val="10"/>
        <color rgb="FF000000"/>
        <rFont val="Verdana"/>
      </rPr>
      <t xml:space="preserve">At all ET panels.
</t>
    </r>
    <r>
      <rPr>
        <b/>
        <sz val="10"/>
        <color rgb="FF000000"/>
        <rFont val="Verdana"/>
      </rPr>
      <t xml:space="preserve">How-   </t>
    </r>
    <r>
      <rPr>
        <sz val="10"/>
        <color rgb="FF000000"/>
        <rFont val="Verdana"/>
      </rPr>
      <t>Resistance value and checking for ground</t>
    </r>
    <r>
      <rPr>
        <b/>
        <sz val="10"/>
        <color rgb="FF000000"/>
        <rFont val="Verdana"/>
      </rPr>
      <t xml:space="preserve"> </t>
    </r>
    <r>
      <rPr>
        <sz val="10"/>
        <color rgb="FF000000"/>
        <rFont val="Verdana"/>
      </rPr>
      <t xml:space="preserve">by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 xml:space="preserve">To prevent future occurrences of damage due to excessive voltage fluctuation hence damaging the electric equipment.
</t>
    </r>
  </si>
  <si>
    <r>
      <rPr>
        <sz val="10"/>
        <color rgb="FF000000"/>
        <rFont val="Verdana"/>
      </rPr>
      <t>1</t>
    </r>
    <r>
      <rPr>
        <b/>
        <sz val="10"/>
        <color rgb="FF000000"/>
        <rFont val="Verdana"/>
      </rPr>
      <t>.What</t>
    </r>
    <r>
      <rPr>
        <sz val="10"/>
        <color rgb="FF000000"/>
        <rFont val="Verdana"/>
      </rPr>
      <t xml:space="preserve"> - SMPS replaced with spare 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ET (+12E0M10).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To prevent future occurrences of damage due to excessive voltage fluction hence damging the electric equipment.
</t>
    </r>
  </si>
  <si>
    <t>Answer-All drives tripped of cast machine</t>
  </si>
  <si>
    <t>Date - 06.11.2024 at around 02:50:00 AM to 05:40:00 PM</t>
  </si>
  <si>
    <t>Question- Why All drive tripped during cast srart?</t>
  </si>
  <si>
    <t>Answer- a MPCB from HMO panel tripped.(+12E0M10)</t>
  </si>
  <si>
    <t>Cast start delay due to SMPS replacement</t>
  </si>
  <si>
    <t>Question- Why a MPCB from HMO panel tripped (+12E0M10)?</t>
  </si>
  <si>
    <t>Answer-The SMPS of the ET panel got damaged.</t>
  </si>
  <si>
    <t>Question- Why the SMPS of the ET panel got damaged ?</t>
  </si>
  <si>
    <t>There was a sparked and the SMPS got damaged due to voltage fluctuation.</t>
  </si>
  <si>
    <t>15.11.2024</t>
  </si>
  <si>
    <t>Caster 2 cast aborted due to slab stuck in machine.</t>
  </si>
  <si>
    <t xml:space="preserve">1. Caster 2 cast aborteddue to slab stuck in machine.
2. Pinch roll position transducer power supply made off.
3. Fresh connection done at JB.
4. System made ready. 
 </t>
  </si>
  <si>
    <r>
      <rPr>
        <b/>
        <sz val="10"/>
        <color rgb="FF000000"/>
        <rFont val="Verdana"/>
      </rPr>
      <t xml:space="preserve">What - </t>
    </r>
    <r>
      <rPr>
        <sz val="10"/>
        <color rgb="FF000000"/>
        <rFont val="Verdana"/>
      </rPr>
      <t xml:space="preserve">Fresh connections to be done at JB in every 6 month. 
</t>
    </r>
    <r>
      <rPr>
        <b/>
        <sz val="10"/>
        <color rgb="FF000000"/>
        <rFont val="Verdana"/>
      </rPr>
      <t xml:space="preserve">When- </t>
    </r>
    <r>
      <rPr>
        <sz val="10"/>
        <color rgb="FF000000"/>
        <rFont val="Verdana"/>
      </rPr>
      <t xml:space="preserve"> These checks will take place during every shutdown.
</t>
    </r>
    <r>
      <rPr>
        <b/>
        <sz val="10"/>
        <color rgb="FF000000"/>
        <rFont val="Verdana"/>
      </rPr>
      <t xml:space="preserve">Where- </t>
    </r>
    <r>
      <rPr>
        <sz val="10"/>
        <color rgb="FF000000"/>
        <rFont val="Verdana"/>
      </rPr>
      <t xml:space="preserve">At all concerned JB.
</t>
    </r>
    <r>
      <rPr>
        <b/>
        <sz val="10"/>
        <color rgb="FF000000"/>
        <rFont val="Verdana"/>
      </rPr>
      <t xml:space="preserve">How-   </t>
    </r>
    <r>
      <rPr>
        <sz val="10"/>
        <color rgb="FF000000"/>
        <rFont val="Verdana"/>
      </rPr>
      <t xml:space="preserve">Voltage supply to be checked with multimeter.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To prevent future occurrences of damage due to excessive voltage fluctuation hence damaging the electric equipment.</t>
    </r>
  </si>
  <si>
    <r>
      <rPr>
        <sz val="10"/>
        <color rgb="FF000000"/>
        <rFont val="Verdana"/>
      </rPr>
      <t>1</t>
    </r>
    <r>
      <rPr>
        <b/>
        <sz val="10"/>
        <color rgb="FF000000"/>
        <rFont val="Verdana"/>
      </rPr>
      <t>.What</t>
    </r>
    <r>
      <rPr>
        <sz val="10"/>
        <color rgb="FF000000"/>
        <rFont val="Verdana"/>
      </rPr>
      <t xml:space="preserve"> - Fresh connection done.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JB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To prevent future occurrences of damage due to excessive voltage fluctuation hence damaging the electric equipment.
</t>
    </r>
  </si>
  <si>
    <t>Answer-Slab stuck in machine</t>
  </si>
  <si>
    <t>Date - 15.11.2024 at around 02:26:00 PM to 04:45:00 PM</t>
  </si>
  <si>
    <t>Question- Why Slab stuck in machine?</t>
  </si>
  <si>
    <t xml:space="preserve">Answer- Pinch roll DS position error. </t>
  </si>
  <si>
    <t>Cast start delay due to Pinch roll Drive side fresh connection done and stuck slab cleared from machine.</t>
  </si>
  <si>
    <t>Question- Why Pinch roll DS position error?</t>
  </si>
  <si>
    <t>Answer-Pinc roll DS position showing 268mm.</t>
  </si>
  <si>
    <t>Question- Why Pinc roll DS position showing 268mm?</t>
  </si>
  <si>
    <t>Answer-+24V Supply missing.</t>
  </si>
  <si>
    <t>Question-Why +24V Supply missing?</t>
  </si>
  <si>
    <t>Answer-Cable found faulty</t>
  </si>
  <si>
    <t>Name of Key Member: 1. Chandra Bhusan Pandey, 2. Prashant O. Chavan, 3. Saroj Singh.</t>
  </si>
  <si>
    <r>
      <rPr>
        <b/>
        <i/>
        <sz val="10"/>
        <color rgb="FF000000"/>
        <rFont val="Verdana"/>
      </rPr>
      <t xml:space="preserve">D1: </t>
    </r>
    <r>
      <rPr>
        <b/>
        <sz val="10"/>
        <color rgb="FF000000"/>
        <rFont val="Verdana"/>
      </rPr>
      <t>Form team to solve the problem ( Why,when,where,how,what,who) : Name of team members: 1.Chandra Bhusan Pandey, 2. Prashant O. Chavan, 3. Saroj Singh</t>
    </r>
  </si>
  <si>
    <t>Section: Caster 1 &amp; 2</t>
  </si>
  <si>
    <r>
      <rPr>
        <b/>
        <sz val="10"/>
        <color rgb="FF000000"/>
        <rFont val="Verdana"/>
      </rPr>
      <t>Area:</t>
    </r>
    <r>
      <rPr>
        <b/>
        <sz val="12"/>
        <color rgb="FF000000"/>
        <rFont val="Verdana"/>
      </rPr>
      <t xml:space="preserve"> PCC incomer</t>
    </r>
  </si>
  <si>
    <t xml:space="preserve">1. Caster 1 &amp; 2 cast aborted due to equipments goes to off mode.
2.Incomer -02 ACB racked out
3. Incomer -02 ACB jaw contacts and CT replaced with spare ones 
4. Incomer -2 racked in 
 5.System made ready. </t>
  </si>
  <si>
    <r>
      <rPr>
        <b/>
        <sz val="10"/>
        <color rgb="FF000000"/>
        <rFont val="Verdana"/>
      </rPr>
      <t xml:space="preserve">What - </t>
    </r>
    <r>
      <rPr>
        <sz val="10"/>
        <color rgb="FF000000"/>
        <rFont val="Verdana"/>
      </rPr>
      <t xml:space="preserve">Jaw contacts and CT (current transformer) to be replaced in every half year.
</t>
    </r>
    <r>
      <rPr>
        <b/>
        <sz val="10"/>
        <color rgb="FF000000"/>
        <rFont val="Verdana"/>
      </rPr>
      <t xml:space="preserve">When- </t>
    </r>
    <r>
      <rPr>
        <sz val="10"/>
        <color rgb="FF000000"/>
        <rFont val="Verdana"/>
      </rPr>
      <t xml:space="preserve"> These checks will take place during every half year.
</t>
    </r>
    <r>
      <rPr>
        <b/>
        <sz val="10"/>
        <color rgb="FF000000"/>
        <rFont val="Verdana"/>
      </rPr>
      <t xml:space="preserve">Where- </t>
    </r>
    <r>
      <rPr>
        <sz val="10"/>
        <color rgb="FF000000"/>
        <rFont val="Verdana"/>
      </rPr>
      <t xml:space="preserve">At PCC incomer Air Circuit Breakers
</t>
    </r>
    <r>
      <rPr>
        <b/>
        <sz val="10"/>
        <color rgb="FF000000"/>
        <rFont val="Verdana"/>
      </rPr>
      <t xml:space="preserve">How-  </t>
    </r>
    <r>
      <rPr>
        <sz val="10"/>
        <color rgb="FF000000"/>
        <rFont val="Verdana"/>
      </rPr>
      <t xml:space="preserve">By Isolation of Power , ACB to  racked out , Contact replacement to be done , ACB to be racked in 
</t>
    </r>
    <r>
      <rPr>
        <b/>
        <sz val="10"/>
        <color rgb="FF000000"/>
        <rFont val="Verdana"/>
      </rPr>
      <t xml:space="preserve">Who- </t>
    </r>
    <r>
      <rPr>
        <sz val="10"/>
        <color rgb="FF000000"/>
        <rFont val="Verdana"/>
      </rPr>
      <t xml:space="preserve">Electrical Team
</t>
    </r>
    <r>
      <rPr>
        <b/>
        <sz val="10"/>
        <color rgb="FF000000"/>
        <rFont val="Verdana"/>
      </rPr>
      <t xml:space="preserve">Why-  </t>
    </r>
    <r>
      <rPr>
        <sz val="10"/>
        <color rgb="FF000000"/>
        <rFont val="Verdana"/>
      </rPr>
      <t>To prevent future occurrences of damage due to excessive voltage fluctuation hence damaging the electric equipment.</t>
    </r>
  </si>
  <si>
    <r>
      <rPr>
        <sz val="10"/>
        <color rgb="FF000000"/>
        <rFont val="Verdana"/>
      </rPr>
      <t>1</t>
    </r>
    <r>
      <rPr>
        <b/>
        <sz val="10"/>
        <color rgb="FF000000"/>
        <rFont val="Verdana"/>
      </rPr>
      <t>.What</t>
    </r>
    <r>
      <rPr>
        <sz val="10"/>
        <color rgb="FF000000"/>
        <rFont val="Verdana"/>
      </rPr>
      <t xml:space="preserve"> - Incomer -2 Jaw contacts and CT replaced 
</t>
    </r>
    <r>
      <rPr>
        <b/>
        <sz val="10"/>
        <color rgb="FF000000"/>
        <rFont val="Verdana"/>
      </rPr>
      <t>When</t>
    </r>
    <r>
      <rPr>
        <sz val="10"/>
        <color rgb="FF000000"/>
        <rFont val="Verdana"/>
      </rPr>
      <t xml:space="preserve">- Immediately
</t>
    </r>
    <r>
      <rPr>
        <b/>
        <sz val="10"/>
        <color rgb="FF000000"/>
        <rFont val="Verdana"/>
      </rPr>
      <t>Where</t>
    </r>
    <r>
      <rPr>
        <sz val="10"/>
        <color rgb="FF000000"/>
        <rFont val="Verdana"/>
      </rPr>
      <t xml:space="preserve">- At Incomer 2
</t>
    </r>
    <r>
      <rPr>
        <b/>
        <sz val="10"/>
        <color rgb="FF000000"/>
        <rFont val="Verdana"/>
      </rPr>
      <t>How</t>
    </r>
    <r>
      <rPr>
        <sz val="10"/>
        <color rgb="FF000000"/>
        <rFont val="Verdana"/>
      </rPr>
      <t xml:space="preserve">- Isolated the power supply.
</t>
    </r>
    <r>
      <rPr>
        <b/>
        <sz val="10"/>
        <color rgb="FF000000"/>
        <rFont val="Verdana"/>
      </rPr>
      <t>Who</t>
    </r>
    <r>
      <rPr>
        <sz val="10"/>
        <color rgb="FF000000"/>
        <rFont val="Verdana"/>
      </rPr>
      <t xml:space="preserve">- Electrical Team
</t>
    </r>
    <r>
      <rPr>
        <b/>
        <sz val="10"/>
        <color rgb="FF000000"/>
        <rFont val="Verdana"/>
      </rPr>
      <t>Why</t>
    </r>
    <r>
      <rPr>
        <sz val="10"/>
        <color rgb="FF000000"/>
        <rFont val="Verdana"/>
      </rPr>
      <t xml:space="preserve">-  To prevent future occurrences of damage due to excessive voltage fluctuation hence damaging the electric equipment.
</t>
    </r>
  </si>
  <si>
    <t>Horizontal deployment in of all corrective &amp; Preventive measures at caster 1&amp; 2 ECR</t>
  </si>
  <si>
    <t>Answer-Casting was aborted due to Caster 1, 2 equiments went to off mode.</t>
  </si>
  <si>
    <t>Date - 04.11.2024 at around 09:50:00 AM to 02:42:00 PM</t>
  </si>
  <si>
    <t>Question- Why equipments go to off mode?</t>
  </si>
  <si>
    <t>Caster -1 &amp; Caster -2</t>
  </si>
  <si>
    <t xml:space="preserve">Answer- Equipments went to Off mode because Power failure happened at pcc incomer-2. </t>
  </si>
  <si>
    <t>Question- why power failure happened?</t>
  </si>
  <si>
    <t>Answer-Power failure happened because incomer 2 ACB (4000 A) tripped.</t>
  </si>
  <si>
    <t>Question-Why incomer-2 ACB tripped?</t>
  </si>
  <si>
    <t>Answer-ACB tripped because Jaw contacts and CT(Current Transformer) failed</t>
  </si>
  <si>
    <t>Question-Why jaw contacts and CT failed?</t>
  </si>
  <si>
    <t>Answer-Jaw contacts failed because of carbon deposition and wear &amp; tear of contacts</t>
  </si>
  <si>
    <t>04.11.2024</t>
  </si>
  <si>
    <t>PLC NOT READY
SEGMENT POSITION PROBLEM(C46)</t>
  </si>
  <si>
    <t>The spool was stuck within the proportional valve.</t>
  </si>
  <si>
    <t>Valve was replaced with spare by mechanical team.</t>
  </si>
  <si>
    <t>PLC NOT READY</t>
  </si>
  <si>
    <t>One Auxillary Contact faulty due to open circuit inside.</t>
  </si>
  <si>
    <t>Link provided to bypass the auxiliary</t>
  </si>
  <si>
    <t>COUNTER CHANGED TWO TIMES.</t>
  </si>
  <si>
    <t>CAST ABORT DUE TO OSCILLATOR NOT STARTED
MOULD LEVEL CONTROL PROBLEM</t>
  </si>
  <si>
    <t>SRM power cable heated &amp; also SRM JB side connector heated.</t>
  </si>
  <si>
    <t>SRM power cable &amp; JB side connector replaced.</t>
  </si>
  <si>
    <t>CAST ABORT DUE TO CAST START BUTTON COMMAND NOT TAKEN</t>
  </si>
  <si>
    <t xml:space="preserve">The values for Maximum width was set to above configured limit (1302 mm) 							</t>
  </si>
  <si>
    <t>The Auto start curve values made appropriate in HMI as per requirement and required opening of stopper rod with reference to curve was verified</t>
  </si>
  <si>
    <t>CAST ABORT DUE TO SUPERVISION FAULT</t>
  </si>
  <si>
    <t>Communication Failure (ET+12D5M14)</t>
  </si>
  <si>
    <t>Interface Module Profibus connection Tightened &amp; Analog Output Module &amp; Back Pane cleaned.</t>
  </si>
  <si>
    <t>TUNDISH SHIFTING</t>
  </si>
  <si>
    <t>MOULD DRIVE FAULT(DRIVE CHANGE)</t>
  </si>
  <si>
    <t>The VVVF drive was faulty</t>
  </si>
  <si>
    <t xml:space="preserve">The concerned Motor VVVF drive replaced with spare						</t>
  </si>
  <si>
    <t>CROSS SPRAY NOT READY DURING DUMMYBAR INSERT</t>
  </si>
  <si>
    <t>CAST ABORT DUE TO SLAB HIT &amp; STUCK I SHEAR AFTER CUT(ENCODER PROBLEM)</t>
  </si>
  <si>
    <t>Commmunication cable(Profibus) from encoder to ET +11E3M11 was damaged.</t>
  </si>
  <si>
    <t xml:space="preserve">Commmunication cable from encoder to ET +11E3M11 was replaced with spare.						</t>
  </si>
  <si>
    <t>DUMMY BAR OPERATING PSOITION NOT READY</t>
  </si>
  <si>
    <t xml:space="preserve">Segment cable from manufold block to JB was faulty.							</t>
  </si>
  <si>
    <t>Segment cable from manufold block to JB replaced with spare.</t>
  </si>
  <si>
    <t>DUMMY BAR STOP PUSH BUTTON ELEMENT NOT FUNCTIONING(C68)</t>
  </si>
  <si>
    <t>DUMMY BAR STOP PUSHBUTTON NC ELEMENT MALFUNCTION DURING D/B INSERTION(OS 03 PANEL)</t>
  </si>
  <si>
    <t>D/B Stop Pushbutton NC element removed &amp; cleaned then fresh connection done.</t>
  </si>
  <si>
    <t>DISCONTINUED DUE TO LADDLE SLIDE GATE PUMP TRIP DURING LADDLE CONNECTION (C70)</t>
  </si>
  <si>
    <t>Emergency Pushbutton was applied at LSG panel by unidentified person.</t>
  </si>
  <si>
    <t>PINCH ROLL MOTOR BRAKE PROBLEM(C71)</t>
  </si>
  <si>
    <t xml:space="preserve">Brake disc damaged.							</t>
  </si>
  <si>
    <t xml:space="preserve">Pinch Roll motor-1 brake disc replaced with spare one.						</t>
  </si>
  <si>
    <t>DISCONTINUED DUE TO CLAMPING ERROR</t>
  </si>
  <si>
    <t>offeset value was observed</t>
  </si>
  <si>
    <t>Position transducer block replaced with spare and segment cable replaced.</t>
  </si>
  <si>
    <t>ET SUPERRVISION FAULT</t>
  </si>
  <si>
    <t>DUMMY BAR TRACKING PROBLEM</t>
  </si>
  <si>
    <t>CAST ABORT DUE TO REMOTE PENDENT NOT OPERATED(C72)</t>
  </si>
  <si>
    <t>Cable from Harting connector to Pendant was damaged</t>
  </si>
  <si>
    <t>Cast start pendant along with cable replaced with spare one.</t>
  </si>
  <si>
    <t>DOC.NO.01</t>
  </si>
  <si>
    <t>04.12.2024</t>
  </si>
  <si>
    <t>Shift:</t>
  </si>
  <si>
    <t xml:space="preserve">CSP Caster </t>
  </si>
  <si>
    <t>CA-2 Cast machine</t>
  </si>
  <si>
    <t>Segment Position Valve</t>
  </si>
  <si>
    <t>Chandra Bhusan Pandey , Prashant Chavan , Abhijit Roy</t>
  </si>
  <si>
    <t xml:space="preserve">Problem Description (What, when, where, how significant, provide details): SEGMENT POSITION PROBLEM	
	</t>
  </si>
  <si>
    <t>Power cable and signal cable replaced by electrical team.</t>
  </si>
  <si>
    <t>Segment 2 could not be callibrated</t>
  </si>
  <si>
    <t>Seg -02 Left top position was not achieved as per reference position.</t>
  </si>
  <si>
    <t>Position control valves MCB was getting tripped.</t>
  </si>
  <si>
    <t>The Valve was taking high current</t>
  </si>
  <si>
    <t>09.12.2024</t>
  </si>
  <si>
    <t>CSP Caster</t>
  </si>
  <si>
    <t>Instrumenrt PLC</t>
  </si>
  <si>
    <t xml:space="preserve">Chandra Bhusan Pandey , Prashant Chavan , Tanmay Das						</t>
  </si>
  <si>
    <t xml:space="preserve">Problem Description (What, when, where, how significant, provide details): INSTRUMENT PLC NOT READY	
	</t>
  </si>
  <si>
    <t xml:space="preserve">Link provided to bypass the auxiliary </t>
  </si>
  <si>
    <t>Dummy bar Insert Mode Permissive was not coming</t>
  </si>
  <si>
    <t>ET supervision fault appears at ET+11D5M14 (Instrument Side)</t>
  </si>
  <si>
    <t>Instrument PLC was not Ready</t>
  </si>
  <si>
    <t>One Auxillary Contact faulty due to Open circuit</t>
  </si>
  <si>
    <t>One Auxillary Contact faulty due to open inside</t>
  </si>
  <si>
    <t>New auxilliary contact to be replaced &amp; ET cooling and dedusting to be made proper.</t>
  </si>
  <si>
    <t>16.12.2024</t>
  </si>
  <si>
    <t>Mould</t>
  </si>
  <si>
    <t xml:space="preserve">Chandra Bhusan Pandey , Prashant Chavan , </t>
  </si>
  <si>
    <t xml:space="preserve">Problem Description (What, when, where, how significant, provide details): MOULD LEVEL CONTROL PROBLEM
	</t>
  </si>
  <si>
    <t>SRM cable &amp; JB side connector replaced.</t>
  </si>
  <si>
    <t>Mould level control problem.</t>
  </si>
  <si>
    <t>SRM power cable &amp;  SRM JB side connector damaged due heated.</t>
  </si>
  <si>
    <t xml:space="preserve">SRM cable &amp; cable connector heated </t>
  </si>
  <si>
    <t>Due to SEN preheater flame.</t>
  </si>
  <si>
    <t xml:space="preserve">SRM power cable heated &amp;  SRM JB side connector heated  due to SEN preheater flame.	</t>
  </si>
  <si>
    <t>15.12.2024</t>
  </si>
  <si>
    <t>Chandra Bhusan Pandey , Prashant Chavan , Ranjit Bardhan</t>
  </si>
  <si>
    <t>Problem Description (What, when, where, how significant, provide details): CAST ABORT DUE TO CAST START BUTTON COMMAND NOT TAKEN ( CAST ABORTED DUE TO MOULD LEVEL NOT ACHIEVED DURING CAST START )</t>
  </si>
  <si>
    <t>MLC callibration was done with old reference level counts (Empty and Full) and verified</t>
  </si>
  <si>
    <t xml:space="preserve">Simulation was taken </t>
  </si>
  <si>
    <t>Operation</t>
  </si>
  <si>
    <t xml:space="preserve">Mould level was not achieved during cast start </t>
  </si>
  <si>
    <t>The Mould filling was slower than the reference value.</t>
  </si>
  <si>
    <t>The Command for reference of mould filling was taken from 0 to 900 mm width (opening Curve :STEP 1- 21 mm for 2 sec ; STEP 2 - 8mm for 5 sec ; STEP - 7 mm for 6 sec)</t>
  </si>
  <si>
    <t xml:space="preserve">The width setting fault was generated from PLC </t>
  </si>
  <si>
    <t xml:space="preserve">The values for Maximum width was set to above 1300 mm (1302 mm) </t>
  </si>
  <si>
    <t xml:space="preserve">The values for Maximum width was set to above configured limit (1302 mm) </t>
  </si>
  <si>
    <t>Maximum width limit of curve of width 1121 to 1300 mm changed to 1121 to 1345 mm</t>
  </si>
  <si>
    <t xml:space="preserve">C.B Pandey </t>
  </si>
  <si>
    <t>Completed</t>
  </si>
  <si>
    <t>17.12.2024</t>
  </si>
  <si>
    <t>ET +12D5M13</t>
  </si>
  <si>
    <t>Chandra Bhusan Pandey , Prashant Chavan ,Tanmay Das</t>
  </si>
  <si>
    <t xml:space="preserve">Problem Description (What, when, where, how significant, provide details): ET SUPERVISION FAULT
	</t>
  </si>
  <si>
    <t>Analog Output Module &amp; Back Pane cleaned</t>
  </si>
  <si>
    <t>Interface Module Profibus connection Tightened</t>
  </si>
  <si>
    <t>LSG not operated</t>
  </si>
  <si>
    <t>Signal of Pendant not received at PLC</t>
  </si>
  <si>
    <t>Bus fault Found at Interface Module of ET +12D5M14 &amp; System Fault found at Analog Output Module</t>
  </si>
  <si>
    <t xml:space="preserve">Profitool connected &amp; continously observed the signal strength </t>
  </si>
  <si>
    <t>Profibus cable route to be checked</t>
  </si>
  <si>
    <t>Shutdown(Jan'2025)</t>
  </si>
  <si>
    <t>Require Long seq Break</t>
  </si>
  <si>
    <t>19.12.2024</t>
  </si>
  <si>
    <t>30+60</t>
  </si>
  <si>
    <t>MOULD</t>
  </si>
  <si>
    <t>Chandra Bhusan Pandey, Prashant Chavan, Tanmay Das, Ranjit Bardhan</t>
  </si>
  <si>
    <t xml:space="preserve">Problem Description (What, when, where, how significant, provide details): MOULD DRIVE FAULT(DRIVE CHANGE) At Mould the Right side Top motor was showing fault from previous sequence due to VVVF drive fault.
	</t>
  </si>
  <si>
    <t>All motor connections checked at connector</t>
  </si>
  <si>
    <t>Mould replaced with spare</t>
  </si>
  <si>
    <t>The concerned Motor VVVF drive replaced with spare</t>
  </si>
  <si>
    <t>Cast start delayed</t>
  </si>
  <si>
    <t>Mould was not getting ready</t>
  </si>
  <si>
    <t>Mould Right side top motor showing fault (F011)</t>
  </si>
  <si>
    <t>The VVVF drive for the concerned motor was faulty</t>
  </si>
  <si>
    <t>24.12.2024</t>
  </si>
  <si>
    <t>SHEAR</t>
  </si>
  <si>
    <t>Chandra Bhusan Pandey, Prashant Chavan, Saroj Singh</t>
  </si>
  <si>
    <t xml:space="preserve">Problem Description (What, when, where, how significant, provide details): CAST ABORT DUE TO SLAB HIT &amp; STUCK IN SHEAR AFTER CUT(ENCODER PROBLEM)
	</t>
  </si>
  <si>
    <t>Encoder replaced with spare.</t>
  </si>
  <si>
    <t>Commmunication cable from encoder to ET +11E3M11 was replaced with spare.</t>
  </si>
  <si>
    <t>Stuck slab was removed from machine.</t>
  </si>
  <si>
    <t>Slab stuck at shear</t>
  </si>
  <si>
    <t xml:space="preserve">Shear movement didnot happen </t>
  </si>
  <si>
    <t xml:space="preserve">Shear Eccentric shaft position didnot reach the reference position </t>
  </si>
  <si>
    <t>Encoder feedback to plc was not generated after 155.9 degrees</t>
  </si>
  <si>
    <t>Commmunication cable(Profibus) from encoder to ET +11E3M11 was damaged</t>
  </si>
  <si>
    <t xml:space="preserve">CSP Caster CA-1 </t>
  </si>
  <si>
    <t>Cast Machine</t>
  </si>
  <si>
    <t>Chandra Bhusan Pandey, Prashant Chavan, Ranjit Bardhan, Biswambar Bhoi</t>
  </si>
  <si>
    <t xml:space="preserve">Problem Description (What, when, where, how significant, provide details): DUMMY BAR OPERATING  CONDITION NOT READY
	</t>
  </si>
  <si>
    <t>Segment cable from manufold block to JB replaced with new</t>
  </si>
  <si>
    <t>Timer of 500mS added in logic to avoid the spike issue</t>
  </si>
  <si>
    <t>Dummy Bar replaced  with spare</t>
  </si>
  <si>
    <t>Pinch roll cylinder pressure and force fluctuating.</t>
  </si>
  <si>
    <t xml:space="preserve">Segment-3 Top both side position value spikes </t>
  </si>
  <si>
    <t>Segment cable from manifold block to JB was faulty.</t>
  </si>
  <si>
    <t>Remaining old segment cable from JB manufold block to be replaced</t>
  </si>
  <si>
    <t>Shutdown</t>
  </si>
  <si>
    <t>CB Pandey</t>
  </si>
  <si>
    <t>28.12.2024</t>
  </si>
  <si>
    <t>Chandra Bhusan Pandey, Prashant Chavan, Tanmay Das, Gulbahar Ansari</t>
  </si>
  <si>
    <t>D/B Not operated</t>
  </si>
  <si>
    <t>D/B up indication light continuously glowing even after D/B up pushbutton pressed</t>
  </si>
  <si>
    <t>D/B Stop Pushbutton NC element to be replaced.</t>
  </si>
  <si>
    <t>Sequence break</t>
  </si>
  <si>
    <t>29.12.2024</t>
  </si>
  <si>
    <t>Chandra Bhusan Pandey, Prashant Chavan,Biswambar Bhoi</t>
  </si>
  <si>
    <t>Problem Description (What, when, where, how significant, provide details):DISCONTINUED DUE TO LADDLE SLIDE GATE PUMP  TRIP DURING LADDLE CONNECTION</t>
  </si>
  <si>
    <t>Emergency Push button was reset at LSG panel.</t>
  </si>
  <si>
    <t>Cast aborted</t>
  </si>
  <si>
    <t>LSG motor stopped running.</t>
  </si>
  <si>
    <t>Jan Shutdown</t>
  </si>
  <si>
    <t>Problem Description (What, when, where, how significant, provide details): PINCH ROLL MOTOR BRAKE PROBLEM</t>
  </si>
  <si>
    <t>Pinch Roll motor-1 brake disc replaced with spare one.</t>
  </si>
  <si>
    <t>Dummy Bar started slipping automatically.</t>
  </si>
  <si>
    <t>Pinch Roll motor-1 started running automatically.</t>
  </si>
  <si>
    <t>Pinch roll motor-1 brake not working properly.</t>
  </si>
  <si>
    <t xml:space="preserve">Brake disc damaged </t>
  </si>
  <si>
    <t>Pinch roll motor-2 brake to be installed.</t>
  </si>
  <si>
    <t>30.12.2024</t>
  </si>
  <si>
    <t>03.20 AM</t>
  </si>
  <si>
    <t>Cast start pendant.</t>
  </si>
  <si>
    <t>Chandra Bhusan Pandey, Prashant Chavan, Saroj Singh, Gulbahar Ansari</t>
  </si>
  <si>
    <t xml:space="preserve">Problem Description (What, when, where, how significant, provide details): CAST ABORT DUE TO REMOTE PENDENT NOT OPERATED
	</t>
  </si>
  <si>
    <t>Cast start pendant was not working</t>
  </si>
  <si>
    <t>24V supply was missing at pendant</t>
  </si>
  <si>
    <t>Nameof Key Member: 1. Chandra Bhusan Pandey, 2. Prashant O. Chavan, 3. Abhijit Roy</t>
  </si>
  <si>
    <r>
      <rPr>
        <b/>
        <i/>
        <sz val="10"/>
        <color rgb="FF000000"/>
        <rFont val="Verdana"/>
      </rPr>
      <t xml:space="preserve">D1: </t>
    </r>
    <r>
      <rPr>
        <b/>
        <sz val="10"/>
        <color rgb="FF000000"/>
        <rFont val="Verdana"/>
      </rPr>
      <t>Form team to solve the problem ( Why,when,where,how,what,who) : Name of team members: 1.Chandra Bhusan Pandey, 2. Prashant O. Chavan, 3.Abhijit Roy</t>
    </r>
  </si>
  <si>
    <t>SEGMENT POSITION PROBLEM</t>
  </si>
  <si>
    <t xml:space="preserve">1. Heat returned to L.F. 
2. Seg -2 LsTs position was not achieved
3.Segment position transducer block replaced 
4. Power and signal cable replaced
5. Valve was replaced with spare 
6. Trial taken and clearance given for heat.  
7. Casting started.  </t>
  </si>
  <si>
    <t>Question-Why cast aborted?</t>
  </si>
  <si>
    <r>
      <rPr>
        <b/>
        <sz val="10"/>
        <color rgb="FF000000"/>
        <rFont val="Verdana"/>
      </rPr>
      <t>1.What -</t>
    </r>
    <r>
      <rPr>
        <sz val="10"/>
        <color rgb="FF000000"/>
        <rFont val="Verdana"/>
      </rPr>
      <t xml:space="preserve"> Valve to be replaced with spare
When- Immediately
Where- +5mtr valvestand
How-The connections from valve were disconnected and the valve was replaced  
Who-Mechanical team
Why- Spool was stuck within the valve(valve was taking high current)
 </t>
    </r>
  </si>
  <si>
    <t xml:space="preserve">1.What - Power cable and signal cable replaced by electrical team.						
When-Immediately
Where-+5 mtr valve stand connecting JB 
How-  Cables were replaced after isolation of from tcs panel
Who- Electrical team
Why- To remove any faults within the cable 
2. What - Segment position transducer block replaced
When- Immediately
Where- +5 mtr valve stand connecting JB 
How- The block is removed by removing the connection and  position transducer checked and replaced.
Who- Electrical team
Why- to remove the faulty position transducer  block
3. What - Valve was replaced with spare 						
When- Immediately
Where-  +5mtr valvestand
How- The connections from valve were disconnected and the valve was replaced
Who- Mechanical team
Why-  Spool was stuck within the valve(valve was taking high current)
</t>
  </si>
  <si>
    <t>Answer- Segment 2 could not be callibrated</t>
  </si>
  <si>
    <t>Date - 04.12.2024 at around 14:00 Hrs.</t>
  </si>
  <si>
    <t>Question- Why segment 2 could not be callibrated?</t>
  </si>
  <si>
    <t xml:space="preserve">Answer- Seg -02 Left top position was not achieved as per reference position.							</t>
  </si>
  <si>
    <t>Question- Why seg-02 left top position was not achieved?</t>
  </si>
  <si>
    <t>Answer- Position control valves MCB was getting tripped.</t>
  </si>
  <si>
    <t>Question- Why position control valves MCb was getting tripped?</t>
  </si>
  <si>
    <t xml:space="preserve">Answer - The Valve was taking high current							</t>
  </si>
  <si>
    <t>Question- Why valve was taking high High current?</t>
  </si>
  <si>
    <t xml:space="preserve">Answer -  The spool was stuck within the proportional valve.	</t>
  </si>
  <si>
    <t>Name of Key Member: 1. Chandra Bhusan Pandey, 2. Prashant O. Chavan, 3. Ranjit Bardhan</t>
  </si>
  <si>
    <r>
      <rPr>
        <b/>
        <i/>
        <sz val="10"/>
        <color rgb="FF000000"/>
        <rFont val="Verdana"/>
      </rPr>
      <t xml:space="preserve">D1: </t>
    </r>
    <r>
      <rPr>
        <b/>
        <sz val="10"/>
        <color rgb="FF000000"/>
        <rFont val="Verdana"/>
      </rPr>
      <t>Form team to solve the problem ( Why,when,where,how,what,who) : Name of team members: 1.Chandra Bhusan Pandey, 2. Prashant O. Chavan, 3. Ranjit Bardhan</t>
    </r>
  </si>
  <si>
    <t xml:space="preserve">1. MLC callibration was done with old reference level counts (Empty and Full) and verified						
2. The Auto start curve values made appropriate in HMI as per requirement and required opening of stopper rod with reference to curve was verified						
3. Simulation was taken 						
4. Cast started
</t>
  </si>
  <si>
    <t xml:space="preserve">Question-Why cast start delayed?		</t>
  </si>
  <si>
    <r>
      <rPr>
        <b/>
        <sz val="10"/>
        <color rgb="FF000000"/>
        <rFont val="Verdana"/>
      </rPr>
      <t>1.What -</t>
    </r>
    <r>
      <rPr>
        <sz val="10"/>
        <color rgb="FF000000"/>
        <rFont val="Verdana"/>
      </rPr>
      <t xml:space="preserve"> The Auto start curve values made appropriate in HMI as per requirement and required opening of stopper rod with reference to curve was verified		
When- After Cast Start
Where- ECR room Caster 1
How-  The Input was given through HMI 
Who-Electrical Team
Why- To verify the required opening of stopper rod with reference to curve.
</t>
    </r>
  </si>
  <si>
    <t xml:space="preserve">1.What - MLC callibration was done with old reference level counts (Empty and Full) and verified						
When-Immediately
Where- ECR room Caster -1
How- MLC callibration at berthold system
Who- Electrical team
Why- To check the reference counts of old callibrated values
2. What - The Auto start curve values made appropriate in HMI as per requirement and required opening of stopper rod with reference to curve was verified						
When- After Cast Start
Where- ECR room Caster 1
How- The Input was given through HMI 
Who- Electrical Team
Why- To verify the required opening of stopper rod with reference to curve.
</t>
  </si>
  <si>
    <t>Horizontal deployment in of all corrective &amp; Preventive measures.</t>
  </si>
  <si>
    <t>Answer- Mould level was not achieved during cast start</t>
  </si>
  <si>
    <t>Date - 15.12.2024 at around 14:57 Hrs.</t>
  </si>
  <si>
    <t>Question- Why Mould level was not achieved?</t>
  </si>
  <si>
    <t xml:space="preserve">Answer- The Mould filling was slower than the reference value			</t>
  </si>
  <si>
    <t xml:space="preserve">  CAST ABORTED DUE TO MOULD LEVEL NOT ACHIEVED DURING CAST START</t>
  </si>
  <si>
    <t>Question- Why mould filling was slower?</t>
  </si>
  <si>
    <t xml:space="preserve">Answer- The Command for reference of mould filling was taken from 0 to 900 mm width (opening Curve :STEP 1- 21 mm for 2 sec ; STEP 2 - 8mm for 5 sec ; STEP - 7 mm for 6 sec)							</t>
  </si>
  <si>
    <t>Question- Why wrong reference was taken?</t>
  </si>
  <si>
    <t xml:space="preserve">Answer - The width setting fault was generated from PLC 							</t>
  </si>
  <si>
    <t>Question- Why width setting fault was generated?</t>
  </si>
  <si>
    <t>Answer -  The values for Maximum width was set to above 1300 mm (1302 mm)</t>
  </si>
  <si>
    <t>Name of Key Member: 1. Chandra Bhusan Pandey, 2. Prashant O. Chavan, 3. Saroj Singh</t>
  </si>
  <si>
    <t>CAST ABORT DUE TO SLAB HIT &amp; STUCK IN SHEAR AFTER CUT(ENCODER PROBLEM)</t>
  </si>
  <si>
    <t xml:space="preserve">1. Shear cut didnot happen
2. Slab Stuck at shear 
3. Stuck slab removed by mechanical and operation team
4.Encoder and profibus cable replaced by electrical team				
5. Simulation was taken 						
6. Cast started
</t>
  </si>
  <si>
    <t xml:space="preserve">Question-Why cast aborted?		</t>
  </si>
  <si>
    <r>
      <rPr>
        <b/>
        <sz val="10"/>
        <color rgb="FF000000"/>
        <rFont val="Verdana"/>
      </rPr>
      <t>1.What -</t>
    </r>
    <r>
      <rPr>
        <sz val="10"/>
        <color rgb="FF000000"/>
        <rFont val="Verdana"/>
      </rPr>
      <t xml:space="preserve"> Profibus Network strength to be checked using profitrace toolkit. 
When- According to schedule
Where- Caster -1 ECR room 
How-  The profitrace toolkit is to be connected to OBT and network strength to be checked  
Who-Electrical Team
Why- To verify the required opening of stopper rod with reference to curve.
</t>
    </r>
  </si>
  <si>
    <t xml:space="preserve">1.What - Shear shaft encoder replaced with spare				
When-Immediately
Where- Pendulum shear
How-  Encoder decoupled, connections removed and new encoder connected.
Who- Electrical team
Why- To replace the faulty encoder
2. What - 	Commmunication cable from encoder to ET +11E3M11 was replaced with spare.											
When- Immediately
Where- Pendulum Shear
How-  Damaged Communication cable removed and new cable was laid from encoder to ET 11E3M12
Who- Electrical Team
Why- To replace the faulty communication cable.
3.What - Stuck slab removed from machine.
When - Immediately
where- Cast Machine
How- Slab was cut using gas cutters and removed
Who-Mechanical and Operation team
Why- To make the machine ready for casting
</t>
  </si>
  <si>
    <t xml:space="preserve">Answer- Slab stuck at shear							</t>
  </si>
  <si>
    <t>Date - 24.12.2024 at around 07:37 Hrs.</t>
  </si>
  <si>
    <t>Question- Why slab stucked at shear?</t>
  </si>
  <si>
    <t xml:space="preserve">Answer- Shear movement didnot happen 							</t>
  </si>
  <si>
    <t>Question- Why Shear movement didnot happen?</t>
  </si>
  <si>
    <t xml:space="preserve">Answer-Shear Eccentric position didnot reach the reference position 											</t>
  </si>
  <si>
    <t>Question- Why shear eccentric shaft position didnot reach reference position?</t>
  </si>
  <si>
    <t xml:space="preserve">Answer - Encoder feedback to plc was not generated after 155.9 degrees											</t>
  </si>
  <si>
    <t>Question- Why encoder feedback to plc was not genertaed?</t>
  </si>
  <si>
    <t xml:space="preserve">Answer -  Commmunication cable(Profibus) from encoder to ET +11E3M11 was damaged							</t>
  </si>
  <si>
    <t>Name of Key Member: 1. Chandra Bhusan Pandey, 2. Biswambar Bhoi</t>
  </si>
  <si>
    <t>Caster 1 cast start delayed due to Pinch Roll brake problem.</t>
  </si>
  <si>
    <t xml:space="preserve">1. Dummy bar slipped down ward.
2. After Dummy bar insertion. 
3. Pinch roll motor started running automatically.
4.Brake unit liner replaced with spare one.				
5. Trial taken, working ok. 						
6. Cast started.
</t>
  </si>
  <si>
    <t xml:space="preserve">Question-Why was cast started delay?		</t>
  </si>
  <si>
    <r>
      <rPr>
        <b/>
        <sz val="10"/>
        <color rgb="FF000000"/>
        <rFont val="Verdana"/>
      </rPr>
      <t>1.What -</t>
    </r>
    <r>
      <rPr>
        <sz val="10"/>
        <color rgb="FF000000"/>
        <rFont val="Verdana"/>
      </rPr>
      <t xml:space="preserve"> Pinch roll motor-2 brake to be installed.
When- During Shutdown.
Where- Caster -1 Pinch roll motor area. 
How-  Spare brake unit to be replaced. 
Who-Electrical Team
Why- Dummy bar load to be held with both the pinch roll motors.
</t>
    </r>
  </si>
  <si>
    <t xml:space="preserve">1.What - Pinch Roll motor-1 brake disc replaced with spare one.				
When-Immediately
Where- Pinch Roll Motor.
How-  Brake unit removed, spare disc replaced.
Who- Electrical team
Why- To replace the damaged disc.
</t>
  </si>
  <si>
    <t xml:space="preserve">Answer- Dummy Bar started slipping automatically.							</t>
  </si>
  <si>
    <t>Date - 29.12.2024  from 16.55 hrs to 19.35hrs</t>
  </si>
  <si>
    <t>Question- Why was Dummy bar slipped ?</t>
  </si>
  <si>
    <t xml:space="preserve">Answer- Pinch Roll motor-1 started running automatically.							</t>
  </si>
  <si>
    <t>Question- Why Pinch roll motor-1 started running?</t>
  </si>
  <si>
    <t xml:space="preserve">Answer-Pinch roll motor-1 brake not working properly.											</t>
  </si>
  <si>
    <t>Question- Why was Pinch roll motor-1 brake not working?</t>
  </si>
  <si>
    <t xml:space="preserve">Answer - Brake disc damaged.											</t>
  </si>
  <si>
    <t>Seg-03 RsTs Position Transducer connecting cable was faulty</t>
  </si>
  <si>
    <t xml:space="preserve">Cooling air pressure to be checked and adjusted.	</t>
  </si>
  <si>
    <t>SEGMENT-2 CARD CHANGE</t>
  </si>
  <si>
    <t>NO</t>
  </si>
  <si>
    <t>SEGMENT-3 LsTs BLOCK &amp; CABLE  CHANGE</t>
  </si>
  <si>
    <t>Heavy Spike found  at SEGMENT-3 LsTs position</t>
  </si>
  <si>
    <t>Amplifier card(YE-14.0)  to be replaced</t>
  </si>
  <si>
    <t>SEGMENT-3 RsTs BLOCK &amp; CABLE  CHANGE</t>
  </si>
  <si>
    <t>Seg-03 RsTs Position Transducer was faulty.</t>
  </si>
  <si>
    <t>PINCH ROLL CALIBERATION</t>
  </si>
  <si>
    <t>HMO PROBLEM</t>
  </si>
  <si>
    <t>Feedback from Oil Filter Switch Left Cylinder HMO was unavailable(I6.4)</t>
  </si>
  <si>
    <t>Filter Switch &amp; connections to be checked and replaced.</t>
  </si>
  <si>
    <t>CAST ABORT DUE TO MOULD OSCILATOR TRIPPED</t>
  </si>
  <si>
    <t xml:space="preserve">Et supervision fault occured at ET +11E0M10.	</t>
  </si>
  <si>
    <t xml:space="preserve">ET +11E0M10 cleaned &amp; auxilary contact of MCB signal related tightness done.	</t>
  </si>
  <si>
    <t>RAM DRIVE PROBLEM</t>
  </si>
  <si>
    <t>Mould No.08  LsBs Motor(Right in HMI) did not operate</t>
  </si>
  <si>
    <t>Mould Connector to be cleaned &amp; connection tightness to be checked after Mould removal</t>
  </si>
  <si>
    <t>csp caster</t>
  </si>
  <si>
    <t>18:45 hrs</t>
  </si>
  <si>
    <t>SEGMENT</t>
  </si>
  <si>
    <t>Chandra Bhusan Pandey , Prashant Chavan , Saroj Singh</t>
  </si>
  <si>
    <t>Problem Description (What, when, where, how significant, provide details): SEGMENT-3 BLOCK CHANGE</t>
  </si>
  <si>
    <t>SEG- 03 RsTs Position transducer segment cable and block replaced</t>
  </si>
  <si>
    <t>Cast Start Delayed</t>
  </si>
  <si>
    <t>Seg -03 RsTs block replaced</t>
  </si>
  <si>
    <t>Seg -03 RsTs position was incorrect.</t>
  </si>
  <si>
    <t>Seg -03 RsTs Position transducer was generating wrong feedback</t>
  </si>
  <si>
    <t>Cooling air pressure to be checked and adjusted.</t>
  </si>
  <si>
    <t>11:25 hrs</t>
  </si>
  <si>
    <t>Chandra Bhusan Pandey , Prashant Chavan , Tanmay Das</t>
  </si>
  <si>
    <t>Problem Description (What, when, where, how significant, provide details): SEGMENT-3 BLOCK &amp; CABLE CHANGE</t>
  </si>
  <si>
    <t>Seg -03 RsTs Cable replaced</t>
  </si>
  <si>
    <t>Seg-03 RsTs Position Transducer was faulty</t>
  </si>
  <si>
    <t>TCS</t>
  </si>
  <si>
    <t>Problem Description (What, when, where, how significant, provide details): CAST START DELAYED DUE  TO CAST START PERMISSIVE NOT AVAILABLE</t>
  </si>
  <si>
    <t xml:space="preserve">Logic Modified in program </t>
  </si>
  <si>
    <t>Cast Start permissive was not available</t>
  </si>
  <si>
    <t>HMO was not ready</t>
  </si>
  <si>
    <t xml:space="preserve">Filter Switch &amp; connections to be checked and replaced </t>
  </si>
  <si>
    <t>23.01.25</t>
  </si>
  <si>
    <t>Shift I/C</t>
  </si>
  <si>
    <t>HMO motors</t>
  </si>
  <si>
    <t>Problem Description (What, when, where, how significant, provide details): CAST START DELAYED DUE  TO CAST START PERMISSIVE NOT AVAILABLE.</t>
  </si>
  <si>
    <t>HMO motors started.</t>
  </si>
  <si>
    <t xml:space="preserve">HMO Motors stopped. </t>
  </si>
  <si>
    <t>Et supervision fault occured at ET +11E0M10.</t>
  </si>
  <si>
    <t>ET +11E0M10 cleaned &amp; auxilary contact of MCB signal related tightness done.</t>
  </si>
  <si>
    <t>28.01.25</t>
  </si>
  <si>
    <t>Chandra Bhusan Pandey , Prashant Chavan , Tanmay das</t>
  </si>
  <si>
    <t>Problem Description (What, when, where, how significant, provide details): CAST START DELAYED DUE  TO MOULD LEFT TOP MOTOR WAS NOT OPEARTING</t>
  </si>
  <si>
    <t>MOULD NO.08 replacement done</t>
  </si>
  <si>
    <t>Mould width adjustment not happened</t>
  </si>
  <si>
    <t>Mould Left top motor was not functioned</t>
  </si>
  <si>
    <t>Mould Left top connector switching fault</t>
  </si>
  <si>
    <t>Segment-1 temposonic block replaced</t>
  </si>
  <si>
    <t>Segment-1 left side block one pin found inserted.</t>
  </si>
  <si>
    <t>Temposonic block replaced with spare one and system made ready.</t>
  </si>
  <si>
    <t>MOULD RECTIFIER PROBLEM</t>
  </si>
  <si>
    <t>SRM drive fault</t>
  </si>
  <si>
    <t>06:30 hrs</t>
  </si>
  <si>
    <t>SRM DRIVE</t>
  </si>
  <si>
    <t>Problem Description (What, when, where, how significant, provide details): Cast abort due to SRM stopped working.</t>
  </si>
  <si>
    <t>Drive replaced with spare</t>
  </si>
  <si>
    <t>Power and resolver cable replaced with spare</t>
  </si>
  <si>
    <t>Cast aborted due to SRM stopped working</t>
  </si>
  <si>
    <t>Due to SRM drive fault (F04&amp;F06)</t>
  </si>
  <si>
    <t>Due to feedback loss &amp; motor temperate fault</t>
  </si>
  <si>
    <t xml:space="preserve">Due to signal failure from SRM to drive </t>
  </si>
  <si>
    <t>Due to power control card of drive malfunctioning</t>
  </si>
  <si>
    <t xml:space="preserve">JB position to be shifted as CA-1 </t>
  </si>
  <si>
    <t>shutdown</t>
  </si>
  <si>
    <t>C.B Pandey</t>
  </si>
  <si>
    <t>Problem Description (What, when, where, how significant, provide details):</t>
  </si>
  <si>
    <t>CAR NO-4 OPERATED VERY SLOW</t>
  </si>
  <si>
    <t>Travel Drive of T/D car-04 Fast movement output hadnot been generated from drive.</t>
  </si>
  <si>
    <t>Lever switch feedback was checked for fast movement &amp; drive made reset.</t>
  </si>
  <si>
    <t>Due to Mould level drop because of SRM Problem</t>
  </si>
  <si>
    <t xml:space="preserve">SRM Resolver cable was damaged near Gland at JB.							</t>
  </si>
  <si>
    <t>SRM Resolver cable Replacement done. &amp; fuse replaced.</t>
  </si>
  <si>
    <t>CAST ABORT DUE TO MAIN DRIVE TRIP(AUTO EMERGENCY ACTIVATED)</t>
  </si>
  <si>
    <t>Connections loose at contactor (K143) at TCS Panel</t>
  </si>
  <si>
    <t>Connections tightness at 11EE201B03 input module(I142.5)</t>
  </si>
  <si>
    <t>Ranjit bardhan</t>
  </si>
  <si>
    <t>MAIN DRIVE TRIP(AUTO EMERGENCY ACTIVATED)</t>
  </si>
  <si>
    <t>CAST ABORT DUE TO AUTO-COMMUNICATION FAILURE</t>
  </si>
  <si>
    <t>Lube OIL SHEAR NOT OK</t>
  </si>
  <si>
    <t>PINCH ROLL LOOSE SIDE MOTOR CHANGED</t>
  </si>
  <si>
    <t>SEGMENT 1,2 &amp; 3 CALLIBRATION,SERVER RESTART &amp; SHEAR MOTOR WORK</t>
  </si>
  <si>
    <t>Cast aborted due to Pinch Roll motor-1(Fixed side) tripped</t>
  </si>
  <si>
    <t>motor winding short with body</t>
  </si>
  <si>
    <t>CAST ABORT DUE TO PINCH ROLL TRIPPED &amp; AMLC E-CLOSE ACTIVATED</t>
  </si>
  <si>
    <t>Encoder and DTI card was found damaged.</t>
  </si>
  <si>
    <t>Encoder and DTI card replaced with spare one</t>
  </si>
  <si>
    <t>MOULD  BOPS CABLE FIXING PROBLEM</t>
  </si>
  <si>
    <t>CAST ABORT DUE TO MOULD LEVEL DROPPED AND PINCH ROLL TRIPPED</t>
  </si>
  <si>
    <t>IPC FAULT</t>
  </si>
  <si>
    <t>DISCONTINUED DUE TO SEGMENT-3 POSITION ERROR</t>
  </si>
  <si>
    <t>CAST ABORT DUE TO AUTO COMMUNICATION FAILURE</t>
  </si>
  <si>
    <t>BENDING ROLL TEMPOSONIC CHANGE</t>
  </si>
  <si>
    <t>T/D CAR-04</t>
  </si>
  <si>
    <t xml:space="preserve">Problem Description (What, when, where, how significant, provide details): Cast delayed due to T/D Car-04 operated very slow.							</t>
  </si>
  <si>
    <t>Lever switch feedback was checked for fast movement.</t>
  </si>
  <si>
    <t>Cast delayed due to T/D Car-04 operated very slow.</t>
  </si>
  <si>
    <t>Fast travel not happened.</t>
  </si>
  <si>
    <t>Due to Travel drive not generated proper output voltage.</t>
  </si>
  <si>
    <t>T/D CAR-01</t>
  </si>
  <si>
    <t xml:space="preserve">Problem Description (What, when, where, how significant, provide details): 	Due to Mould level drop because of SRM Problem.												</t>
  </si>
  <si>
    <t>Fuse Replaced &amp; additional MCB provided.</t>
  </si>
  <si>
    <t>Cast Aborted.</t>
  </si>
  <si>
    <t>Due to Mould level drop because of SRM Problem.</t>
  </si>
  <si>
    <t>One Fuse found open (Binary code of stopper rod 1 number bit 1) of SRM Resolver Cable for which SRM Drive enable signal was getting OFF.</t>
  </si>
  <si>
    <t>SRM Resolver cable was damaged near Gland at JB.</t>
  </si>
  <si>
    <t>Additional MCB Provided.</t>
  </si>
  <si>
    <t xml:space="preserve">Problem Description (What, when, where, how significant, provide details): CAST ABORT DUE TO MOULD LEVEL DROP											</t>
  </si>
  <si>
    <t>Connections tightness at 11EE201C02 relay mdule(I5.3)</t>
  </si>
  <si>
    <t>Cast Aborted due to mould level dropped.</t>
  </si>
  <si>
    <t>Srm closed to zero position</t>
  </si>
  <si>
    <t>Auto tailout signal was generated from TCS.</t>
  </si>
  <si>
    <t>I142.5 signal deactivated</t>
  </si>
  <si>
    <t xml:space="preserve">Connections loose at contactor (K143) at TCS Panel							</t>
  </si>
  <si>
    <t>Cleaning and connection tightness as per schedule.</t>
  </si>
  <si>
    <t>25/03/2025</t>
  </si>
  <si>
    <t>DRV PLC</t>
  </si>
  <si>
    <t xml:space="preserve">Problem Description (What, when, where, how significant, provide details): 	Emergency push button malfunctioned at pulpit desk (OS-0)											</t>
  </si>
  <si>
    <t>All push buttons and elements tighness done and made cleaned</t>
  </si>
  <si>
    <t>Due to All drive stopped</t>
  </si>
  <si>
    <t>OS-0 E-Stop push button activated</t>
  </si>
  <si>
    <t>Push button malfunctioned due to vibration or impact on desk</t>
  </si>
  <si>
    <t>OS-0 E-Stop push button malfunctioned</t>
  </si>
  <si>
    <t xml:space="preserve">Elements to be connected in parallel at emergency push button at OS-0 </t>
  </si>
  <si>
    <t>April Shutdown</t>
  </si>
  <si>
    <t>In progress</t>
  </si>
  <si>
    <t>Connections to be checked at OS panel as per schedule.</t>
  </si>
  <si>
    <t>quarterly</t>
  </si>
  <si>
    <t>Shear</t>
  </si>
  <si>
    <t xml:space="preserve">Problem Description (What, when, where, how significant, provide details): 	ET supervision fault due to cable damage of shear frame position transducer						</t>
  </si>
  <si>
    <t>Shear frame position transducer cylinder replaced with spare</t>
  </si>
  <si>
    <t>Shear not ready</t>
  </si>
  <si>
    <t>frame postion not showing value</t>
  </si>
  <si>
    <t>Position encoder cable got damaged</t>
  </si>
  <si>
    <t>Due to exessive external temperature</t>
  </si>
  <si>
    <t xml:space="preserve">Shear frame position encoder cable damaged </t>
  </si>
  <si>
    <t>Extra heat protection for tranducer cable to be provided</t>
  </si>
  <si>
    <t>Additional heat shield protection provided for heat protection from tunnel furnace</t>
  </si>
  <si>
    <t>Done</t>
  </si>
  <si>
    <t>Cooling water for cylinder to be checked daily basis</t>
  </si>
  <si>
    <t>Daily</t>
  </si>
  <si>
    <t xml:space="preserve">Position transducer cylinder to be replaced with spare for maintenance quaterly. </t>
  </si>
  <si>
    <t>Quaterly</t>
  </si>
  <si>
    <t>PINCH ROLLMOTOR-2</t>
  </si>
  <si>
    <t xml:space="preserve">Chandra Bhusan Pandey , Prashant Chavan , Abhijit Roy , Amit Kumar </t>
  </si>
  <si>
    <t xml:space="preserve">Problem Description (What, when, where, how significant, provide details): Cast aborted due to Pinch Roll motor-2(Fixed side) tripped.							</t>
  </si>
  <si>
    <t>Drive fault reset done ;</t>
  </si>
  <si>
    <t>Motor resistance taken,Meggering done and motor terminals checked</t>
  </si>
  <si>
    <t>Motor replaced with spare.</t>
  </si>
  <si>
    <t>Cast Aborted due to Pinch Roll-2 motor tripped.</t>
  </si>
  <si>
    <t>Fault appeared onn drive (F026)</t>
  </si>
  <si>
    <t>Fault F026 showing motor winding ground with body.</t>
  </si>
  <si>
    <t>Motor winding shorted with body</t>
  </si>
  <si>
    <t>Current and temperature Monitoring to be done as per schedule.</t>
  </si>
  <si>
    <t>PINCH ROLLMOTOR-1</t>
  </si>
  <si>
    <t>Chandra Bhusan Pandey , Prashant Chavan , BIWAMBAR BHOI</t>
  </si>
  <si>
    <t xml:space="preserve">Problem Description (What, when, where, how significant, provide details): Cast aborted due to Pinch Roll motor-1(Fixed side) tripped.							</t>
  </si>
  <si>
    <t>Encoder shaft tightness done.</t>
  </si>
  <si>
    <t>Encoder cable and connections at terminal checked and tightness done.</t>
  </si>
  <si>
    <t>Motor brake assambly removed as it was making abnormal sound.</t>
  </si>
  <si>
    <t xml:space="preserve">Warning A034(Setpoint Deviation )  and F053(tachometer dn/dt)  &amp;  F015 (motor stall) occured at drive </t>
  </si>
  <si>
    <t>Encoder shaft got loose , Brake liner assembly loose.</t>
  </si>
  <si>
    <t>The break liner mounting was worn out and imbalanced.</t>
  </si>
  <si>
    <t>The brake liner mounting was worn out and imbalanced.</t>
  </si>
  <si>
    <t>Encoder connections and shaft tightness to be checked as per schedule.</t>
  </si>
  <si>
    <t>Quarterly</t>
  </si>
  <si>
    <t>Brake operations and condition to be checked as per planned shcedule.</t>
  </si>
  <si>
    <t>Encoder was replaced with new spare . Trial taken and same problem happened again .</t>
  </si>
  <si>
    <t>Encoder receiving DTI card replaced with new one.</t>
  </si>
  <si>
    <t>Encoder and DTI card was malfunctioned.</t>
  </si>
  <si>
    <t>115+765</t>
  </si>
  <si>
    <t>HSA IPC TCS</t>
  </si>
  <si>
    <t>Chandra Bhusan Pandey , Prashant Chavan , Ranjit Bardhan, Tanmay Das,</t>
  </si>
  <si>
    <t xml:space="preserve">Problem Description (What, when, where, how significant, provide details): Cast aborted due communication failure as HSA  IPC( industraial PC ) hanged.			</t>
  </si>
  <si>
    <t>Checked  &amp; tightened the  ethernet communication cable at switch and restarted.</t>
  </si>
  <si>
    <t>Amplifire card for pressure signels of segment 3 replaced with spare one.</t>
  </si>
  <si>
    <t>IPC replaced with spare IPC.</t>
  </si>
  <si>
    <t>Cleaning the IPC cards slot and replace the Analog 3120 card at slot 9 with new one.</t>
  </si>
  <si>
    <t>HSA IPC communication failure as IPC malfunctioning.</t>
  </si>
  <si>
    <t>Communication break with siemens PLC.</t>
  </si>
  <si>
    <t>Analog Signal card 3120 at slot 9 was faulty.</t>
  </si>
  <si>
    <t xml:space="preserve">Analog Signal card 3120 at slot 9 was faulty.							</t>
  </si>
  <si>
    <t>IPC cleaning to be done in every shutdown.</t>
  </si>
  <si>
    <t>SEGMENT 3</t>
  </si>
  <si>
    <t>Chandra Bhusan Pandey , Prashant Chavan , abhijit roy, B. Bhoi.</t>
  </si>
  <si>
    <t xml:space="preserve">Problem Description (What, when, where, how significant, provide details): Cast aborted due to segmet 3 position abnormal.	</t>
  </si>
  <si>
    <t>Segment Right Top proportional valve replaced with spare one,</t>
  </si>
  <si>
    <t>Mechnical</t>
  </si>
  <si>
    <t>Segment 3 Left TOP Pressure transducer replaced with spare one.</t>
  </si>
  <si>
    <t>Pressure transducer fresh connection done by laying new cable from tcs panel to valve stand JB.</t>
  </si>
  <si>
    <t>Isolation amplifire card U255 replaced with spare one.</t>
  </si>
  <si>
    <t>Segment 3  position was abnormal.</t>
  </si>
  <si>
    <t>Sergment 3 Left Top pressure signel was not received.</t>
  </si>
  <si>
    <t>Isolation amplifier card channel was faulty.</t>
  </si>
  <si>
    <t>Segment position transducer connecions to be cheked as per planned schedule.</t>
  </si>
  <si>
    <t xml:space="preserve">Problem Description (What, when, where, how significant, provide details):HSA  IPC( industrial PC ) Fault.			</t>
  </si>
  <si>
    <t>Checked  &amp; tightened the  ethernet communication cable at switch.</t>
  </si>
  <si>
    <t>ALL cards and harddisk installed in spare IPC.</t>
  </si>
  <si>
    <t>HSA IPC communication failure as IPC hanged.</t>
  </si>
  <si>
    <t>IPC faulty</t>
  </si>
  <si>
    <t>BENDING UNIT</t>
  </si>
  <si>
    <t xml:space="preserve">Problem Description (What, when, where, how significant, provide details):Bending roll tempposonic change		</t>
  </si>
  <si>
    <t>Instrument cooling air  checked .</t>
  </si>
  <si>
    <t>Connection tightness done at JB</t>
  </si>
  <si>
    <t>Cast start delayed due to bending roll position abnormal</t>
  </si>
  <si>
    <t xml:space="preserve">Bending roll position transducer was sending spike in signal </t>
  </si>
  <si>
    <t>BR position transducer faulty.</t>
  </si>
  <si>
    <t>Instrument cooling air to be checked as per schedule.</t>
  </si>
  <si>
    <t>Connections to be checked at JB as per schedule.</t>
  </si>
  <si>
    <t xml:space="preserve">Problem Description (What, when, where, how significant, provide details): IPC Fault		</t>
  </si>
  <si>
    <t>IPC made ready with Backplane replaced from spare one.</t>
  </si>
  <si>
    <t>Analog Card replaced for HSA1 Pressure &amp; Proprortional valve at Slot 08.</t>
  </si>
  <si>
    <t>Fresh connection Provided at HSA1 Valvestand JB (+12E3X72) as connection found open at HSA1 drive side proprtional Valve</t>
  </si>
  <si>
    <t>HSA IPC Booting Issue</t>
  </si>
  <si>
    <t>External Fan provided near HSA valvestand to protect from moisture</t>
  </si>
  <si>
    <t>Heat Protection provided near HSA Valvestand</t>
  </si>
  <si>
    <t>BENDING ROLL POSITION OUT</t>
  </si>
  <si>
    <t>Position Module Faulty</t>
  </si>
  <si>
    <t>Position Module (SSI) replaced by new one</t>
  </si>
  <si>
    <t>SEGMENT-2,3 NOT READY</t>
  </si>
  <si>
    <t>PROXY MALFUNCTIONING PROBLEM</t>
  </si>
  <si>
    <t xml:space="preserve">Dummy Bar Disconnection Proxy Malfunctioned						</t>
  </si>
  <si>
    <t>Dummy bar disconnection proxy replaced by spare one.</t>
  </si>
  <si>
    <t>SEGMENT-1 GRID JAM</t>
  </si>
  <si>
    <t>RIGHT SIDE MOULD DRIVE NOT OK</t>
  </si>
  <si>
    <t>CAST ABORT DUE TO AUTO EMERGENCY APPLIED(SEN CUT)</t>
  </si>
  <si>
    <t>Tundish emergency slide gate Push button's NC elements malfunctioned.</t>
  </si>
  <si>
    <t>Tundish slide gate emergency logic modified in PLC. Now Tundish emergency will be activated if Tundish slide gate emergency push button and Break out push button pressed simultaneously from OS-3.</t>
  </si>
  <si>
    <t>SEGMENT-2 CALIBRATION NOT OCCURRED</t>
  </si>
  <si>
    <t>Not identified</t>
  </si>
  <si>
    <t>Segment-2 LsTs temposonic block removed and reconnected.</t>
  </si>
  <si>
    <t>DISCONTINUED DUE TO SEGMENT-2 POSITION OUT.</t>
  </si>
  <si>
    <t>SEGMENT-3 BLOCK CHANGE &amp; SEGMENT-1 CALIBRATION</t>
  </si>
  <si>
    <t>AMLC NOT READY</t>
  </si>
  <si>
    <t>Mould level shell configuration minimum level was set to -5% TCS.</t>
  </si>
  <si>
    <t>Mould level shell configuration minimum level was modified to -11% .</t>
  </si>
  <si>
    <t>CAST ABORT DUE TO PINCH ROLL - 02 POSITION OUT</t>
  </si>
  <si>
    <t>Tanmay Das/Biswambar bhoi</t>
  </si>
  <si>
    <t>MOULD CALIBRATION ISSUE AND CENTILATION COUNTER CHANGED</t>
  </si>
  <si>
    <t>16:40:00 AM</t>
  </si>
  <si>
    <t xml:space="preserve">Problem Description (What, when, where, how significant, provide details): Cast delayed due to bending roll position abnormal.							</t>
  </si>
  <si>
    <t>Position(SSI) Module replaced by new one</t>
  </si>
  <si>
    <t>Bending roll SSI Module shows error</t>
  </si>
  <si>
    <t>BR position(SSI) Module  faulty.</t>
  </si>
  <si>
    <t xml:space="preserve">Due to BR position(SSI) Module  faulty.							</t>
  </si>
  <si>
    <t>Module connection &amp; ET dedusting to be done</t>
  </si>
  <si>
    <t>Dummy Bar</t>
  </si>
  <si>
    <t>Chandra Bhusan Pandey , Prashant Chavan , Saroj Singh, Amit Kumar</t>
  </si>
  <si>
    <t xml:space="preserve">Problem Description (What, when, where, how significant, provide details): 	Cast start delayed due to Dummy bar tracking failure.					</t>
  </si>
  <si>
    <t>Dummy Bar Proxy connection checked</t>
  </si>
  <si>
    <t>Dummy Bar proxy replaced by spare one</t>
  </si>
  <si>
    <t>Cast aborted due to Automation Problem</t>
  </si>
  <si>
    <t>Dummy Bar Tracking &amp; Disconnection issue from PLC due to Dummy bar disconnection proxy malfunctioned</t>
  </si>
  <si>
    <t>Dummy bar proxy faulty due to external factor like Metal, Grease falling upon the instrument.</t>
  </si>
  <si>
    <t>Dummy bar disconnection proximity switch found faulty.</t>
  </si>
  <si>
    <t>Dummy bar all proxies cleaning to be done in every sequence break</t>
  </si>
  <si>
    <t>Each Sequence Break</t>
  </si>
  <si>
    <t>Followed Up</t>
  </si>
  <si>
    <t>Dummy bar all proxies connection at Joint &amp; JB to be checked in every long sequence break</t>
  </si>
  <si>
    <t>Monthly Shutdown</t>
  </si>
  <si>
    <t>Tundish Slide gate emergency</t>
  </si>
  <si>
    <t>Chandra Bhusan Pandey , Prashant Chavan , Biswambar Bhoi</t>
  </si>
  <si>
    <t xml:space="preserve">Problem Description (What, when, where, how significant, provide details): Cast aborted due to mould overflow.							</t>
  </si>
  <si>
    <t>OS-2C ON/OFF selector switch elements checked and found OK.</t>
  </si>
  <si>
    <t>Cast aborted due to mould over flown.</t>
  </si>
  <si>
    <t>Stopper rod mechanism failure.</t>
  </si>
  <si>
    <t>SRM zeroing OFF feedback generated at OS-2C</t>
  </si>
  <si>
    <t>ON/OFF switch was operated at OS-2C by Operation Person unknowingly.</t>
  </si>
  <si>
    <t>Tundish slide gate emergency activated as SRC ON/OFF switch was operated by operation person from OS-2C</t>
  </si>
  <si>
    <t xml:space="preserve">Problem Description (What, when, where, how significant, provide details): Cast aborted due to tundish slide gate emergency automatically activated.							</t>
  </si>
  <si>
    <t>Tundish slide gate emergency Push button NC elements checked and found OK. Fresh connections done.</t>
  </si>
  <si>
    <t>Logic modified in PLC. Break out push button input added with tundish slide gate emergency push button input. Both push button will be pressed simultaneously to activate Tundish slide gate emergency.</t>
  </si>
  <si>
    <t>Cast aborted due to SEN fell down.</t>
  </si>
  <si>
    <t>Tundish slide gate emergency input activated.</t>
  </si>
  <si>
    <t>Tundish slide gate emergency NC elements malfunctioned.</t>
  </si>
  <si>
    <t>Tundish slide gate emergency Push button NC elements malfunctioned.</t>
  </si>
  <si>
    <t>Logic modified and interlock provided with breakout Pushbutton AT OS-03.</t>
  </si>
  <si>
    <t>Prashant Chavan</t>
  </si>
  <si>
    <t>Parallel input will be mapped .</t>
  </si>
  <si>
    <t>Capital Shutdown</t>
  </si>
  <si>
    <t>19:45:00 PM</t>
  </si>
  <si>
    <t>Segment-2</t>
  </si>
  <si>
    <t xml:space="preserve">Problem Description (What, when, where, how significant, provide details): Cast start delayed due to Segment 2 calibration not occurred 						</t>
  </si>
  <si>
    <t>Segment-2 LeftTop position transducer block callibrated seperately found ok.</t>
  </si>
  <si>
    <t>Segment cable(anaconda) upto manifold block changed.</t>
  </si>
  <si>
    <t>Position Transducer block cooling air checked.</t>
  </si>
  <si>
    <t>Cast start delay due to Segment-2 was not ready.</t>
  </si>
  <si>
    <t>Segment-2 LeftTop position offset value was not holding after callibration.</t>
  </si>
  <si>
    <t>Not recognized</t>
  </si>
  <si>
    <t xml:space="preserve">Problem Description (What, when, where, how significant, provide details): Cast aborted due to HSA-2 Position out				</t>
  </si>
  <si>
    <t>Segment-2 LeftTop position transducer block calibrated seperately found ok.</t>
  </si>
  <si>
    <t>Segment-2 LeftTop position offset value was not holding after calibration.</t>
  </si>
  <si>
    <t>B+C</t>
  </si>
  <si>
    <t>MLC</t>
  </si>
  <si>
    <t>Chandra Bhusan Pandey , Prashant Chavan , Tanmaya Das , Biswambar Bhoi</t>
  </si>
  <si>
    <t xml:space="preserve">Problem Description (What, when, where, how significant, provide details): Cast start delayed due to AMLC not ready.			</t>
  </si>
  <si>
    <t>Scintillation counter replaced with new one.</t>
  </si>
  <si>
    <t>Logic modified in PLC.</t>
  </si>
  <si>
    <t>MLC shell configuration minimum level was modified to -11% in PLC.</t>
  </si>
  <si>
    <t>Cast start delayed.</t>
  </si>
  <si>
    <t>Cast permissive conditions was not fullfilled.</t>
  </si>
  <si>
    <t>AMLC was not ready</t>
  </si>
  <si>
    <t>Minimum mould level was showing upto -9%.</t>
  </si>
  <si>
    <t>MLC shell configuration minimum level was set to -5% in PLC.</t>
  </si>
  <si>
    <t>Measuring card to be replaced in Berthold System.</t>
  </si>
  <si>
    <t>Long Sequence break</t>
  </si>
  <si>
    <t>PINCHROLL OS</t>
  </si>
  <si>
    <t>Problem Description (What, when, where, how significant, provide details):CAST ABORT DUE TO PINCH ROLL (OS) POSITION OUT</t>
  </si>
  <si>
    <t>External cooling water provided to pinch roll</t>
  </si>
  <si>
    <t>Cast aborted due to pinch roll position out</t>
  </si>
  <si>
    <t>Due to temperature of position transducer abnormal</t>
  </si>
  <si>
    <t>Due to no cooling water for cylinder.</t>
  </si>
  <si>
    <t>Due to water nozzle jam</t>
  </si>
  <si>
    <t>Cooling water blockage due to water nozzle jam.</t>
  </si>
  <si>
    <t>Cooling water to be monitored before every sequence start.</t>
  </si>
  <si>
    <t>completed</t>
  </si>
  <si>
    <t>CAST ABORT  DUE TO MOULD HYDRAULIC OSCILLATOR TRIPPED  / SHEAR  NOT READY</t>
  </si>
  <si>
    <t>MD OSCIL. VALVE SUCTION LINE Proximity Sensor faulty.</t>
  </si>
  <si>
    <t>PROXIMITY REPLACED WITH NEW ONE.</t>
  </si>
  <si>
    <t>CAST ABORT DUE TO MOULD  WATER FLOW STOPPED</t>
  </si>
  <si>
    <t xml:space="preserve">POWER SUPPLY DAMAGED </t>
  </si>
  <si>
    <t>DAMAGED POWER SUPPLY REPLACED WITH NEW ONE.</t>
  </si>
  <si>
    <t>HMO</t>
  </si>
  <si>
    <t>Chandra Bhushan Pandey, Prashant Chavan ,Saroj Singh</t>
  </si>
  <si>
    <t>Problem Description (What, when, where, how significant, provide details):CAST ABORT  DUE TO MOULD HYDRAULIC OSCILLATOR TRIPPED</t>
  </si>
  <si>
    <t>Proximity sensor connections removd from module A11-D06-X13</t>
  </si>
  <si>
    <t>Proximity sensor signal activated by providinga short link.</t>
  </si>
  <si>
    <t>Mould Oscillation hydraulic motor switched off.</t>
  </si>
  <si>
    <t>MCB (F21) tripped at RIO panel 12E0M10.</t>
  </si>
  <si>
    <t>Proximity sensor to be replaced in long sequence break.</t>
  </si>
  <si>
    <t xml:space="preserve">SHIFT I/C </t>
  </si>
  <si>
    <t>Circuit to be modified  with fuseable terminals.</t>
  </si>
  <si>
    <t>Problem Description (What, when, where, how significant, provide details):CAST ABORT  DUE TO MOULD HYDRAULIC OSCILLATOR TRIPPED/SHEAR NOT READY FOR CUT</t>
  </si>
  <si>
    <t>Position transducer signal checked from PLC.</t>
  </si>
  <si>
    <t>Position transducer power reset and fresh connection was done.</t>
  </si>
  <si>
    <t>Shear not ready for cut.</t>
  </si>
  <si>
    <t>Shear frame position signal was not received at PLC.</t>
  </si>
  <si>
    <t>Position transducer malfuctioned.</t>
  </si>
  <si>
    <t>Due to heat from Tunnel furnace area.</t>
  </si>
  <si>
    <t xml:space="preserve">Due to lack of heat shield </t>
  </si>
  <si>
    <t>Position transducer malfunctioned due to lack of heat shield.</t>
  </si>
  <si>
    <t xml:space="preserve">Heat shield provided </t>
  </si>
  <si>
    <t>Shear frame position transducer maintenance to be done as per PM plan.</t>
  </si>
  <si>
    <t>cooling to be checked daily</t>
  </si>
  <si>
    <t>4.25pm</t>
  </si>
  <si>
    <t>MOULD COOLING WATER</t>
  </si>
  <si>
    <t>POWER SUPPLY</t>
  </si>
  <si>
    <t>Chandra Bhushan Pandey, Prashant Chavan ,Biswambar Bhoi</t>
  </si>
  <si>
    <t>Problem Description (What, when, where, how significant, provide details):CAST ABORT DUE TO MOULD  WATER FLOW DROPPED.</t>
  </si>
  <si>
    <t>At ET +12E3M21 Power supply replaced with new one.</t>
  </si>
  <si>
    <t>All cable and module tightness done at ET +12D3M21.</t>
  </si>
  <si>
    <t>Cast abort due mould water dropped.</t>
  </si>
  <si>
    <t>Mould water level reduced to zero.</t>
  </si>
  <si>
    <t xml:space="preserve">MCW emergency valve opened </t>
  </si>
  <si>
    <t>At ET +12E3M21 Power supply was found damaged.</t>
  </si>
  <si>
    <t>SMPS Failure at ET+12E3M21.</t>
  </si>
  <si>
    <t>SMPS output power to be checked monthly.</t>
  </si>
  <si>
    <t>Monthly</t>
  </si>
  <si>
    <t>Shift in charge</t>
  </si>
  <si>
    <t>VERTEX cooler to be installed in every ET panels.</t>
  </si>
  <si>
    <t>Within 15 days</t>
  </si>
  <si>
    <t>23/05/2025</t>
  </si>
  <si>
    <t>11.55pm</t>
  </si>
  <si>
    <t>D/B Home Pos Proxy</t>
  </si>
  <si>
    <t>Chandra Bhushan Pandey, Prashant Chavan ,Tanmay Das</t>
  </si>
  <si>
    <t>Problem Description (What, when, where, how significant, provide details): CA-2 D/B Home position proxy got high just before cast start</t>
  </si>
  <si>
    <t>Dewatering done at D/B Pit area by making both SUMP PUMP ON.</t>
  </si>
  <si>
    <t>D/B Proxies made cleaned with diesel.</t>
  </si>
  <si>
    <t>D/B home Pos Proxy taken in bypass</t>
  </si>
  <si>
    <t>CA-2 D/B Home position proxy got high just before cast start</t>
  </si>
  <si>
    <t>D/B pit filled with water</t>
  </si>
  <si>
    <t>SUMP-PUMP was in manual mode &amp; Previously found at OFF condition</t>
  </si>
  <si>
    <t>D/B SUMP PUMP motor was in OFF condition.</t>
  </si>
  <si>
    <t>Name of Key Member: 1. Chandra Bhusan Pandey, 2. Prashant O. Chavan, 3. Tanmaya Das 4. Biswambar Bhoi</t>
  </si>
  <si>
    <r>
      <rPr>
        <b/>
        <i/>
        <sz val="10"/>
        <color rgb="FF000000"/>
        <rFont val="Verdana"/>
      </rPr>
      <t xml:space="preserve">D1: </t>
    </r>
    <r>
      <rPr>
        <b/>
        <sz val="10"/>
        <color rgb="FF000000"/>
        <rFont val="Verdana"/>
      </rPr>
      <t>Form team to solve the problem ( Why,when,where,how,what,who) : Name of team members: 1.Chandra Bhusan Pandey, 2. Prashant O. Chavan, 3. Tanmaya Das 4. Biswambar Bhoi</t>
    </r>
  </si>
  <si>
    <t>Cast start delayed as cast permissive was not occurred due to TMC not ready.</t>
  </si>
  <si>
    <t xml:space="preserve">1. Trial taken with T/d car-2 same problem occurred.  
2. Emergency signals checked and found OK.
3. Berthold system scintillation counter cable checked and found OK. 
4. Scintillation counter replaced with new one.
5. SRM signals checked and found OK.
6. MLC logic modified in PLC.     
7.  Simulation taken and all system found healthy.                                     7. Casting started.                                                                                                                                                                                                                                                                            </t>
  </si>
  <si>
    <t>Question- Why Cast start delayed ?</t>
  </si>
  <si>
    <r>
      <rPr>
        <b/>
        <sz val="10"/>
        <color rgb="FF000000"/>
        <rFont val="Verdana"/>
      </rPr>
      <t>1.What -</t>
    </r>
    <r>
      <rPr>
        <sz val="10"/>
        <color rgb="FF000000"/>
        <rFont val="Verdana"/>
      </rPr>
      <t xml:space="preserve"> Measuring card to be replaced in Berthold system.
When- During long sequence break.
Where- In Berthold system.
How- By removing the installed cards from Berthold System.
Who-Electrical Team.
Why- For correction of mould level measuring signals.
</t>
    </r>
    <r>
      <rPr>
        <b/>
        <sz val="10"/>
        <color rgb="FF000000"/>
        <rFont val="Verdana"/>
      </rPr>
      <t>2. What -</t>
    </r>
    <r>
      <rPr>
        <sz val="10"/>
        <color rgb="FF000000"/>
        <rFont val="Verdana"/>
      </rPr>
      <t xml:space="preserve"> 
When- 
Where-  
How-   
Who- 
Why-  
</t>
    </r>
    <r>
      <rPr>
        <b/>
        <sz val="10"/>
        <color rgb="FF000000"/>
        <rFont val="Verdana"/>
      </rPr>
      <t>3. What</t>
    </r>
    <r>
      <rPr>
        <sz val="10"/>
        <color rgb="FF000000"/>
        <rFont val="Verdana"/>
      </rPr>
      <t xml:space="preserve"> - 
When- 
Where- 
How- 
Who- 
Why- </t>
    </r>
  </si>
  <si>
    <t xml:space="preserve">1.What - MLC Emergency signals and Berthold system Scintillation counter cable checked. 
When- Immediately.
Where- Caster-1 +8 mtr and + 11mtr area.
How-  At OS panels and JB.
Who- Electrical team.
Why- To check any missing signals.
2. What - MLC minimum level configuration modified to -11% in PLC.                                                                                 When- Immediately.
Where- In PLC.
How- Logic modified.
Who- Electrical Team
Why- For TMC ready in Cast permissive.
3. What - 
When-
Where-  
How- 
Who- 
Why-  
</t>
  </si>
  <si>
    <t>Answer- Cast permissive was not occurred.</t>
  </si>
  <si>
    <t>Date - 17.04.2025 at around 21.15 Hrs.</t>
  </si>
  <si>
    <t>Question- Why was Cast permissive not occurred ?</t>
  </si>
  <si>
    <t>Answer- TMC was not ready.</t>
  </si>
  <si>
    <t>Question- Why TMC was not ready?</t>
  </si>
  <si>
    <t>Answer- AMLC was not ready.</t>
  </si>
  <si>
    <t>Question- Why was AMLC not ready ?</t>
  </si>
  <si>
    <t>Answer - MLC shell configuration minimum level was set to -5% in PLC</t>
  </si>
  <si>
    <t>18.04.2025</t>
  </si>
  <si>
    <t>MOULD COOLING PUMP-2 NOT READY</t>
  </si>
  <si>
    <t>Pump Coupling was broken</t>
  </si>
  <si>
    <t>SEGMENT-1 BLOCK CHANGE</t>
  </si>
  <si>
    <t>MOULD NOT OPERATING (OPEN/CLOSE)</t>
  </si>
  <si>
    <t>STEAM EXHAUST FAN NOT WORKING</t>
  </si>
  <si>
    <t>Steam Exhaust Fan motor  was tripped due to contactor sticked</t>
  </si>
  <si>
    <t>Main Contactor &amp; Delta Contactor replaced by spare ones</t>
  </si>
  <si>
    <t>SEGMENT -1 LsBs POSTION  FAULT</t>
  </si>
  <si>
    <t>Seg-1 Bottom left position transducer was not holding offset value</t>
  </si>
  <si>
    <t>Position transducer block was replaced with spare one,</t>
  </si>
  <si>
    <t>TUNDISH CAR-3 BYPASS</t>
  </si>
  <si>
    <t>TUNDISH CAR-4 ZEROING PROBLEM</t>
  </si>
  <si>
    <t>SRM Handwheel Lock Signal was not coming</t>
  </si>
  <si>
    <t>Signal Bypass done from PLC</t>
  </si>
  <si>
    <t xml:space="preserve">CAST ABORT DUE TO MOULD LEVEL FLUCTUATION </t>
  </si>
  <si>
    <t>CAST ABORT DUE TO SLAB STUCK IN SHEAR(SHEAR FRAME POSITION OUT)</t>
  </si>
  <si>
    <t>Shear frame reached forward (below 30mm) faster than required.</t>
  </si>
  <si>
    <t>Shear frame voltage adjusted</t>
  </si>
  <si>
    <t>CAR-4  HEATING POSITION LIMIT NOT WORKING</t>
  </si>
  <si>
    <t>Malfunction of cast position limit switch</t>
  </si>
  <si>
    <t>Limit switch replaced with new one.</t>
  </si>
  <si>
    <t>DISCONTINUED DUE TO SEGMENT-3 AND PINCH ROLL  POSITION OUT SLAB SHIFTED</t>
  </si>
  <si>
    <t>Segment-3 bottom position feedback not received at PLC.</t>
  </si>
  <si>
    <t>PLC programme modified.</t>
  </si>
  <si>
    <t>MCW Motor</t>
  </si>
  <si>
    <t>Chandra Bhushan Pandey, Prashant Chavan ,Amit Kumar</t>
  </si>
  <si>
    <t>Problem Description (What, when, where, how significant, provide details)CAST ABORT DUE TO MOULD COOLING PUMP-2 GOT TRIPPED &amp; STANDBY PUMP WAS NOT READY</t>
  </si>
  <si>
    <t>Mould Cooling Pump-2 Feeder Made ready after Mechanical Clearance</t>
  </si>
  <si>
    <t xml:space="preserve">Mould cooling pump-2 trial taken </t>
  </si>
  <si>
    <t>Mould Cooling Motor-2 got tripped &amp; Standby Motor was not Ready.</t>
  </si>
  <si>
    <t>Mould Cooling Motor-2 coupling was broken from pump side.</t>
  </si>
  <si>
    <t xml:space="preserve">Standby Faulty motor connection to be removed </t>
  </si>
  <si>
    <t>Next seq. reak</t>
  </si>
  <si>
    <t>Spare motor to be replaced &amp; Trial to be taken</t>
  </si>
  <si>
    <t>Static Prepared</t>
  </si>
  <si>
    <t>Steam Exhaust Motor</t>
  </si>
  <si>
    <t>Problem Description (What, when, where, how significant, provide details)CAST START DELAYED DUE TO STEAM EXHAUST MOTOR GOT TRIPPED</t>
  </si>
  <si>
    <t>Steam Exhaust Motor conditions checked</t>
  </si>
  <si>
    <t>Steam Exhaust Motor Feeder checked</t>
  </si>
  <si>
    <t>Steam Exhaust Motor Feeder Main &amp; Delta Contactor Replaced</t>
  </si>
  <si>
    <t>Steam Exhaust Motor got tripped</t>
  </si>
  <si>
    <t>Main &amp; Delta Contactor stucked</t>
  </si>
  <si>
    <t>One Winding of SEM damaged</t>
  </si>
  <si>
    <t>Steam Exhaust Motor one winding was damaged</t>
  </si>
  <si>
    <t>Steam exhaust Motor to be replaced by New one</t>
  </si>
  <si>
    <t>Long Seq. Break</t>
  </si>
  <si>
    <t>Existing Steam Exhaust Motor Ovehauling to be done</t>
  </si>
  <si>
    <t>Segment-1</t>
  </si>
  <si>
    <t>Chandra Bhushan Pandey, Prashant Chavan ,Abhijit Roy</t>
  </si>
  <si>
    <t>Problem Description (What, when, where, how significant, provide details)CAST START DEKAYED DUE TO:SEGMENT -1 LsBs POSTION  FAULT</t>
  </si>
  <si>
    <t>Depressed,flushing &amp; calibration done again and segment was made ready</t>
  </si>
  <si>
    <t xml:space="preserve">Segment-1 Left bottom Position transducer block replaced with spare one </t>
  </si>
  <si>
    <t>Segment-1 was not getting ready</t>
  </si>
  <si>
    <t>Segment-1 Left Bottom side generating (Hsa.BsLs,Act.Pos.fault)</t>
  </si>
  <si>
    <t>Segment-1 Left Bottom side position transducer wasnot holding offset value during dummy bar insert mode.</t>
  </si>
  <si>
    <t>Segment-1 Left Bottom side position transducer was faulty.</t>
  </si>
  <si>
    <t>Segmen-1 Left Bottom side position transducer was not holding offset value</t>
  </si>
  <si>
    <t>Segment position transducer connecions to be cheked as per planned quaterly schedule.</t>
  </si>
  <si>
    <t>Segment Position transducer fault indication to be provided on HMI.</t>
  </si>
  <si>
    <t>Tundish Car-04</t>
  </si>
  <si>
    <t>50+37</t>
  </si>
  <si>
    <t>Cast Floor</t>
  </si>
  <si>
    <t>Problem Description (What, when, where, how significant, provide details)CAST START DELAYED DUE TO TUNDISH CAR-4 ZEROING PROBLEM</t>
  </si>
  <si>
    <t>T/D Car-04 existing SRM all Power &amp; Control Signals Checked</t>
  </si>
  <si>
    <t>T/D Car-04 existing SRM Handwheel Lock Signal bypassed</t>
  </si>
  <si>
    <t>Tundish Car-04 zeroing was not happenned.</t>
  </si>
  <si>
    <t>Tundish Car-04 Handwheel Lock signal feedback was not coming</t>
  </si>
  <si>
    <t>Tundish Car-04 Handwheel Lock signal proximity switch malfunctioned.</t>
  </si>
  <si>
    <t>Tundish Car-04 Handwheel Lock signal proximity switch position to be to be checked &amp; installed properly</t>
  </si>
  <si>
    <t>Next tesing at Test stand</t>
  </si>
  <si>
    <t>Tundish Car-04 Handwheel Lock signal proximity switch fresh connection to be done</t>
  </si>
  <si>
    <t xml:space="preserve">SHEAR FRAME </t>
  </si>
  <si>
    <t>CA-1 SHEAR</t>
  </si>
  <si>
    <t>Problem Description (What, when, where, how significant, provide details) CAST ABORT DUE TO SLAB STUCK IN SHEAR(SHEAR FRAME POSITION OUT)</t>
  </si>
  <si>
    <t>Shear motor drive ET+11E3M11 tightness done.</t>
  </si>
  <si>
    <t>Shear cut monitored</t>
  </si>
  <si>
    <t>Slab stuck at Shear knife.</t>
  </si>
  <si>
    <t>Shear frame position out.</t>
  </si>
  <si>
    <t>Shear frame position to be checked regularly.</t>
  </si>
  <si>
    <t>Each Shear cut data monitoring to be done in IBA system.</t>
  </si>
  <si>
    <t xml:space="preserve">CA-1 PR </t>
  </si>
  <si>
    <t>CA-1 PR</t>
  </si>
  <si>
    <t>Chandra Bhushan Pandey, Prashant Chavan ,Ranjit Bardhan</t>
  </si>
  <si>
    <t>Problem Description (What, when, where, how significant, provide details) DISCONTINUED DUE TO SEGMENT-3 AND PINCH ROLL  POSITION OUT SLAB SHIFTED</t>
  </si>
  <si>
    <t>Segment Right bottom position transuder block and cable replaced.</t>
  </si>
  <si>
    <t>Cooling air pressure adjusted.</t>
  </si>
  <si>
    <t>Pinch roll position out.</t>
  </si>
  <si>
    <t>Segment-3 bottom position disturbed</t>
  </si>
  <si>
    <t>SEGMENT-3 AND PINCH ROLL POSITION OUT</t>
  </si>
  <si>
    <t>At manifold block and JB connection to be checked.</t>
  </si>
  <si>
    <t>PLC programme to be modified.</t>
  </si>
  <si>
    <t>Long seq. break</t>
  </si>
  <si>
    <t>c</t>
  </si>
  <si>
    <t>SHEAR MOTOR CHANGED</t>
  </si>
  <si>
    <t>Moter taking high current while cut .</t>
  </si>
  <si>
    <t>Motor replaced with new current.</t>
  </si>
  <si>
    <t xml:space="preserve">MOULD MOTOR DRIVE FAULT IN RIGHT BOTTOM SIDE </t>
  </si>
  <si>
    <t>Resolver Cable Inside JB found dusty &amp; loose</t>
  </si>
  <si>
    <t>Resolved cable connection Tightness done &amp; connector dedusting done with CRC.</t>
  </si>
  <si>
    <t>CAST ABORT DUE TO OSCILLATOR TRIPPED</t>
  </si>
  <si>
    <t>LADLE SLIDE GATE NOT OPEN</t>
  </si>
  <si>
    <t>T/D Car-02 Shroud Manipulator Actuator Line Pressure feedback was not coming due to cable pressed heavily by T/D travel motor Cover</t>
  </si>
  <si>
    <t>Cable Replaced by new one</t>
  </si>
  <si>
    <t>ET  SUPERVISION FAULT</t>
  </si>
  <si>
    <t>All Auxillary Connections checked, Tightness &amp; dedusting done.Profibus Connector Tightness done</t>
  </si>
  <si>
    <t>Resolver Cable found faulty</t>
  </si>
  <si>
    <t>RsBs  resolver cable replaced with new one &amp; connections done at both JB &amp; drive side.</t>
  </si>
  <si>
    <t>CAST ABORT DUE TO HYDRAULIC MOULD OSCILLATOR TRIPPED</t>
  </si>
  <si>
    <t>At ET +11EE101B21 module's ribbon &amp; connector found faulty.</t>
  </si>
  <si>
    <t xml:space="preserve">Replaced the faulty module &amp; ribbon with the new. </t>
  </si>
  <si>
    <t>Abort Due to ACB (Incomer) got tripped.</t>
  </si>
  <si>
    <t>SRM 05 Mechanism issue</t>
  </si>
  <si>
    <t xml:space="preserve">The MCC-2A ACB short circuit parameter set to 1900A to avoid PCC breaker tripping. </t>
  </si>
  <si>
    <t>CAST ABORT DUE TO STOPPER E CLOSE</t>
  </si>
  <si>
    <t>SRM 05 which was running at T/D Car1 continously taking High Current &amp; stopped working after sometimes.</t>
  </si>
  <si>
    <t>SRM no.05 Servomotor Connections checked at JB &amp; ServoDrive conditions checked.</t>
  </si>
  <si>
    <t>CAST ABORT DUE TO  AUTO START NOT COME</t>
  </si>
  <si>
    <t>Malfunction of resolver feedback</t>
  </si>
  <si>
    <t>Resolver &amp; power connection at harting connectors to be checked &amp; Motor to be replaced</t>
  </si>
  <si>
    <t>22.20 pm</t>
  </si>
  <si>
    <t>shear</t>
  </si>
  <si>
    <t>Problem Description (What, when, where, how significant, provide details)  START UP DELAY AS SHEAR MOTOR CHANGED.</t>
  </si>
  <si>
    <t>Motor connection done.</t>
  </si>
  <si>
    <t>Start up delayed.</t>
  </si>
  <si>
    <t>Shear motor not ready.</t>
  </si>
  <si>
    <t>Connection was not completed in time.</t>
  </si>
  <si>
    <t>23.50 pm</t>
  </si>
  <si>
    <t>Problem Description (What, when, where, how significant, provide details)  CAST ABORT DUE TO OSCILLATOR TRIPPED</t>
  </si>
  <si>
    <t>Motor winding resistance and  insulation checked.</t>
  </si>
  <si>
    <t xml:space="preserve">Feeder checked for any abnormality , Contactor terminals and cable connection tightness done.						</t>
  </si>
  <si>
    <t>Oscillation pump 2 motor stop.</t>
  </si>
  <si>
    <t>Motor got tripped with electrical fault.</t>
  </si>
  <si>
    <t>MCCB on Feedback was missing.</t>
  </si>
  <si>
    <t>Auxilary contact block of MCCB faulty.</t>
  </si>
  <si>
    <t>Auxilary contact block  replaced with new one.</t>
  </si>
  <si>
    <t>Feeder and connections to be checked and maintenance done as per schedule maintenance.</t>
  </si>
  <si>
    <t>18:41 pm</t>
  </si>
  <si>
    <t xml:space="preserve">Problem Description (What, when, where, how significant, provide details)CAST START DELAYED MOULD MOTOR DRIVE FAULT IN RIGHT BOTTOM SIDE </t>
  </si>
  <si>
    <t>Mould Drive Right Bottom Motor Cable connector Checked</t>
  </si>
  <si>
    <t>Fresh Connection done at Mould JB</t>
  </si>
  <si>
    <t>Cleaning done inside JB through CRC</t>
  </si>
  <si>
    <t>Resolver Cable Inside JB found loose</t>
  </si>
  <si>
    <t>Resolver Connector Inside JB found dusty</t>
  </si>
  <si>
    <t>Resolver Cable to be replaced from Mould Drive Panel to Mould JB by new one alongwith pins</t>
  </si>
  <si>
    <t>Next Shutdown</t>
  </si>
  <si>
    <t>Power Cable to be replaced from Mould Drive Panel to Mould JB by new one alongwith pins</t>
  </si>
  <si>
    <t>17:00 pm</t>
  </si>
  <si>
    <t>Ladle Slide Gate</t>
  </si>
  <si>
    <t>Problem Description (What, when, where, how significant, provide details)CAST START DELAYED DUE TO LADLE SLIDE GATE DID NOT OPEN</t>
  </si>
  <si>
    <t>Ladle shroud Manipulator Actuator Line Pressure Feedback was not coming.</t>
  </si>
  <si>
    <t>Cable replacement done</t>
  </si>
  <si>
    <t>Ladle Slide Gate did not open</t>
  </si>
  <si>
    <t>Pressure Switch cable damaged</t>
  </si>
  <si>
    <t>New Cable Connection to be done at ET Side</t>
  </si>
  <si>
    <t>New Cable Connection to be done at Instrument Side</t>
  </si>
  <si>
    <t>ET +12E3M11,+12E3M12,+12E3M13</t>
  </si>
  <si>
    <t>Chandra Bhushan Pandey, Prashant Chavan ,Saroj Singh,Amit Kumar</t>
  </si>
  <si>
    <t>Problem Description (What, when, where, how significant, provide details)CAST START DELAYED DUE TO ET SUPERVISION FAULT</t>
  </si>
  <si>
    <t>Auxillary connections at ET station checked &amp; Tightness done</t>
  </si>
  <si>
    <t>Profibus connector fresh connection done</t>
  </si>
  <si>
    <t>Profitrace toolkit Connected &amp; monitored</t>
  </si>
  <si>
    <t>ET Supervision Fault  Occurred</t>
  </si>
  <si>
    <t>Communicatin failured to PLC</t>
  </si>
  <si>
    <t>Power fluctuations at analog input module</t>
  </si>
  <si>
    <t>Short circuit in temperature transducer circuit</t>
  </si>
  <si>
    <t xml:space="preserve">Communication Fault </t>
  </si>
  <si>
    <t>All ET Station Profibus Fresh Connection to be done</t>
  </si>
  <si>
    <t>Temperature transducer  &amp; connecting cable to be replaced.</t>
  </si>
  <si>
    <t>All ET Station Auxillary connection to be checked &amp; tightened</t>
  </si>
  <si>
    <t>Profitool Kit to be connected &amp; Signal strength to be monitored</t>
  </si>
  <si>
    <t>Profibus status checked quarterly.</t>
  </si>
  <si>
    <t xml:space="preserve">Mould </t>
  </si>
  <si>
    <t>Servomotor</t>
  </si>
  <si>
    <t>Chandra Bhushan Pandey, Prashant Chavan , Biswambar Bhoi</t>
  </si>
  <si>
    <t>Problem Description (What, when, where, how significant, provide details) Frequenty tripping of Mould Right side bottom Servo motor during mould width transaction.</t>
  </si>
  <si>
    <t xml:space="preserve">Faulty cable has been traced out. </t>
  </si>
  <si>
    <t xml:space="preserve">Replaced the cable with the new cable. </t>
  </si>
  <si>
    <t xml:space="preserve">Both end JB and Drive side connection done. </t>
  </si>
  <si>
    <t>Mould width transaction problem.</t>
  </si>
  <si>
    <t>Mould right side bottom servomotor was getting tripped.</t>
  </si>
  <si>
    <t>Resolver cable found faulty.</t>
  </si>
  <si>
    <t>The cable were old and in the hot zone area.</t>
  </si>
  <si>
    <t>Mould right side bottom resolver cable found faulty.</t>
  </si>
  <si>
    <t>Resolver Cable to be replaced from Mould Drive Panel to Mould JB by new one alongwith pins.</t>
  </si>
  <si>
    <t>Half Yearly</t>
  </si>
  <si>
    <t>Power Cable to be replaced from Mould Drive Panel to Mould JB by new one alongwith pins.</t>
  </si>
  <si>
    <t>14:02:00 PM</t>
  </si>
  <si>
    <t>HMO motor</t>
  </si>
  <si>
    <t xml:space="preserve">Module &amp; ribbin </t>
  </si>
  <si>
    <t>Chandra Bhushan Pandey, Prashant Chavan , Saroj Singh</t>
  </si>
  <si>
    <t>Problem Description (What, when, where, how significant, provide details) CAST ABORT DUE TO HYDRAULIC MOULD OSCILLATOR TRIPPED</t>
  </si>
  <si>
    <t xml:space="preserve">Faulty module at ET +11EE101B21 has been traced out. </t>
  </si>
  <si>
    <t>Replaced the faulty module at ET +11E3M20 as problem from previous.</t>
  </si>
  <si>
    <t>Hydraulic mould oscillator  motors stopped.</t>
  </si>
  <si>
    <t>Hydraulic mould oscillator  motors did not started.</t>
  </si>
  <si>
    <t>Hydraulic mould oscillator  motors showing fault.</t>
  </si>
  <si>
    <t>HMO motors related  ET +11EE101B21 module found faulty.</t>
  </si>
  <si>
    <t>Module's ribbon &amp; connector to be by new one replaced at ET.</t>
  </si>
  <si>
    <t>Yearly</t>
  </si>
  <si>
    <t>ET to be cleaned &amp; tightness to be done.</t>
  </si>
  <si>
    <t xml:space="preserve">MCC </t>
  </si>
  <si>
    <t>ACB</t>
  </si>
  <si>
    <t>Problem Description (What, when, where, how significant, provide details) Cast Abort Due to ACB (Incomer) got tripped.</t>
  </si>
  <si>
    <t>MCC-2A  ACB checked</t>
  </si>
  <si>
    <t>MCC 2A power checked from PCC</t>
  </si>
  <si>
    <t xml:space="preserve">MCC-2A breaker tripped </t>
  </si>
  <si>
    <t>Short circuit current was higher than the set parameter</t>
  </si>
  <si>
    <t>Due to booster pump simultaneous operation</t>
  </si>
  <si>
    <t>ACB (Incomer) got tripped</t>
  </si>
  <si>
    <t xml:space="preserve">With the change in the parameters the local breaker i.e MCC-2A breaker will get trip in case of short circuit fault. </t>
  </si>
  <si>
    <t>SRM</t>
  </si>
  <si>
    <t>Chandra Bhushan Pandey, Prashant Chavan , Tanmay Das</t>
  </si>
  <si>
    <t>Problem Description (What, when, where, how significant, provide details) Cast Abort Due to Stopper E Close</t>
  </si>
  <si>
    <t>SRM Drive all conditions checked.</t>
  </si>
  <si>
    <t>SRM Power &amp; Control Connection checked</t>
  </si>
  <si>
    <t>SRM checked at Test Stand Found Ok.</t>
  </si>
  <si>
    <t>Stopper Rod Mechanism stopped Working</t>
  </si>
  <si>
    <t>Stopper Rod Mechanism was taking High Current</t>
  </si>
  <si>
    <t xml:space="preserve">Stopper Rod Mechanism Jam or Heated </t>
  </si>
  <si>
    <t>Stopper Fitting with tundish alignment was not proper.</t>
  </si>
  <si>
    <t>105+41</t>
  </si>
  <si>
    <t>Chandra Bhushan Pandey, Prashant Chavan, Biswambar Bhoi</t>
  </si>
  <si>
    <t>Problem Description (What, when, where, how significant, provide details) CAST ABORT DUE TO  AUTO START NOT COME</t>
  </si>
  <si>
    <t xml:space="preserve">Tundish Car took back to heat position </t>
  </si>
  <si>
    <t>Zeroing done.</t>
  </si>
  <si>
    <t xml:space="preserve">Cast Auto start not ready. </t>
  </si>
  <si>
    <t>Stopper actual positon at cast was not at hot zero position ( actual should be at hot zero position )</t>
  </si>
  <si>
    <t>Stopper Rod Mechanism reference  &amp; actual value were zero</t>
  </si>
  <si>
    <t>Resolver &amp; power connection at harting connectors to be checked.</t>
  </si>
  <si>
    <t>04.08.2025</t>
  </si>
  <si>
    <t>Motor to be replaced with spare one</t>
  </si>
  <si>
    <t>Segment-1 Block change</t>
  </si>
  <si>
    <t>NR</t>
  </si>
  <si>
    <t>SEGMENT POSITION FAULT</t>
  </si>
  <si>
    <t>POSITION TRANSDUCER NOT WORKING</t>
  </si>
  <si>
    <t>SEGMENT POSITION TRANDUCER BLOCK CHANGED</t>
  </si>
  <si>
    <t>SHEAR FRAME POSITION OUT</t>
  </si>
  <si>
    <t>SHEAR FRAME POSITION TRANSDUCER MALFUNCTIONED DUE TO CABLE HEATED AT JOINT</t>
  </si>
  <si>
    <t>SHEAR FRAME POSITION TRANSDUCER FRESH CONNECTION DONE AT JB ALSO PROTECTED THROUGH GLASS WOOL</t>
  </si>
  <si>
    <t>DUMMY BAR DISCONNECTION NOT OCCURRED</t>
  </si>
  <si>
    <t>DUMMY BAR DISCONNECTION NOT HAPPENNED DUE TO TRACKING FAILURE AS HOME POSITION PROXY GOT HIGH FOR SOMETIMES</t>
  </si>
  <si>
    <t>DUMMY BAR ALL PROXIES MADE CLEANED &amp; FUSABLE TB INSTALLED TO AVOID MALFUNCTION</t>
  </si>
  <si>
    <t>Segment-1 Block &amp; cable change</t>
  </si>
  <si>
    <t>TMC Not Ready</t>
  </si>
  <si>
    <t>YES</t>
  </si>
  <si>
    <t>Auto start required push button not pressed at OS-03, Insufficient understanding by the operator</t>
  </si>
  <si>
    <t>ET Supervision Fault</t>
  </si>
  <si>
    <t>communication failure, ET Supervision Fault</t>
  </si>
  <si>
    <t xml:space="preserve">All profibus cable connected to concerned ETs are grounded separately </t>
  </si>
  <si>
    <t>Shear Frame Position Transducer Cable got heated due to flame found from Tunnel Furnace</t>
  </si>
  <si>
    <t>Shear frame position transducer cylinder replaced with spare one.Fresh connection done at JB.</t>
  </si>
  <si>
    <t xml:space="preserve">DISCONTINUED DUE TO WIDTH TRANSITION FAILURE </t>
  </si>
  <si>
    <t>Mould drive motor (Right top) tripped</t>
  </si>
  <si>
    <t>Problems not found yet, Both Power &amp; Resolver cable replaced, Trial taken at Test stand, found ok</t>
  </si>
  <si>
    <t>MOULD CLOSE ISSUE</t>
  </si>
  <si>
    <t>LEFT TOP SIDE DRIVE OF MOULD NOT OPERATIONAL</t>
  </si>
  <si>
    <t>Poor contact at the power or resolver connectors of the Left Top Side Drive, which triggered the F011 (Overcurrent) fault and delayed mould readiness.</t>
  </si>
  <si>
    <t>Connectors to be cleaned regularly and replaced if required</t>
  </si>
  <si>
    <t>21.20 pm</t>
  </si>
  <si>
    <t>Problem Description (What, when, where, how significant, provide details)  CAST ABORT DUE TO SHEAR FRAME POSITION OUT</t>
  </si>
  <si>
    <t>Fresh Connection done at Shear frame Position cable joint .</t>
  </si>
  <si>
    <t>Cable Joint kept inside Junction Box with proper insulation provided.</t>
  </si>
  <si>
    <t>Shear Frame Position Out</t>
  </si>
  <si>
    <t>Shear Frame Position Transducer Cable condition to be checked in every sequence break</t>
  </si>
  <si>
    <t>Shear Frame Position Transducer air &amp; water cooling to be checked in every sequence break</t>
  </si>
  <si>
    <t>Problem Description (What, when, where, how significant, provide details)  CAST ABORT DUE TO DUMMY BAR DISCONNECTION NOT HAPPENNED</t>
  </si>
  <si>
    <t>Dummy Bar Proxies Cleaned</t>
  </si>
  <si>
    <t>Dummy Bar Proxies connection checked</t>
  </si>
  <si>
    <t>Fusable TP added in the Circuit</t>
  </si>
  <si>
    <t>Dummy Bar Tracking Failure</t>
  </si>
  <si>
    <t>Dummy Bar Home Position proxy Malfunctioned</t>
  </si>
  <si>
    <t>Dummy Bar Home Position proxy malfunctioned</t>
  </si>
  <si>
    <t>Dummy Bar all Proxies to be cleaned in each sequence break</t>
  </si>
  <si>
    <t>Change in practice made that dummy bar home position proxy is bypassed after insertion so that even if it malfunction it will not result in cast stop.</t>
  </si>
  <si>
    <t>AMLC</t>
  </si>
  <si>
    <t>Problem Description (What, when, where, how significant, provide details)  START UP DELAYED, CONDITION FOR CAST MODE NOT READY, TMC NOT READY, AUTO START REQUIRED PUSH BUTTON NOT PRESSED</t>
  </si>
  <si>
    <t>Auto start required push button connections tightness done at OS-03</t>
  </si>
  <si>
    <t>Casting start was delayed; heat was returned to the furnace</t>
  </si>
  <si>
    <t>Preconditions for casting mode were not satisfied</t>
  </si>
  <si>
    <t>MLC Not ready, TMC not ready</t>
  </si>
  <si>
    <t>Tundish car was moved from the casting position while the machine was in Prepare Cast Mode</t>
  </si>
  <si>
    <t>Auto start required push button not pressed at OS-03</t>
  </si>
  <si>
    <t>Insufficient understanding by the operator</t>
  </si>
  <si>
    <t>Before Cast start, SRM zeroing to be checked.If Fault generates, to be acknowledged at HMI</t>
  </si>
  <si>
    <t>Communication</t>
  </si>
  <si>
    <t>Problem Description (What, when, where, how significant, provide details)  CAST ABORT, ALL HYDRAULICS STOP WORKING, ET SUPERVISION FAULT AT ET51CA1, ET50.3CA1, ET30CA1, ET50.2CA1, COMMUNICATION FAILURE</t>
  </si>
  <si>
    <t xml:space="preserve">Profibus connection tightness checked at ET showed alarm </t>
  </si>
  <si>
    <t>Cast abort</t>
  </si>
  <si>
    <t>All hydraulic system stopped working</t>
  </si>
  <si>
    <t>ET supervision fault</t>
  </si>
  <si>
    <t>communication failure</t>
  </si>
  <si>
    <t>Commnication Signals to be monitored as per quarterly Schedule by Profibus Diagnosis Kit</t>
  </si>
  <si>
    <t>Chandra Bhushan Pandey, Prashant Chavan , Tanmay Das.</t>
  </si>
  <si>
    <t>Problem Description (What, when, where, how significant, provide details)  Cast abort due to Shear frame Position Out</t>
  </si>
  <si>
    <t>Shear frame position transducer cylinder replaced with spare one.</t>
  </si>
  <si>
    <t>Fresh connection done at JB.</t>
  </si>
  <si>
    <t xml:space="preserve">Shear Frame position transducer signal </t>
  </si>
  <si>
    <t>Shear Frame Position Transducer to be removed for maintenance, Spare cylinder to be replaced as per quarterly Schedule</t>
  </si>
  <si>
    <t>Mould-05</t>
  </si>
  <si>
    <t>Chandra Bhushan Pandey, Prashant Chavan, Tanmaya das</t>
  </si>
  <si>
    <t>Problem Description (What, when, where, how significant, provide details) Caster-2 cast aborted due to Mould width transaction failure</t>
  </si>
  <si>
    <t>Both the power and resolver connectors of the concerned drive were checked and cleaned at the cable end as well as at the junction box (JB) side.</t>
  </si>
  <si>
    <t>The mould was replaced with another available mould</t>
  </si>
  <si>
    <t>Cast aborted due to Mould width Transaction not happened</t>
  </si>
  <si>
    <t>Mould Right top drive motor not respond</t>
  </si>
  <si>
    <t>Mould all motors cable connectors &amp; Pin condition to be checked in every month</t>
  </si>
  <si>
    <t>Mould all motors 4 set of cable to be removed.for Maintenance &amp; to be replaced with spare set in every quarter</t>
  </si>
  <si>
    <t>Mould-07</t>
  </si>
  <si>
    <t>Chandra Bhushan Pandey, Prashant Chavan, Ranjit Bardhan</t>
  </si>
  <si>
    <t>Problem Description (What, when, where, how significant, provide details)  Casting at Caster-2 was delayed as the mould was not ready. During mould preparation, the Left Top Side Drive displayed fault (F011 – Overcurrent) when operation was initiated, preventing timely start of casting.</t>
  </si>
  <si>
    <t>Cast start was delayed at Caster-2</t>
  </si>
  <si>
    <t>Because the mould was not ready.</t>
  </si>
  <si>
    <t>Because the Left Top Side Drive showed fault (F011 – Overcurrent) during operation.</t>
  </si>
  <si>
    <t>Because the power or resolver connectors at the cable and junction box side had poor contact</t>
  </si>
  <si>
    <t>Mould JB all connectors to be cleaned properly in Long sequence break or at every Mould Change</t>
  </si>
  <si>
    <t>Cast Start delayed due to Mould Close Problem</t>
  </si>
  <si>
    <t xml:space="preserve">Mould was in setup mode, should be in Local mode	</t>
  </si>
  <si>
    <t>Mould Setup Mode Switched to Local Mode, Trial taken, working ok</t>
  </si>
  <si>
    <t>Ranjit Bardhan/Tanmay Das</t>
  </si>
  <si>
    <t>Cast aborted due to HMO position malfunction</t>
  </si>
  <si>
    <t>HMO Position Transducer  hot air not exhausted from Cylinder as grease was covered at filter point</t>
  </si>
  <si>
    <t>HMO tripped MCB(F151) reset &amp; made ON, fresh connection done at Joint,Air cooling adjusted</t>
  </si>
  <si>
    <t>Cast start delayed due to mould drive problem.</t>
  </si>
  <si>
    <t>Mould left side top servomotor was getting tripped</t>
  </si>
  <si>
    <t>Mould replaced with spare one, trial taken, working OK.</t>
  </si>
  <si>
    <t>Cast Start delayed as PR (OS) cylinder position not showing</t>
  </si>
  <si>
    <t>Water goes inside the position transducer block as no pressure of cooling air inside the block</t>
  </si>
  <si>
    <t>The position transducer for Pinch Roll (OS) cylinder replaced.</t>
  </si>
  <si>
    <t>CAST ABORT DUE TO SHEAR DRIVE FAULT</t>
  </si>
  <si>
    <t>PINCH ROLL LOOSE SIDE MOTOR  CHANGED</t>
  </si>
  <si>
    <t>Saroj K Singh</t>
  </si>
  <si>
    <t>PINCH ROLL ENCODER CHANGED</t>
  </si>
  <si>
    <t>FIX SIDE PINCHROLL MOTOR CHANGE</t>
  </si>
  <si>
    <t>MOULD CALIBRATION PROBLEM</t>
  </si>
  <si>
    <t>Dummy Bar not operated from home position</t>
  </si>
  <si>
    <t>DISCONTINUED DUE TO TURRET ROTATION PROBLEM &amp; ENCODER AMPLIFIER CARD CHANGE</t>
  </si>
  <si>
    <t>03.05 am</t>
  </si>
  <si>
    <t>Problem Description (What, when, where, how significant, provide details)  Cast Start delayed due to Mould Close Problem</t>
  </si>
  <si>
    <t>Mould Close Push button Connection checked at OS-2A, Input Signal checked at RIO &amp; PLC.</t>
  </si>
  <si>
    <t>Mould Operation checked with Mechanical at Valve stand</t>
  </si>
  <si>
    <t>ELECT/MECH</t>
  </si>
  <si>
    <t>Mould Setup Mode Switched to Local Mode</t>
  </si>
  <si>
    <t>Cast start up delayed</t>
  </si>
  <si>
    <t>Mould loose side was not getting closed</t>
  </si>
  <si>
    <t>Mould was in setup mode</t>
  </si>
  <si>
    <t xml:space="preserve">Mould was in setup mode, should be in Local mode							</t>
  </si>
  <si>
    <t>Mould all operating modes are added in IBA (EDAS) for monitoring</t>
  </si>
  <si>
    <t>Chandra Bhushan Pandey, Prashant Chavan , Ranjit Bardhan, Tanmaya Das</t>
  </si>
  <si>
    <t>Problem Description (What, when, where, how significant, provide details)  Cast aborted due to HMO position malfunction</t>
  </si>
  <si>
    <t>HMO tripped MCB(F151) reset &amp; made ON</t>
  </si>
  <si>
    <t>Fresh connection done at Joint</t>
  </si>
  <si>
    <t>Air &amp; water cooling adjusted</t>
  </si>
  <si>
    <t>HMO Position Transducer  MCB(F151) got tripped</t>
  </si>
  <si>
    <t>HMO Cable condition to be checked in shutdown or in long sequence break</t>
  </si>
  <si>
    <t>Air &amp; water cooling to be checked in regular basis</t>
  </si>
  <si>
    <t>Both  ( right &amp; left ) side cylinder position transducer poweri is isolated by providing 2 MCB.</t>
  </si>
  <si>
    <t>Mould-04</t>
  </si>
  <si>
    <t>Mould was not ready.</t>
  </si>
  <si>
    <t>Left Top Side Drive showed fault (F011 – Overcurrent) during operation.</t>
  </si>
  <si>
    <t>Power or resolver connectors at the cable and junction box side had poor contact.</t>
  </si>
  <si>
    <t>Mould all motors cable connectors &amp; Pin condition will be checked at test stand during test.</t>
  </si>
  <si>
    <t>All deive movent will be checked at test stand  during test.</t>
  </si>
  <si>
    <t>BWA</t>
  </si>
  <si>
    <t>Pinch Roll</t>
  </si>
  <si>
    <t>Problem Description (What, when, where, how significant, provide details)  Casting at Caster-2 was delayed as just before cast start Pinch Roll (OS) cylinder position showing error.</t>
  </si>
  <si>
    <t xml:space="preserve">The cooling air for position transducer adjusted and cooling water on cylinder increased. </t>
  </si>
  <si>
    <t>Pinch Roll (OS) cylinder position transducer displayed error.</t>
  </si>
  <si>
    <t>Water found inside the position transducer block.</t>
  </si>
  <si>
    <t>Cooling air pressure inside block was zero</t>
  </si>
  <si>
    <t>Cooling air valve found closed manually</t>
  </si>
  <si>
    <t>Water goes inside the position transducer block as no pressure of cooling air into the block.</t>
  </si>
  <si>
    <t>Cooling air pressure to be checked at HMI and at tranducer block.</t>
  </si>
  <si>
    <t>Air pressure motioring ( at HMI  &amp; at Instrumrnt)  incorporated in daily checklist.</t>
  </si>
  <si>
    <t>Shear Motor</t>
  </si>
  <si>
    <t>Soft starter</t>
  </si>
  <si>
    <t>Problem Description (What, when, where, how significant, provide details)  Casting at Caster-1 was aborted due to shear motor was not ready for slab cut .</t>
  </si>
  <si>
    <t xml:space="preserve">The soft starter all connection tightness was done.						</t>
  </si>
  <si>
    <t>The Shear motor was made on.</t>
  </si>
  <si>
    <t>Casting was aborted,</t>
  </si>
  <si>
    <t>Shear motor was not ready for cut.</t>
  </si>
  <si>
    <t>Motor stoped with Soft starter Elect. Fault.</t>
  </si>
  <si>
    <t>Soft starter feedback signal of "No elect fault" was missing  to PLC.</t>
  </si>
  <si>
    <t>NC (Normaly closed) contact feedback failed.</t>
  </si>
  <si>
    <t>The connector contact at the shear motor's soft starter was loosely connected, which caused the "No Electrical Fault" feedback signal  fail to reach the PLC.</t>
  </si>
  <si>
    <t>Panel maintenance to be done as per the maintenance schedule ( monthly &amp; quarterly)</t>
  </si>
  <si>
    <t>Pinch roll</t>
  </si>
  <si>
    <t>Pinch roll Motor</t>
  </si>
  <si>
    <t>Problem Description (What, when, where, how significant, provide details)  Cast start delay as pinch roll loose side motor replaced with new one.</t>
  </si>
  <si>
    <t>Existing motor connection removed.</t>
  </si>
  <si>
    <t>New motor installation and connection done.</t>
  </si>
  <si>
    <t>cast start dalay.</t>
  </si>
  <si>
    <t>Dealy in motor installation and in connection.</t>
  </si>
  <si>
    <t>Delay in installation and connection.</t>
  </si>
  <si>
    <t>Problem Description (What, when, where, how significant, provide details)  Cast start delay as pinch roll FIX side motor replaced with new one.</t>
  </si>
  <si>
    <t>11.37AM</t>
  </si>
  <si>
    <t>LADLE TURRET</t>
  </si>
  <si>
    <t>Problem Description (What, when, where, how significant, provide details)  CAST ABORT DUE TO LADLE TURRET DIDN'T ROTATE.</t>
  </si>
  <si>
    <t xml:space="preserve">ENCODER AMPLIFIER CARD REPLACED AT DRIVE PANEL  </t>
  </si>
  <si>
    <t xml:space="preserve">Ladle Turret didn't operate </t>
  </si>
  <si>
    <t>Ladle Turret rotation degree not changing.</t>
  </si>
  <si>
    <t>Ladle turret rotation amplifier card not working.</t>
  </si>
  <si>
    <t>Ladle turret rotation amplifier card failure.</t>
  </si>
  <si>
    <t xml:space="preserve">Ladle turret Drive maintenance to be done as per schedule </t>
  </si>
  <si>
    <t>SEGMENT-2 BLOCK CHANGE</t>
  </si>
  <si>
    <t>Segment 2 right bottom position fault.</t>
  </si>
  <si>
    <t>position transducer replaced with spare one ,</t>
  </si>
  <si>
    <t>SEGMENT-1 TEMPOSONE BLOCK CHANGE</t>
  </si>
  <si>
    <t>Segment 1 left bottom position fault.</t>
  </si>
  <si>
    <t>DISCONTINUED DUE TO SLIDE GATE NOT OPEN  (TURRET OFFCENTRE)</t>
  </si>
  <si>
    <t>caster turrer position degree disturbed.</t>
  </si>
  <si>
    <t>TURRET OFFCENTRE</t>
  </si>
  <si>
    <t>caster turret position degree disturbed. Connecting cable  between amplifire card to counter module was faulty.</t>
  </si>
  <si>
    <t>Turret motor encoder connection checked ,  New encoder installed and fresh connection done , Encoder connections checked and tightness done both at DTI card &amp; Amplifire  card, Turrut arm 1 &amp; arm 2 cast position limit checked , One limit of arm 2 at cast position replaced with new one.</t>
  </si>
  <si>
    <t>TURRET ENCODER CABLE LAYOUT</t>
  </si>
  <si>
    <t xml:space="preserve">cable laying </t>
  </si>
  <si>
    <t xml:space="preserve">BOPS CABLE REMOVAL DELAY </t>
  </si>
  <si>
    <t>CAST ABORT DUE TO MOULD LEVEL HIGH</t>
  </si>
  <si>
    <t>COUNTER CABLE CHANGE</t>
  </si>
  <si>
    <t>AUTO TAILOUT</t>
  </si>
  <si>
    <t>MLC SRC_2 CONTROL ON MISSING</t>
  </si>
  <si>
    <t>21:28 pm</t>
  </si>
  <si>
    <t>Encoder</t>
  </si>
  <si>
    <t>y</t>
  </si>
  <si>
    <t>laddle turret</t>
  </si>
  <si>
    <t>Chandra Bhushan Pandey, Prashant Chavan ,Biswambar Bhoi, Ranjit Bardhan</t>
  </si>
  <si>
    <t>Problem Description (What, when, where, how significant, provide details)  Cast stop as slide gate not opened.</t>
  </si>
  <si>
    <t>Encoder replaced with spare one.</t>
  </si>
  <si>
    <t>Turret arm 2 position limit replaced with spare one.</t>
  </si>
  <si>
    <t>Amplifire card to counter modul cable relaced with new one.</t>
  </si>
  <si>
    <t>Slide gate not opened.</t>
  </si>
  <si>
    <t>Ladle arm not stop at cast position.</t>
  </si>
  <si>
    <t>Ladle arm position degree disturbeed.</t>
  </si>
  <si>
    <t>Malfunctioning of Encoder readings.</t>
  </si>
  <si>
    <t>Connecting cable  between amplifire card to counter module was faulty.</t>
  </si>
  <si>
    <t>Connecting cable  between amplifire card to counter module replaced with new one.</t>
  </si>
  <si>
    <t>Motor encoder coupling and cable condition to be checked as per motor maint schedule (Quarterly.)</t>
  </si>
  <si>
    <t>Panel cleaning and connection checking to be done as per maint schedule (monthly.)</t>
  </si>
  <si>
    <t>02:45AM</t>
  </si>
  <si>
    <t xml:space="preserve">MOULD </t>
  </si>
  <si>
    <t>Chandra Bhushan Pandey, Saroj Singh,Amit Kumar</t>
  </si>
  <si>
    <t>Problem Description (What, when, where, how significant, provide details)  CAST ABORT DUE TO MOULD LEVEL HIGH.</t>
  </si>
  <si>
    <t>SCINTILLATION COUNTER &amp; CABLE REPLACED .</t>
  </si>
  <si>
    <t>CAST ABORTED</t>
  </si>
  <si>
    <t>MOULD LEVELBACAME HIGH.</t>
  </si>
  <si>
    <t>SCINTILLATION COUNTER &amp; CABLE MULFUNCTIONING.</t>
  </si>
  <si>
    <t>Scientillation counter faulty.</t>
  </si>
  <si>
    <t>Scintillation &amp; cable to be replaced as perschedule.</t>
  </si>
  <si>
    <t>1:20AM</t>
  </si>
  <si>
    <t>Ranjit Bardhan, Prashant Chavan</t>
  </si>
  <si>
    <t>Problem Description (What, when, where, how significant, provide details)  CAST ABORT DUE TO AUTO TAILOUT AS SRC2 CONTRON ON MISSING</t>
  </si>
  <si>
    <t>COMMUNICATION BETWEEN TCS PLC TO MLC PLC BREAK</t>
  </si>
  <si>
    <t xml:space="preserve">PLC </t>
  </si>
  <si>
    <t>INSTRUMENT PLC</t>
  </si>
  <si>
    <t>Amit Kumar, Prashant Chavan</t>
  </si>
  <si>
    <t>Problem Description (What, when, where, how significant, provide details)  CAST ABORT DUE TO AUTO TAILOUT AS INSTRUMENT PLC STOP</t>
  </si>
  <si>
    <t>Profibus connecton removed from CP card &amp; power reseting done.</t>
  </si>
  <si>
    <t>CP (communication processor) of slot 16 Replaced with spare card.</t>
  </si>
  <si>
    <t>Hardware  download   to instrument PLC.</t>
  </si>
  <si>
    <t>INSTRUMENT PLC WENT TO  STOP MODE</t>
  </si>
  <si>
    <t>CP ( COMMUNICATION PROCESSOR ) FAULTY ( SLOT 16)</t>
  </si>
  <si>
    <t>cast start pendent not work.</t>
  </si>
  <si>
    <t>Cast start pendent malfunction</t>
  </si>
  <si>
    <t>cast start pandent replaced.</t>
  </si>
  <si>
    <t>Bending Unit Position error during cast</t>
  </si>
  <si>
    <t>Position Transducer Cable Faulty</t>
  </si>
  <si>
    <t>Cable replace by new one alongwith connector</t>
  </si>
  <si>
    <t>Tundish Car-04 travel issue</t>
  </si>
  <si>
    <t xml:space="preserve">Tundish Car-04 stop Limit unit found slightly down comparing to desired position							</t>
  </si>
  <si>
    <t>Tundish car-04 height adjusted according to desired limit in PLC</t>
  </si>
  <si>
    <t>Cast abort due to Pinch Roll Position goes out</t>
  </si>
  <si>
    <t xml:space="preserve">Pressure Transducer Faulty							</t>
  </si>
  <si>
    <t>Analog Module, Prssure Transducer &amp; Position Transducer replaced</t>
  </si>
  <si>
    <t>ET supervision not ok.</t>
  </si>
  <si>
    <t>Auxilary contact or profibus cable malfunction</t>
  </si>
  <si>
    <t>Auxilary contact tightness done &amp; cleaned as well as profubus cable earthng done.</t>
  </si>
  <si>
    <t>Communication Failure to DRV</t>
  </si>
  <si>
    <t>Weak Signal strenth at DRV PLC</t>
  </si>
  <si>
    <t>Connection Tightened, Profitrace connected</t>
  </si>
  <si>
    <t>SIGNAL CABLE TO CONNECT TO PLC</t>
  </si>
  <si>
    <t>DUMMYBAR FALL DOWN</t>
  </si>
  <si>
    <t>Avinit Singh</t>
  </si>
  <si>
    <t>DISCONTINUED DUE TO TURRET MOVEMENT PROBLEM</t>
  </si>
  <si>
    <t xml:space="preserve">TUNDISH CAR-3  MOVEMENT PROBLEM </t>
  </si>
  <si>
    <t>Repeated Breakdown (Y/N) NO</t>
  </si>
  <si>
    <t>07:01AM</t>
  </si>
  <si>
    <t>PENDENT</t>
  </si>
  <si>
    <t>Prashant Chavan ,Amit Kumar</t>
  </si>
  <si>
    <t>Problem Description (What, when, where, how significant, provide details)  Cast stop as cast start pendent did not work.</t>
  </si>
  <si>
    <t>input signals checked at RIO panel.</t>
  </si>
  <si>
    <t>Cast start existing pendent replaced by spare one.</t>
  </si>
  <si>
    <t>Cast aborted.</t>
  </si>
  <si>
    <t>Auto start did not happen.</t>
  </si>
  <si>
    <t>Cast start  input missing.</t>
  </si>
  <si>
    <t>Malfunctioning of cast start pendent</t>
  </si>
  <si>
    <t>cast start pendent faulty ( Push button element faulty)</t>
  </si>
  <si>
    <t>Cast start pendent to be removed for maintenance &amp; replaced with spare one as per quartely schudle.</t>
  </si>
  <si>
    <t>Redundent cast start pendent to be installed in both caster.</t>
  </si>
  <si>
    <t>Dec shutdown or any opportunity berfore shutdown</t>
  </si>
  <si>
    <t>Repeated Breakdown (Y)</t>
  </si>
  <si>
    <t>00:20AM</t>
  </si>
  <si>
    <t>Bending Unit</t>
  </si>
  <si>
    <t>Position Transducer</t>
  </si>
  <si>
    <t>C B Pandey,Prashant Chavan ,Tanmay Das</t>
  </si>
  <si>
    <t>Problem Description (What, when, where, how significant, provide details)  Cast start delayed due to Bending unit Position was not ok</t>
  </si>
  <si>
    <t>Bending Unit Position Transducer cable Continuity checked</t>
  </si>
  <si>
    <t>fresh connection done at JB</t>
  </si>
  <si>
    <t>Trial taken from OS Panel</t>
  </si>
  <si>
    <t>Bending Unit Position was not Ok</t>
  </si>
  <si>
    <t>Bending Unit Position was showing zero during cast</t>
  </si>
  <si>
    <t>One core Found open</t>
  </si>
  <si>
    <t>Position Transducer Cable condition &amp; dryness to be checked at every shutdown</t>
  </si>
  <si>
    <t>Position Transducer air cooling to be checked during sequence break</t>
  </si>
  <si>
    <t xml:space="preserve"> Sequence break</t>
  </si>
  <si>
    <t>03:47AM</t>
  </si>
  <si>
    <t>TUNDISH CAR 04</t>
  </si>
  <si>
    <t>HEIGHT STOP LIMIT</t>
  </si>
  <si>
    <t>Problem Description (What, when, where, how significant, provide details)  Cast start delayed due to tundish car-04 travelling issue</t>
  </si>
  <si>
    <t>Tundish car-04 physical height checked &amp; clearance given</t>
  </si>
  <si>
    <t>Tundish Car-04 Height issue</t>
  </si>
  <si>
    <t>Tundish Car-04 stop before desired height(590mm)</t>
  </si>
  <si>
    <t>Tundish Car-04 stop Limit unit found slightly down as per desired position</t>
  </si>
  <si>
    <t>Tundish Car-04 stop Limit unit found slightly down comparing to desired position</t>
  </si>
  <si>
    <t>Tundish Car-04 stop Limit switch condition to be checked &amp; to be adjusted according to desired height</t>
  </si>
  <si>
    <t>Tundish Car-04 height calibration to be done</t>
  </si>
  <si>
    <t>Tundish Car-04 encoder coupling to be checked</t>
  </si>
  <si>
    <t>C B Pandey,Biswambar Bhoi</t>
  </si>
  <si>
    <t>Problem Description (What, when, where, how significant, provide details)  Cast abort due to Pinch Roll Position goes out</t>
  </si>
  <si>
    <t>Pinch roll unit Position transducer replaced</t>
  </si>
  <si>
    <t>Pinch roll unit Analog input Module replaced for Pressure Transducer</t>
  </si>
  <si>
    <t>Pressure Transducer Replaced</t>
  </si>
  <si>
    <t>Pinch roll unit Position was not ok</t>
  </si>
  <si>
    <t>Pinch roll unit Position was fluctuated heavily</t>
  </si>
  <si>
    <t>Operator Side Pressure Transducer shows maximum value</t>
  </si>
  <si>
    <t>Pressure Transducer Faulty</t>
  </si>
  <si>
    <t>Pressure Transducer Faulty, Analog input module and position transducer faulty</t>
  </si>
  <si>
    <t>Pressure transducer reading will be compared between HMI display and manual measurement.</t>
  </si>
  <si>
    <t>Zero meter ET panel</t>
  </si>
  <si>
    <t>C B Pandey,Saroj Singh,Amit Kumar</t>
  </si>
  <si>
    <t>Problem Description (What, when, where, how significant, provide details)  Cast start delay due to ET supervision not ok.</t>
  </si>
  <si>
    <t>ET +11E3M10,+11E3M11 &amp; +11E3M12 cleaned &amp; tightness done</t>
  </si>
  <si>
    <t>ET +11E3M10,+11E3M11 &amp; +11E3M12 profibus cable earthing done</t>
  </si>
  <si>
    <t>Profibus tool connect at PLC panel to monitor.</t>
  </si>
  <si>
    <t>Cast start delay</t>
  </si>
  <si>
    <t>Main Hydraulic ,HMO motor &amp; shear motor stopped.</t>
  </si>
  <si>
    <t>ET supervision was not not ok.</t>
  </si>
  <si>
    <t>ET auxilary contact &amp; profibus malfunction</t>
  </si>
  <si>
    <t>ET panel  auxilary contact &amp; profibus cable malfunction</t>
  </si>
  <si>
    <t>C B Pandey, P Chavan, Ranjit Bardhan, Avinit Singh</t>
  </si>
  <si>
    <t>Problem Description (What, when, where, how significant, provide details)  Cast abort due to communication failure to DRV</t>
  </si>
  <si>
    <t>Connection tightened at modules</t>
  </si>
  <si>
    <t>Due to communication failure to Drive</t>
  </si>
  <si>
    <t>i45.7 missed at interface PLC</t>
  </si>
  <si>
    <t>Input signal missed. Possible reason - Input Bit malfunction, Output bit malfunction (Investigation continuing )</t>
  </si>
  <si>
    <t xml:space="preserve">Input and output modules to be replaced if problem reappeared </t>
  </si>
  <si>
    <t>Output signal mapped in EDAS for diagnostic purpose. ( Input signal already exists)</t>
  </si>
  <si>
    <t>ISSUE DATE: 23/11/2025</t>
  </si>
  <si>
    <t>Repeated Breakdown (N)</t>
  </si>
  <si>
    <t>C B Pandey, P Chavan, Avinit Singh,Gulbahar Ansari</t>
  </si>
  <si>
    <t xml:space="preserve">Problem Description (What, when, where, how significant, provide details)  Cast abort due LSG not open. </t>
  </si>
  <si>
    <t xml:space="preserve">Ladle turret motor encoder connection &amp; mounting inspection. </t>
  </si>
  <si>
    <t>DTI card and Splitter amplifier card replaced</t>
  </si>
  <si>
    <t>Counter Module replaced</t>
  </si>
  <si>
    <t>LSG not open</t>
  </si>
  <si>
    <t xml:space="preserve">For the opening of the LSG the Ladle turret must be in cast postion at a degree of 180 or 360. If this condition doesn't satisfies then LSG will not open. </t>
  </si>
  <si>
    <t xml:space="preserve">The turret position stucks at 178.5 degree and doesn't changes after rotating 2-3 times. </t>
  </si>
  <si>
    <t xml:space="preserve">The feedback signal for the change of the degree is not received to the PLC system .  </t>
  </si>
  <si>
    <t xml:space="preserve">Conuter Module replaced with the new one as it was found faulty. </t>
  </si>
  <si>
    <t xml:space="preserve">Counter Module replaced as it was found faulty. </t>
  </si>
  <si>
    <t>Dedusting of the PLC system</t>
  </si>
  <si>
    <t>AVINIT SINGH (23/11/2025)</t>
  </si>
  <si>
    <t>CAST ABORT DUE TO AUTO TAIL OUT(MOULD COOLING MOTOR OFF)</t>
  </si>
  <si>
    <t>Tanmay das</t>
  </si>
  <si>
    <t>MLC E Close activated due to communication failure from Instrument PLC  to DRV</t>
  </si>
  <si>
    <t>Input Bit malfunction, Output bit malfunction</t>
  </si>
  <si>
    <t xml:space="preserve">Digital Input &amp; Output modules replaced at Interface PLC(+11EE201B03)						</t>
  </si>
  <si>
    <t>Cast Aborted due to mould level drop and auto tail out activated,</t>
  </si>
  <si>
    <t>YE83  close machine cooling pressure goes down below 3 bar</t>
  </si>
  <si>
    <t>YE82 &amp; YE83 by passed from PLC</t>
  </si>
  <si>
    <t>Heat returned due to MLC E close activated</t>
  </si>
  <si>
    <t>Cast start pendant start push button stuck</t>
  </si>
  <si>
    <t>Cast start pendant autostart push button with "NO" elements replaced.</t>
  </si>
  <si>
    <t>C B Pandey, P Chavan, Ranjit Bardhan</t>
  </si>
  <si>
    <t>Problem Description (What, when, where, how significant, provide details)  CAST ABORT DUE TO AUTO TAIL OUT(MOULD COOLING MOTOR OFF)</t>
  </si>
  <si>
    <t>Motor started immediately</t>
  </si>
  <si>
    <t>Cast aborted due to auto tailout</t>
  </si>
  <si>
    <t>Mould cooling water pressure dropped</t>
  </si>
  <si>
    <t>Mould cooling pump was stopped of CA-2 instead of CA-1 by operator</t>
  </si>
  <si>
    <t xml:space="preserve">Motor was made off </t>
  </si>
  <si>
    <t>Human mistake due to communication gap between electrical shift incharge and operator</t>
  </si>
  <si>
    <t>Closed machine cooling</t>
  </si>
  <si>
    <t>C B Pandey, P Chavan, Biswambar Bhoi</t>
  </si>
  <si>
    <t>Problem Description (What, when, where, how significant, provide details)  Cast abort as MLC E Close activated due to communication failure from Instrument PLC  to DRV</t>
  </si>
  <si>
    <t>YE82 to be replaced at sequence break</t>
  </si>
  <si>
    <t>Mould level goes down</t>
  </si>
  <si>
    <t>Auto tailout occured</t>
  </si>
  <si>
    <t>Delay SCw emergency water ON(T 379)</t>
  </si>
  <si>
    <t>YE83 close machine cooling pressure goes down below 3 bar</t>
  </si>
  <si>
    <t>YE82 ( closed machine cooling water) instrument not working.</t>
  </si>
  <si>
    <t>YE82 ( closed machine cooling water) pressure transducer malfunction.</t>
  </si>
  <si>
    <t>YE82 to be replaced in opportunity shutdown</t>
  </si>
  <si>
    <t>sequence break or shutdown</t>
  </si>
  <si>
    <t>3.55 PM</t>
  </si>
  <si>
    <t>Cast start pendant</t>
  </si>
  <si>
    <t>C B Pandey, P Chavan, Biswambar Bhoi, Saroj Singh</t>
  </si>
  <si>
    <t>Problem Description (What, when, where, how significant, provide details)  Cast abort as MLC E Close activated due to cast start pendant auto start pushbutton stuck.</t>
  </si>
  <si>
    <t>Cast start push button with "NO"-elements replaced with new one.</t>
  </si>
  <si>
    <t>Heat returned</t>
  </si>
  <si>
    <t>MLC e close activated</t>
  </si>
  <si>
    <t>Cast start pendant auto start push button stuck.</t>
  </si>
  <si>
    <t>Auto start push button stuck.</t>
  </si>
  <si>
    <t>Auto start push button with elements replaced with new one.</t>
  </si>
  <si>
    <t xml:space="preserve">Sequence break </t>
  </si>
  <si>
    <t>In every three months push button to be replaced.</t>
  </si>
  <si>
    <t>02.01.2026</t>
  </si>
  <si>
    <t>03.01.2026</t>
  </si>
  <si>
    <t>COMMUNICATION FAULT</t>
  </si>
  <si>
    <t>Profibus cable between RIO +12D5M11 To  Turret Slipring JB was faulty</t>
  </si>
  <si>
    <t>04.01.2026</t>
  </si>
  <si>
    <t>4.01.2026</t>
  </si>
  <si>
    <t>Temposonic failure</t>
  </si>
  <si>
    <t>Segment-1 RsBs temposonic block replaced with spare one</t>
  </si>
  <si>
    <t>8.01.2026</t>
  </si>
  <si>
    <t>YD-02 valve malfunctioning</t>
  </si>
  <si>
    <t>Open feedback was not comming</t>
  </si>
  <si>
    <t>Open feedback provided through MCB.</t>
  </si>
  <si>
    <t>09.01.2026</t>
  </si>
  <si>
    <t>DUMMY BAR ADAPTER CHANGE</t>
  </si>
  <si>
    <t>10.01.2026</t>
  </si>
  <si>
    <t>EXTRA TIME SEGMENT-1 CLAMPING ERROR</t>
  </si>
  <si>
    <t>12.01.2026</t>
  </si>
  <si>
    <t>MOULD NOT OPEN</t>
  </si>
  <si>
    <t>14.01.2026</t>
  </si>
  <si>
    <r>
      <t>left-side top motor was faulty</t>
    </r>
    <r>
      <rPr>
        <sz val="11"/>
        <color theme="1"/>
        <rFont val="Aptos Narrow"/>
        <family val="2"/>
        <scheme val="minor"/>
      </rPr>
      <t>.</t>
    </r>
  </si>
  <si>
    <t>19.01.2026</t>
  </si>
  <si>
    <t>CAST ABORT DUE TO AUTO TAIL OUT OCCRRED</t>
  </si>
  <si>
    <t>Root cause of failur is not concluded.</t>
  </si>
  <si>
    <t>20.01.2026</t>
  </si>
  <si>
    <t>C B Pandey, P Chavan, Biswambar Bhoi, Ranjit Bardhan</t>
  </si>
  <si>
    <t>Problem Description (What, when, where, how significant, provide details)  CAST start delay, after L/T slip ring connection, ET+12D5M10</t>
  </si>
  <si>
    <t>Profibus connection checked at slipring,  Fresh connection done at both  slip ring JB.</t>
  </si>
  <si>
    <t>Interface module replaced at RIO +12D5M10</t>
  </si>
  <si>
    <t>Profibus cable changed from RIO +12D5M11 to Slipr ring JB</t>
  </si>
  <si>
    <t>Communication failure of Laddle turret Rio +12D5M10.</t>
  </si>
  <si>
    <t>Profibus cable between RIO +12D5M11 To  Turret Slipring JB was faulty.</t>
  </si>
  <si>
    <t>Slip ring condition and connection at both JB to be checked  quarter.</t>
  </si>
  <si>
    <t>Profibus network to be monitor by profitrace tool  quarterly.</t>
  </si>
  <si>
    <t>Profibus cable from +12D5M11 to Turret slip ring JB to be replaced.</t>
  </si>
  <si>
    <t>08.01.2026</t>
  </si>
  <si>
    <t>Problem Description (What, when, where, how significant, provide details)  CAST start delay</t>
  </si>
  <si>
    <t>YD-02 Valve open feedback provided with installing MCB.</t>
  </si>
  <si>
    <t>Cast start delay.</t>
  </si>
  <si>
    <t>Mould water flow was not achieved.</t>
  </si>
  <si>
    <t>YD-02 valve was not opened.</t>
  </si>
  <si>
    <t>Open feedback was malfunctioned</t>
  </si>
  <si>
    <t>Limit switch was malfunctioned.</t>
  </si>
  <si>
    <t>Limit switch malfunctioned.</t>
  </si>
  <si>
    <t>YD-02 valve to be taken into line.</t>
  </si>
  <si>
    <t>Shutdown/Long seq. break</t>
  </si>
  <si>
    <t>Problem Description (What, when, where, how significant, provide details)  CAST start delay Mould drive fault,</t>
  </si>
  <si>
    <t>Connection checked and fresh connection done at JB,</t>
  </si>
  <si>
    <t>Mould replaced with spare one.</t>
  </si>
  <si>
    <t xml:space="preserve">Mould tapper adjustment proplem. </t>
  </si>
  <si>
    <t>An error in the taper value is observed on the left side of the mould.</t>
  </si>
  <si>
    <t>The fault could not be reset through the HMI.</t>
  </si>
  <si>
    <t>Left side top motor faulty.</t>
  </si>
  <si>
    <t>Left side top motor replaced with spare one.</t>
  </si>
  <si>
    <t>15.01.2026</t>
  </si>
  <si>
    <t>done</t>
  </si>
  <si>
    <t>Left side bottom motor both power and resolar cables replaced with new one</t>
  </si>
  <si>
    <t>Mold motor operation and condition of connector pin to be check  in every mould test at mould shop.</t>
  </si>
  <si>
    <t xml:space="preserve">Mould reselove and power cable maintenance to be done quarterly. </t>
  </si>
  <si>
    <t>C B Pandey, P Chavan, Saroj singh.</t>
  </si>
  <si>
    <t>Problem Description (What, when, where, how significant, provide details)  Cast aborted as auto tailout , MLC fault.</t>
  </si>
  <si>
    <t>Tundish replaced with new SRM.</t>
  </si>
  <si>
    <t>Resolver and power cables replaced with spare one.</t>
  </si>
  <si>
    <t>Connection at connector and at Jb checked.</t>
  </si>
  <si>
    <r>
      <t xml:space="preserve">Casting was interrupted as </t>
    </r>
    <r>
      <rPr>
        <sz val="12"/>
        <color theme="1"/>
        <rFont val="Arial"/>
      </rPr>
      <t>auto tailout was triggered.</t>
    </r>
  </si>
  <si>
    <r>
      <t xml:space="preserve">Auto tailout was activated due to an </t>
    </r>
    <r>
      <rPr>
        <sz val="12"/>
        <color theme="1"/>
        <rFont val="Arial"/>
      </rPr>
      <t>MLC fault.</t>
    </r>
  </si>
  <si>
    <r>
      <t xml:space="preserve">MLC fault occurred because a </t>
    </r>
    <r>
      <rPr>
        <sz val="12"/>
        <color theme="1"/>
        <rFont val="Arial"/>
      </rPr>
      <t>low level condition was detected.</t>
    </r>
  </si>
  <si>
    <t>The low level condition was detected as SRM movement did not occur as per reference.</t>
  </si>
  <si>
    <t>SRM may have been stuck or the resolver signal may have malfunctioned due to high temperature.</t>
  </si>
  <si>
    <t>Root cause of failure is not concluded.</t>
  </si>
  <si>
    <t>The stopper rod mechanism connectors shall be inspected as per the quarterly preventive maintenance schedule to ensure proper condition and secure connections.</t>
  </si>
  <si>
    <t>The resolver and power connector pin condition shall be checked during every SRM functional test at the test stand.</t>
  </si>
  <si>
    <t>The SRM junction box (JB) at the tundish car shall be maintained and inspected quarterly in line with the quarterly maintenance schedule.</t>
  </si>
  <si>
    <r>
      <t>Power and resolver cables</t>
    </r>
    <r>
      <rPr>
        <sz val="12"/>
        <color theme="1"/>
        <rFont val="Arial"/>
      </rPr>
      <t xml:space="preserve"> shall be removed for inspection during quarterly maintenance activities and replaced with spare cables each quarter to prevent failures due to aging or thermal effects.</t>
    </r>
  </si>
  <si>
    <t>11.02.2026</t>
  </si>
  <si>
    <t>CAST ABORT DUE TO AUTO-TAILOUT OCCURRED</t>
  </si>
  <si>
    <t>18.02.2026</t>
  </si>
  <si>
    <t>SEGMENT CONNECTION ISSUE</t>
  </si>
  <si>
    <t>20.02.2026</t>
  </si>
  <si>
    <t>22.02.2026</t>
  </si>
  <si>
    <t>CALIBRATION ISSUE OF SEGMENT-3 ZONE</t>
  </si>
  <si>
    <t>26.02.2026</t>
  </si>
  <si>
    <t>SRM Unit</t>
  </si>
  <si>
    <t>C B Pandey, P Chavan, Tanmay Das</t>
  </si>
  <si>
    <t>Problem Description (What, when, where, how significant, provide details)  Auto tailout occurred due to TCS E Close activated</t>
  </si>
  <si>
    <t>TCS Panel (11EE201C03) dedusting done</t>
  </si>
  <si>
    <t>Auxillary Contactor Fresh connection done</t>
  </si>
  <si>
    <t>Cable tightness done at Module TP</t>
  </si>
  <si>
    <t>Auto Tailout occurred</t>
  </si>
  <si>
    <t>Mould Level dropped suddenly</t>
  </si>
  <si>
    <t>Stopper got closed</t>
  </si>
  <si>
    <t>TCS E Close is activated to BAS (I 142.5)</t>
  </si>
  <si>
    <t>Auxillary Contactor Malfunctioned</t>
  </si>
  <si>
    <t>TCS ECLOSE ACTIVATED due to Auxillaiary Contactor Malfunctioned at+11EE201C03</t>
  </si>
  <si>
    <t>NO contact to be checked properly &amp; Spare NO to be used at Auxillary Contactor if spare not available</t>
  </si>
  <si>
    <t>Sequence Break</t>
  </si>
  <si>
    <t>Auxillary Contactor to be replaced as per avilability</t>
  </si>
  <si>
    <t>C B Pandey, P Chavan, Saroj Singh,Amit kumar</t>
  </si>
  <si>
    <t>watchdog connection tightness done.</t>
  </si>
  <si>
    <t>Watchdog malfunctioned</t>
  </si>
  <si>
    <t>watchdog to be replaced</t>
  </si>
  <si>
    <t>03.03.2026</t>
  </si>
  <si>
    <t>CAST START DELAYED DUE TO BERTHOLD ERROR</t>
  </si>
  <si>
    <t>ERROR M302/M501 SHOWS AT BERTHOLD UNIT</t>
  </si>
  <si>
    <t>CHANNEL3 MEASURING CARD REPLACED</t>
  </si>
  <si>
    <t>08.03.2026</t>
  </si>
  <si>
    <t>CAST START DELAYED DUE TO MOULD DRIVE PROBLEM</t>
  </si>
  <si>
    <t>MOULD NO.07 LEFT BOTTOM MOTOR GOT TRIPPED</t>
  </si>
  <si>
    <t>MOULD REPLACED AT MACHINE WITH SPARE ONE.FAULTY MOULD MADE READY BY CABLE REPLACEMENT</t>
  </si>
  <si>
    <t>10.03.2026</t>
  </si>
  <si>
    <t>CAST START DELAYED DUE TO AFTER SEQUENCE BREAK HOT METAL WAS FLOWING ONTO THE MOULD.</t>
  </si>
  <si>
    <t>AFTER TAIL OUT TUNDISH CAR WAS AT CAST POSITION AT ABOUT 5 MINUTES &amp; THEN MAINTENANCE MODE WAS APPLIED DUE TO WHICH STOPPER ROD MECHANISM OPENED AND HOT METAL FLOWED.</t>
  </si>
  <si>
    <t>AFTER TAILOUT OCCURRED, IMMEDIATELY TUNDISH CAR TO BE TRAVELLED TO HEAT POSTION.</t>
  </si>
  <si>
    <t>12.03.2026</t>
  </si>
  <si>
    <t>CAST ABORT DUE TO PINCH ROLL ABNORMAL POSITION</t>
  </si>
  <si>
    <t>OPERATOR SIDE POSITION TRANSDUCER MALFUNCTIONED</t>
  </si>
  <si>
    <t>POSITION TRANSDUCER REPLACED WITH SPARE ALONGWITH SPARE  CABLE FROM JB TO INSTRUMENT.</t>
  </si>
  <si>
    <t>14.03.2026</t>
  </si>
  <si>
    <t>SHEAR FRAME MOVEMENT WAS FAST</t>
  </si>
  <si>
    <t>SHEAR FRAME POSITION CYLINDER &amp; POSITION MODULE REPLACED</t>
  </si>
  <si>
    <t>Gulbahar Ansari</t>
  </si>
  <si>
    <t>CAST START DELAYED DUE TOOSCILATOR PUMP NOT START</t>
  </si>
  <si>
    <t>OSCILLATOR REMOTE FEEDBACK NOT COMING</t>
  </si>
  <si>
    <t>FUSABLE TB REMOVED FROM THE CIRCUIT, FRESH CONNECTION DONE AT ET STATION</t>
  </si>
  <si>
    <t>17.03.2026</t>
  </si>
  <si>
    <t>CAST ABORT DUE TO MLC NOT READY</t>
  </si>
  <si>
    <t>SRM DRIVE FAILED DUE TO CONNECTION/TEMPERATURE ISSUE</t>
  </si>
  <si>
    <t>POWER &amp; RESOLVER CABLE REPLACED AT TUNDISH CAR 2, CONNECTION TIGHTNESS DONE AT JB</t>
  </si>
  <si>
    <t>Berthold Unit</t>
  </si>
  <si>
    <t>C B Pandey, P Chavan, Ranjit Bardhan, Tanmay Das</t>
  </si>
  <si>
    <t>Problem Description (What, when, where, how significant, provide details) Cast start delayed due to BERTHOLD Unit Error</t>
  </si>
  <si>
    <t>Berthold Unit Dedusting Done</t>
  </si>
  <si>
    <t>Berthold Unit Channel 3 Measuring Card replaced</t>
  </si>
  <si>
    <t>Scintillation Counter cable replaced by spare one</t>
  </si>
  <si>
    <t>Error Reset done</t>
  </si>
  <si>
    <t>Cast start Delayed</t>
  </si>
  <si>
    <t>Mould Calibration did not happen</t>
  </si>
  <si>
    <t>Berthold Showing Error M 302 (Background too high) &amp; M 501 (No Detector Found)</t>
  </si>
  <si>
    <t>M 302 generated for Measuring Channel Faulty &amp; M 501 generated for Scintillation Counter Cable Faulty</t>
  </si>
  <si>
    <t xml:space="preserve">CAST START DELAYED DUE TO BERTHOLD UNIT SHOWS ERROR </t>
  </si>
  <si>
    <t>Scintillation Counter cable to be replaced by spare one</t>
  </si>
  <si>
    <t>In Every 3 months</t>
  </si>
  <si>
    <t>Berthold Unit Dedusting to be done &amp; Card Healthiness to  be checked</t>
  </si>
  <si>
    <t>Chandra Bhushan Pandey, Biswambar Bhoi</t>
  </si>
  <si>
    <t>Problem Description (What, when, where, how significant, provide details) Cast start delayed due to  Mould Drive problem</t>
  </si>
  <si>
    <t>Mould Left Bottom Motorpower &amp; resolver connections checked</t>
  </si>
  <si>
    <t>Mould Left Bottom Motorpower &amp; resolver connectors pin cleaning done</t>
  </si>
  <si>
    <t>Mould replaced by spare one</t>
  </si>
  <si>
    <t>Faulty Mould Power cable replaced at Mould Test stand &amp; made ready</t>
  </si>
  <si>
    <t>Mould narrow side transaction could not happen</t>
  </si>
  <si>
    <t>Mould Left Bottom Motor did not move</t>
  </si>
  <si>
    <t xml:space="preserve">Mould Left Bottom Motor tripped continously						</t>
  </si>
  <si>
    <t>Mould Cable to be replaced</t>
  </si>
  <si>
    <t>Mould all cable Power &amp; Resolver connectors to be made cleaned during maintenance</t>
  </si>
  <si>
    <t>Mould Routine check up</t>
  </si>
  <si>
    <t>STOPPER ROD MECHANISM</t>
  </si>
  <si>
    <t>Problem Description (What, when, where, how significant, provide details) Cast start delayed due to hot metal was flowing onto the mould..</t>
  </si>
  <si>
    <t>Hot metal was flowing onto the mould.</t>
  </si>
  <si>
    <t>Stopper rod mechanism opened.</t>
  </si>
  <si>
    <t>Maintenance mode applied after tundish car holding at cast position at about 5 minutes.</t>
  </si>
  <si>
    <t>Pinch roll position transducer(OS)</t>
  </si>
  <si>
    <t>Problem Description (What, when, where, how significant, provide details) Cast aborted due to pinch roll position abnormal.</t>
  </si>
  <si>
    <t>Position transducer(OS) replaced with spare one</t>
  </si>
  <si>
    <t>Connecting cable from JB to equipment replaced with spare one.</t>
  </si>
  <si>
    <t>Air cooling pressure adjusted.</t>
  </si>
  <si>
    <t>Cooling water checked at temposonic block.</t>
  </si>
  <si>
    <t>Cast start aborted</t>
  </si>
  <si>
    <t>Pinch roll position was abnormal</t>
  </si>
  <si>
    <t>Position transducer(OS) malfunctioned</t>
  </si>
  <si>
    <t>Internal sensor failure</t>
  </si>
  <si>
    <t>Operator side position transducer faulty.</t>
  </si>
  <si>
    <t>Inspection of air and water cooling.</t>
  </si>
  <si>
    <t>During sequence break</t>
  </si>
  <si>
    <t xml:space="preserve">SHEAR </t>
  </si>
  <si>
    <t>SHEAR FRAME CYLINDER</t>
  </si>
  <si>
    <t>C B Pandey,  Tanmay Das</t>
  </si>
  <si>
    <t>Problem Description (What, when, where, how significant, provide details) Cast abort due to slab stuck in shear</t>
  </si>
  <si>
    <t>Shear Frame cylinder replaced by older one</t>
  </si>
  <si>
    <t>Position Module replaced by new one</t>
  </si>
  <si>
    <t>Glasswool provided at JB after connection</t>
  </si>
  <si>
    <t>Cooling water checked at Cylinder</t>
  </si>
  <si>
    <t>Cast Aborted</t>
  </si>
  <si>
    <t>Slab Stuck at Shear Frame</t>
  </si>
  <si>
    <t>Shear Frame forward movement was Fast than usual movement</t>
  </si>
  <si>
    <t>Installed New position Transducer Response Error &amp; Position Module faulty</t>
  </si>
  <si>
    <t>Shear Frame Cylinder Replacement to be done</t>
  </si>
  <si>
    <t>Position module  Healthiness to  be checked</t>
  </si>
  <si>
    <t>C B Pandey, Gulbahar Ansari</t>
  </si>
  <si>
    <t>Problem Description (What, when, where, how significant, provide details) Cast start delayed due to HMO Motor not start</t>
  </si>
  <si>
    <t>Hydaulic Mould Oscillator Motor was not started</t>
  </si>
  <si>
    <t>HMO motor remote feedback was not coming from fusable TP</t>
  </si>
  <si>
    <t>Fusable TP removed &amp; Fresh Connection done</t>
  </si>
  <si>
    <t xml:space="preserve">OSCILLATOR MOTOR GOT OFF &amp; REMOTE FEEDBACK WAS NOT COMING </t>
  </si>
  <si>
    <t xml:space="preserve">HMO motor all connections tightness to be checked from OS Panel </t>
  </si>
  <si>
    <t xml:space="preserve">HMO motor all connections tightness to be checked from ET Panel </t>
  </si>
  <si>
    <t>TUNDISH CAR 2</t>
  </si>
  <si>
    <t>C B Pandey, Saroj Singh</t>
  </si>
  <si>
    <t>Problem Description (What, when, where, how significant, provide details) Cast abort due to  MLC not ready</t>
  </si>
  <si>
    <t>SRM temperature checked by Temperature Gun</t>
  </si>
  <si>
    <t>SRM Power &amp; Resolver cable to be  replaced at Tundish Car2 JB</t>
  </si>
  <si>
    <t xml:space="preserve">Connection tightness checked at JB </t>
  </si>
  <si>
    <t>MLC not ready</t>
  </si>
  <si>
    <t>SRM Drive stops functioning</t>
  </si>
  <si>
    <t>Drive stops working due to high temperature or Connection break</t>
  </si>
  <si>
    <t>SRM Power &amp; Resolver cable to be  replaced at each Tundish Car JB</t>
  </si>
  <si>
    <t>Each Quarter</t>
  </si>
  <si>
    <t>Cables are replaced in each quarter as per Maintenance schedule</t>
  </si>
  <si>
    <t>SRM temperature online monitoring system will be implemented at all Tundish cars to ensure the temp should be below maximum temp</t>
  </si>
  <si>
    <t>June-July 2026</t>
  </si>
  <si>
    <r>
      <rPr>
        <b/>
        <i/>
        <sz val="10"/>
        <color rgb="FF000000"/>
        <rFont val="Verdana"/>
      </rPr>
      <t xml:space="preserve">D1: </t>
    </r>
    <r>
      <rPr>
        <b/>
        <sz val="10"/>
        <color rgb="FF000000"/>
        <rFont val="Verdana"/>
      </rPr>
      <t>Form team to solve the problem ( Why,when,where,how,what,who) : Name of team members: 1.Chandra Bhusan Pandey, 2. Biswambar Bhoi</t>
    </r>
  </si>
  <si>
    <t>Cast start ABORTED DUE TO PINCH ROLL ABNORMAL POSITION</t>
  </si>
  <si>
    <t xml:space="preserve">1. Position transducer replaced with spare one.
2. Connecting cable from JB replaced with spare one.
3. Power supply made ON and position checked &amp; found OK.
4. Trial taken, position found normal.
5. Clearance given to Operation and casting started.
                                                                                                                                                                                                                                                                            </t>
  </si>
  <si>
    <t>Question- Why Cast aborted?</t>
  </si>
  <si>
    <r>
      <rPr>
        <b/>
        <sz val="10"/>
        <color rgb="FF000000"/>
        <rFont val="Verdana"/>
      </rPr>
      <t>1.What -</t>
    </r>
    <r>
      <rPr>
        <sz val="10"/>
        <color rgb="FF000000"/>
        <rFont val="Verdana"/>
      </rPr>
      <t xml:space="preserve"> Include periodic inspection of air and water cooling.
When- During sequence break.
Where- At temposonic block.
How- Proper inspection of cooling lines.
Who-Electrical Team.
Why- To avoid electrical disturbance affecting the sensor..
</t>
    </r>
    <r>
      <rPr>
        <b/>
        <sz val="10"/>
        <color rgb="FF000000"/>
        <rFont val="Verdana"/>
      </rPr>
      <t>2. What -</t>
    </r>
    <r>
      <rPr>
        <sz val="10"/>
        <color rgb="FF000000"/>
        <rFont val="Verdana"/>
      </rPr>
      <t xml:space="preserve"> 
When- 
Where-  
How-   
Who- 
Why-  
</t>
    </r>
    <r>
      <rPr>
        <b/>
        <sz val="10"/>
        <color rgb="FF000000"/>
        <rFont val="Verdana"/>
      </rPr>
      <t>3. What</t>
    </r>
    <r>
      <rPr>
        <sz val="10"/>
        <color rgb="FF000000"/>
        <rFont val="Verdana"/>
      </rPr>
      <t xml:space="preserve"> - 
When- 
Where- 
How- 
Who- 
Why- </t>
    </r>
  </si>
  <si>
    <t xml:space="preserve">1.What - Operator side position transducer and connecting cable from JB to instrument replaced with one.
When- Immediately.
Where- Caster-1 +0 mtr and + 5mtr area.
How-By removing position transducer from block and disconnecting cable from JB.
Who- Electrical team.
Why- To replace Position transducer.
</t>
  </si>
  <si>
    <t>Answer- Pinch roll postion was abnormal.</t>
  </si>
  <si>
    <t>Date - 12.03.2026 at around 0.40 Hrs.</t>
  </si>
  <si>
    <t>Question- Why was Pinch roll postion abnormal ?</t>
  </si>
  <si>
    <t>Answer- Operator side position transducer was malfunctioned.</t>
  </si>
  <si>
    <t>Question- Why was operator side position transducer malfunctoned?</t>
  </si>
  <si>
    <t>Answer- Position transducer internal sensor failure.</t>
  </si>
  <si>
    <t>Question- Why was Position transducer internal sensor failure ?</t>
  </si>
  <si>
    <t>Answer - Sensor failure due to excessive heat.</t>
  </si>
  <si>
    <t xml:space="preserve">Caster -1 delay </t>
  </si>
  <si>
    <t>Delay (mins)</t>
  </si>
  <si>
    <t>Agency</t>
  </si>
  <si>
    <t>Description</t>
  </si>
  <si>
    <t>Caster_Electrical</t>
  </si>
  <si>
    <t>MOULD LEVEL CALIBRATION PROBLEM</t>
  </si>
  <si>
    <t>TUNDISH CAR MOVEMENT  STOPPER OPEN &amp; MOULD COVER  DUMMYBAR HEAD JAM</t>
  </si>
  <si>
    <t>CAST ABORT DUE TO PINCH ROLL POSITION  ABONORMAL</t>
  </si>
  <si>
    <t xml:space="preserve"> PINCH ROLL POSITION  ABONORMAL PROBLEM</t>
  </si>
  <si>
    <t>OSCILATOR PUMP NOT START</t>
  </si>
  <si>
    <t>TOTAL</t>
  </si>
  <si>
    <t xml:space="preserve">Caster -2 delay </t>
  </si>
  <si>
    <t>MOULD DRIVE PROBLEM</t>
  </si>
  <si>
    <t xml:space="preserve">CASTER-1 </t>
  </si>
  <si>
    <t>MECHANICAL DELAY</t>
  </si>
  <si>
    <t>OPERATION DELAY</t>
  </si>
  <si>
    <t>CASTER-2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</si>
</sst>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8">
    <font>
      <sz val="11"/>
      <color theme="1"/>
      <name val="Aptos Narrow"/>
      <family val="2"/>
      <scheme val="minor"/>
    </font>
    <font>
      <sz val="11"/>
      <color theme="1"/>
      <name val="Aptos Narrow"/>
      <scheme val="minor"/>
    </font>
    <font>
      <b/>
      <sz val="11"/>
      <color theme="1"/>
      <name val="Aptos Narrow"/>
      <family val="2"/>
      <scheme val="minor"/>
    </font>
    <font>
      <b/>
      <sz val="12"/>
      <name val="Times New Roman"/>
      <family val="1"/>
    </font>
    <font>
      <b/>
      <sz val="10"/>
      <name val="Times New Roman"/>
      <family val="1"/>
    </font>
    <font>
      <u/>
      <sz val="10"/>
      <name val="Times New Roman"/>
      <family val="1"/>
    </font>
    <font>
      <b/>
      <sz val="10"/>
      <name val="Arial"/>
      <family val="2"/>
    </font>
    <font>
      <b/>
      <sz val="9"/>
      <name val="Arial"/>
      <family val="2"/>
    </font>
    <font>
      <sz val="10"/>
      <name val="Times New Roman"/>
      <family val="1"/>
    </font>
    <font>
      <sz val="10"/>
      <name val="Arial"/>
      <family val="2"/>
    </font>
    <font>
      <sz val="10"/>
      <color indexed="8"/>
      <name val="Times New Roman"/>
      <family val="1"/>
    </font>
    <font>
      <b/>
      <i/>
      <sz val="10"/>
      <name val="Times New Roman"/>
      <family val="1"/>
    </font>
    <font>
      <b/>
      <i/>
      <sz val="10"/>
      <name val="Arial"/>
      <family val="2"/>
    </font>
    <font>
      <sz val="10"/>
      <color rgb="FF000000"/>
      <name val="Times New Roman"/>
    </font>
    <font>
      <b/>
      <sz val="12"/>
      <name val="Arial"/>
      <family val="2"/>
    </font>
    <font>
      <b/>
      <sz val="8"/>
      <color indexed="12"/>
      <name val="Verdana"/>
      <family val="2"/>
    </font>
    <font>
      <sz val="10"/>
      <name val="Verdana"/>
      <family val="2"/>
    </font>
    <font>
      <sz val="11"/>
      <color theme="1"/>
      <name val="Bookman Old Style"/>
      <family val="1"/>
    </font>
    <font>
      <sz val="11"/>
      <color theme="1"/>
      <name val="Calibri"/>
      <family val="2"/>
      <scheme val="minor"/>
    </font>
    <font>
      <b/>
      <sz val="9"/>
      <name val="Arial"/>
    </font>
    <font>
      <b/>
      <sz val="10"/>
      <name val="Arial"/>
    </font>
    <font>
      <b/>
      <sz val="10"/>
      <color indexed="12"/>
      <name val="Verdana"/>
      <family val="2"/>
    </font>
    <font>
      <b/>
      <u/>
      <sz val="18"/>
      <name val="Calibri"/>
      <family val="2"/>
    </font>
    <font>
      <b/>
      <sz val="9"/>
      <color theme="1"/>
      <name val="Arial"/>
      <family val="2"/>
    </font>
    <font>
      <sz val="12"/>
      <color theme="1"/>
      <name val="Aptos Narrow"/>
      <family val="2"/>
      <scheme val="minor"/>
    </font>
    <font>
      <b/>
      <sz val="12"/>
      <color indexed="12"/>
      <name val="Verdana"/>
      <family val="2"/>
    </font>
    <font>
      <sz val="12"/>
      <name val="Verdana"/>
      <family val="2"/>
    </font>
    <font>
      <sz val="16"/>
      <color theme="1"/>
      <name val="Aptos Narrow"/>
      <family val="2"/>
      <scheme val="minor"/>
    </font>
    <font>
      <sz val="12"/>
      <color theme="1"/>
      <name val="Arial"/>
    </font>
    <font>
      <b/>
      <sz val="16"/>
      <name val="Verdana"/>
      <family val="2"/>
    </font>
    <font>
      <b/>
      <sz val="10"/>
      <name val="Verdana"/>
      <family val="2"/>
    </font>
    <font>
      <b/>
      <i/>
      <sz val="10"/>
      <color rgb="FF000000"/>
      <name val="Verdana"/>
    </font>
    <font>
      <b/>
      <sz val="10"/>
      <color rgb="FF000000"/>
      <name val="Verdana"/>
    </font>
    <font>
      <b/>
      <i/>
      <sz val="10"/>
      <color indexed="8"/>
      <name val="Verdana"/>
      <family val="2"/>
    </font>
    <font>
      <b/>
      <i/>
      <sz val="10"/>
      <name val="Verdana"/>
      <family val="2"/>
    </font>
    <font>
      <sz val="8"/>
      <name val="Verdana"/>
      <family val="2"/>
    </font>
    <font>
      <sz val="10"/>
      <color rgb="FF000000"/>
      <name val="Verdana"/>
    </font>
    <font>
      <b/>
      <sz val="12"/>
      <color rgb="FF000000"/>
      <name val="Verdana"/>
    </font>
    <font>
      <b/>
      <sz val="12"/>
      <color theme="1"/>
      <name val="Aptos Display"/>
      <scheme val="major"/>
    </font>
    <font>
      <sz val="11"/>
      <name val="Aptos Narrow"/>
      <scheme val="minor"/>
    </font>
    <font>
      <b/>
      <sz val="11"/>
      <name val="Aptos Narrow"/>
      <scheme val="minor"/>
    </font>
    <font>
      <sz val="11"/>
      <color rgb="FF000000"/>
      <name val="Aptos Narrow"/>
      <scheme val="minor"/>
    </font>
    <font>
      <b/>
      <sz val="11"/>
      <color theme="1"/>
      <name val="Aptos Narrow"/>
      <scheme val="minor"/>
    </font>
    <font>
      <sz val="10"/>
      <color rgb="FF000000"/>
      <name val="Times New Roman"/>
      <charset val="1"/>
    </font>
    <font>
      <sz val="10"/>
      <color rgb="FF000000"/>
      <name val="Verdana"/>
      <charset val="1"/>
    </font>
    <font>
      <b/>
      <sz val="8"/>
      <color indexed="12"/>
      <name val="Verdana"/>
    </font>
    <font>
      <sz val="9"/>
      <color rgb="FF323130"/>
      <name val="-Apple-System"/>
      <charset val="1"/>
    </font>
    <font>
      <sz val="9"/>
      <color rgb="FF605E5C"/>
      <name val="-Apple-System"/>
      <charset val="1"/>
    </font>
    <font>
      <sz val="9"/>
      <name val="Arial"/>
      <family val="2"/>
    </font>
    <font>
      <sz val="10"/>
      <name val="Arial"/>
    </font>
    <font>
      <b/>
      <i/>
      <sz val="10"/>
      <name val="Arial"/>
    </font>
    <font>
      <b/>
      <sz val="12"/>
      <name val="Arial"/>
    </font>
    <font>
      <sz val="11"/>
      <name val="Arial"/>
      <family val="2"/>
    </font>
    <font>
      <b/>
      <sz val="20"/>
      <name val="Arial"/>
      <family val="2"/>
    </font>
    <font>
      <sz val="12"/>
      <name val="Arial"/>
      <family val="2"/>
    </font>
    <font>
      <b/>
      <sz val="16"/>
      <name val="Arial"/>
      <family val="2"/>
    </font>
    <font>
      <b/>
      <sz val="14"/>
      <name val="Arial"/>
      <family val="2"/>
    </font>
    <font>
      <sz val="11"/>
      <color rgb="FF242424"/>
      <name val="Aptos Narrow"/>
      <charset val="1"/>
    </font>
    <font>
      <sz val="10"/>
      <name val="Times New Roman"/>
    </font>
    <font>
      <sz val="10"/>
      <name val="Aptos Narrow"/>
      <scheme val="minor"/>
    </font>
    <font>
      <sz val="12"/>
      <color rgb="FF000000"/>
      <name val="Arial"/>
      <charset val="1"/>
    </font>
    <font>
      <b/>
      <sz val="20"/>
      <name val="Arial"/>
    </font>
    <font>
      <sz val="12"/>
      <name val="Arial"/>
    </font>
    <font>
      <b/>
      <sz val="16"/>
      <name val="Arial"/>
    </font>
    <font>
      <b/>
      <sz val="14"/>
      <name val="Arial"/>
    </font>
    <font>
      <sz val="11"/>
      <color rgb="FF000000"/>
      <name val="Aptos Narrow"/>
      <family val="2"/>
      <scheme val="minor"/>
    </font>
    <font>
      <sz val="10"/>
      <name val="Verdana"/>
    </font>
    <font>
      <sz val="11"/>
      <color rgb="FF000000"/>
      <name val="Aptos Narrow"/>
      <charset val="1"/>
    </font>
    <font>
      <sz val="8"/>
      <color rgb="FF000000"/>
      <name val="Verdana"/>
      <family val="2"/>
    </font>
    <font>
      <b/>
      <sz val="8"/>
      <name val="Verdana"/>
      <family val="2"/>
    </font>
    <font>
      <sz val="12"/>
      <color rgb="FF000000"/>
      <name val="Arial"/>
    </font>
    <font>
      <sz val="9"/>
      <color rgb="FF000000"/>
      <name val="Arial"/>
      <charset val="1"/>
    </font>
    <font>
      <b/>
      <sz val="12"/>
      <color theme="1"/>
      <name val="Aptos Narrow"/>
      <family val="2"/>
      <scheme val="minor"/>
    </font>
    <font>
      <sz val="11"/>
      <color theme="0"/>
      <name val="Calibri"/>
    </font>
    <font>
      <sz val="8"/>
      <name val="Arial"/>
    </font>
    <font>
      <b/>
      <sz val="7"/>
      <name val="Arial"/>
    </font>
    <font>
      <sz val="8"/>
      <name val="Verdana"/>
    </font>
    <font>
      <b/>
      <sz val="9"/>
      <color rgb="FF000000"/>
      <name val="Arial"/>
      <charset val="1"/>
    </font>
  </fonts>
  <fills count="1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bgColor indexed="64"/>
      </patternFill>
    </fill>
  </fills>
  <borders count="14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top/>
      <bottom/>
      <diagonal/>
    </border>
    <border>
      <left style="thin">
        <color indexed="64"/>
      </left>
      <right style="thin">
        <color indexed="64"/>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medium">
        <color indexed="64"/>
      </left>
      <right/>
      <top style="thin">
        <color rgb="FF000000"/>
      </top>
      <bottom/>
      <diagonal/>
    </border>
    <border>
      <left/>
      <right/>
      <top style="thin">
        <color rgb="FF000000"/>
      </top>
      <bottom/>
      <diagonal/>
    </border>
    <border>
      <left style="thin">
        <color indexed="64"/>
      </left>
      <right/>
      <top/>
      <bottom style="thin">
        <color rgb="FF000000"/>
      </bottom>
      <diagonal/>
    </border>
    <border>
      <left/>
      <right/>
      <top/>
      <bottom style="thin">
        <color rgb="FF000000"/>
      </bottom>
      <diagonal/>
    </border>
    <border>
      <left style="thin">
        <color rgb="FF000000"/>
      </left>
      <right/>
      <top style="thin">
        <color indexed="64"/>
      </top>
      <bottom/>
      <diagonal/>
    </border>
    <border>
      <left style="thin">
        <color rgb="FF000000"/>
      </left>
      <right/>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medium">
        <color indexed="64"/>
      </right>
      <top/>
      <bottom style="medium">
        <color indexed="64"/>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diagonal/>
    </border>
    <border>
      <left style="medium">
        <color indexed="64"/>
      </left>
      <right style="medium">
        <color rgb="FF000000"/>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top style="medium">
        <color rgb="FF000000"/>
      </top>
      <bottom style="medium">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style="medium">
        <color rgb="FF000000"/>
      </bottom>
      <diagonal/>
    </border>
    <border>
      <left style="medium">
        <color indexed="64"/>
      </left>
      <right/>
      <top/>
      <bottom style="thin">
        <color rgb="FF000000"/>
      </bottom>
      <diagonal/>
    </border>
    <border>
      <left/>
      <right style="thin">
        <color rgb="FF000000"/>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rgb="FF000000"/>
      </top>
      <bottom style="thin">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bottom/>
      <diagonal/>
    </border>
    <border>
      <left style="thin">
        <color indexed="64"/>
      </left>
      <right style="thin">
        <color rgb="FF000000"/>
      </right>
      <top/>
      <bottom/>
      <diagonal/>
    </border>
    <border>
      <left style="thin">
        <color rgb="FF000000"/>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thin">
        <color rgb="FF000000"/>
      </right>
      <top style="thin">
        <color rgb="FF000000"/>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6">
    <xf numFmtId="0" fontId="0" fillId="0" borderId="0"/>
    <xf numFmtId="0" fontId="9" fillId="0" borderId="0" applyNumberFormat="0" applyFill="0" applyBorder="0" applyAlignment="0" applyProtection="0"/>
    <xf numFmtId="0" fontId="9" fillId="0" borderId="0"/>
    <xf numFmtId="0" fontId="9" fillId="0" borderId="0"/>
    <xf numFmtId="0" fontId="18" fillId="0" borderId="0"/>
    <xf numFmtId="0" fontId="52" fillId="0" borderId="0"/>
  </cellStyleXfs>
  <cellXfs count="1157">
    <xf numFmtId="0" fontId="0" fillId="0" borderId="0" xfId="0"/>
    <xf numFmtId="0" fontId="0" fillId="0" borderId="5" xfId="0" applyBorder="1" applyAlignment="1">
      <alignment horizontal="center" vertical="center"/>
    </xf>
    <xf numFmtId="0" fontId="2" fillId="0" borderId="5" xfId="0" applyFont="1" applyBorder="1" applyAlignment="1">
      <alignment horizontal="center" vertical="center"/>
    </xf>
    <xf numFmtId="0" fontId="0" fillId="0" borderId="0" xfId="0" applyAlignment="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2" borderId="12" xfId="0" applyFont="1" applyFill="1" applyBorder="1" applyAlignment="1">
      <alignment horizontal="center" vertical="center"/>
    </xf>
    <xf numFmtId="0" fontId="0" fillId="3"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xf numFmtId="0" fontId="0" fillId="0" borderId="18" xfId="0" applyBorder="1"/>
    <xf numFmtId="0" fontId="0" fillId="0" borderId="19" xfId="0" applyBorder="1"/>
    <xf numFmtId="0" fontId="4" fillId="4" borderId="32" xfId="0" applyFont="1" applyFill="1" applyBorder="1"/>
    <xf numFmtId="0" fontId="4" fillId="4" borderId="6" xfId="0" applyFont="1" applyFill="1" applyBorder="1"/>
    <xf numFmtId="0" fontId="7" fillId="0" borderId="11" xfId="0" applyFont="1" applyBorder="1" applyAlignment="1">
      <alignment vertical="center" wrapText="1"/>
    </xf>
    <xf numFmtId="0" fontId="6" fillId="0" borderId="11" xfId="0" applyFont="1" applyBorder="1" applyAlignment="1">
      <alignment vertical="center" wrapText="1"/>
    </xf>
    <xf numFmtId="0" fontId="8" fillId="0" borderId="33" xfId="0" applyFont="1" applyBorder="1"/>
    <xf numFmtId="0" fontId="9" fillId="0" borderId="0" xfId="0" applyFont="1"/>
    <xf numFmtId="0" fontId="9" fillId="0" borderId="36" xfId="0" applyFont="1" applyBorder="1"/>
    <xf numFmtId="0" fontId="4" fillId="0" borderId="12" xfId="0" applyFont="1" applyBorder="1" applyAlignment="1">
      <alignment horizontal="center" vertical="top" wrapText="1"/>
    </xf>
    <xf numFmtId="0" fontId="4" fillId="0" borderId="37" xfId="0" applyFont="1" applyBorder="1" applyAlignment="1">
      <alignment horizontal="center" vertical="top" wrapText="1"/>
    </xf>
    <xf numFmtId="0" fontId="8" fillId="0" borderId="33" xfId="0" applyFont="1" applyBorder="1" applyAlignment="1">
      <alignment horizontal="center"/>
    </xf>
    <xf numFmtId="0" fontId="8" fillId="0" borderId="33" xfId="0" applyFont="1" applyBorder="1" applyAlignment="1">
      <alignment horizontal="left" vertical="center" wrapText="1"/>
    </xf>
    <xf numFmtId="0" fontId="8" fillId="0" borderId="0" xfId="0" applyFont="1" applyAlignment="1">
      <alignment horizontal="left" vertical="center" wrapText="1"/>
    </xf>
    <xf numFmtId="0" fontId="8" fillId="0" borderId="36" xfId="0" applyFont="1" applyBorder="1" applyAlignment="1">
      <alignment horizontal="left" vertical="center" wrapText="1"/>
    </xf>
    <xf numFmtId="0" fontId="0" fillId="0" borderId="33" xfId="0" applyBorder="1"/>
    <xf numFmtId="0" fontId="0" fillId="0" borderId="36" xfId="0" applyBorder="1"/>
    <xf numFmtId="164" fontId="15" fillId="0" borderId="13" xfId="1" applyNumberFormat="1" applyFont="1" applyFill="1" applyBorder="1" applyAlignment="1" applyProtection="1">
      <alignment horizontal="center" vertical="center"/>
    </xf>
    <xf numFmtId="164" fontId="15" fillId="0" borderId="9" xfId="1" applyNumberFormat="1" applyFont="1" applyFill="1" applyBorder="1" applyAlignment="1" applyProtection="1">
      <alignment horizontal="center" vertical="center"/>
    </xf>
    <xf numFmtId="0" fontId="0" fillId="0" borderId="24" xfId="0" applyBorder="1" applyAlignment="1">
      <alignment horizontal="center" vertical="center"/>
    </xf>
    <xf numFmtId="0" fontId="0" fillId="0" borderId="7" xfId="0" applyBorder="1" applyAlignment="1">
      <alignment horizontal="center" vertical="center" wrapText="1"/>
    </xf>
    <xf numFmtId="0" fontId="7" fillId="0" borderId="9" xfId="2" applyFont="1" applyBorder="1" applyAlignment="1">
      <alignment horizontal="center" vertical="center" wrapText="1"/>
    </xf>
    <xf numFmtId="0" fontId="0" fillId="0" borderId="47" xfId="0" applyBorder="1" applyAlignment="1">
      <alignment vertical="center"/>
    </xf>
    <xf numFmtId="0" fontId="0" fillId="0" borderId="47" xfId="0" applyBorder="1" applyAlignment="1">
      <alignment horizontal="center" vertical="center" wrapText="1"/>
    </xf>
    <xf numFmtId="0" fontId="0" fillId="0" borderId="47" xfId="0" applyBorder="1" applyAlignment="1">
      <alignment horizontal="center" vertical="center"/>
    </xf>
    <xf numFmtId="0" fontId="0" fillId="0" borderId="7" xfId="0" applyBorder="1" applyAlignment="1">
      <alignment horizontal="center" vertical="center"/>
    </xf>
    <xf numFmtId="0" fontId="0" fillId="0" borderId="39" xfId="0" applyBorder="1" applyAlignment="1">
      <alignment horizontal="center" vertical="center"/>
    </xf>
    <xf numFmtId="0" fontId="0" fillId="0" borderId="39" xfId="0" applyBorder="1" applyAlignment="1">
      <alignment horizontal="center" vertical="center" wrapText="1"/>
    </xf>
    <xf numFmtId="0" fontId="2" fillId="0" borderId="47" xfId="0" applyFont="1" applyBorder="1" applyAlignment="1">
      <alignment horizontal="center" vertical="center"/>
    </xf>
    <xf numFmtId="0" fontId="2" fillId="0" borderId="20" xfId="0" applyFont="1" applyBorder="1" applyAlignment="1">
      <alignment horizontal="center" vertical="center"/>
    </xf>
    <xf numFmtId="0" fontId="6" fillId="5" borderId="0" xfId="0" applyFont="1" applyFill="1" applyAlignment="1">
      <alignment horizontal="center" vertical="center" wrapText="1"/>
    </xf>
    <xf numFmtId="0" fontId="4" fillId="5" borderId="32" xfId="0" applyFont="1" applyFill="1" applyBorder="1"/>
    <xf numFmtId="0" fontId="4" fillId="5" borderId="6" xfId="0" applyFont="1" applyFill="1" applyBorder="1"/>
    <xf numFmtId="0" fontId="7" fillId="5" borderId="11" xfId="0" applyFont="1" applyFill="1" applyBorder="1" applyAlignment="1">
      <alignment vertical="center" wrapText="1"/>
    </xf>
    <xf numFmtId="0" fontId="6" fillId="5" borderId="11" xfId="0" applyFont="1" applyFill="1" applyBorder="1" applyAlignment="1">
      <alignment vertical="center" wrapText="1"/>
    </xf>
    <xf numFmtId="0" fontId="8" fillId="5" borderId="33" xfId="0" applyFont="1" applyFill="1" applyBorder="1"/>
    <xf numFmtId="0" fontId="9" fillId="5" borderId="0" xfId="0" applyFont="1" applyFill="1"/>
    <xf numFmtId="0" fontId="9" fillId="5" borderId="36" xfId="0" applyFont="1" applyFill="1" applyBorder="1"/>
    <xf numFmtId="0" fontId="4" fillId="5" borderId="12" xfId="0" applyFont="1" applyFill="1" applyBorder="1" applyAlignment="1">
      <alignment horizontal="center" vertical="top" wrapText="1"/>
    </xf>
    <xf numFmtId="0" fontId="4" fillId="5" borderId="37" xfId="0" applyFont="1" applyFill="1" applyBorder="1" applyAlignment="1">
      <alignment horizontal="center" vertical="top" wrapText="1"/>
    </xf>
    <xf numFmtId="0" fontId="8" fillId="5" borderId="33" xfId="0" applyFont="1" applyFill="1" applyBorder="1" applyAlignment="1">
      <alignment horizontal="center"/>
    </xf>
    <xf numFmtId="0" fontId="8" fillId="5" borderId="33"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36" xfId="0" applyFont="1" applyFill="1" applyBorder="1" applyAlignment="1">
      <alignment horizontal="left" vertical="center" wrapText="1"/>
    </xf>
    <xf numFmtId="0" fontId="0" fillId="5" borderId="33" xfId="0" applyFill="1" applyBorder="1"/>
    <xf numFmtId="0" fontId="0" fillId="5" borderId="0" xfId="0" applyFill="1"/>
    <xf numFmtId="0" fontId="0" fillId="5" borderId="36" xfId="0" applyFill="1" applyBorder="1"/>
    <xf numFmtId="0" fontId="19" fillId="5" borderId="11" xfId="0" applyFont="1" applyFill="1" applyBorder="1" applyAlignment="1">
      <alignment vertical="center" wrapText="1"/>
    </xf>
    <xf numFmtId="0" fontId="0" fillId="0" borderId="51" xfId="0" applyBorder="1" applyAlignment="1">
      <alignment horizontal="center" vertical="center" wrapText="1"/>
    </xf>
    <xf numFmtId="0" fontId="0" fillId="5" borderId="47" xfId="0" applyFill="1" applyBorder="1" applyAlignment="1">
      <alignment horizontal="center" vertical="center" wrapText="1"/>
    </xf>
    <xf numFmtId="164" fontId="21" fillId="0" borderId="9" xfId="1" applyNumberFormat="1" applyFont="1" applyFill="1" applyBorder="1" applyAlignment="1" applyProtection="1">
      <alignment horizontal="center" vertical="center"/>
    </xf>
    <xf numFmtId="0" fontId="9" fillId="0" borderId="9" xfId="2" applyBorder="1" applyAlignment="1">
      <alignment horizontal="center" vertical="center" wrapText="1"/>
    </xf>
    <xf numFmtId="0" fontId="0" fillId="0" borderId="9" xfId="0" applyBorder="1" applyAlignment="1">
      <alignment horizontal="left" vertical="center" wrapText="1"/>
    </xf>
    <xf numFmtId="0" fontId="0" fillId="5" borderId="0" xfId="0" applyFill="1" applyAlignment="1">
      <alignment vertical="center"/>
    </xf>
    <xf numFmtId="0" fontId="0" fillId="5" borderId="24" xfId="0" applyFill="1" applyBorder="1" applyAlignment="1">
      <alignment horizontal="center" vertical="center"/>
    </xf>
    <xf numFmtId="0" fontId="0" fillId="5" borderId="47" xfId="0" applyFill="1" applyBorder="1" applyAlignment="1">
      <alignment horizontal="center" vertical="center"/>
    </xf>
    <xf numFmtId="164" fontId="21" fillId="5" borderId="9" xfId="1" applyNumberFormat="1" applyFont="1" applyFill="1" applyBorder="1" applyAlignment="1" applyProtection="1">
      <alignment horizontal="center" vertical="center"/>
    </xf>
    <xf numFmtId="0" fontId="9" fillId="5" borderId="9" xfId="2" applyFill="1" applyBorder="1" applyAlignment="1">
      <alignment horizontal="center" vertical="center" wrapText="1"/>
    </xf>
    <xf numFmtId="0" fontId="2" fillId="5" borderId="5" xfId="0" applyFont="1" applyFill="1" applyBorder="1" applyAlignment="1">
      <alignment horizontal="center" vertical="center"/>
    </xf>
    <xf numFmtId="0" fontId="0" fillId="5" borderId="9" xfId="0" applyFill="1" applyBorder="1" applyAlignment="1">
      <alignment horizontal="left" vertical="center" wrapText="1"/>
    </xf>
    <xf numFmtId="164" fontId="21" fillId="0" borderId="47" xfId="1" applyNumberFormat="1" applyFont="1" applyFill="1" applyBorder="1" applyAlignment="1" applyProtection="1">
      <alignment horizontal="center" vertical="center"/>
    </xf>
    <xf numFmtId="0" fontId="0" fillId="0" borderId="52" xfId="0" applyBorder="1" applyAlignment="1">
      <alignment horizontal="center" vertical="center"/>
    </xf>
    <xf numFmtId="0" fontId="0" fillId="0" borderId="51" xfId="0" applyBorder="1" applyAlignment="1">
      <alignment horizontal="center" vertical="center"/>
    </xf>
    <xf numFmtId="0" fontId="0" fillId="0" borderId="53" xfId="0" applyBorder="1" applyAlignment="1">
      <alignment horizontal="center" vertical="center" wrapText="1"/>
    </xf>
    <xf numFmtId="0" fontId="9" fillId="0" borderId="47" xfId="2" applyBorder="1" applyAlignment="1">
      <alignment horizontal="center" vertical="center" wrapText="1"/>
    </xf>
    <xf numFmtId="0" fontId="17" fillId="0" borderId="0" xfId="3" applyFont="1" applyAlignment="1">
      <alignment horizontal="center" vertical="center" wrapText="1"/>
    </xf>
    <xf numFmtId="0" fontId="0" fillId="0" borderId="33" xfId="0" applyBorder="1" applyAlignment="1">
      <alignment horizontal="center" vertical="center"/>
    </xf>
    <xf numFmtId="0" fontId="17" fillId="0" borderId="0" xfId="4" applyFont="1" applyAlignment="1">
      <alignment horizontal="center" vertical="center"/>
    </xf>
    <xf numFmtId="0" fontId="4" fillId="4" borderId="0" xfId="0" applyFont="1" applyFill="1"/>
    <xf numFmtId="0" fontId="7" fillId="0" borderId="0" xfId="0" applyFont="1" applyAlignment="1">
      <alignment vertical="center" wrapText="1"/>
    </xf>
    <xf numFmtId="0" fontId="6" fillId="0" borderId="0" xfId="0" applyFont="1" applyAlignment="1">
      <alignment vertical="center" wrapText="1"/>
    </xf>
    <xf numFmtId="0" fontId="8" fillId="0" borderId="0" xfId="0" applyFont="1"/>
    <xf numFmtId="0" fontId="4" fillId="0" borderId="0" xfId="0" applyFont="1" applyAlignment="1">
      <alignment horizontal="center" vertical="top" wrapText="1"/>
    </xf>
    <xf numFmtId="0" fontId="8" fillId="0" borderId="0" xfId="0" applyFont="1" applyAlignment="1">
      <alignment horizontal="center"/>
    </xf>
    <xf numFmtId="0" fontId="0" fillId="6" borderId="0" xfId="0" applyFill="1"/>
    <xf numFmtId="0" fontId="0" fillId="0" borderId="47" xfId="0" applyBorder="1"/>
    <xf numFmtId="164" fontId="21" fillId="0" borderId="53" xfId="1" applyNumberFormat="1" applyFont="1" applyFill="1" applyBorder="1" applyAlignment="1" applyProtection="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164" fontId="21" fillId="0" borderId="56" xfId="1" applyNumberFormat="1" applyFont="1" applyFill="1" applyBorder="1" applyAlignment="1" applyProtection="1">
      <alignment horizontal="center" vertical="center"/>
    </xf>
    <xf numFmtId="164" fontId="15" fillId="0" borderId="54" xfId="1" applyNumberFormat="1" applyFont="1" applyFill="1" applyBorder="1" applyAlignment="1" applyProtection="1">
      <alignment horizontal="center" vertical="center"/>
    </xf>
    <xf numFmtId="0" fontId="0" fillId="3" borderId="17" xfId="0" applyFill="1" applyBorder="1" applyAlignment="1">
      <alignment horizontal="center" vertical="center"/>
    </xf>
    <xf numFmtId="0" fontId="0" fillId="0" borderId="47" xfId="0" applyBorder="1" applyAlignment="1">
      <alignment horizontal="center" wrapText="1"/>
    </xf>
    <xf numFmtId="0" fontId="0" fillId="0" borderId="47" xfId="0" applyBorder="1" applyAlignment="1">
      <alignment horizontal="left" vertical="center" wrapText="1"/>
    </xf>
    <xf numFmtId="0" fontId="0" fillId="0" borderId="56" xfId="0" applyBorder="1" applyAlignment="1">
      <alignment horizontal="center" vertical="center"/>
    </xf>
    <xf numFmtId="0" fontId="0" fillId="0" borderId="9" xfId="0" applyBorder="1" applyAlignment="1">
      <alignment horizontal="center" wrapText="1"/>
    </xf>
    <xf numFmtId="0" fontId="7" fillId="0" borderId="40" xfId="0" applyFont="1" applyBorder="1" applyAlignment="1">
      <alignment vertical="center" wrapText="1"/>
    </xf>
    <xf numFmtId="0" fontId="6" fillId="0" borderId="40" xfId="0" applyFont="1" applyBorder="1" applyAlignment="1">
      <alignment vertical="center" wrapText="1"/>
    </xf>
    <xf numFmtId="0" fontId="0" fillId="0" borderId="47" xfId="0" applyBorder="1" applyAlignment="1">
      <alignment wrapText="1"/>
    </xf>
    <xf numFmtId="0" fontId="22" fillId="0" borderId="47" xfId="0" applyFont="1" applyBorder="1" applyAlignment="1">
      <alignment horizontal="center" vertical="center" wrapText="1"/>
    </xf>
    <xf numFmtId="0" fontId="0" fillId="0" borderId="53" xfId="0" applyBorder="1" applyAlignment="1">
      <alignment wrapText="1"/>
    </xf>
    <xf numFmtId="0" fontId="7" fillId="0" borderId="47" xfId="2" applyFont="1" applyBorder="1" applyAlignment="1">
      <alignment horizontal="center" vertical="center" wrapText="1"/>
    </xf>
    <xf numFmtId="0" fontId="0" fillId="0" borderId="55" xfId="0" applyBorder="1" applyAlignment="1">
      <alignment horizontal="center" wrapText="1"/>
    </xf>
    <xf numFmtId="0" fontId="24" fillId="5" borderId="47" xfId="0" applyFont="1" applyFill="1" applyBorder="1" applyAlignment="1">
      <alignment horizontal="center" vertical="center"/>
    </xf>
    <xf numFmtId="0" fontId="24" fillId="0" borderId="47" xfId="0" applyFont="1" applyBorder="1" applyAlignment="1">
      <alignment horizontal="center" vertical="center"/>
    </xf>
    <xf numFmtId="164" fontId="25" fillId="0" borderId="53" xfId="1" applyNumberFormat="1" applyFont="1" applyFill="1" applyBorder="1" applyAlignment="1" applyProtection="1">
      <alignment horizontal="center" vertical="center"/>
    </xf>
    <xf numFmtId="164" fontId="25" fillId="0" borderId="47" xfId="1" applyNumberFormat="1" applyFont="1" applyFill="1" applyBorder="1" applyAlignment="1" applyProtection="1">
      <alignment horizontal="center" vertical="center"/>
    </xf>
    <xf numFmtId="1" fontId="26" fillId="5" borderId="9" xfId="1" applyNumberFormat="1" applyFont="1" applyFill="1" applyBorder="1" applyAlignment="1" applyProtection="1">
      <alignment horizontal="center" vertical="center"/>
    </xf>
    <xf numFmtId="1" fontId="26" fillId="7" borderId="9" xfId="1" applyNumberFormat="1" applyFont="1" applyFill="1" applyBorder="1" applyAlignment="1" applyProtection="1">
      <alignment horizontal="center" vertical="center"/>
    </xf>
    <xf numFmtId="164" fontId="25" fillId="0" borderId="58" xfId="1" applyNumberFormat="1" applyFont="1" applyFill="1" applyBorder="1" applyAlignment="1" applyProtection="1">
      <alignment horizontal="center" vertical="center"/>
    </xf>
    <xf numFmtId="0" fontId="27" fillId="0" borderId="47" xfId="0" applyFont="1" applyBorder="1" applyAlignment="1">
      <alignment horizontal="center" vertical="center"/>
    </xf>
    <xf numFmtId="0" fontId="27" fillId="5" borderId="47" xfId="0" applyFont="1" applyFill="1" applyBorder="1" applyAlignment="1">
      <alignment horizontal="center" vertical="center"/>
    </xf>
    <xf numFmtId="1" fontId="26" fillId="5" borderId="31" xfId="1" applyNumberFormat="1" applyFont="1" applyFill="1" applyBorder="1" applyAlignment="1" applyProtection="1">
      <alignment horizontal="center" vertical="center"/>
    </xf>
    <xf numFmtId="0" fontId="7" fillId="5" borderId="9" xfId="2" applyFont="1" applyFill="1" applyBorder="1" applyAlignment="1">
      <alignment horizontal="center" vertical="center" wrapText="1"/>
    </xf>
    <xf numFmtId="0" fontId="23" fillId="5" borderId="9" xfId="2" applyFont="1" applyFill="1" applyBorder="1" applyAlignment="1">
      <alignment horizontal="center" vertical="center" wrapText="1"/>
    </xf>
    <xf numFmtId="0" fontId="7" fillId="5" borderId="31" xfId="2" applyFont="1" applyFill="1" applyBorder="1" applyAlignment="1">
      <alignment horizontal="center" vertical="center" wrapText="1"/>
    </xf>
    <xf numFmtId="0" fontId="0" fillId="7" borderId="47" xfId="0" applyFill="1" applyBorder="1" applyAlignment="1">
      <alignment horizontal="center" vertical="center"/>
    </xf>
    <xf numFmtId="0" fontId="0" fillId="7" borderId="53" xfId="0" applyFill="1" applyBorder="1" applyAlignment="1">
      <alignment horizontal="center" vertical="center"/>
    </xf>
    <xf numFmtId="0" fontId="28" fillId="0" borderId="53" xfId="0" applyFont="1" applyBorder="1" applyAlignment="1">
      <alignment horizontal="center" vertical="center"/>
    </xf>
    <xf numFmtId="1" fontId="16" fillId="0" borderId="13" xfId="1" applyNumberFormat="1" applyFont="1" applyFill="1" applyBorder="1" applyAlignment="1" applyProtection="1">
      <alignment horizontal="center" vertical="center"/>
    </xf>
    <xf numFmtId="0" fontId="9" fillId="0" borderId="13" xfId="0" applyFont="1" applyBorder="1" applyAlignment="1">
      <alignment horizontal="center" vertical="center"/>
    </xf>
    <xf numFmtId="0" fontId="2" fillId="2" borderId="17" xfId="0" applyFont="1" applyFill="1" applyBorder="1" applyAlignment="1">
      <alignment horizontal="center" vertical="center"/>
    </xf>
    <xf numFmtId="0" fontId="30" fillId="0" borderId="39" xfId="0" applyFont="1" applyBorder="1" applyAlignment="1">
      <alignment vertical="center"/>
    </xf>
    <xf numFmtId="0" fontId="30" fillId="0" borderId="54" xfId="0" applyFont="1" applyBorder="1" applyAlignment="1">
      <alignment vertical="center"/>
    </xf>
    <xf numFmtId="0" fontId="30" fillId="0" borderId="39" xfId="0" applyFont="1" applyBorder="1" applyAlignment="1">
      <alignment horizontal="left"/>
    </xf>
    <xf numFmtId="0" fontId="30" fillId="0" borderId="54" xfId="0" applyFont="1" applyBorder="1" applyAlignment="1">
      <alignment horizontal="left"/>
    </xf>
    <xf numFmtId="0" fontId="30" fillId="0" borderId="54" xfId="0" applyFont="1" applyBorder="1"/>
    <xf numFmtId="0" fontId="34" fillId="0" borderId="7" xfId="0" applyFont="1" applyBorder="1" applyAlignment="1">
      <alignment horizontal="left" vertical="top" wrapText="1"/>
    </xf>
    <xf numFmtId="0" fontId="16" fillId="0" borderId="7" xfId="0" applyFont="1" applyBorder="1" applyAlignment="1">
      <alignment horizontal="left" vertical="top"/>
    </xf>
    <xf numFmtId="0" fontId="16" fillId="0" borderId="5" xfId="0" applyFont="1" applyBorder="1" applyAlignment="1">
      <alignment horizontal="left" vertical="top"/>
    </xf>
    <xf numFmtId="0" fontId="16" fillId="0" borderId="39" xfId="0" applyFont="1" applyBorder="1" applyAlignment="1">
      <alignment horizontal="left" vertical="top"/>
    </xf>
    <xf numFmtId="0" fontId="16" fillId="0" borderId="9" xfId="0" applyFont="1" applyBorder="1" applyAlignment="1">
      <alignment horizontal="left" vertical="top"/>
    </xf>
    <xf numFmtId="0" fontId="2" fillId="0" borderId="0" xfId="0" applyFont="1"/>
    <xf numFmtId="164" fontId="38" fillId="0" borderId="47" xfId="1" applyNumberFormat="1" applyFont="1" applyBorder="1" applyAlignment="1">
      <alignment horizontal="center" vertical="center"/>
    </xf>
    <xf numFmtId="164" fontId="38" fillId="5" borderId="47" xfId="1" applyNumberFormat="1" applyFont="1" applyFill="1" applyBorder="1" applyAlignment="1">
      <alignment horizontal="center" vertical="center"/>
    </xf>
    <xf numFmtId="0" fontId="39" fillId="5" borderId="47" xfId="2" applyFont="1" applyFill="1" applyBorder="1" applyAlignment="1">
      <alignment horizontal="center" vertical="center" wrapText="1"/>
    </xf>
    <xf numFmtId="0" fontId="39" fillId="5" borderId="52" xfId="2" applyFont="1" applyFill="1" applyBorder="1" applyAlignment="1">
      <alignment horizontal="center" vertical="center" wrapText="1"/>
    </xf>
    <xf numFmtId="0" fontId="39" fillId="5" borderId="51" xfId="2" applyFont="1" applyFill="1" applyBorder="1" applyAlignment="1">
      <alignment horizontal="center" vertical="center" wrapText="1"/>
    </xf>
    <xf numFmtId="0" fontId="39" fillId="5" borderId="53" xfId="2" applyFont="1" applyFill="1" applyBorder="1" applyAlignment="1">
      <alignment horizontal="center" vertical="center" wrapText="1"/>
    </xf>
    <xf numFmtId="0" fontId="40" fillId="5" borderId="47" xfId="2" applyFont="1" applyFill="1" applyBorder="1" applyAlignment="1">
      <alignment horizontal="center" vertical="center" wrapText="1"/>
    </xf>
    <xf numFmtId="1" fontId="39" fillId="5" borderId="9" xfId="1" applyNumberFormat="1" applyFont="1" applyFill="1" applyBorder="1" applyAlignment="1" applyProtection="1">
      <alignment horizontal="center" vertical="center"/>
    </xf>
    <xf numFmtId="164" fontId="42" fillId="5" borderId="59" xfId="1" applyNumberFormat="1" applyFont="1" applyFill="1" applyBorder="1" applyAlignment="1" applyProtection="1">
      <alignment horizontal="center" vertical="center"/>
    </xf>
    <xf numFmtId="0" fontId="42" fillId="0" borderId="47" xfId="0" applyFont="1" applyBorder="1" applyAlignment="1">
      <alignment horizontal="center" vertical="center"/>
    </xf>
    <xf numFmtId="0" fontId="41" fillId="0" borderId="47" xfId="0" applyFont="1" applyBorder="1" applyAlignment="1">
      <alignment horizontal="center" vertical="center" wrapText="1"/>
    </xf>
    <xf numFmtId="0" fontId="28" fillId="0" borderId="58" xfId="0" applyFont="1" applyBorder="1" applyAlignment="1">
      <alignment horizontal="center" vertical="center"/>
    </xf>
    <xf numFmtId="0" fontId="28" fillId="0" borderId="59" xfId="0" applyFont="1" applyBorder="1" applyAlignment="1">
      <alignment horizontal="center" vertical="center"/>
    </xf>
    <xf numFmtId="0" fontId="41" fillId="0" borderId="51" xfId="0" applyFont="1" applyBorder="1" applyAlignment="1">
      <alignment horizontal="center" vertical="center" wrapText="1"/>
    </xf>
    <xf numFmtId="0" fontId="28" fillId="0" borderId="60" xfId="0" applyFont="1" applyBorder="1" applyAlignment="1">
      <alignment horizontal="center" vertical="center"/>
    </xf>
    <xf numFmtId="0" fontId="39" fillId="5" borderId="58" xfId="2"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64" fontId="38" fillId="0" borderId="0" xfId="1" applyNumberFormat="1" applyFont="1" applyBorder="1" applyAlignment="1">
      <alignment horizontal="center" vertical="center"/>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0" fillId="5" borderId="53" xfId="2" applyFont="1" applyFill="1" applyBorder="1" applyAlignment="1">
      <alignment horizontal="center" vertical="center" wrapText="1"/>
    </xf>
    <xf numFmtId="164" fontId="15" fillId="0" borderId="47" xfId="1" applyNumberFormat="1" applyFont="1" applyFill="1" applyBorder="1" applyAlignment="1" applyProtection="1">
      <alignment horizontal="center" vertical="center"/>
    </xf>
    <xf numFmtId="0" fontId="39" fillId="5" borderId="47" xfId="2" applyFont="1" applyFill="1" applyBorder="1" applyAlignment="1">
      <alignment vertical="center" wrapText="1"/>
    </xf>
    <xf numFmtId="0" fontId="7" fillId="0" borderId="52" xfId="2" applyFont="1" applyBorder="1" applyAlignment="1">
      <alignment horizontal="center" vertical="center" wrapText="1"/>
    </xf>
    <xf numFmtId="164" fontId="45" fillId="0" borderId="47" xfId="1" applyNumberFormat="1" applyFont="1" applyBorder="1" applyAlignment="1">
      <alignment horizontal="center" vertical="center"/>
    </xf>
    <xf numFmtId="0" fontId="7" fillId="5" borderId="47" xfId="2" applyFont="1" applyFill="1" applyBorder="1" applyAlignment="1">
      <alignment horizontal="center" vertical="center" wrapText="1"/>
    </xf>
    <xf numFmtId="0" fontId="0" fillId="6" borderId="47" xfId="0" applyFill="1" applyBorder="1" applyAlignment="1">
      <alignment horizontal="center" vertical="center"/>
    </xf>
    <xf numFmtId="0" fontId="6" fillId="0" borderId="0" xfId="0" applyFont="1" applyAlignment="1">
      <alignment horizontal="center" vertical="center" wrapText="1"/>
    </xf>
    <xf numFmtId="0" fontId="4" fillId="4" borderId="16" xfId="0" applyFont="1" applyFill="1" applyBorder="1"/>
    <xf numFmtId="0" fontId="0" fillId="5" borderId="51" xfId="0" applyFill="1" applyBorder="1" applyAlignment="1">
      <alignment horizontal="center" vertical="center"/>
    </xf>
    <xf numFmtId="0" fontId="39" fillId="5" borderId="53" xfId="2" applyFont="1" applyFill="1" applyBorder="1" applyAlignment="1">
      <alignment vertical="center" wrapText="1"/>
    </xf>
    <xf numFmtId="0" fontId="39" fillId="5" borderId="59" xfId="2" applyFont="1" applyFill="1" applyBorder="1" applyAlignment="1">
      <alignment vertical="center" wrapText="1"/>
    </xf>
    <xf numFmtId="164" fontId="45" fillId="5" borderId="47" xfId="1" applyNumberFormat="1" applyFont="1" applyFill="1" applyBorder="1" applyAlignment="1">
      <alignment horizontal="center" vertical="center"/>
    </xf>
    <xf numFmtId="0" fontId="39" fillId="9" borderId="47" xfId="2" applyFont="1" applyFill="1" applyBorder="1" applyAlignment="1">
      <alignment horizontal="center" vertical="center" wrapText="1"/>
    </xf>
    <xf numFmtId="0" fontId="0" fillId="0" borderId="52" xfId="0" applyBorder="1" applyAlignment="1">
      <alignment horizontal="center" vertical="center" wrapText="1"/>
    </xf>
    <xf numFmtId="164" fontId="38" fillId="0" borderId="52" xfId="1" applyNumberFormat="1" applyFont="1" applyBorder="1" applyAlignment="1">
      <alignment horizontal="center" vertical="center"/>
    </xf>
    <xf numFmtId="0" fontId="40" fillId="5" borderId="52" xfId="2" applyFont="1" applyFill="1" applyBorder="1" applyAlignment="1">
      <alignment horizontal="center" vertical="center" wrapText="1"/>
    </xf>
    <xf numFmtId="164" fontId="15" fillId="5" borderId="47" xfId="1" applyNumberFormat="1" applyFont="1" applyFill="1" applyBorder="1" applyAlignment="1" applyProtection="1">
      <alignment horizontal="center" vertical="center"/>
    </xf>
    <xf numFmtId="0" fontId="0" fillId="5" borderId="52" xfId="0" applyFill="1" applyBorder="1" applyAlignment="1">
      <alignment horizontal="center" vertical="center"/>
    </xf>
    <xf numFmtId="1" fontId="35" fillId="5" borderId="31" xfId="1" applyNumberFormat="1" applyFont="1" applyFill="1" applyBorder="1" applyAlignment="1" applyProtection="1">
      <alignment horizontal="center" vertical="center"/>
    </xf>
    <xf numFmtId="164" fontId="15" fillId="5" borderId="31" xfId="1" applyNumberFormat="1" applyFont="1" applyFill="1" applyBorder="1" applyAlignment="1" applyProtection="1">
      <alignment horizontal="center" vertical="center"/>
    </xf>
    <xf numFmtId="0" fontId="7" fillId="5" borderId="52" xfId="2" applyFont="1" applyFill="1" applyBorder="1" applyAlignment="1">
      <alignment horizontal="center" vertical="center" wrapText="1"/>
    </xf>
    <xf numFmtId="164" fontId="15" fillId="0" borderId="52" xfId="1" applyNumberFormat="1" applyFont="1" applyFill="1" applyBorder="1" applyAlignment="1" applyProtection="1">
      <alignment horizontal="center" vertical="center"/>
    </xf>
    <xf numFmtId="0" fontId="39" fillId="6" borderId="52" xfId="2" applyFont="1" applyFill="1" applyBorder="1" applyAlignment="1">
      <alignment horizontal="center" vertical="center" wrapText="1"/>
    </xf>
    <xf numFmtId="0" fontId="7" fillId="0" borderId="9" xfId="2" applyFont="1" applyBorder="1" applyAlignment="1">
      <alignment horizontal="left" vertical="center" wrapText="1"/>
    </xf>
    <xf numFmtId="0" fontId="0" fillId="0" borderId="0" xfId="0" applyAlignment="1">
      <alignment vertical="center" wrapText="1"/>
    </xf>
    <xf numFmtId="0" fontId="0" fillId="6" borderId="0" xfId="0" applyFill="1" applyAlignment="1">
      <alignment vertical="center" wrapText="1"/>
    </xf>
    <xf numFmtId="0" fontId="48" fillId="0" borderId="9" xfId="2" applyFont="1" applyBorder="1" applyAlignment="1">
      <alignment horizontal="left" vertical="center" wrapText="1"/>
    </xf>
    <xf numFmtId="0" fontId="7" fillId="0" borderId="31" xfId="2" applyFont="1" applyBorder="1" applyAlignment="1">
      <alignment horizontal="left" vertical="center" wrapText="1"/>
    </xf>
    <xf numFmtId="0" fontId="2" fillId="6" borderId="5" xfId="0" applyFont="1" applyFill="1" applyBorder="1" applyAlignment="1">
      <alignment horizontal="center" vertical="center"/>
    </xf>
    <xf numFmtId="0" fontId="10" fillId="0" borderId="47" xfId="0" applyFont="1" applyBorder="1" applyAlignment="1">
      <alignment vertical="center" wrapText="1"/>
    </xf>
    <xf numFmtId="0" fontId="11" fillId="0" borderId="0" xfId="0" applyFont="1" applyAlignment="1">
      <alignment horizontal="center"/>
    </xf>
    <xf numFmtId="0" fontId="12" fillId="0" borderId="0" xfId="0" applyFont="1" applyAlignment="1">
      <alignment horizontal="center"/>
    </xf>
    <xf numFmtId="0" fontId="19" fillId="0" borderId="11" xfId="0" applyFont="1" applyBorder="1" applyAlignment="1">
      <alignment vertical="center" wrapText="1"/>
    </xf>
    <xf numFmtId="0" fontId="20" fillId="0" borderId="11" xfId="0" applyFont="1" applyBorder="1" applyAlignment="1">
      <alignment vertical="center" wrapText="1"/>
    </xf>
    <xf numFmtId="0" fontId="49" fillId="0" borderId="0" xfId="0" applyFont="1"/>
    <xf numFmtId="0" fontId="49" fillId="0" borderId="36" xfId="0" applyFont="1" applyBorder="1"/>
    <xf numFmtId="0" fontId="20" fillId="0" borderId="0" xfId="0" applyFont="1" applyAlignment="1">
      <alignment horizontal="center" vertical="center" wrapText="1"/>
    </xf>
    <xf numFmtId="1" fontId="35" fillId="5" borderId="9" xfId="1" applyNumberFormat="1" applyFont="1" applyFill="1" applyBorder="1" applyAlignment="1" applyProtection="1">
      <alignment horizontal="center" vertical="center"/>
    </xf>
    <xf numFmtId="0" fontId="0" fillId="7" borderId="52" xfId="0" applyFill="1" applyBorder="1" applyAlignment="1">
      <alignment horizontal="center" vertical="center"/>
    </xf>
    <xf numFmtId="0" fontId="54" fillId="10" borderId="9" xfId="5" applyFont="1" applyFill="1" applyBorder="1" applyAlignment="1">
      <alignment horizontal="left" vertical="center" wrapText="1"/>
    </xf>
    <xf numFmtId="0" fontId="54" fillId="0" borderId="9" xfId="5" applyFont="1" applyBorder="1" applyAlignment="1">
      <alignment horizontal="left" vertical="center"/>
    </xf>
    <xf numFmtId="0" fontId="54" fillId="0" borderId="9" xfId="5" applyFont="1" applyBorder="1" applyAlignment="1">
      <alignment vertical="center"/>
    </xf>
    <xf numFmtId="0" fontId="54" fillId="0" borderId="9" xfId="5" applyFont="1" applyBorder="1" applyAlignment="1">
      <alignment horizontal="center" vertical="center"/>
    </xf>
    <xf numFmtId="0" fontId="54" fillId="0" borderId="9" xfId="5" applyFont="1" applyBorder="1" applyAlignment="1">
      <alignment vertical="center" wrapText="1"/>
    </xf>
    <xf numFmtId="0" fontId="54" fillId="0" borderId="9" xfId="5" applyFont="1" applyBorder="1" applyAlignment="1">
      <alignment vertical="top" wrapText="1"/>
    </xf>
    <xf numFmtId="20" fontId="54" fillId="0" borderId="9" xfId="5" applyNumberFormat="1" applyFont="1" applyBorder="1" applyAlignment="1">
      <alignment horizontal="left" vertical="center"/>
    </xf>
    <xf numFmtId="0" fontId="54" fillId="0" borderId="0" xfId="5" applyFont="1" applyAlignment="1">
      <alignment vertical="center"/>
    </xf>
    <xf numFmtId="0" fontId="56" fillId="10" borderId="9" xfId="5" applyFont="1" applyFill="1" applyBorder="1" applyAlignment="1">
      <alignment horizontal="center" vertical="center"/>
    </xf>
    <xf numFmtId="0" fontId="54" fillId="0" borderId="39" xfId="5" applyFont="1" applyBorder="1" applyAlignment="1">
      <alignment horizontal="center" vertical="center"/>
    </xf>
    <xf numFmtId="0" fontId="54" fillId="0" borderId="9" xfId="5" applyFont="1" applyBorder="1" applyAlignment="1">
      <alignment horizontal="center" vertical="center" wrapText="1"/>
    </xf>
    <xf numFmtId="164" fontId="15" fillId="0" borderId="120" xfId="1" applyNumberFormat="1" applyFont="1" applyFill="1" applyBorder="1" applyAlignment="1" applyProtection="1">
      <alignment horizontal="center" vertical="center"/>
    </xf>
    <xf numFmtId="0" fontId="2" fillId="0" borderId="121" xfId="0" applyFont="1" applyBorder="1" applyAlignment="1">
      <alignment horizontal="center" vertical="center"/>
    </xf>
    <xf numFmtId="0" fontId="30" fillId="0" borderId="54" xfId="0" applyFont="1" applyBorder="1" applyAlignment="1">
      <alignment horizontal="left" vertical="center" wrapText="1"/>
    </xf>
    <xf numFmtId="0" fontId="30" fillId="0" borderId="9" xfId="0" applyFont="1" applyBorder="1" applyAlignment="1">
      <alignment horizontal="left" vertical="center"/>
    </xf>
    <xf numFmtId="0" fontId="43" fillId="0" borderId="47" xfId="0" applyFont="1" applyBorder="1" applyAlignment="1">
      <alignment vertical="center"/>
    </xf>
    <xf numFmtId="0" fontId="0" fillId="5" borderId="53" xfId="0" applyFill="1" applyBorder="1" applyAlignment="1">
      <alignment horizontal="center" vertical="center"/>
    </xf>
    <xf numFmtId="164" fontId="15" fillId="0" borderId="31" xfId="1" applyNumberFormat="1" applyFont="1" applyFill="1" applyBorder="1" applyAlignment="1" applyProtection="1">
      <alignment horizontal="center" vertical="center"/>
    </xf>
    <xf numFmtId="164" fontId="15" fillId="0" borderId="57" xfId="1" applyNumberFormat="1" applyFont="1" applyFill="1" applyBorder="1" applyAlignment="1" applyProtection="1">
      <alignment horizontal="center" vertical="center"/>
    </xf>
    <xf numFmtId="0" fontId="40" fillId="5" borderId="51" xfId="2" applyFont="1" applyFill="1" applyBorder="1" applyAlignment="1">
      <alignment horizontal="center" vertical="center" wrapText="1"/>
    </xf>
    <xf numFmtId="0" fontId="10" fillId="0" borderId="47" xfId="0" applyFont="1" applyBorder="1" applyAlignment="1">
      <alignment horizontal="center" vertical="center" wrapText="1"/>
    </xf>
    <xf numFmtId="0" fontId="62" fillId="0" borderId="9" xfId="5" applyFont="1" applyBorder="1" applyAlignment="1">
      <alignment vertical="center"/>
    </xf>
    <xf numFmtId="0" fontId="62" fillId="0" borderId="39" xfId="5" applyFont="1" applyBorder="1" applyAlignment="1">
      <alignment horizontal="center" vertical="center"/>
    </xf>
    <xf numFmtId="0" fontId="62" fillId="0" borderId="9" xfId="5" applyFont="1" applyBorder="1" applyAlignment="1">
      <alignment vertical="center" wrapText="1"/>
    </xf>
    <xf numFmtId="0" fontId="62" fillId="0" borderId="9" xfId="5" applyFont="1" applyBorder="1" applyAlignment="1">
      <alignment vertical="top" wrapText="1"/>
    </xf>
    <xf numFmtId="20" fontId="62" fillId="0" borderId="9" xfId="5" applyNumberFormat="1" applyFont="1" applyBorder="1" applyAlignment="1">
      <alignment horizontal="left" vertical="center"/>
    </xf>
    <xf numFmtId="0" fontId="62" fillId="0" borderId="0" xfId="5" applyFont="1" applyAlignment="1">
      <alignment vertical="center"/>
    </xf>
    <xf numFmtId="0" fontId="64" fillId="10" borderId="9" xfId="5" applyFont="1" applyFill="1" applyBorder="1" applyAlignment="1">
      <alignment horizontal="center" vertical="center"/>
    </xf>
    <xf numFmtId="0" fontId="62" fillId="0" borderId="9" xfId="5" applyFont="1" applyBorder="1" applyAlignment="1">
      <alignment horizontal="center" vertical="center"/>
    </xf>
    <xf numFmtId="0" fontId="62" fillId="0" borderId="9" xfId="5" applyFont="1" applyBorder="1" applyAlignment="1">
      <alignment horizontal="center" vertical="center" wrapText="1"/>
    </xf>
    <xf numFmtId="0" fontId="62" fillId="0" borderId="9" xfId="5" applyFont="1" applyBorder="1" applyAlignment="1">
      <alignment horizontal="left" vertical="center"/>
    </xf>
    <xf numFmtId="0" fontId="54" fillId="10" borderId="9" xfId="5" applyFont="1" applyFill="1" applyBorder="1" applyAlignment="1">
      <alignment horizontal="center" vertical="center" wrapText="1"/>
    </xf>
    <xf numFmtId="0" fontId="62" fillId="10" borderId="9" xfId="5" applyFont="1" applyFill="1" applyBorder="1" applyAlignment="1">
      <alignment horizontal="center" vertical="center" wrapText="1"/>
    </xf>
    <xf numFmtId="0" fontId="0" fillId="11" borderId="47" xfId="0" applyFill="1" applyBorder="1" applyAlignment="1">
      <alignment horizontal="center" vertical="center"/>
    </xf>
    <xf numFmtId="2" fontId="0" fillId="3" borderId="17" xfId="0" applyNumberFormat="1" applyFill="1" applyBorder="1" applyAlignment="1">
      <alignment horizontal="center" vertical="center"/>
    </xf>
    <xf numFmtId="2" fontId="0" fillId="3" borderId="12" xfId="0" applyNumberFormat="1" applyFill="1" applyBorder="1" applyAlignment="1">
      <alignment horizontal="center" vertical="center"/>
    </xf>
    <xf numFmtId="0" fontId="0" fillId="0" borderId="58" xfId="0" applyBorder="1" applyAlignment="1">
      <alignment horizontal="center" vertical="center"/>
    </xf>
    <xf numFmtId="0" fontId="0" fillId="0" borderId="57" xfId="0" applyBorder="1" applyAlignment="1">
      <alignment horizontal="center" vertical="center"/>
    </xf>
    <xf numFmtId="0" fontId="40" fillId="5" borderId="57" xfId="2" applyFont="1" applyFill="1" applyBorder="1" applyAlignment="1">
      <alignment horizontal="center" vertical="center" wrapText="1"/>
    </xf>
    <xf numFmtId="0" fontId="10" fillId="0" borderId="52" xfId="0" applyFont="1" applyBorder="1" applyAlignment="1">
      <alignment horizontal="center" vertical="center" wrapText="1"/>
    </xf>
    <xf numFmtId="0" fontId="10" fillId="0" borderId="52" xfId="0" applyFont="1" applyBorder="1" applyAlignment="1">
      <alignment vertical="center" wrapText="1"/>
    </xf>
    <xf numFmtId="0" fontId="10" fillId="0" borderId="51" xfId="0" applyFont="1" applyBorder="1" applyAlignment="1">
      <alignment horizontal="center" vertical="center" wrapText="1"/>
    </xf>
    <xf numFmtId="0" fontId="10" fillId="0" borderId="51" xfId="0" applyFont="1" applyBorder="1" applyAlignment="1">
      <alignment vertical="center" wrapText="1"/>
    </xf>
    <xf numFmtId="0" fontId="10" fillId="0" borderId="57" xfId="0" applyFont="1" applyBorder="1" applyAlignment="1">
      <alignment horizontal="center" vertical="center" wrapText="1"/>
    </xf>
    <xf numFmtId="0" fontId="10" fillId="0" borderId="57" xfId="0" applyFont="1" applyBorder="1" applyAlignment="1">
      <alignment vertical="center" wrapText="1"/>
    </xf>
    <xf numFmtId="0" fontId="10" fillId="0" borderId="67" xfId="0" applyFont="1" applyBorder="1" applyAlignment="1">
      <alignment horizontal="center" vertical="center" wrapText="1"/>
    </xf>
    <xf numFmtId="0" fontId="10" fillId="0" borderId="55" xfId="0" applyFont="1" applyBorder="1" applyAlignment="1">
      <alignment horizontal="center" vertical="center" wrapText="1"/>
    </xf>
    <xf numFmtId="164" fontId="15" fillId="5" borderId="47" xfId="1" applyNumberFormat="1" applyFont="1" applyFill="1" applyBorder="1" applyAlignment="1" applyProtection="1">
      <alignment horizontal="left" vertical="center"/>
    </xf>
    <xf numFmtId="0" fontId="53" fillId="5" borderId="0" xfId="5" applyFont="1" applyFill="1" applyAlignment="1">
      <alignment vertical="center"/>
    </xf>
    <xf numFmtId="0" fontId="0" fillId="0" borderId="62" xfId="0" applyBorder="1" applyAlignment="1">
      <alignment horizontal="center" vertical="center"/>
    </xf>
    <xf numFmtId="0" fontId="54" fillId="0" borderId="0" xfId="5" applyFont="1" applyAlignment="1">
      <alignment vertical="center" wrapText="1"/>
    </xf>
    <xf numFmtId="0" fontId="2" fillId="0" borderId="53" xfId="0" applyFont="1" applyBorder="1" applyAlignment="1">
      <alignment horizontal="center" vertical="center"/>
    </xf>
    <xf numFmtId="0" fontId="0" fillId="0" borderId="59" xfId="0" applyBorder="1" applyAlignment="1">
      <alignment horizontal="center" vertical="center"/>
    </xf>
    <xf numFmtId="0" fontId="0" fillId="0" borderId="58" xfId="0" applyBorder="1" applyAlignment="1">
      <alignment horizontal="center" vertical="center" wrapText="1"/>
    </xf>
    <xf numFmtId="0" fontId="0" fillId="0" borderId="67" xfId="0" applyBorder="1" applyAlignment="1">
      <alignment horizontal="center" vertical="center"/>
    </xf>
    <xf numFmtId="0" fontId="60" fillId="0" borderId="34" xfId="5" applyFont="1" applyBorder="1" applyAlignment="1">
      <alignment vertical="center" wrapText="1"/>
    </xf>
    <xf numFmtId="0" fontId="54" fillId="0" borderId="0" xfId="5" applyFont="1" applyAlignment="1">
      <alignment horizontal="center" vertical="center"/>
    </xf>
    <xf numFmtId="0" fontId="54" fillId="0" borderId="31" xfId="5" applyFont="1" applyBorder="1" applyAlignment="1">
      <alignment horizontal="center" vertical="center"/>
    </xf>
    <xf numFmtId="0" fontId="54" fillId="0" borderId="13" xfId="5" applyFont="1" applyBorder="1" applyAlignment="1">
      <alignment vertical="center"/>
    </xf>
    <xf numFmtId="0" fontId="54" fillId="0" borderId="31" xfId="5" applyFont="1" applyBorder="1" applyAlignment="1">
      <alignment vertical="center" wrapText="1"/>
    </xf>
    <xf numFmtId="0" fontId="54" fillId="0" borderId="35" xfId="5" applyFont="1" applyBorder="1" applyAlignment="1">
      <alignment vertical="center" wrapText="1"/>
    </xf>
    <xf numFmtId="0" fontId="54" fillId="10" borderId="5" xfId="5" applyFont="1" applyFill="1" applyBorder="1" applyAlignment="1">
      <alignment horizontal="left" vertical="center" wrapText="1"/>
    </xf>
    <xf numFmtId="0" fontId="62" fillId="10" borderId="9" xfId="5" applyFont="1" applyFill="1" applyBorder="1" applyAlignment="1">
      <alignment horizontal="left" vertical="center" wrapText="1"/>
    </xf>
    <xf numFmtId="164" fontId="45" fillId="5" borderId="47" xfId="1" applyNumberFormat="1" applyFont="1" applyFill="1" applyBorder="1" applyAlignment="1">
      <alignment horizontal="left" vertical="center"/>
    </xf>
    <xf numFmtId="0" fontId="62" fillId="0" borderId="0" xfId="5" applyFont="1" applyAlignment="1">
      <alignment vertical="center" wrapText="1"/>
    </xf>
    <xf numFmtId="164" fontId="15" fillId="6" borderId="47" xfId="1" applyNumberFormat="1" applyFont="1" applyFill="1" applyBorder="1" applyAlignment="1" applyProtection="1">
      <alignment horizontal="left" vertical="center"/>
    </xf>
    <xf numFmtId="0" fontId="54" fillId="6" borderId="9" xfId="5" applyFont="1" applyFill="1" applyBorder="1" applyAlignment="1">
      <alignment vertical="center"/>
    </xf>
    <xf numFmtId="0" fontId="54" fillId="6" borderId="9" xfId="5" applyFont="1" applyFill="1" applyBorder="1" applyAlignment="1">
      <alignment vertical="center" wrapText="1"/>
    </xf>
    <xf numFmtId="0" fontId="54" fillId="6" borderId="9" xfId="5" applyFont="1" applyFill="1" applyBorder="1" applyAlignment="1">
      <alignment vertical="top" wrapText="1"/>
    </xf>
    <xf numFmtId="20" fontId="54" fillId="6" borderId="9" xfId="5" applyNumberFormat="1" applyFont="1" applyFill="1" applyBorder="1" applyAlignment="1">
      <alignment horizontal="left" vertical="center"/>
    </xf>
    <xf numFmtId="0" fontId="54" fillId="6" borderId="0" xfId="5" applyFont="1" applyFill="1" applyAlignment="1">
      <alignment vertical="center"/>
    </xf>
    <xf numFmtId="0" fontId="54" fillId="6" borderId="0" xfId="5" applyFont="1" applyFill="1" applyAlignment="1">
      <alignment vertical="center" wrapText="1"/>
    </xf>
    <xf numFmtId="0" fontId="54" fillId="0" borderId="9" xfId="5" applyFont="1" applyBorder="1" applyAlignment="1">
      <alignment horizontal="left" vertical="center" wrapText="1"/>
    </xf>
    <xf numFmtId="164" fontId="15" fillId="5" borderId="53" xfId="1" applyNumberFormat="1" applyFont="1" applyFill="1" applyBorder="1" applyAlignment="1" applyProtection="1">
      <alignment horizontal="center" vertical="center"/>
    </xf>
    <xf numFmtId="0" fontId="0" fillId="0" borderId="67" xfId="0" applyBorder="1" applyAlignment="1">
      <alignment horizontal="center" vertical="center" wrapText="1"/>
    </xf>
    <xf numFmtId="0" fontId="0" fillId="0" borderId="55" xfId="0" applyBorder="1" applyAlignment="1">
      <alignment horizontal="center" vertical="center" wrapText="1"/>
    </xf>
    <xf numFmtId="0" fontId="0" fillId="12" borderId="47" xfId="0" applyFill="1" applyBorder="1" applyAlignment="1">
      <alignment horizontal="center" vertical="center"/>
    </xf>
    <xf numFmtId="20" fontId="54" fillId="0" borderId="9" xfId="5" applyNumberFormat="1" applyFont="1" applyBorder="1" applyAlignment="1">
      <alignment horizontal="center" vertical="center"/>
    </xf>
    <xf numFmtId="164" fontId="15" fillId="5" borderId="58" xfId="1" applyNumberFormat="1" applyFont="1" applyFill="1" applyBorder="1" applyAlignment="1" applyProtection="1">
      <alignment horizontal="center" vertical="center"/>
    </xf>
    <xf numFmtId="0" fontId="2" fillId="0" borderId="52" xfId="0" applyFont="1" applyBorder="1" applyAlignment="1">
      <alignment horizontal="center" vertical="center"/>
    </xf>
    <xf numFmtId="0" fontId="2" fillId="0" borderId="28" xfId="0" applyFont="1" applyBorder="1" applyAlignment="1">
      <alignment horizontal="center" vertical="center"/>
    </xf>
    <xf numFmtId="164" fontId="15" fillId="5" borderId="59" xfId="1" applyNumberFormat="1" applyFont="1" applyFill="1" applyBorder="1" applyAlignment="1" applyProtection="1">
      <alignment horizontal="center" vertical="center"/>
    </xf>
    <xf numFmtId="0" fontId="0" fillId="0" borderId="55" xfId="0" applyBorder="1" applyAlignment="1">
      <alignment vertical="center"/>
    </xf>
    <xf numFmtId="0" fontId="0" fillId="0" borderId="56" xfId="0" applyBorder="1" applyAlignment="1">
      <alignment vertical="center"/>
    </xf>
    <xf numFmtId="0" fontId="0" fillId="0" borderId="0" xfId="0" applyAlignment="1">
      <alignment wrapText="1"/>
    </xf>
    <xf numFmtId="0" fontId="0" fillId="0" borderId="57" xfId="0" applyBorder="1" applyAlignment="1">
      <alignment horizontal="center" vertical="center" wrapText="1"/>
    </xf>
    <xf numFmtId="0" fontId="0" fillId="0" borderId="60" xfId="0" applyBorder="1" applyAlignment="1">
      <alignment horizontal="center" vertical="center"/>
    </xf>
    <xf numFmtId="0" fontId="0" fillId="0" borderId="55" xfId="0" applyBorder="1" applyAlignment="1">
      <alignment vertical="center" wrapText="1"/>
    </xf>
    <xf numFmtId="0" fontId="0" fillId="0" borderId="47" xfId="0" applyBorder="1" applyAlignment="1">
      <alignment vertical="center" wrapText="1"/>
    </xf>
    <xf numFmtId="0" fontId="0" fillId="0" borderId="122" xfId="0" applyBorder="1" applyAlignment="1">
      <alignment horizontal="center" vertical="center"/>
    </xf>
    <xf numFmtId="0" fontId="65" fillId="0" borderId="47" xfId="0" applyFont="1" applyBorder="1" applyAlignment="1">
      <alignment horizontal="center" vertical="center"/>
    </xf>
    <xf numFmtId="0" fontId="54" fillId="0" borderId="47" xfId="5" applyFont="1" applyBorder="1" applyAlignment="1">
      <alignment horizontal="center" vertical="center"/>
    </xf>
    <xf numFmtId="0" fontId="60" fillId="0" borderId="47" xfId="5" applyFont="1" applyBorder="1" applyAlignment="1">
      <alignment vertical="center"/>
    </xf>
    <xf numFmtId="0" fontId="56" fillId="10" borderId="31" xfId="5" applyFont="1" applyFill="1" applyBorder="1" applyAlignment="1">
      <alignment horizontal="center" vertical="center"/>
    </xf>
    <xf numFmtId="0" fontId="54" fillId="0" borderId="5" xfId="5" applyFont="1" applyBorder="1" applyAlignment="1">
      <alignment horizontal="center" vertical="center"/>
    </xf>
    <xf numFmtId="0" fontId="54" fillId="0" borderId="5" xfId="5" applyFont="1" applyBorder="1" applyAlignment="1">
      <alignment horizontal="center" vertical="center" wrapText="1"/>
    </xf>
    <xf numFmtId="164" fontId="15" fillId="5" borderId="62" xfId="1" applyNumberFormat="1" applyFont="1" applyFill="1" applyBorder="1" applyAlignment="1" applyProtection="1">
      <alignment horizontal="center" vertical="center"/>
    </xf>
    <xf numFmtId="0" fontId="0" fillId="0" borderId="68" xfId="0" applyBorder="1" applyAlignment="1">
      <alignment horizontal="center" vertical="center"/>
    </xf>
    <xf numFmtId="0" fontId="56" fillId="10" borderId="5" xfId="5" applyFont="1" applyFill="1" applyBorder="1" applyAlignment="1">
      <alignment horizontal="center" vertical="center"/>
    </xf>
    <xf numFmtId="164" fontId="45" fillId="5" borderId="53" xfId="1" applyNumberFormat="1" applyFont="1" applyFill="1" applyBorder="1" applyAlignment="1">
      <alignment horizontal="center" vertical="center"/>
    </xf>
    <xf numFmtId="0" fontId="1" fillId="0" borderId="53" xfId="0" applyFont="1" applyBorder="1" applyAlignment="1">
      <alignment horizontal="center" vertical="center"/>
    </xf>
    <xf numFmtId="0" fontId="1" fillId="0" borderId="53" xfId="0" applyFont="1" applyBorder="1" applyAlignment="1">
      <alignment horizontal="center" vertical="center" wrapText="1"/>
    </xf>
    <xf numFmtId="0" fontId="1" fillId="0" borderId="47" xfId="0" applyFont="1" applyBorder="1" applyAlignment="1">
      <alignment horizontal="center" vertical="center" wrapText="1"/>
    </xf>
    <xf numFmtId="0" fontId="1" fillId="6" borderId="53" xfId="0" applyFont="1" applyFill="1" applyBorder="1" applyAlignment="1">
      <alignment horizontal="center" vertical="center"/>
    </xf>
    <xf numFmtId="0" fontId="1" fillId="0" borderId="47" xfId="0" applyFont="1" applyBorder="1" applyAlignment="1">
      <alignment horizontal="center" vertical="center"/>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164" fontId="15" fillId="5" borderId="51" xfId="1" applyNumberFormat="1" applyFont="1" applyFill="1" applyBorder="1" applyAlignment="1" applyProtection="1">
      <alignment horizontal="center" vertical="center"/>
    </xf>
    <xf numFmtId="0" fontId="2" fillId="0" borderId="51" xfId="0" applyFont="1" applyBorder="1" applyAlignment="1">
      <alignment horizontal="center" vertical="center"/>
    </xf>
    <xf numFmtId="164" fontId="45" fillId="0" borderId="13" xfId="1" applyNumberFormat="1" applyFont="1" applyBorder="1" applyAlignment="1">
      <alignment horizontal="center" vertical="center"/>
    </xf>
    <xf numFmtId="0" fontId="19" fillId="0" borderId="9" xfId="2" applyFont="1" applyBorder="1" applyAlignment="1">
      <alignment horizontal="center" vertical="center" wrapText="1"/>
    </xf>
    <xf numFmtId="164" fontId="45" fillId="0" borderId="9" xfId="1" applyNumberFormat="1" applyFont="1" applyBorder="1" applyAlignment="1">
      <alignment horizontal="center" vertical="center"/>
    </xf>
    <xf numFmtId="1" fontId="66" fillId="0" borderId="13" xfId="1" applyNumberFormat="1" applyFont="1" applyBorder="1" applyAlignment="1">
      <alignment horizontal="center" vertical="center"/>
    </xf>
    <xf numFmtId="0" fontId="49" fillId="0" borderId="13" xfId="0" applyFont="1" applyBorder="1" applyAlignment="1">
      <alignment horizontal="center" vertical="center"/>
    </xf>
    <xf numFmtId="0" fontId="0" fillId="0" borderId="129" xfId="0" applyBorder="1" applyAlignment="1">
      <alignment horizontal="center" vertical="center"/>
    </xf>
    <xf numFmtId="0" fontId="2" fillId="0" borderId="130" xfId="0" applyFont="1" applyBorder="1" applyAlignment="1">
      <alignment horizontal="center" vertical="center"/>
    </xf>
    <xf numFmtId="0" fontId="0" fillId="0" borderId="131" xfId="0" applyBorder="1" applyAlignment="1">
      <alignment horizontal="center" vertical="center" wrapText="1"/>
    </xf>
    <xf numFmtId="0" fontId="0" fillId="0" borderId="130" xfId="0" applyBorder="1" applyAlignment="1">
      <alignment horizontal="center" vertical="center" wrapText="1"/>
    </xf>
    <xf numFmtId="0" fontId="0" fillId="0" borderId="130" xfId="0" applyBorder="1" applyAlignment="1">
      <alignment vertical="center" wrapText="1"/>
    </xf>
    <xf numFmtId="0" fontId="0" fillId="0" borderId="132" xfId="0" applyBorder="1" applyAlignment="1">
      <alignment horizontal="center" vertical="center"/>
    </xf>
    <xf numFmtId="0" fontId="0" fillId="0" borderId="133" xfId="0" applyBorder="1" applyAlignment="1">
      <alignment horizontal="center" vertical="center" wrapText="1"/>
    </xf>
    <xf numFmtId="0" fontId="0" fillId="0" borderId="130" xfId="0" applyBorder="1" applyAlignment="1">
      <alignment horizontal="center" vertical="center"/>
    </xf>
    <xf numFmtId="0" fontId="0" fillId="0" borderId="133" xfId="0" applyBorder="1" applyAlignment="1">
      <alignment horizontal="center" vertical="center"/>
    </xf>
    <xf numFmtId="0" fontId="0" fillId="0" borderId="109" xfId="0" applyBorder="1" applyAlignment="1">
      <alignment horizontal="center" vertical="center"/>
    </xf>
    <xf numFmtId="0" fontId="0" fillId="0" borderId="121" xfId="0" applyBorder="1" applyAlignment="1">
      <alignment horizontal="center" vertical="center"/>
    </xf>
    <xf numFmtId="0" fontId="0" fillId="0" borderId="134" xfId="0" applyBorder="1" applyAlignment="1">
      <alignment horizontal="center" vertical="center"/>
    </xf>
    <xf numFmtId="0" fontId="60" fillId="0" borderId="47" xfId="5" applyFont="1" applyBorder="1" applyAlignment="1">
      <alignment horizontal="center" vertical="center" wrapText="1"/>
    </xf>
    <xf numFmtId="0" fontId="54" fillId="0" borderId="130" xfId="5" applyFont="1" applyBorder="1" applyAlignment="1">
      <alignment horizontal="center" vertical="center" wrapText="1"/>
    </xf>
    <xf numFmtId="0" fontId="0" fillId="6" borderId="51" xfId="0" applyFill="1" applyBorder="1" applyAlignment="1">
      <alignment horizontal="center" vertical="center"/>
    </xf>
    <xf numFmtId="0" fontId="0" fillId="5" borderId="129" xfId="0" applyFill="1" applyBorder="1" applyAlignment="1">
      <alignment horizontal="center" vertical="center"/>
    </xf>
    <xf numFmtId="0" fontId="2" fillId="5" borderId="47" xfId="0" applyFont="1" applyFill="1" applyBorder="1" applyAlignment="1">
      <alignment horizontal="center" vertical="center"/>
    </xf>
    <xf numFmtId="0" fontId="0" fillId="5" borderId="52" xfId="0" applyFill="1" applyBorder="1" applyAlignment="1">
      <alignment horizontal="center" vertical="center" wrapText="1"/>
    </xf>
    <xf numFmtId="164" fontId="15" fillId="0" borderId="5" xfId="1" applyNumberFormat="1" applyFont="1" applyFill="1" applyBorder="1" applyAlignment="1" applyProtection="1">
      <alignment horizontal="center" vertical="center"/>
    </xf>
    <xf numFmtId="0" fontId="52" fillId="0" borderId="9" xfId="2" applyFont="1" applyBorder="1" applyAlignment="1">
      <alignment horizontal="left"/>
    </xf>
    <xf numFmtId="0" fontId="52" fillId="0" borderId="9" xfId="2" applyFont="1" applyBorder="1" applyAlignment="1">
      <alignment horizontal="left" wrapText="1"/>
    </xf>
    <xf numFmtId="1" fontId="35" fillId="0" borderId="9" xfId="1" applyNumberFormat="1" applyFont="1" applyFill="1" applyBorder="1" applyAlignment="1" applyProtection="1">
      <alignment horizontal="center" vertical="center"/>
    </xf>
    <xf numFmtId="0" fontId="67" fillId="0" borderId="0" xfId="0" applyFont="1" applyAlignment="1">
      <alignment horizontal="center"/>
    </xf>
    <xf numFmtId="14" fontId="54" fillId="0" borderId="9" xfId="5" applyNumberFormat="1" applyFont="1" applyBorder="1" applyAlignment="1">
      <alignment horizontal="center" vertical="center"/>
    </xf>
    <xf numFmtId="164" fontId="15" fillId="0" borderId="135" xfId="1" applyNumberFormat="1" applyFont="1" applyFill="1" applyBorder="1" applyAlignment="1" applyProtection="1">
      <alignment horizontal="center" vertical="center"/>
    </xf>
    <xf numFmtId="14" fontId="54" fillId="0" borderId="9" xfId="5" applyNumberFormat="1" applyFont="1" applyBorder="1" applyAlignment="1">
      <alignment horizontal="center" vertical="center" wrapText="1"/>
    </xf>
    <xf numFmtId="0" fontId="48" fillId="0" borderId="9" xfId="2" applyFont="1" applyBorder="1" applyAlignment="1">
      <alignment horizontal="left"/>
    </xf>
    <xf numFmtId="1" fontId="35" fillId="6" borderId="9" xfId="1" applyNumberFormat="1" applyFont="1" applyFill="1" applyBorder="1" applyAlignment="1" applyProtection="1">
      <alignment horizontal="center" vertical="center"/>
    </xf>
    <xf numFmtId="0" fontId="0" fillId="6" borderId="55" xfId="0" applyFill="1" applyBorder="1" applyAlignment="1">
      <alignment horizontal="center" vertical="center"/>
    </xf>
    <xf numFmtId="164" fontId="15" fillId="5" borderId="5" xfId="1" applyNumberFormat="1" applyFont="1" applyFill="1" applyBorder="1" applyAlignment="1" applyProtection="1">
      <alignment horizontal="center" vertical="center"/>
    </xf>
    <xf numFmtId="0" fontId="52" fillId="5" borderId="9" xfId="2" applyFont="1" applyFill="1" applyBorder="1" applyAlignment="1">
      <alignment horizontal="left"/>
    </xf>
    <xf numFmtId="0" fontId="0" fillId="5" borderId="55" xfId="0" applyFill="1" applyBorder="1" applyAlignment="1">
      <alignment horizontal="center" vertical="center"/>
    </xf>
    <xf numFmtId="0" fontId="0" fillId="5" borderId="130" xfId="0" applyFill="1" applyBorder="1" applyAlignment="1">
      <alignment horizontal="center" vertical="center" wrapText="1"/>
    </xf>
    <xf numFmtId="0" fontId="0" fillId="5" borderId="47" xfId="0" applyFill="1" applyBorder="1" applyAlignment="1">
      <alignment vertical="center" wrapText="1"/>
    </xf>
    <xf numFmtId="0" fontId="0" fillId="5" borderId="130" xfId="0" applyFill="1" applyBorder="1" applyAlignment="1">
      <alignment horizontal="center" vertical="center"/>
    </xf>
    <xf numFmtId="0" fontId="48" fillId="5" borderId="9" xfId="2" applyFont="1" applyFill="1" applyBorder="1" applyAlignment="1">
      <alignment horizontal="left"/>
    </xf>
    <xf numFmtId="0" fontId="67" fillId="5" borderId="0" xfId="0" applyFont="1" applyFill="1" applyAlignment="1">
      <alignment horizontal="center"/>
    </xf>
    <xf numFmtId="0" fontId="0" fillId="5" borderId="67" xfId="0" applyFill="1" applyBorder="1" applyAlignment="1">
      <alignment horizontal="center" vertical="center"/>
    </xf>
    <xf numFmtId="0" fontId="0" fillId="5" borderId="133" xfId="0" applyFill="1" applyBorder="1" applyAlignment="1">
      <alignment horizontal="center" vertical="center"/>
    </xf>
    <xf numFmtId="0" fontId="0" fillId="5" borderId="121" xfId="0" applyFill="1" applyBorder="1" applyAlignment="1">
      <alignment horizontal="center" vertical="center"/>
    </xf>
    <xf numFmtId="0" fontId="0" fillId="5" borderId="134" xfId="0" applyFill="1" applyBorder="1" applyAlignment="1">
      <alignment horizontal="center" vertical="center"/>
    </xf>
    <xf numFmtId="0" fontId="52" fillId="5" borderId="9" xfId="2" applyFont="1" applyFill="1" applyBorder="1" applyAlignment="1">
      <alignment horizontal="left" wrapText="1"/>
    </xf>
    <xf numFmtId="0" fontId="2" fillId="0" borderId="74" xfId="0" applyFont="1" applyBorder="1" applyAlignment="1">
      <alignment horizontal="center" vertical="center"/>
    </xf>
    <xf numFmtId="0" fontId="2" fillId="0" borderId="0" xfId="0" applyFont="1" applyAlignment="1">
      <alignment horizontal="center" vertical="center"/>
    </xf>
    <xf numFmtId="0" fontId="2" fillId="0" borderId="35" xfId="0" applyFont="1" applyBorder="1" applyAlignment="1">
      <alignment horizontal="center" vertical="center"/>
    </xf>
    <xf numFmtId="0" fontId="10" fillId="0" borderId="0" xfId="0" applyFont="1" applyAlignment="1">
      <alignment horizontal="center" vertical="center" wrapText="1"/>
    </xf>
    <xf numFmtId="164" fontId="15" fillId="0" borderId="0" xfId="1" applyNumberFormat="1" applyFont="1" applyFill="1" applyBorder="1" applyAlignment="1" applyProtection="1">
      <alignment horizontal="center" vertical="center"/>
    </xf>
    <xf numFmtId="0" fontId="40" fillId="5" borderId="0" xfId="2" applyFont="1" applyFill="1" applyAlignment="1">
      <alignment horizontal="center" vertical="center" wrapText="1"/>
    </xf>
    <xf numFmtId="0" fontId="10" fillId="0" borderId="0" xfId="0" applyFont="1" applyAlignment="1">
      <alignment vertical="center" wrapText="1"/>
    </xf>
    <xf numFmtId="0" fontId="54" fillId="5" borderId="0" xfId="5" applyFont="1" applyFill="1" applyAlignment="1">
      <alignment horizontal="left" vertical="center" wrapText="1"/>
    </xf>
    <xf numFmtId="0" fontId="54" fillId="5" borderId="0" xfId="5" applyFont="1" applyFill="1" applyAlignment="1">
      <alignment vertical="center"/>
    </xf>
    <xf numFmtId="0" fontId="54" fillId="5" borderId="0" xfId="5" applyFont="1" applyFill="1" applyAlignment="1">
      <alignment vertical="center" wrapText="1"/>
    </xf>
    <xf numFmtId="0" fontId="0" fillId="5" borderId="68" xfId="0" applyFill="1" applyBorder="1" applyAlignment="1">
      <alignment horizontal="center" vertical="center" wrapText="1"/>
    </xf>
    <xf numFmtId="0" fontId="0" fillId="5" borderId="55" xfId="0" applyFill="1" applyBorder="1" applyAlignment="1">
      <alignment horizontal="center" vertical="center" wrapText="1"/>
    </xf>
    <xf numFmtId="0" fontId="41" fillId="0" borderId="69" xfId="0" applyFont="1" applyBorder="1" applyAlignment="1">
      <alignment horizontal="center" vertical="center"/>
    </xf>
    <xf numFmtId="0" fontId="2" fillId="0" borderId="67" xfId="0" applyFont="1" applyBorder="1" applyAlignment="1">
      <alignment horizontal="center" vertical="center"/>
    </xf>
    <xf numFmtId="1" fontId="35" fillId="0" borderId="47" xfId="1" applyNumberFormat="1" applyFont="1" applyFill="1" applyBorder="1" applyAlignment="1" applyProtection="1">
      <alignment horizontal="center" vertical="center"/>
    </xf>
    <xf numFmtId="0" fontId="65" fillId="0" borderId="62" xfId="0" applyFont="1" applyBorder="1" applyAlignment="1">
      <alignment horizontal="center" vertical="center"/>
    </xf>
    <xf numFmtId="0" fontId="65" fillId="0" borderId="56" xfId="0" applyFont="1" applyBorder="1" applyAlignment="1">
      <alignment horizontal="center" vertical="center"/>
    </xf>
    <xf numFmtId="0" fontId="65" fillId="0" borderId="53" xfId="0" applyFont="1" applyBorder="1" applyAlignment="1">
      <alignment horizontal="center" vertical="center"/>
    </xf>
    <xf numFmtId="0" fontId="65" fillId="0" borderId="58" xfId="0" applyFont="1" applyBorder="1" applyAlignment="1">
      <alignment horizontal="center" vertical="center"/>
    </xf>
    <xf numFmtId="164" fontId="68" fillId="5" borderId="7" xfId="1" applyNumberFormat="1" applyFont="1" applyFill="1" applyBorder="1" applyAlignment="1" applyProtection="1">
      <alignment horizontal="center" vertical="center"/>
    </xf>
    <xf numFmtId="0" fontId="52" fillId="0" borderId="47" xfId="2" applyFont="1" applyBorder="1" applyAlignment="1">
      <alignment horizontal="left" wrapText="1"/>
    </xf>
    <xf numFmtId="0" fontId="2" fillId="0" borderId="62" xfId="0" applyFont="1" applyBorder="1" applyAlignment="1">
      <alignment horizontal="center" vertical="center"/>
    </xf>
    <xf numFmtId="0" fontId="0" fillId="5" borderId="56" xfId="0" applyFill="1" applyBorder="1" applyAlignment="1">
      <alignment horizontal="center" vertical="center"/>
    </xf>
    <xf numFmtId="0" fontId="2" fillId="0" borderId="56" xfId="0" applyFont="1" applyBorder="1" applyAlignment="1">
      <alignment horizontal="center" vertical="center"/>
    </xf>
    <xf numFmtId="0" fontId="48" fillId="0" borderId="47" xfId="2" applyFont="1" applyBorder="1" applyAlignment="1">
      <alignment horizontal="left"/>
    </xf>
    <xf numFmtId="0" fontId="0" fillId="5" borderId="47" xfId="0" applyFill="1" applyBorder="1"/>
    <xf numFmtId="0" fontId="0" fillId="5" borderId="67" xfId="0" applyFill="1" applyBorder="1" applyAlignment="1">
      <alignment horizontal="center" vertical="center" wrapText="1"/>
    </xf>
    <xf numFmtId="0" fontId="0" fillId="5" borderId="105" xfId="0" applyFill="1" applyBorder="1" applyAlignment="1">
      <alignment horizontal="center" vertical="center" wrapText="1"/>
    </xf>
    <xf numFmtId="0" fontId="48" fillId="0" borderId="9" xfId="2" applyFont="1" applyBorder="1" applyAlignment="1">
      <alignment horizontal="left" wrapText="1"/>
    </xf>
    <xf numFmtId="1" fontId="69" fillId="6" borderId="47" xfId="1" applyNumberFormat="1" applyFont="1" applyFill="1" applyBorder="1" applyAlignment="1" applyProtection="1">
      <alignment horizontal="center" vertical="center"/>
    </xf>
    <xf numFmtId="0" fontId="2" fillId="6" borderId="59" xfId="0" applyFont="1" applyFill="1" applyBorder="1" applyAlignment="1">
      <alignment horizontal="center" vertical="center"/>
    </xf>
    <xf numFmtId="1" fontId="69" fillId="6" borderId="9" xfId="1" applyNumberFormat="1" applyFont="1" applyFill="1" applyBorder="1" applyAlignment="1" applyProtection="1">
      <alignment horizontal="center" vertical="center"/>
    </xf>
    <xf numFmtId="1" fontId="35" fillId="5" borderId="47" xfId="1" applyNumberFormat="1" applyFont="1" applyFill="1" applyBorder="1" applyAlignment="1" applyProtection="1">
      <alignment horizontal="center" vertical="center"/>
    </xf>
    <xf numFmtId="0" fontId="65" fillId="5" borderId="62" xfId="0" applyFont="1" applyFill="1" applyBorder="1" applyAlignment="1">
      <alignment horizontal="center" vertical="center"/>
    </xf>
    <xf numFmtId="1" fontId="69" fillId="5" borderId="47" xfId="1" applyNumberFormat="1" applyFont="1" applyFill="1" applyBorder="1" applyAlignment="1" applyProtection="1">
      <alignment horizontal="center" vertical="center"/>
    </xf>
    <xf numFmtId="0" fontId="65" fillId="5" borderId="56" xfId="0" applyFont="1" applyFill="1" applyBorder="1" applyAlignment="1">
      <alignment horizontal="center" vertical="center"/>
    </xf>
    <xf numFmtId="0" fontId="65" fillId="5" borderId="53" xfId="0" applyFont="1" applyFill="1" applyBorder="1" applyAlignment="1">
      <alignment horizontal="center" vertical="center"/>
    </xf>
    <xf numFmtId="0" fontId="65" fillId="5" borderId="58" xfId="0" applyFont="1" applyFill="1" applyBorder="1" applyAlignment="1">
      <alignment horizontal="center" vertical="center"/>
    </xf>
    <xf numFmtId="1" fontId="69" fillId="5" borderId="9" xfId="1" applyNumberFormat="1" applyFont="1" applyFill="1" applyBorder="1" applyAlignment="1" applyProtection="1">
      <alignment horizontal="center" vertical="center"/>
    </xf>
    <xf numFmtId="0" fontId="41" fillId="0" borderId="67" xfId="0" applyFont="1" applyBorder="1" applyAlignment="1">
      <alignment horizontal="center" vertical="center"/>
    </xf>
    <xf numFmtId="0" fontId="48" fillId="0" borderId="9" xfId="0" applyFont="1" applyBorder="1"/>
    <xf numFmtId="0" fontId="0" fillId="5" borderId="59" xfId="0" applyFill="1" applyBorder="1" applyAlignment="1">
      <alignment horizontal="center" vertical="center"/>
    </xf>
    <xf numFmtId="0" fontId="2" fillId="2" borderId="136" xfId="0" applyFont="1" applyFill="1" applyBorder="1" applyAlignment="1">
      <alignment horizontal="center" vertical="center"/>
    </xf>
    <xf numFmtId="1" fontId="0" fillId="3" borderId="137" xfId="0" applyNumberFormat="1" applyFill="1" applyBorder="1" applyAlignment="1">
      <alignment horizontal="center" vertical="center"/>
    </xf>
    <xf numFmtId="1" fontId="0" fillId="3" borderId="138" xfId="0" applyNumberFormat="1" applyFill="1" applyBorder="1" applyAlignment="1">
      <alignment horizontal="center" vertical="center"/>
    </xf>
    <xf numFmtId="0" fontId="0" fillId="0" borderId="139" xfId="0" applyBorder="1" applyAlignment="1">
      <alignment horizontal="center" vertical="center"/>
    </xf>
    <xf numFmtId="0" fontId="0" fillId="0" borderId="140" xfId="0" applyBorder="1" applyAlignment="1">
      <alignment horizontal="center" vertical="center"/>
    </xf>
    <xf numFmtId="0" fontId="2" fillId="2" borderId="141" xfId="0" applyFont="1" applyFill="1" applyBorder="1" applyAlignment="1">
      <alignment horizontal="center" vertical="center"/>
    </xf>
    <xf numFmtId="0" fontId="0" fillId="0" borderId="144" xfId="0" applyBorder="1" applyAlignment="1">
      <alignment horizontal="center" vertical="center"/>
    </xf>
    <xf numFmtId="0" fontId="54" fillId="10" borderId="13" xfId="5" applyFont="1" applyFill="1" applyBorder="1" applyAlignment="1">
      <alignment horizontal="left" vertical="center" wrapText="1"/>
    </xf>
    <xf numFmtId="0" fontId="54" fillId="0" borderId="5" xfId="5" applyFont="1" applyBorder="1" applyAlignment="1">
      <alignment vertical="center"/>
    </xf>
    <xf numFmtId="0" fontId="54" fillId="0" borderId="5" xfId="5" applyFont="1" applyBorder="1" applyAlignment="1">
      <alignment vertical="center" wrapText="1"/>
    </xf>
    <xf numFmtId="0" fontId="54" fillId="0" borderId="5" xfId="5" applyFont="1" applyBorder="1" applyAlignment="1">
      <alignment vertical="top" wrapText="1"/>
    </xf>
    <xf numFmtId="0" fontId="54" fillId="0" borderId="13" xfId="5" applyFont="1" applyBorder="1" applyAlignment="1">
      <alignment horizontal="center" vertical="center"/>
    </xf>
    <xf numFmtId="0" fontId="0" fillId="5" borderId="62" xfId="0" applyFill="1" applyBorder="1" applyAlignment="1">
      <alignment horizontal="center" vertical="center"/>
    </xf>
    <xf numFmtId="0" fontId="41" fillId="0" borderId="47" xfId="0" applyFont="1" applyBorder="1" applyAlignment="1">
      <alignment horizontal="center" vertical="center"/>
    </xf>
    <xf numFmtId="0" fontId="48" fillId="0" borderId="39" xfId="0" applyFont="1" applyBorder="1"/>
    <xf numFmtId="0" fontId="48" fillId="0" borderId="39" xfId="0" applyFont="1" applyBorder="1" applyAlignment="1">
      <alignment horizontal="center" vertical="center" wrapText="1"/>
    </xf>
    <xf numFmtId="0" fontId="48" fillId="0" borderId="0" xfId="2" applyFont="1" applyAlignment="1">
      <alignment horizontal="left" wrapText="1"/>
    </xf>
    <xf numFmtId="0" fontId="48" fillId="0" borderId="7" xfId="2" applyFont="1" applyBorder="1" applyAlignment="1">
      <alignment horizontal="left" wrapText="1"/>
    </xf>
    <xf numFmtId="0" fontId="48" fillId="0" borderId="39" xfId="2" applyFont="1" applyBorder="1" applyAlignment="1">
      <alignment horizontal="left" wrapText="1"/>
    </xf>
    <xf numFmtId="0" fontId="48" fillId="0" borderId="0" xfId="2" applyFont="1" applyAlignment="1">
      <alignment horizontal="left"/>
    </xf>
    <xf numFmtId="0" fontId="48" fillId="0" borderId="53" xfId="2" applyFont="1" applyBorder="1" applyAlignment="1">
      <alignment horizontal="left"/>
    </xf>
    <xf numFmtId="0" fontId="48" fillId="0" borderId="47" xfId="2" applyFont="1" applyBorder="1" applyAlignment="1">
      <alignment horizontal="left" wrapText="1"/>
    </xf>
    <xf numFmtId="0" fontId="0" fillId="5" borderId="53" xfId="0" applyFill="1" applyBorder="1"/>
    <xf numFmtId="0" fontId="0" fillId="5" borderId="131" xfId="0" applyFill="1" applyBorder="1" applyAlignment="1">
      <alignment horizontal="center" vertical="center"/>
    </xf>
    <xf numFmtId="0" fontId="48" fillId="0" borderId="47" xfId="0" applyFont="1" applyBorder="1" applyAlignment="1">
      <alignment horizontal="center" vertical="center" wrapText="1"/>
    </xf>
    <xf numFmtId="0" fontId="48" fillId="0" borderId="51" xfId="2" applyFont="1" applyBorder="1" applyAlignment="1">
      <alignment horizontal="left" wrapText="1"/>
    </xf>
    <xf numFmtId="0" fontId="0" fillId="13" borderId="31" xfId="0" applyFill="1" applyBorder="1" applyAlignment="1">
      <alignment horizontal="center" vertical="center" wrapText="1"/>
    </xf>
    <xf numFmtId="0" fontId="73" fillId="14" borderId="9" xfId="0" applyFont="1" applyFill="1" applyBorder="1" applyAlignment="1">
      <alignment horizontal="left" vertical="center"/>
    </xf>
    <xf numFmtId="0" fontId="0" fillId="0" borderId="9" xfId="0" applyBorder="1"/>
    <xf numFmtId="0" fontId="0" fillId="0" borderId="9" xfId="0" applyBorder="1" applyAlignment="1">
      <alignment horizontal="left"/>
    </xf>
    <xf numFmtId="0" fontId="73" fillId="13" borderId="31" xfId="0" applyFont="1" applyFill="1" applyBorder="1" applyAlignment="1">
      <alignment horizontal="center" vertical="center"/>
    </xf>
    <xf numFmtId="0" fontId="74" fillId="0" borderId="9" xfId="2" applyFont="1" applyBorder="1" applyAlignment="1">
      <alignment horizontal="left"/>
    </xf>
    <xf numFmtId="0" fontId="75" fillId="0" borderId="9" xfId="2" applyFont="1" applyBorder="1" applyAlignment="1">
      <alignment horizontal="left"/>
    </xf>
    <xf numFmtId="1" fontId="76" fillId="0" borderId="9" xfId="1" applyNumberFormat="1" applyFont="1" applyBorder="1" applyAlignment="1">
      <alignment horizontal="center" vertical="center"/>
    </xf>
    <xf numFmtId="1" fontId="76" fillId="6" borderId="9" xfId="1" applyNumberFormat="1" applyFont="1" applyFill="1" applyBorder="1" applyAlignment="1">
      <alignment horizontal="center" vertical="center"/>
    </xf>
    <xf numFmtId="0" fontId="73" fillId="14" borderId="47" xfId="0" applyFont="1" applyFill="1" applyBorder="1" applyAlignment="1">
      <alignment horizontal="left" vertical="center"/>
    </xf>
    <xf numFmtId="0" fontId="0" fillId="13" borderId="47" xfId="0" applyFill="1" applyBorder="1" applyAlignment="1">
      <alignment horizontal="center" vertical="center" wrapText="1"/>
    </xf>
    <xf numFmtId="0" fontId="2" fillId="3" borderId="46" xfId="0" applyFont="1" applyFill="1" applyBorder="1" applyAlignment="1">
      <alignment horizontal="center" vertical="center"/>
    </xf>
    <xf numFmtId="0" fontId="2" fillId="3" borderId="37" xfId="0" applyFont="1" applyFill="1" applyBorder="1" applyAlignment="1">
      <alignment horizontal="center" vertical="center"/>
    </xf>
    <xf numFmtId="0" fontId="0" fillId="0" borderId="33" xfId="0" applyBorder="1" applyAlignment="1">
      <alignment horizontal="center" vertical="center"/>
    </xf>
    <xf numFmtId="0" fontId="0" fillId="0" borderId="0" xfId="0"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2" xfId="0" applyFont="1" applyBorder="1" applyAlignment="1">
      <alignment horizontal="center" vertical="center"/>
    </xf>
    <xf numFmtId="0" fontId="17" fillId="0" borderId="0" xfId="4" applyFont="1" applyAlignment="1">
      <alignment horizontal="center" vertical="center"/>
    </xf>
    <xf numFmtId="0" fontId="2" fillId="0" borderId="1" xfId="0" applyFont="1" applyBorder="1" applyAlignment="1">
      <alignment horizontal="center" vertical="center"/>
    </xf>
    <xf numFmtId="0" fontId="2" fillId="0" borderId="43" xfId="0" applyFont="1" applyBorder="1" applyAlignment="1">
      <alignment horizontal="center" vertical="center"/>
    </xf>
    <xf numFmtId="0" fontId="2" fillId="0" borderId="50" xfId="0" applyFont="1" applyBorder="1" applyAlignment="1">
      <alignment horizontal="center" vertical="center"/>
    </xf>
    <xf numFmtId="0" fontId="53" fillId="10" borderId="9" xfId="5" applyFont="1" applyFill="1" applyBorder="1" applyAlignment="1">
      <alignment horizontal="center" vertical="center" wrapText="1"/>
    </xf>
    <xf numFmtId="0" fontId="53" fillId="10" borderId="9" xfId="5" applyFont="1" applyFill="1" applyBorder="1" applyAlignment="1">
      <alignment horizontal="center" vertical="center"/>
    </xf>
    <xf numFmtId="0" fontId="55" fillId="10" borderId="9" xfId="5" applyFont="1" applyFill="1" applyBorder="1" applyAlignment="1">
      <alignment horizontal="center" vertical="center" wrapText="1"/>
    </xf>
    <xf numFmtId="0" fontId="54" fillId="0" borderId="9" xfId="5" applyFont="1" applyBorder="1" applyAlignment="1">
      <alignment horizontal="left" vertical="center"/>
    </xf>
    <xf numFmtId="0" fontId="54" fillId="0" borderId="9" xfId="5" applyFont="1" applyBorder="1" applyAlignment="1">
      <alignment horizontal="center" vertical="center"/>
    </xf>
    <xf numFmtId="0" fontId="54" fillId="0" borderId="9" xfId="5" applyFont="1" applyBorder="1" applyAlignment="1">
      <alignment horizontal="left" vertical="center" wrapText="1"/>
    </xf>
    <xf numFmtId="0" fontId="54" fillId="0" borderId="29" xfId="5" applyFont="1" applyBorder="1" applyAlignment="1">
      <alignment horizontal="left" vertical="top" wrapText="1"/>
    </xf>
    <xf numFmtId="0" fontId="54" fillId="0" borderId="30" xfId="5" applyFont="1" applyBorder="1" applyAlignment="1">
      <alignment horizontal="left" vertical="top" wrapText="1"/>
    </xf>
    <xf numFmtId="0" fontId="54" fillId="0" borderId="28" xfId="5" applyFont="1" applyBorder="1" applyAlignment="1">
      <alignment horizontal="left" vertical="top" wrapText="1"/>
    </xf>
    <xf numFmtId="0" fontId="54" fillId="0" borderId="34" xfId="5" applyFont="1" applyBorder="1" applyAlignment="1">
      <alignment horizontal="left" vertical="top" wrapText="1"/>
    </xf>
    <xf numFmtId="0" fontId="54" fillId="0" borderId="0" xfId="5" applyFont="1" applyAlignment="1">
      <alignment horizontal="left" vertical="top" wrapText="1"/>
    </xf>
    <xf numFmtId="0" fontId="54" fillId="0" borderId="15" xfId="5" applyFont="1" applyBorder="1" applyAlignment="1">
      <alignment horizontal="left" vertical="top" wrapText="1"/>
    </xf>
    <xf numFmtId="0" fontId="54" fillId="0" borderId="7" xfId="5" applyFont="1" applyBorder="1" applyAlignment="1">
      <alignment horizontal="left" vertical="top" wrapText="1"/>
    </xf>
    <xf numFmtId="0" fontId="54" fillId="0" borderId="25" xfId="5" applyFont="1" applyBorder="1" applyAlignment="1">
      <alignment horizontal="left" vertical="top" wrapText="1"/>
    </xf>
    <xf numFmtId="0" fontId="54" fillId="0" borderId="8" xfId="5" applyFont="1" applyBorder="1" applyAlignment="1">
      <alignment horizontal="left" vertical="top" wrapText="1"/>
    </xf>
    <xf numFmtId="0" fontId="56" fillId="10" borderId="39" xfId="5" applyFont="1" applyFill="1" applyBorder="1" applyAlignment="1">
      <alignment horizontal="center" vertical="center"/>
    </xf>
    <xf numFmtId="0" fontId="56" fillId="10" borderId="54" xfId="5" applyFont="1" applyFill="1" applyBorder="1" applyAlignment="1">
      <alignment horizontal="center" vertical="center"/>
    </xf>
    <xf numFmtId="0" fontId="56" fillId="10" borderId="13" xfId="5" applyFont="1" applyFill="1" applyBorder="1" applyAlignment="1">
      <alignment horizontal="center" vertical="center"/>
    </xf>
    <xf numFmtId="0" fontId="54" fillId="0" borderId="39" xfId="5" applyFont="1" applyBorder="1" applyAlignment="1">
      <alignment horizontal="left" vertical="center"/>
    </xf>
    <xf numFmtId="0" fontId="54" fillId="0" borderId="54" xfId="5" applyFont="1" applyBorder="1" applyAlignment="1">
      <alignment horizontal="left" vertical="center"/>
    </xf>
    <xf numFmtId="0" fontId="54" fillId="0" borderId="13" xfId="5" applyFont="1" applyBorder="1" applyAlignment="1">
      <alignment horizontal="left" vertical="center"/>
    </xf>
    <xf numFmtId="0" fontId="54" fillId="0" borderId="39" xfId="5" applyFont="1" applyBorder="1" applyAlignment="1">
      <alignment horizontal="center" vertical="center"/>
    </xf>
    <xf numFmtId="0" fontId="54" fillId="0" borderId="54" xfId="5" applyFont="1" applyBorder="1" applyAlignment="1">
      <alignment horizontal="center" vertical="center"/>
    </xf>
    <xf numFmtId="0" fontId="54" fillId="0" borderId="13" xfId="5" applyFont="1" applyBorder="1" applyAlignment="1">
      <alignment horizontal="center" vertical="center"/>
    </xf>
    <xf numFmtId="0" fontId="54" fillId="0" borderId="29" xfId="5" applyFont="1" applyBorder="1" applyAlignment="1">
      <alignment horizontal="left" vertical="center"/>
    </xf>
    <xf numFmtId="0" fontId="54" fillId="0" borderId="30" xfId="5" applyFont="1" applyBorder="1" applyAlignment="1">
      <alignment horizontal="left" vertical="center"/>
    </xf>
    <xf numFmtId="0" fontId="54" fillId="0" borderId="28" xfId="5" applyFont="1" applyBorder="1" applyAlignment="1">
      <alignment horizontal="left" vertical="center"/>
    </xf>
    <xf numFmtId="0" fontId="54" fillId="0" borderId="47" xfId="5" applyFont="1" applyBorder="1" applyAlignment="1">
      <alignment horizontal="left" vertical="center"/>
    </xf>
    <xf numFmtId="0" fontId="54" fillId="0" borderId="7" xfId="5" applyFont="1" applyBorder="1" applyAlignment="1">
      <alignment horizontal="left" vertical="center"/>
    </xf>
    <xf numFmtId="0" fontId="54" fillId="0" borderId="25" xfId="5" applyFont="1" applyBorder="1" applyAlignment="1">
      <alignment horizontal="left" vertical="center"/>
    </xf>
    <xf numFmtId="0" fontId="54" fillId="0" borderId="8" xfId="5" applyFont="1" applyBorder="1" applyAlignment="1">
      <alignment horizontal="left" vertical="center"/>
    </xf>
    <xf numFmtId="0" fontId="56" fillId="10" borderId="9" xfId="5" applyFont="1" applyFill="1" applyBorder="1" applyAlignment="1">
      <alignment horizontal="center" vertical="center"/>
    </xf>
    <xf numFmtId="0" fontId="16" fillId="0" borderId="47" xfId="0" applyFont="1" applyBorder="1" applyAlignment="1">
      <alignment horizontal="center" vertical="top" wrapText="1"/>
    </xf>
    <xf numFmtId="0" fontId="34" fillId="0" borderId="34" xfId="0" applyFont="1" applyBorder="1" applyAlignment="1">
      <alignment horizontal="left" vertical="top" wrapText="1"/>
    </xf>
    <xf numFmtId="0" fontId="34" fillId="0" borderId="0" xfId="0" applyFont="1" applyAlignment="1">
      <alignment horizontal="left" vertical="top" wrapText="1"/>
    </xf>
    <xf numFmtId="0" fontId="34" fillId="0" borderId="15" xfId="0" applyFont="1" applyBorder="1" applyAlignment="1">
      <alignment horizontal="left" vertical="top" wrapText="1"/>
    </xf>
    <xf numFmtId="0" fontId="34" fillId="0" borderId="7" xfId="0" applyFont="1" applyBorder="1" applyAlignment="1">
      <alignment horizontal="left" vertical="top" wrapText="1"/>
    </xf>
    <xf numFmtId="0" fontId="34" fillId="0" borderId="25" xfId="0" applyFont="1" applyBorder="1" applyAlignment="1">
      <alignment horizontal="left" vertical="top" wrapText="1"/>
    </xf>
    <xf numFmtId="0" fontId="34" fillId="0" borderId="8" xfId="0" applyFont="1" applyBorder="1" applyAlignment="1">
      <alignment horizontal="left" vertical="top" wrapText="1"/>
    </xf>
    <xf numFmtId="0" fontId="16" fillId="0" borderId="34" xfId="0" applyFont="1" applyBorder="1" applyAlignment="1">
      <alignment horizontal="left" vertical="center" wrapText="1"/>
    </xf>
    <xf numFmtId="0" fontId="16" fillId="0" borderId="0" xfId="0" applyFont="1" applyAlignment="1">
      <alignment horizontal="left" vertical="center" wrapText="1"/>
    </xf>
    <xf numFmtId="0" fontId="16" fillId="0" borderId="15" xfId="0" applyFont="1" applyBorder="1" applyAlignment="1">
      <alignment horizontal="left" vertical="center" wrapText="1"/>
    </xf>
    <xf numFmtId="0" fontId="16" fillId="0" borderId="39" xfId="0" applyFont="1" applyBorder="1" applyAlignment="1">
      <alignment horizontal="left" vertical="center" wrapText="1"/>
    </xf>
    <xf numFmtId="0" fontId="16" fillId="0" borderId="13" xfId="0" applyFont="1" applyBorder="1" applyAlignment="1">
      <alignment horizontal="left" vertical="center" wrapText="1"/>
    </xf>
    <xf numFmtId="0" fontId="16" fillId="0" borderId="9" xfId="0" applyFont="1" applyBorder="1" applyAlignment="1">
      <alignment horizontal="left" vertical="center" wrapText="1"/>
    </xf>
    <xf numFmtId="0" fontId="16" fillId="0" borderId="9" xfId="0" applyFont="1" applyBorder="1" applyAlignment="1">
      <alignment horizontal="left"/>
    </xf>
    <xf numFmtId="0" fontId="16" fillId="0" borderId="47" xfId="0" applyFont="1" applyBorder="1" applyAlignment="1">
      <alignment horizontal="center" vertical="center" wrapText="1"/>
    </xf>
    <xf numFmtId="0" fontId="16" fillId="0" borderId="47" xfId="0" applyFont="1" applyBorder="1" applyAlignment="1">
      <alignment horizontal="center"/>
    </xf>
    <xf numFmtId="0" fontId="0" fillId="0" borderId="0" xfId="0" applyAlignment="1">
      <alignment horizontal="center"/>
    </xf>
    <xf numFmtId="0" fontId="16" fillId="0" borderId="47" xfId="0" applyFont="1" applyBorder="1" applyAlignment="1">
      <alignment horizontal="left" vertical="top" wrapText="1"/>
    </xf>
    <xf numFmtId="0" fontId="36" fillId="0" borderId="47" xfId="0" applyFont="1" applyBorder="1" applyAlignment="1">
      <alignment horizontal="left" vertical="top" wrapText="1"/>
    </xf>
    <xf numFmtId="0" fontId="16" fillId="0" borderId="65" xfId="0" applyFont="1" applyBorder="1" applyAlignment="1">
      <alignment horizontal="center" vertical="top" wrapText="1"/>
    </xf>
    <xf numFmtId="0" fontId="16" fillId="0" borderId="28" xfId="0" applyFont="1" applyBorder="1" applyAlignment="1">
      <alignment horizontal="center" vertical="top" wrapText="1"/>
    </xf>
    <xf numFmtId="0" fontId="16" fillId="0" borderId="60" xfId="0" applyFont="1" applyBorder="1" applyAlignment="1">
      <alignment horizontal="center" vertical="top" wrapText="1"/>
    </xf>
    <xf numFmtId="0" fontId="16" fillId="0" borderId="15" xfId="0" applyFont="1" applyBorder="1" applyAlignment="1">
      <alignment horizontal="center" vertical="top" wrapText="1"/>
    </xf>
    <xf numFmtId="0" fontId="16" fillId="0" borderId="66" xfId="0" applyFont="1" applyBorder="1" applyAlignment="1">
      <alignment horizontal="center" vertical="top" wrapText="1"/>
    </xf>
    <xf numFmtId="0" fontId="16" fillId="0" borderId="8" xfId="0" applyFont="1" applyBorder="1" applyAlignment="1">
      <alignment horizontal="center" vertical="top" wrapText="1"/>
    </xf>
    <xf numFmtId="0" fontId="16" fillId="0" borderId="47" xfId="0" applyFont="1" applyBorder="1" applyAlignment="1">
      <alignment horizontal="left"/>
    </xf>
    <xf numFmtId="0" fontId="35" fillId="0" borderId="9" xfId="0" applyFont="1" applyBorder="1" applyAlignment="1">
      <alignment horizontal="center" vertical="center" wrapText="1"/>
    </xf>
    <xf numFmtId="0" fontId="35" fillId="0" borderId="31" xfId="0" applyFont="1" applyBorder="1" applyAlignment="1">
      <alignment horizontal="center" vertical="center" wrapText="1"/>
    </xf>
    <xf numFmtId="0" fontId="35" fillId="0" borderId="29" xfId="0" applyFont="1" applyBorder="1" applyAlignment="1">
      <alignment horizontal="left" vertical="center" wrapText="1"/>
    </xf>
    <xf numFmtId="0" fontId="35" fillId="0" borderId="28" xfId="0" applyFont="1" applyBorder="1" applyAlignment="1">
      <alignment horizontal="left" vertical="center" wrapText="1"/>
    </xf>
    <xf numFmtId="0" fontId="35" fillId="0" borderId="34" xfId="0" applyFont="1" applyBorder="1" applyAlignment="1">
      <alignment horizontal="left" vertical="center" wrapText="1"/>
    </xf>
    <xf numFmtId="0" fontId="35" fillId="0" borderId="15" xfId="0" applyFont="1" applyBorder="1" applyAlignment="1">
      <alignment horizontal="left" vertical="center" wrapText="1"/>
    </xf>
    <xf numFmtId="0" fontId="31" fillId="0" borderId="29" xfId="0" applyFont="1" applyBorder="1" applyAlignment="1">
      <alignment horizontal="left" vertical="top" wrapText="1"/>
    </xf>
    <xf numFmtId="0" fontId="33" fillId="0" borderId="30" xfId="0" applyFont="1" applyBorder="1" applyAlignment="1">
      <alignment horizontal="left" vertical="top" wrapText="1"/>
    </xf>
    <xf numFmtId="0" fontId="33" fillId="0" borderId="28" xfId="0" applyFont="1" applyBorder="1" applyAlignment="1">
      <alignment horizontal="left" vertical="top" wrapText="1"/>
    </xf>
    <xf numFmtId="0" fontId="33" fillId="0" borderId="7" xfId="0" applyFont="1" applyBorder="1" applyAlignment="1">
      <alignment horizontal="left" vertical="top" wrapText="1"/>
    </xf>
    <xf numFmtId="0" fontId="33" fillId="0" borderId="25" xfId="0" applyFont="1" applyBorder="1" applyAlignment="1">
      <alignment horizontal="left" vertical="top" wrapText="1"/>
    </xf>
    <xf numFmtId="0" fontId="33" fillId="0" borderId="8" xfId="0" applyFont="1" applyBorder="1" applyAlignment="1">
      <alignment horizontal="left" vertical="top" wrapText="1"/>
    </xf>
    <xf numFmtId="0" fontId="30" fillId="0" borderId="5" xfId="0" applyFont="1" applyBorder="1" applyAlignment="1">
      <alignment horizontal="center" vertical="center"/>
    </xf>
    <xf numFmtId="0" fontId="30" fillId="0" borderId="9" xfId="0" applyFont="1" applyBorder="1" applyAlignment="1">
      <alignment horizontal="center" vertical="center"/>
    </xf>
    <xf numFmtId="0" fontId="30" fillId="0" borderId="31" xfId="0" applyFont="1" applyBorder="1" applyAlignment="1">
      <alignment horizontal="center" vertical="center"/>
    </xf>
    <xf numFmtId="0" fontId="32" fillId="0" borderId="29" xfId="0" applyFont="1" applyBorder="1" applyAlignment="1">
      <alignment horizontal="center" vertical="center"/>
    </xf>
    <xf numFmtId="0" fontId="30" fillId="0" borderId="28"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0" fillId="0" borderId="54" xfId="0" applyFont="1" applyBorder="1" applyAlignment="1">
      <alignment horizontal="left"/>
    </xf>
    <xf numFmtId="0" fontId="30" fillId="0" borderId="13" xfId="0" applyFont="1" applyBorder="1" applyAlignment="1">
      <alignment horizontal="left"/>
    </xf>
    <xf numFmtId="0" fontId="34" fillId="0" borderId="39" xfId="0" applyFont="1" applyBorder="1" applyAlignment="1">
      <alignment horizontal="left" vertical="top" wrapText="1"/>
    </xf>
    <xf numFmtId="0" fontId="34" fillId="0" borderId="13" xfId="0" applyFont="1" applyBorder="1" applyAlignment="1">
      <alignment horizontal="left" vertical="top" wrapText="1"/>
    </xf>
    <xf numFmtId="0" fontId="31" fillId="0" borderId="7" xfId="0" applyFont="1" applyBorder="1" applyAlignment="1">
      <alignment horizontal="left" vertical="top" wrapText="1"/>
    </xf>
    <xf numFmtId="0" fontId="30" fillId="0" borderId="8" xfId="0" applyFont="1" applyBorder="1" applyAlignment="1">
      <alignment horizontal="left" vertical="top" wrapText="1"/>
    </xf>
    <xf numFmtId="0" fontId="30" fillId="0" borderId="25" xfId="0" applyFont="1" applyBorder="1" applyAlignment="1">
      <alignment horizontal="left" vertical="top" wrapText="1"/>
    </xf>
    <xf numFmtId="0" fontId="35" fillId="0" borderId="30" xfId="0" applyFont="1" applyBorder="1" applyAlignment="1">
      <alignment horizontal="left" vertical="center" wrapText="1"/>
    </xf>
    <xf numFmtId="0" fontId="35" fillId="0" borderId="0" xfId="0" applyFont="1" applyAlignment="1">
      <alignment horizontal="left" vertical="center" wrapText="1"/>
    </xf>
    <xf numFmtId="0" fontId="29" fillId="5" borderId="39" xfId="0" applyFont="1" applyFill="1" applyBorder="1" applyAlignment="1">
      <alignment horizontal="center" vertical="center" wrapText="1"/>
    </xf>
    <xf numFmtId="0" fontId="29" fillId="5" borderId="54" xfId="0" applyFont="1" applyFill="1" applyBorder="1" applyAlignment="1">
      <alignment horizontal="center" vertical="center" wrapText="1"/>
    </xf>
    <xf numFmtId="0" fontId="29" fillId="5" borderId="13" xfId="0" applyFont="1" applyFill="1" applyBorder="1" applyAlignment="1">
      <alignment horizontal="center" vertical="center" wrapText="1"/>
    </xf>
    <xf numFmtId="0" fontId="9" fillId="8" borderId="54" xfId="0" applyFont="1" applyFill="1" applyBorder="1" applyAlignment="1">
      <alignment horizontal="center"/>
    </xf>
    <xf numFmtId="0" fontId="0" fillId="8" borderId="54" xfId="0" applyFill="1" applyBorder="1" applyAlignment="1">
      <alignment horizontal="center"/>
    </xf>
    <xf numFmtId="0" fontId="30" fillId="0" borderId="54" xfId="0" applyFont="1" applyBorder="1" applyAlignment="1">
      <alignment horizontal="left" vertical="center" wrapText="1"/>
    </xf>
    <xf numFmtId="0" fontId="30" fillId="0" borderId="13" xfId="0" applyFont="1" applyBorder="1" applyAlignment="1">
      <alignment horizontal="left" vertical="center" wrapText="1"/>
    </xf>
    <xf numFmtId="0" fontId="30" fillId="0" borderId="39" xfId="0" applyFont="1" applyBorder="1" applyAlignment="1">
      <alignment horizontal="left" vertical="center"/>
    </xf>
    <xf numFmtId="0" fontId="30" fillId="0" borderId="54" xfId="0" applyFont="1" applyBorder="1" applyAlignment="1">
      <alignment horizontal="left" vertical="center"/>
    </xf>
    <xf numFmtId="0" fontId="30" fillId="0" borderId="13" xfId="0" applyFont="1" applyBorder="1" applyAlignment="1">
      <alignment horizontal="left" vertical="center"/>
    </xf>
    <xf numFmtId="0" fontId="30" fillId="0" borderId="9" xfId="0" applyFont="1" applyBorder="1" applyAlignment="1">
      <alignment horizontal="left" vertical="center"/>
    </xf>
    <xf numFmtId="0" fontId="3" fillId="5" borderId="21" xfId="0" applyFont="1" applyFill="1" applyBorder="1" applyAlignment="1">
      <alignment horizontal="center"/>
    </xf>
    <xf numFmtId="0" fontId="3" fillId="5" borderId="22" xfId="0" applyFont="1" applyFill="1" applyBorder="1" applyAlignment="1">
      <alignment horizontal="center"/>
    </xf>
    <xf numFmtId="0" fontId="3" fillId="5" borderId="23" xfId="0" applyFont="1" applyFill="1"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4" fillId="4" borderId="27" xfId="0" applyFont="1" applyFill="1" applyBorder="1" applyAlignment="1">
      <alignment horizontal="left"/>
    </xf>
    <xf numFmtId="0" fontId="4" fillId="4" borderId="28" xfId="0" applyFont="1" applyFill="1" applyBorder="1" applyAlignment="1">
      <alignment horizontal="left"/>
    </xf>
    <xf numFmtId="0" fontId="3" fillId="4" borderId="29"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3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4" fillId="4" borderId="24" xfId="0" applyFont="1" applyFill="1" applyBorder="1" applyAlignment="1">
      <alignment horizontal="left"/>
    </xf>
    <xf numFmtId="0" fontId="4" fillId="4" borderId="8" xfId="0" applyFont="1" applyFill="1" applyBorder="1" applyAlignment="1">
      <alignment horizontal="left"/>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33" xfId="0" applyFont="1" applyBorder="1" applyAlignment="1">
      <alignment horizontal="left" vertical="center" wrapText="1"/>
    </xf>
    <xf numFmtId="0" fontId="5" fillId="0" borderId="15" xfId="0" applyFont="1" applyBorder="1" applyAlignment="1">
      <alignment horizontal="left" vertical="center" wrapText="1"/>
    </xf>
    <xf numFmtId="0" fontId="5" fillId="0" borderId="24" xfId="0" applyFont="1" applyBorder="1" applyAlignment="1">
      <alignment horizontal="left" vertical="center" wrapText="1"/>
    </xf>
    <xf numFmtId="0" fontId="5" fillId="0" borderId="8" xfId="0" applyFont="1" applyBorder="1" applyAlignment="1">
      <alignment horizontal="left"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5"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7" xfId="0" applyFont="1" applyBorder="1" applyAlignment="1">
      <alignment horizontal="center" vertical="center" wrapText="1"/>
    </xf>
    <xf numFmtId="0" fontId="10" fillId="0" borderId="38"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7" xfId="0" applyFont="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wrapText="1"/>
    </xf>
    <xf numFmtId="0" fontId="0" fillId="0" borderId="29" xfId="0" applyBorder="1" applyAlignment="1">
      <alignment horizontal="center" vertical="center" wrapText="1"/>
    </xf>
    <xf numFmtId="0" fontId="0" fillId="0" borderId="7" xfId="0" applyBorder="1" applyAlignment="1">
      <alignment horizontal="center" vertical="center" wrapText="1"/>
    </xf>
    <xf numFmtId="0" fontId="0" fillId="0" borderId="29" xfId="0" applyBorder="1" applyAlignment="1">
      <alignment horizontal="center"/>
    </xf>
    <xf numFmtId="0" fontId="0" fillId="0" borderId="41" xfId="0" applyBorder="1" applyAlignment="1">
      <alignment horizontal="center"/>
    </xf>
    <xf numFmtId="0" fontId="0" fillId="0" borderId="7" xfId="0" applyBorder="1" applyAlignment="1">
      <alignment horizontal="center"/>
    </xf>
    <xf numFmtId="0" fontId="0" fillId="0" borderId="26" xfId="0" applyBorder="1" applyAlignment="1">
      <alignment horizontal="center"/>
    </xf>
    <xf numFmtId="0" fontId="6" fillId="0" borderId="4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11" fillId="0" borderId="10" xfId="0" applyFont="1" applyBorder="1" applyAlignment="1">
      <alignment horizontal="center"/>
    </xf>
    <xf numFmtId="0" fontId="11" fillId="0" borderId="9" xfId="0" applyFont="1" applyBorder="1" applyAlignment="1">
      <alignment horizontal="center"/>
    </xf>
    <xf numFmtId="0" fontId="12" fillId="0" borderId="9" xfId="0" applyFont="1" applyBorder="1" applyAlignment="1">
      <alignment horizontal="center"/>
    </xf>
    <xf numFmtId="0" fontId="12" fillId="0" borderId="11" xfId="0" applyFont="1" applyBorder="1" applyAlignment="1">
      <alignment horizontal="center"/>
    </xf>
    <xf numFmtId="0" fontId="8" fillId="0" borderId="27" xfId="0" applyFont="1" applyBorder="1" applyAlignment="1">
      <alignment horizontal="left" vertical="center" wrapText="1"/>
    </xf>
    <xf numFmtId="0" fontId="8" fillId="0" borderId="30" xfId="0" applyFont="1" applyBorder="1" applyAlignment="1">
      <alignment horizontal="left" vertical="center" wrapText="1"/>
    </xf>
    <xf numFmtId="0" fontId="8" fillId="0" borderId="28" xfId="0" applyFont="1" applyBorder="1" applyAlignment="1">
      <alignment horizontal="left" vertical="center" wrapText="1"/>
    </xf>
    <xf numFmtId="0" fontId="8" fillId="0" borderId="33" xfId="0" applyFont="1" applyBorder="1" applyAlignment="1">
      <alignment horizontal="left" vertical="center" wrapText="1"/>
    </xf>
    <xf numFmtId="0" fontId="8" fillId="0" borderId="0" xfId="0" applyFont="1" applyAlignment="1">
      <alignment horizontal="left" vertical="center" wrapText="1"/>
    </xf>
    <xf numFmtId="0" fontId="8" fillId="0" borderId="15" xfId="0" applyFont="1" applyBorder="1" applyAlignment="1">
      <alignment horizontal="lef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8" xfId="0" applyFont="1" applyBorder="1" applyAlignment="1">
      <alignment horizontal="left" vertical="center" wrapText="1"/>
    </xf>
    <xf numFmtId="0" fontId="13" fillId="0" borderId="9"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14" fillId="0" borderId="24"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5" fillId="5" borderId="27" xfId="0" applyFont="1" applyFill="1" applyBorder="1" applyAlignment="1">
      <alignment horizontal="left" vertical="center" wrapText="1"/>
    </xf>
    <xf numFmtId="0" fontId="5" fillId="5" borderId="28" xfId="0" applyFont="1" applyFill="1" applyBorder="1" applyAlignment="1">
      <alignment horizontal="left" vertical="center" wrapText="1"/>
    </xf>
    <xf numFmtId="0" fontId="5" fillId="5" borderId="33" xfId="0" applyFont="1" applyFill="1" applyBorder="1" applyAlignment="1">
      <alignment horizontal="left" vertical="center" wrapText="1"/>
    </xf>
    <xf numFmtId="0" fontId="5" fillId="5" borderId="15" xfId="0" applyFont="1" applyFill="1" applyBorder="1" applyAlignment="1">
      <alignment horizontal="left" vertical="center" wrapText="1"/>
    </xf>
    <xf numFmtId="0" fontId="5" fillId="5" borderId="24" xfId="0" applyFont="1" applyFill="1" applyBorder="1" applyAlignment="1">
      <alignment horizontal="left" vertical="center" wrapText="1"/>
    </xf>
    <xf numFmtId="0" fontId="5" fillId="5" borderId="8" xfId="0" applyFont="1" applyFill="1" applyBorder="1" applyAlignment="1">
      <alignment horizontal="left" vertical="center" wrapText="1"/>
    </xf>
    <xf numFmtId="0" fontId="6" fillId="5" borderId="29" xfId="0" applyFont="1" applyFill="1" applyBorder="1" applyAlignment="1">
      <alignment horizontal="center" vertical="center" wrapText="1"/>
    </xf>
    <xf numFmtId="0" fontId="6" fillId="5" borderId="28" xfId="0" applyFont="1" applyFill="1" applyBorder="1" applyAlignment="1">
      <alignment horizontal="center" vertical="center" wrapText="1"/>
    </xf>
    <xf numFmtId="0" fontId="6" fillId="5" borderId="3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6" fillId="5" borderId="3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5" fillId="5" borderId="38"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8" fillId="5" borderId="38"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6" fillId="0" borderId="43"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3" fillId="5" borderId="24" xfId="0" applyFont="1" applyFill="1" applyBorder="1" applyAlignment="1">
      <alignment horizontal="center"/>
    </xf>
    <xf numFmtId="0" fontId="3" fillId="5" borderId="25" xfId="0" applyFont="1" applyFill="1" applyBorder="1" applyAlignment="1">
      <alignment horizontal="center"/>
    </xf>
    <xf numFmtId="0" fontId="3" fillId="5" borderId="26" xfId="0" applyFont="1" applyFill="1" applyBorder="1" applyAlignment="1">
      <alignment horizontal="center"/>
    </xf>
    <xf numFmtId="0" fontId="4" fillId="5" borderId="27" xfId="0" applyFont="1" applyFill="1" applyBorder="1" applyAlignment="1">
      <alignment horizontal="left"/>
    </xf>
    <xf numFmtId="0" fontId="4" fillId="5" borderId="28" xfId="0" applyFont="1" applyFill="1" applyBorder="1" applyAlignment="1">
      <alignment horizontal="left"/>
    </xf>
    <xf numFmtId="0" fontId="3" fillId="5"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5" borderId="24" xfId="0" applyFont="1" applyFill="1" applyBorder="1" applyAlignment="1">
      <alignment horizontal="left"/>
    </xf>
    <xf numFmtId="0" fontId="4" fillId="5" borderId="8" xfId="0" applyFont="1" applyFill="1" applyBorder="1" applyAlignment="1">
      <alignment horizontal="left"/>
    </xf>
    <xf numFmtId="0" fontId="11" fillId="5" borderId="10" xfId="0" applyFont="1" applyFill="1" applyBorder="1" applyAlignment="1">
      <alignment horizontal="center"/>
    </xf>
    <xf numFmtId="0" fontId="11" fillId="5" borderId="9" xfId="0" applyFont="1" applyFill="1" applyBorder="1" applyAlignment="1">
      <alignment horizontal="center"/>
    </xf>
    <xf numFmtId="0" fontId="12" fillId="5" borderId="9" xfId="0" applyFont="1" applyFill="1" applyBorder="1" applyAlignment="1">
      <alignment horizontal="center"/>
    </xf>
    <xf numFmtId="0" fontId="12" fillId="5" borderId="11" xfId="0" applyFont="1" applyFill="1" applyBorder="1" applyAlignment="1">
      <alignment horizontal="center"/>
    </xf>
    <xf numFmtId="0" fontId="8" fillId="5" borderId="10" xfId="0" applyFont="1" applyFill="1" applyBorder="1" applyAlignment="1">
      <alignment horizontal="left" vertical="center" wrapText="1"/>
    </xf>
    <xf numFmtId="0" fontId="8" fillId="5" borderId="9" xfId="0" applyFont="1" applyFill="1" applyBorder="1" applyAlignment="1">
      <alignment horizontal="left" vertical="center" wrapText="1"/>
    </xf>
    <xf numFmtId="0" fontId="13" fillId="5" borderId="9"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14" fillId="5" borderId="24" xfId="0" applyFont="1" applyFill="1" applyBorder="1" applyAlignment="1">
      <alignment horizontal="center"/>
    </xf>
    <xf numFmtId="0" fontId="14" fillId="5" borderId="25" xfId="0" applyFont="1" applyFill="1" applyBorder="1" applyAlignment="1">
      <alignment horizontal="center"/>
    </xf>
    <xf numFmtId="0" fontId="14" fillId="5" borderId="26" xfId="0" applyFont="1" applyFill="1" applyBorder="1" applyAlignment="1">
      <alignment horizontal="center"/>
    </xf>
    <xf numFmtId="0" fontId="6" fillId="5" borderId="10"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39" xfId="0" applyFont="1" applyFill="1" applyBorder="1" applyAlignment="1">
      <alignment horizontal="center" vertical="center" wrapText="1"/>
    </xf>
    <xf numFmtId="0" fontId="6" fillId="5" borderId="40" xfId="0" applyFont="1" applyFill="1" applyBorder="1" applyAlignment="1">
      <alignment horizontal="center" vertical="center" wrapText="1"/>
    </xf>
    <xf numFmtId="0" fontId="6" fillId="5" borderId="43"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44" xfId="0" applyFont="1" applyFill="1" applyBorder="1" applyAlignment="1">
      <alignment horizontal="center" vertical="center" wrapText="1"/>
    </xf>
    <xf numFmtId="0" fontId="6" fillId="5" borderId="45" xfId="0" applyFont="1" applyFill="1" applyBorder="1" applyAlignment="1">
      <alignment horizontal="center" vertical="center" wrapText="1"/>
    </xf>
    <xf numFmtId="0" fontId="0" fillId="5" borderId="27"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24" xfId="0" applyFill="1" applyBorder="1" applyAlignment="1">
      <alignment horizontal="center" vertical="center" wrapText="1"/>
    </xf>
    <xf numFmtId="0" fontId="0" fillId="5" borderId="8"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7" xfId="0" applyFill="1" applyBorder="1" applyAlignment="1">
      <alignment horizontal="center" vertical="center" wrapText="1"/>
    </xf>
    <xf numFmtId="0" fontId="0" fillId="5" borderId="29" xfId="0" applyFill="1" applyBorder="1" applyAlignment="1">
      <alignment horizontal="center"/>
    </xf>
    <xf numFmtId="0" fontId="0" fillId="5" borderId="41" xfId="0" applyFill="1" applyBorder="1" applyAlignment="1">
      <alignment horizontal="center"/>
    </xf>
    <xf numFmtId="0" fontId="0" fillId="5" borderId="7" xfId="0" applyFill="1" applyBorder="1" applyAlignment="1">
      <alignment horizontal="center"/>
    </xf>
    <xf numFmtId="0" fontId="0" fillId="5" borderId="26" xfId="0" applyFill="1" applyBorder="1" applyAlignment="1">
      <alignment horizontal="center"/>
    </xf>
    <xf numFmtId="0" fontId="6" fillId="5" borderId="4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30"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63" xfId="0" applyFont="1" applyFill="1" applyBorder="1" applyAlignment="1">
      <alignment horizontal="center" vertical="center" wrapText="1"/>
    </xf>
    <xf numFmtId="0" fontId="6" fillId="5" borderId="64" xfId="0" applyFont="1" applyFill="1" applyBorder="1" applyAlignment="1">
      <alignment horizontal="center" vertical="center" wrapText="1"/>
    </xf>
    <xf numFmtId="0" fontId="10" fillId="5" borderId="38"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17" xfId="0" applyFont="1" applyFill="1" applyBorder="1" applyAlignment="1">
      <alignment horizontal="center" vertical="center" wrapText="1"/>
    </xf>
    <xf numFmtId="0" fontId="8" fillId="5" borderId="27" xfId="0" applyFont="1" applyFill="1" applyBorder="1" applyAlignment="1">
      <alignment horizontal="left" vertical="center" wrapText="1"/>
    </xf>
    <xf numFmtId="0" fontId="8" fillId="5" borderId="30" xfId="0" applyFont="1" applyFill="1" applyBorder="1" applyAlignment="1">
      <alignment horizontal="left" vertical="center" wrapText="1"/>
    </xf>
    <xf numFmtId="0" fontId="8" fillId="5" borderId="28" xfId="0" applyFont="1" applyFill="1" applyBorder="1" applyAlignment="1">
      <alignment horizontal="left" vertical="center" wrapText="1"/>
    </xf>
    <xf numFmtId="0" fontId="8" fillId="5" borderId="33"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5" xfId="0" applyFont="1" applyFill="1" applyBorder="1" applyAlignment="1">
      <alignment horizontal="left" vertical="center" wrapText="1"/>
    </xf>
    <xf numFmtId="0" fontId="8" fillId="5" borderId="24" xfId="0" applyFont="1" applyFill="1" applyBorder="1" applyAlignment="1">
      <alignment horizontal="left" vertical="center" wrapText="1"/>
    </xf>
    <xf numFmtId="0" fontId="8" fillId="5" borderId="25" xfId="0" applyFont="1" applyFill="1" applyBorder="1" applyAlignment="1">
      <alignment horizontal="left" vertical="center" wrapText="1"/>
    </xf>
    <xf numFmtId="0" fontId="8" fillId="5" borderId="8" xfId="0" applyFont="1" applyFill="1" applyBorder="1" applyAlignment="1">
      <alignment horizontal="left" vertical="center" wrapText="1"/>
    </xf>
    <xf numFmtId="0" fontId="6" fillId="5" borderId="25" xfId="0" applyFont="1" applyFill="1" applyBorder="1" applyAlignment="1">
      <alignment horizontal="center" vertical="center" wrapText="1"/>
    </xf>
    <xf numFmtId="0" fontId="20" fillId="5" borderId="29" xfId="0" applyFont="1" applyFill="1" applyBorder="1" applyAlignment="1">
      <alignment horizontal="center" vertical="center" wrapText="1"/>
    </xf>
    <xf numFmtId="0" fontId="20" fillId="5" borderId="30" xfId="0" applyFont="1" applyFill="1" applyBorder="1" applyAlignment="1">
      <alignment horizontal="center" vertical="center" wrapText="1"/>
    </xf>
    <xf numFmtId="0" fontId="20" fillId="5" borderId="31" xfId="0" applyFont="1" applyFill="1" applyBorder="1" applyAlignment="1">
      <alignment horizontal="center" vertical="center" wrapText="1"/>
    </xf>
    <xf numFmtId="0" fontId="6" fillId="0" borderId="28"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8"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48"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70" xfId="0" applyFont="1" applyBorder="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xf>
    <xf numFmtId="0" fontId="12" fillId="0" borderId="0" xfId="0" applyFont="1" applyAlignment="1">
      <alignment horizontal="center"/>
    </xf>
    <xf numFmtId="0" fontId="13" fillId="0" borderId="0" xfId="0" applyFont="1" applyAlignment="1">
      <alignment horizontal="left" vertical="center" wrapText="1"/>
    </xf>
    <xf numFmtId="0" fontId="14" fillId="0" borderId="0" xfId="0" applyFont="1" applyAlignment="1">
      <alignment horizontal="center"/>
    </xf>
    <xf numFmtId="0" fontId="10"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3" fillId="5" borderId="0" xfId="0" applyFont="1" applyFill="1" applyAlignment="1">
      <alignment horizontal="center"/>
    </xf>
    <xf numFmtId="0" fontId="3" fillId="0" borderId="0" xfId="0" applyFont="1" applyAlignment="1">
      <alignment horizontal="center"/>
    </xf>
    <xf numFmtId="0" fontId="4" fillId="4" borderId="0" xfId="0" applyFont="1" applyFill="1" applyAlignment="1">
      <alignment horizontal="left"/>
    </xf>
    <xf numFmtId="0" fontId="3" fillId="4" borderId="0" xfId="0" applyFont="1" applyFill="1" applyAlignment="1">
      <alignment horizontal="center" vertical="center" wrapText="1"/>
    </xf>
    <xf numFmtId="0" fontId="3" fillId="4" borderId="2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11" fillId="0" borderId="42" xfId="0" applyFont="1" applyBorder="1" applyAlignment="1">
      <alignment horizontal="center"/>
    </xf>
    <xf numFmtId="0" fontId="11" fillId="0" borderId="54" xfId="0" applyFont="1" applyBorder="1" applyAlignment="1">
      <alignment horizontal="center"/>
    </xf>
    <xf numFmtId="0" fontId="11" fillId="0" borderId="13" xfId="0" applyFont="1" applyBorder="1" applyAlignment="1">
      <alignment horizontal="center"/>
    </xf>
    <xf numFmtId="0" fontId="12" fillId="0" borderId="39" xfId="0" applyFont="1" applyBorder="1" applyAlignment="1">
      <alignment horizontal="center"/>
    </xf>
    <xf numFmtId="0" fontId="12" fillId="0" borderId="54" xfId="0" applyFont="1" applyBorder="1" applyAlignment="1">
      <alignment horizontal="center"/>
    </xf>
    <xf numFmtId="0" fontId="12" fillId="0" borderId="40" xfId="0" applyFont="1" applyBorder="1" applyAlignment="1">
      <alignment horizontal="center"/>
    </xf>
    <xf numFmtId="0" fontId="13"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41" xfId="0" applyFont="1" applyBorder="1" applyAlignment="1">
      <alignment horizontal="left" vertical="center" wrapText="1"/>
    </xf>
    <xf numFmtId="0" fontId="13" fillId="0" borderId="34" xfId="0" applyFont="1" applyBorder="1" applyAlignment="1">
      <alignment horizontal="left" vertical="center" wrapText="1"/>
    </xf>
    <xf numFmtId="0" fontId="13" fillId="0" borderId="36" xfId="0" applyFont="1" applyBorder="1" applyAlignment="1">
      <alignment horizontal="left" vertical="center" wrapText="1"/>
    </xf>
    <xf numFmtId="0" fontId="13" fillId="0" borderId="7" xfId="0" applyFont="1" applyBorder="1" applyAlignment="1">
      <alignment horizontal="left" vertical="center" wrapText="1"/>
    </xf>
    <xf numFmtId="0" fontId="13" fillId="0" borderId="25" xfId="0" applyFont="1" applyBorder="1" applyAlignment="1">
      <alignment horizontal="left" vertical="center" wrapText="1"/>
    </xf>
    <xf numFmtId="0" fontId="13" fillId="0" borderId="26" xfId="0" applyFont="1" applyBorder="1" applyAlignment="1">
      <alignment horizontal="left" vertical="center" wrapText="1"/>
    </xf>
    <xf numFmtId="0" fontId="2" fillId="0" borderId="31"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4" borderId="35" xfId="0" applyFont="1" applyFill="1" applyBorder="1" applyAlignment="1">
      <alignment horizontal="center" vertical="center" wrapText="1"/>
    </xf>
    <xf numFmtId="0" fontId="6" fillId="0" borderId="47" xfId="0" applyFont="1" applyBorder="1" applyAlignment="1">
      <alignment horizontal="center" vertical="center" wrapText="1"/>
    </xf>
    <xf numFmtId="0" fontId="10" fillId="0" borderId="38" xfId="0" applyFont="1" applyBorder="1" applyAlignment="1">
      <alignment horizontal="center" wrapText="1"/>
    </xf>
    <xf numFmtId="0" fontId="10" fillId="0" borderId="14" xfId="0" applyFont="1" applyBorder="1" applyAlignment="1">
      <alignment horizontal="center" wrapText="1"/>
    </xf>
    <xf numFmtId="0" fontId="10" fillId="0" borderId="17" xfId="0" applyFont="1" applyBorder="1" applyAlignment="1">
      <alignment horizontal="center" wrapText="1"/>
    </xf>
    <xf numFmtId="0" fontId="0" fillId="0" borderId="52" xfId="0" applyBorder="1" applyAlignment="1">
      <alignment horizontal="center" vertical="center" wrapText="1"/>
    </xf>
    <xf numFmtId="0" fontId="0" fillId="0" borderId="57" xfId="0" applyBorder="1" applyAlignment="1">
      <alignment horizontal="center" vertical="center" wrapText="1"/>
    </xf>
    <xf numFmtId="0" fontId="0" fillId="0" borderId="51" xfId="0" applyBorder="1" applyAlignment="1">
      <alignment horizontal="center" vertical="center" wrapText="1"/>
    </xf>
    <xf numFmtId="0" fontId="10" fillId="0" borderId="21"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48" xfId="0" applyFont="1" applyBorder="1" applyAlignment="1">
      <alignment horizontal="center" vertical="center" wrapText="1"/>
    </xf>
    <xf numFmtId="0" fontId="0" fillId="0" borderId="61" xfId="0" applyBorder="1" applyAlignment="1">
      <alignment horizontal="center" vertical="center"/>
    </xf>
    <xf numFmtId="0" fontId="0" fillId="0" borderId="62" xfId="0" applyBorder="1" applyAlignment="1">
      <alignment horizontal="center" vertical="center"/>
    </xf>
    <xf numFmtId="0" fontId="42" fillId="0" borderId="55" xfId="0" applyFont="1" applyBorder="1" applyAlignment="1">
      <alignment horizontal="center" vertical="center"/>
    </xf>
    <xf numFmtId="0" fontId="28" fillId="0" borderId="68" xfId="0" applyFont="1" applyBorder="1" applyAlignment="1">
      <alignment horizontal="center" vertical="center"/>
    </xf>
    <xf numFmtId="0" fontId="42" fillId="0" borderId="47" xfId="0" applyFont="1" applyBorder="1" applyAlignment="1">
      <alignment horizontal="center" vertical="center"/>
    </xf>
    <xf numFmtId="0" fontId="28" fillId="0" borderId="57" xfId="0" applyFont="1" applyBorder="1" applyAlignment="1">
      <alignment horizontal="center" vertical="center"/>
    </xf>
    <xf numFmtId="0" fontId="41" fillId="0" borderId="52" xfId="0" applyFont="1" applyBorder="1" applyAlignment="1">
      <alignment horizontal="center" vertical="center" wrapText="1"/>
    </xf>
    <xf numFmtId="0" fontId="41" fillId="0" borderId="51"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47" xfId="0" applyFont="1" applyBorder="1" applyAlignment="1">
      <alignment horizontal="center" vertical="center"/>
    </xf>
    <xf numFmtId="0" fontId="41" fillId="0" borderId="57" xfId="0" applyFont="1" applyBorder="1" applyAlignment="1">
      <alignment horizontal="center" vertical="center" wrapText="1"/>
    </xf>
    <xf numFmtId="0" fontId="4" fillId="4" borderId="33" xfId="0" applyFont="1" applyFill="1" applyBorder="1" applyAlignment="1">
      <alignment horizontal="left"/>
    </xf>
    <xf numFmtId="0" fontId="4" fillId="4" borderId="15" xfId="0" applyFont="1" applyFill="1" applyBorder="1" applyAlignment="1">
      <alignment horizontal="left"/>
    </xf>
    <xf numFmtId="0" fontId="5" fillId="0" borderId="47" xfId="0" applyFont="1" applyBorder="1" applyAlignment="1">
      <alignment horizontal="left" vertical="center" wrapText="1"/>
    </xf>
    <xf numFmtId="0" fontId="0" fillId="0" borderId="60" xfId="0" applyBorder="1" applyAlignment="1">
      <alignment horizontal="center" vertical="center" wrapText="1"/>
    </xf>
    <xf numFmtId="0" fontId="39" fillId="5" borderId="55" xfId="2" applyFont="1" applyFill="1" applyBorder="1" applyAlignment="1">
      <alignment horizontal="center" vertical="center" wrapText="1"/>
    </xf>
    <xf numFmtId="0" fontId="39" fillId="5" borderId="68" xfId="2" applyFont="1" applyFill="1" applyBorder="1" applyAlignment="1">
      <alignment horizontal="center" vertical="center" wrapText="1"/>
    </xf>
    <xf numFmtId="0" fontId="40" fillId="5" borderId="47" xfId="2" applyFont="1" applyFill="1" applyBorder="1" applyAlignment="1">
      <alignment horizontal="center" vertical="center" wrapText="1"/>
    </xf>
    <xf numFmtId="0" fontId="39" fillId="5" borderId="51" xfId="2" applyFont="1" applyFill="1" applyBorder="1" applyAlignment="1">
      <alignment horizontal="center" vertical="center" wrapText="1"/>
    </xf>
    <xf numFmtId="0" fontId="39" fillId="5" borderId="52" xfId="2" applyFont="1" applyFill="1" applyBorder="1" applyAlignment="1">
      <alignment horizontal="center" vertical="center" wrapText="1"/>
    </xf>
    <xf numFmtId="0" fontId="39" fillId="5" borderId="47" xfId="2" applyFont="1" applyFill="1" applyBorder="1" applyAlignment="1">
      <alignment horizontal="left" vertical="center" wrapText="1"/>
    </xf>
    <xf numFmtId="0" fontId="39" fillId="5" borderId="51" xfId="2" applyFont="1" applyFill="1" applyBorder="1" applyAlignment="1">
      <alignment horizontal="left" vertical="center" wrapText="1"/>
    </xf>
    <xf numFmtId="0" fontId="39" fillId="5" borderId="57" xfId="2" applyFont="1" applyFill="1" applyBorder="1" applyAlignment="1">
      <alignment horizontal="center" vertical="center" wrapText="1"/>
    </xf>
    <xf numFmtId="0" fontId="39" fillId="5" borderId="47" xfId="2" applyFont="1" applyFill="1" applyBorder="1" applyAlignment="1">
      <alignment horizontal="center" vertical="center" wrapText="1"/>
    </xf>
    <xf numFmtId="0" fontId="40" fillId="5" borderId="53" xfId="2" applyFont="1" applyFill="1" applyBorder="1" applyAlignment="1">
      <alignment horizontal="center" vertical="center" wrapText="1"/>
    </xf>
    <xf numFmtId="0" fontId="39" fillId="5" borderId="60" xfId="2" applyFont="1" applyFill="1" applyBorder="1" applyAlignment="1">
      <alignment horizontal="center" vertical="center" wrapText="1"/>
    </xf>
    <xf numFmtId="0" fontId="4" fillId="5" borderId="33" xfId="0" applyFont="1" applyFill="1" applyBorder="1" applyAlignment="1">
      <alignment horizontal="left"/>
    </xf>
    <xf numFmtId="0" fontId="4" fillId="5" borderId="15" xfId="0" applyFont="1" applyFill="1" applyBorder="1" applyAlignment="1">
      <alignment horizontal="left"/>
    </xf>
    <xf numFmtId="0" fontId="5" fillId="5" borderId="47" xfId="0" applyFont="1" applyFill="1" applyBorder="1" applyAlignment="1">
      <alignment horizontal="left" vertical="center" wrapText="1"/>
    </xf>
    <xf numFmtId="0" fontId="3" fillId="4" borderId="34" xfId="0" applyFont="1" applyFill="1" applyBorder="1" applyAlignment="1">
      <alignment horizontal="center" vertical="center" wrapText="1"/>
    </xf>
    <xf numFmtId="0" fontId="5" fillId="0" borderId="53" xfId="0" applyFont="1" applyBorder="1" applyAlignment="1">
      <alignment horizontal="left" vertical="center" wrapText="1"/>
    </xf>
    <xf numFmtId="0" fontId="6" fillId="0" borderId="55" xfId="0" applyFont="1" applyBorder="1" applyAlignment="1">
      <alignment horizontal="center" vertical="center" wrapText="1"/>
    </xf>
    <xf numFmtId="0" fontId="10" fillId="5" borderId="21" xfId="0" applyFont="1" applyFill="1" applyBorder="1" applyAlignment="1">
      <alignment horizontal="center" vertical="center" wrapText="1"/>
    </xf>
    <xf numFmtId="0" fontId="10" fillId="5" borderId="33" xfId="0" applyFont="1" applyFill="1" applyBorder="1" applyAlignment="1">
      <alignment horizontal="center" vertical="center" wrapText="1"/>
    </xf>
    <xf numFmtId="0" fontId="10" fillId="5" borderId="48" xfId="0" applyFont="1" applyFill="1" applyBorder="1" applyAlignment="1">
      <alignment horizontal="center" vertical="center" wrapText="1"/>
    </xf>
    <xf numFmtId="0" fontId="43" fillId="0" borderId="71" xfId="0" applyFont="1" applyBorder="1" applyAlignment="1">
      <alignment horizontal="center" vertical="center" wrapText="1"/>
    </xf>
    <xf numFmtId="0" fontId="10" fillId="0" borderId="74" xfId="0" applyFont="1" applyBorder="1" applyAlignment="1">
      <alignment horizontal="center" vertical="center" wrapText="1"/>
    </xf>
    <xf numFmtId="0" fontId="10" fillId="0" borderId="76" xfId="0" applyFont="1" applyBorder="1" applyAlignment="1">
      <alignment horizontal="center" vertical="center" wrapText="1"/>
    </xf>
    <xf numFmtId="0" fontId="10" fillId="0" borderId="72" xfId="0" applyFont="1" applyBorder="1" applyAlignment="1">
      <alignment horizontal="center" vertical="center" wrapText="1"/>
    </xf>
    <xf numFmtId="0" fontId="10" fillId="0" borderId="73" xfId="0" applyFont="1" applyBorder="1" applyAlignment="1">
      <alignment horizontal="center" vertical="center" wrapText="1"/>
    </xf>
    <xf numFmtId="0" fontId="10" fillId="0" borderId="75" xfId="0" applyFont="1" applyBorder="1" applyAlignment="1">
      <alignment horizontal="center" vertical="center" wrapText="1"/>
    </xf>
    <xf numFmtId="0" fontId="10" fillId="0" borderId="77" xfId="0" applyFont="1" applyBorder="1" applyAlignment="1">
      <alignment horizontal="center" vertical="center" wrapText="1"/>
    </xf>
    <xf numFmtId="0" fontId="10" fillId="5" borderId="78" xfId="0" applyFont="1" applyFill="1" applyBorder="1" applyAlignment="1">
      <alignment horizontal="center" vertical="center" wrapText="1"/>
    </xf>
    <xf numFmtId="0" fontId="10" fillId="5" borderId="80" xfId="0" applyFont="1" applyFill="1" applyBorder="1" applyAlignment="1">
      <alignment horizontal="center" vertical="center" wrapText="1"/>
    </xf>
    <xf numFmtId="0" fontId="10" fillId="5" borderId="82" xfId="0" applyFont="1" applyFill="1" applyBorder="1" applyAlignment="1">
      <alignment horizontal="center" vertical="center" wrapText="1"/>
    </xf>
    <xf numFmtId="0" fontId="10" fillId="5" borderId="83" xfId="0" applyFont="1" applyFill="1" applyBorder="1" applyAlignment="1">
      <alignment horizontal="center" vertical="center" wrapText="1"/>
    </xf>
    <xf numFmtId="0" fontId="10" fillId="5" borderId="79" xfId="0" applyFont="1" applyFill="1" applyBorder="1" applyAlignment="1">
      <alignment horizontal="center" vertical="center" wrapText="1"/>
    </xf>
    <xf numFmtId="0" fontId="10" fillId="5" borderId="81" xfId="0" applyFont="1" applyFill="1" applyBorder="1" applyAlignment="1">
      <alignment horizontal="center" vertical="center" wrapText="1"/>
    </xf>
    <xf numFmtId="0" fontId="10" fillId="5" borderId="84" xfId="0" applyFont="1" applyFill="1" applyBorder="1" applyAlignment="1">
      <alignment horizontal="center" vertical="center" wrapText="1"/>
    </xf>
    <xf numFmtId="0" fontId="43" fillId="0" borderId="27" xfId="0" applyFont="1" applyBorder="1" applyAlignment="1">
      <alignment horizontal="left" vertical="center" wrapText="1"/>
    </xf>
    <xf numFmtId="0" fontId="36" fillId="0" borderId="55" xfId="0" applyFont="1" applyBorder="1" applyAlignment="1">
      <alignment horizontal="left" vertical="top" wrapText="1"/>
    </xf>
    <xf numFmtId="0" fontId="16" fillId="0" borderId="55" xfId="0" applyFont="1" applyBorder="1" applyAlignment="1">
      <alignment horizontal="left" vertical="top" wrapText="1"/>
    </xf>
    <xf numFmtId="0" fontId="16" fillId="0" borderId="53" xfId="0" applyFont="1" applyBorder="1" applyAlignment="1">
      <alignment horizontal="center"/>
    </xf>
    <xf numFmtId="0" fontId="16" fillId="0" borderId="53" xfId="0" applyFont="1" applyBorder="1" applyAlignment="1">
      <alignment horizontal="center" vertical="center" wrapText="1"/>
    </xf>
    <xf numFmtId="0" fontId="16" fillId="0" borderId="58" xfId="0" applyFont="1" applyBorder="1" applyAlignment="1">
      <alignment horizontal="center" vertical="center" wrapText="1"/>
    </xf>
    <xf numFmtId="0" fontId="16" fillId="0" borderId="67"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69" xfId="0" applyFont="1" applyBorder="1" applyAlignment="1">
      <alignment horizontal="center" vertical="center" wrapText="1"/>
    </xf>
    <xf numFmtId="0" fontId="16" fillId="0" borderId="60" xfId="0" applyFont="1" applyBorder="1" applyAlignment="1">
      <alignment horizontal="center" vertical="center" wrapText="1"/>
    </xf>
    <xf numFmtId="0" fontId="16" fillId="0" borderId="68" xfId="0" applyFont="1" applyBorder="1" applyAlignment="1">
      <alignment horizontal="center" vertical="center" wrapText="1"/>
    </xf>
    <xf numFmtId="0" fontId="16" fillId="0" borderId="53" xfId="0" applyFont="1" applyBorder="1" applyAlignment="1">
      <alignment horizontal="left"/>
    </xf>
    <xf numFmtId="0" fontId="16" fillId="0" borderId="58" xfId="0" applyFont="1" applyBorder="1" applyAlignment="1">
      <alignment horizontal="center" vertical="top" wrapText="1"/>
    </xf>
    <xf numFmtId="0" fontId="16" fillId="0" borderId="67" xfId="0" applyFont="1" applyBorder="1" applyAlignment="1">
      <alignment horizontal="center" vertical="top" wrapText="1"/>
    </xf>
    <xf numFmtId="0" fontId="16" fillId="0" borderId="68" xfId="0" applyFont="1" applyBorder="1" applyAlignment="1">
      <alignment horizontal="center" vertical="top" wrapText="1"/>
    </xf>
    <xf numFmtId="0" fontId="16" fillId="0" borderId="59" xfId="0" applyFont="1" applyBorder="1" applyAlignment="1">
      <alignment horizontal="center" vertical="top" wrapText="1"/>
    </xf>
    <xf numFmtId="0" fontId="16" fillId="0" borderId="69" xfId="0" applyFont="1" applyBorder="1" applyAlignment="1">
      <alignment horizontal="center" vertical="top" wrapText="1"/>
    </xf>
    <xf numFmtId="0" fontId="16" fillId="0" borderId="53" xfId="0" applyFont="1" applyBorder="1" applyAlignment="1">
      <alignment horizontal="center" vertical="top" wrapText="1"/>
    </xf>
    <xf numFmtId="0" fontId="16" fillId="0" borderId="58" xfId="0" applyFont="1" applyBorder="1" applyAlignment="1">
      <alignment horizontal="left" vertical="top" wrapText="1"/>
    </xf>
    <xf numFmtId="0" fontId="16" fillId="0" borderId="67" xfId="0" applyFont="1" applyBorder="1" applyAlignment="1">
      <alignment horizontal="left" vertical="top" wrapText="1"/>
    </xf>
    <xf numFmtId="0" fontId="16" fillId="0" borderId="60" xfId="0" applyFont="1" applyBorder="1" applyAlignment="1">
      <alignment horizontal="left" vertical="top" wrapText="1"/>
    </xf>
    <xf numFmtId="0" fontId="16" fillId="0" borderId="68" xfId="0" applyFont="1" applyBorder="1" applyAlignment="1">
      <alignment horizontal="left" vertical="top" wrapText="1"/>
    </xf>
    <xf numFmtId="0" fontId="16" fillId="0" borderId="59" xfId="0" applyFont="1" applyBorder="1" applyAlignment="1">
      <alignment horizontal="left" vertical="top" wrapText="1"/>
    </xf>
    <xf numFmtId="0" fontId="16" fillId="0" borderId="69" xfId="0" applyFont="1" applyBorder="1" applyAlignment="1">
      <alignment horizontal="left" vertical="top" wrapText="1"/>
    </xf>
    <xf numFmtId="0" fontId="16" fillId="0" borderId="51" xfId="0" applyFont="1" applyBorder="1" applyAlignment="1">
      <alignment horizontal="center"/>
    </xf>
    <xf numFmtId="0" fontId="16" fillId="0" borderId="59" xfId="0" applyFont="1" applyBorder="1" applyAlignment="1">
      <alignment horizontal="center"/>
    </xf>
    <xf numFmtId="0" fontId="44" fillId="0" borderId="58" xfId="0" applyFont="1" applyBorder="1" applyAlignment="1">
      <alignment horizontal="center" vertical="center" wrapText="1"/>
    </xf>
    <xf numFmtId="0" fontId="16" fillId="0" borderId="0" xfId="0" applyFont="1" applyAlignment="1">
      <alignment horizontal="left" vertical="top" wrapText="1"/>
    </xf>
    <xf numFmtId="0" fontId="16" fillId="0" borderId="52" xfId="0" applyFont="1" applyBorder="1" applyAlignment="1">
      <alignment horizontal="left"/>
    </xf>
    <xf numFmtId="0" fontId="16" fillId="0" borderId="58" xfId="0" applyFont="1" applyBorder="1" applyAlignment="1">
      <alignment horizontal="left"/>
    </xf>
    <xf numFmtId="0" fontId="11" fillId="0" borderId="88" xfId="0" applyFont="1" applyBorder="1" applyAlignment="1">
      <alignment horizontal="center"/>
    </xf>
    <xf numFmtId="0" fontId="11" fillId="0" borderId="89" xfId="0" applyFont="1" applyBorder="1" applyAlignment="1">
      <alignment horizontal="center"/>
    </xf>
    <xf numFmtId="0" fontId="11" fillId="0" borderId="91" xfId="0" applyFont="1" applyBorder="1" applyAlignment="1">
      <alignment horizontal="center"/>
    </xf>
    <xf numFmtId="0" fontId="12" fillId="0" borderId="88" xfId="0" applyFont="1" applyBorder="1" applyAlignment="1">
      <alignment horizontal="center"/>
    </xf>
    <xf numFmtId="0" fontId="12" fillId="0" borderId="89" xfId="0" applyFont="1" applyBorder="1" applyAlignment="1">
      <alignment horizontal="center"/>
    </xf>
    <xf numFmtId="0" fontId="12" fillId="0" borderId="90" xfId="0" applyFont="1" applyBorder="1" applyAlignment="1">
      <alignment horizontal="center"/>
    </xf>
    <xf numFmtId="0" fontId="47" fillId="0" borderId="33" xfId="0" applyFont="1" applyBorder="1" applyAlignment="1">
      <alignment horizontal="center" vertical="center" wrapText="1"/>
    </xf>
    <xf numFmtId="0" fontId="10" fillId="0" borderId="49" xfId="0" applyFont="1" applyBorder="1" applyAlignment="1">
      <alignment horizontal="center" vertical="center" wrapText="1"/>
    </xf>
    <xf numFmtId="0" fontId="10" fillId="0" borderId="33" xfId="0" applyFont="1" applyBorder="1" applyAlignment="1">
      <alignment horizontal="left" vertical="center" wrapText="1"/>
    </xf>
    <xf numFmtId="0" fontId="10" fillId="0" borderId="0" xfId="0" applyFont="1" applyAlignment="1">
      <alignment horizontal="left" vertical="center" wrapText="1"/>
    </xf>
    <xf numFmtId="0" fontId="10" fillId="0" borderId="36" xfId="0" applyFont="1" applyBorder="1" applyAlignment="1">
      <alignment horizontal="left" vertical="center" wrapText="1"/>
    </xf>
    <xf numFmtId="0" fontId="10" fillId="0" borderId="48" xfId="0" applyFont="1" applyBorder="1" applyAlignment="1">
      <alignment horizontal="left" vertical="center" wrapText="1"/>
    </xf>
    <xf numFmtId="0" fontId="10" fillId="0" borderId="49" xfId="0" applyFont="1" applyBorder="1" applyAlignment="1">
      <alignment horizontal="left" vertical="center" wrapText="1"/>
    </xf>
    <xf numFmtId="0" fontId="10" fillId="0" borderId="70" xfId="0" applyFont="1" applyBorder="1" applyAlignment="1">
      <alignment horizontal="left" vertical="center" wrapText="1"/>
    </xf>
    <xf numFmtId="0" fontId="14" fillId="0" borderId="85" xfId="0" applyFont="1" applyBorder="1" applyAlignment="1">
      <alignment horizontal="center"/>
    </xf>
    <xf numFmtId="0" fontId="14" fillId="0" borderId="86" xfId="0" applyFont="1" applyBorder="1" applyAlignment="1">
      <alignment horizontal="center"/>
    </xf>
    <xf numFmtId="0" fontId="14" fillId="0" borderId="87" xfId="0" applyFont="1" applyBorder="1" applyAlignment="1">
      <alignment horizontal="center"/>
    </xf>
    <xf numFmtId="0" fontId="6" fillId="0" borderId="92" xfId="0" applyFont="1" applyBorder="1" applyAlignment="1">
      <alignment horizontal="center" vertical="center" wrapText="1"/>
    </xf>
    <xf numFmtId="0" fontId="6" fillId="0" borderId="26" xfId="0" applyFont="1" applyBorder="1" applyAlignment="1">
      <alignment horizontal="center" vertical="center" wrapText="1"/>
    </xf>
    <xf numFmtId="0" fontId="47" fillId="0" borderId="38" xfId="0" applyFont="1" applyBorder="1" applyAlignment="1">
      <alignment horizontal="center" vertical="center" wrapText="1"/>
    </xf>
    <xf numFmtId="0" fontId="46" fillId="0" borderId="38" xfId="0" applyFont="1" applyBorder="1" applyAlignment="1">
      <alignment horizontal="center" vertical="center" wrapText="1"/>
    </xf>
    <xf numFmtId="0" fontId="43" fillId="0" borderId="38" xfId="0" applyFont="1" applyBorder="1" applyAlignment="1">
      <alignment horizontal="center" vertical="center" wrapText="1"/>
    </xf>
    <xf numFmtId="0" fontId="3" fillId="0" borderId="85" xfId="0" applyFont="1" applyBorder="1" applyAlignment="1">
      <alignment horizontal="center"/>
    </xf>
    <xf numFmtId="0" fontId="3" fillId="0" borderId="86" xfId="0" applyFont="1" applyBorder="1" applyAlignment="1">
      <alignment horizontal="center"/>
    </xf>
    <xf numFmtId="0" fontId="3" fillId="0" borderId="87" xfId="0" applyFont="1" applyBorder="1" applyAlignment="1">
      <alignment horizontal="center"/>
    </xf>
    <xf numFmtId="0" fontId="6" fillId="6" borderId="31" xfId="0" applyFont="1" applyFill="1" applyBorder="1" applyAlignment="1">
      <alignment horizontal="center" vertical="center" wrapText="1"/>
    </xf>
    <xf numFmtId="0" fontId="6" fillId="6" borderId="35"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10" fillId="7" borderId="33" xfId="0" applyFont="1" applyFill="1" applyBorder="1" applyAlignment="1">
      <alignment horizontal="left" vertical="center" wrapText="1"/>
    </xf>
    <xf numFmtId="0" fontId="10" fillId="7" borderId="0" xfId="0" applyFont="1" applyFill="1" applyAlignment="1">
      <alignment horizontal="left" vertical="center" wrapText="1"/>
    </xf>
    <xf numFmtId="0" fontId="10" fillId="7" borderId="36" xfId="0" applyFont="1" applyFill="1" applyBorder="1" applyAlignment="1">
      <alignment horizontal="left" vertical="center" wrapText="1"/>
    </xf>
    <xf numFmtId="0" fontId="10" fillId="7" borderId="48" xfId="0" applyFont="1" applyFill="1" applyBorder="1" applyAlignment="1">
      <alignment horizontal="left" vertical="center" wrapText="1"/>
    </xf>
    <xf numFmtId="0" fontId="10" fillId="7" borderId="49" xfId="0" applyFont="1" applyFill="1" applyBorder="1" applyAlignment="1">
      <alignment horizontal="left" vertical="center" wrapText="1"/>
    </xf>
    <xf numFmtId="0" fontId="10" fillId="7" borderId="70" xfId="0" applyFont="1" applyFill="1" applyBorder="1" applyAlignment="1">
      <alignment horizontal="left" vertical="center" wrapText="1"/>
    </xf>
    <xf numFmtId="0" fontId="43" fillId="0" borderId="33" xfId="0" applyFont="1" applyBorder="1" applyAlignment="1">
      <alignment horizontal="center" vertical="center" wrapText="1"/>
    </xf>
    <xf numFmtId="2" fontId="2" fillId="3" borderId="46" xfId="0" applyNumberFormat="1" applyFont="1" applyFill="1" applyBorder="1" applyAlignment="1">
      <alignment horizontal="center" vertical="center"/>
    </xf>
    <xf numFmtId="0" fontId="10" fillId="0" borderId="22" xfId="0" applyFont="1" applyBorder="1" applyAlignment="1">
      <alignment horizontal="center" vertical="center" wrapText="1"/>
    </xf>
    <xf numFmtId="0" fontId="43" fillId="0" borderId="97" xfId="0" applyFont="1" applyBorder="1" applyAlignment="1">
      <alignment horizontal="center" vertical="center" wrapText="1"/>
    </xf>
    <xf numFmtId="0" fontId="10" fillId="0" borderId="98" xfId="0" applyFont="1" applyBorder="1" applyAlignment="1">
      <alignment horizontal="center" vertical="center" wrapText="1"/>
    </xf>
    <xf numFmtId="0" fontId="10" fillId="0" borderId="99" xfId="0" applyFont="1" applyBorder="1" applyAlignment="1">
      <alignment horizontal="center" vertical="center" wrapText="1"/>
    </xf>
    <xf numFmtId="0" fontId="10" fillId="0" borderId="100" xfId="0" applyFont="1" applyBorder="1" applyAlignment="1">
      <alignment horizontal="center" vertical="center" wrapText="1"/>
    </xf>
    <xf numFmtId="0" fontId="43" fillId="0" borderId="101" xfId="0" applyFont="1" applyBorder="1" applyAlignment="1">
      <alignment horizontal="center" vertical="center" wrapText="1"/>
    </xf>
    <xf numFmtId="0" fontId="10" fillId="0" borderId="102" xfId="0" applyFont="1" applyBorder="1" applyAlignment="1">
      <alignment horizontal="center" vertical="center" wrapText="1"/>
    </xf>
    <xf numFmtId="0" fontId="10" fillId="0" borderId="103" xfId="0" applyFont="1" applyBorder="1" applyAlignment="1">
      <alignment horizontal="center" vertical="center" wrapText="1"/>
    </xf>
    <xf numFmtId="0" fontId="43" fillId="0" borderId="104" xfId="0" applyFont="1" applyBorder="1" applyAlignment="1">
      <alignment horizontal="center" vertical="center" wrapText="1"/>
    </xf>
    <xf numFmtId="0" fontId="10" fillId="0" borderId="105" xfId="0" applyFont="1" applyBorder="1" applyAlignment="1">
      <alignment horizontal="center" vertical="center" wrapText="1"/>
    </xf>
    <xf numFmtId="0" fontId="10" fillId="0" borderId="106" xfId="0" applyFont="1" applyBorder="1" applyAlignment="1">
      <alignment horizontal="center" vertical="center" wrapText="1"/>
    </xf>
    <xf numFmtId="0" fontId="11" fillId="0" borderId="111" xfId="0" applyFont="1" applyBorder="1" applyAlignment="1">
      <alignment horizontal="center"/>
    </xf>
    <xf numFmtId="0" fontId="11" fillId="0" borderId="112" xfId="0" applyFont="1" applyBorder="1" applyAlignment="1">
      <alignment horizontal="center"/>
    </xf>
    <xf numFmtId="0" fontId="11" fillId="0" borderId="113" xfId="0" applyFont="1" applyBorder="1" applyAlignment="1">
      <alignment horizontal="center"/>
    </xf>
    <xf numFmtId="0" fontId="43" fillId="0" borderId="107" xfId="0" applyFont="1" applyBorder="1" applyAlignment="1">
      <alignment horizontal="center" vertical="center" wrapText="1"/>
    </xf>
    <xf numFmtId="0" fontId="43" fillId="0" borderId="73" xfId="0" applyFont="1" applyBorder="1" applyAlignment="1">
      <alignment horizontal="center" vertical="center" wrapText="1"/>
    </xf>
    <xf numFmtId="0" fontId="43" fillId="0" borderId="74" xfId="0" applyFont="1" applyBorder="1" applyAlignment="1">
      <alignment horizontal="center" vertical="center" wrapText="1"/>
    </xf>
    <xf numFmtId="0" fontId="43" fillId="0" borderId="0" xfId="0" applyFont="1" applyAlignment="1">
      <alignment horizontal="center" vertical="center" wrapText="1"/>
    </xf>
    <xf numFmtId="0" fontId="43" fillId="0" borderId="75" xfId="0" applyFont="1" applyBorder="1" applyAlignment="1">
      <alignment horizontal="center" vertical="center" wrapText="1"/>
    </xf>
    <xf numFmtId="0" fontId="43" fillId="0" borderId="109" xfId="0" applyFont="1" applyBorder="1" applyAlignment="1">
      <alignment horizontal="center" vertical="center" wrapText="1"/>
    </xf>
    <xf numFmtId="0" fontId="43" fillId="0" borderId="108" xfId="0" applyFont="1" applyBorder="1" applyAlignment="1">
      <alignment horizontal="center" vertical="center" wrapText="1"/>
    </xf>
    <xf numFmtId="0" fontId="43" fillId="0" borderId="110"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0" xfId="0" applyFont="1" applyAlignment="1">
      <alignment horizontal="center" vertical="center" wrapText="1"/>
    </xf>
    <xf numFmtId="0" fontId="20" fillId="0" borderId="7"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5"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45" xfId="0" applyFont="1" applyBorder="1" applyAlignment="1">
      <alignment horizontal="center" vertical="center" wrapText="1"/>
    </xf>
    <xf numFmtId="0" fontId="50" fillId="0" borderId="88" xfId="0" applyFont="1" applyBorder="1" applyAlignment="1">
      <alignment horizontal="center"/>
    </xf>
    <xf numFmtId="0" fontId="50" fillId="0" borderId="89" xfId="0" applyFont="1" applyBorder="1" applyAlignment="1">
      <alignment horizontal="center"/>
    </xf>
    <xf numFmtId="0" fontId="50" fillId="0" borderId="90" xfId="0" applyFont="1" applyBorder="1" applyAlignment="1">
      <alignment horizontal="center"/>
    </xf>
    <xf numFmtId="0" fontId="51" fillId="0" borderId="85" xfId="0" applyFont="1" applyBorder="1" applyAlignment="1">
      <alignment horizontal="center"/>
    </xf>
    <xf numFmtId="0" fontId="51" fillId="0" borderId="86" xfId="0" applyFont="1" applyBorder="1" applyAlignment="1">
      <alignment horizontal="center"/>
    </xf>
    <xf numFmtId="0" fontId="51" fillId="0" borderId="87" xfId="0" applyFont="1" applyBorder="1" applyAlignment="1">
      <alignment horizontal="center"/>
    </xf>
    <xf numFmtId="0" fontId="20" fillId="0" borderId="92" xfId="0" applyFont="1" applyBorder="1" applyAlignment="1">
      <alignment horizontal="center" vertical="center" wrapText="1"/>
    </xf>
    <xf numFmtId="0" fontId="20" fillId="0" borderId="26" xfId="0" applyFont="1" applyBorder="1" applyAlignment="1">
      <alignment horizontal="center" vertical="center" wrapText="1"/>
    </xf>
    <xf numFmtId="0" fontId="43" fillId="0" borderId="53"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62" xfId="0" applyFont="1" applyBorder="1" applyAlignment="1">
      <alignment horizontal="center" vertical="top" wrapText="1"/>
    </xf>
    <xf numFmtId="0" fontId="34" fillId="0" borderId="95" xfId="0" applyFont="1" applyBorder="1" applyAlignment="1">
      <alignment horizontal="left" vertical="top" wrapText="1"/>
    </xf>
    <xf numFmtId="0" fontId="34" fillId="0" borderId="62" xfId="0" applyFont="1" applyBorder="1" applyAlignment="1">
      <alignment horizontal="left" vertical="top" wrapText="1"/>
    </xf>
    <xf numFmtId="0" fontId="34" fillId="0" borderId="96" xfId="0" applyFont="1" applyBorder="1" applyAlignment="1">
      <alignment horizontal="left" vertical="top" wrapText="1"/>
    </xf>
    <xf numFmtId="0" fontId="16" fillId="0" borderId="29" xfId="0" applyFont="1" applyBorder="1" applyAlignment="1">
      <alignment horizontal="left" vertical="center" wrapText="1"/>
    </xf>
    <xf numFmtId="0" fontId="16" fillId="0" borderId="30" xfId="0" applyFont="1" applyBorder="1" applyAlignment="1">
      <alignment horizontal="left" vertical="center" wrapText="1"/>
    </xf>
    <xf numFmtId="0" fontId="16" fillId="0" borderId="28" xfId="0" applyFont="1" applyBorder="1" applyAlignment="1">
      <alignment horizontal="left" vertical="center" wrapText="1"/>
    </xf>
    <xf numFmtId="0" fontId="16" fillId="0" borderId="7" xfId="0" applyFont="1" applyBorder="1" applyAlignment="1">
      <alignment horizontal="left" vertical="center" wrapText="1"/>
    </xf>
    <xf numFmtId="0" fontId="16" fillId="0" borderId="25" xfId="0" applyFont="1" applyBorder="1" applyAlignment="1">
      <alignment horizontal="left" vertical="center" wrapText="1"/>
    </xf>
    <xf numFmtId="0" fontId="16" fillId="0" borderId="8" xfId="0" applyFont="1" applyBorder="1" applyAlignment="1">
      <alignment horizontal="left" vertical="center" wrapText="1"/>
    </xf>
    <xf numFmtId="0" fontId="16" fillId="0" borderId="39" xfId="0" applyFont="1" applyBorder="1" applyAlignment="1">
      <alignment horizontal="left" vertical="top" wrapText="1"/>
    </xf>
    <xf numFmtId="0" fontId="16" fillId="0" borderId="13" xfId="0" applyFont="1" applyBorder="1" applyAlignment="1">
      <alignment horizontal="left" vertical="top" wrapText="1"/>
    </xf>
    <xf numFmtId="0" fontId="36" fillId="0" borderId="58" xfId="0" applyFont="1" applyBorder="1" applyAlignment="1">
      <alignment horizontal="left" vertical="top" wrapText="1"/>
    </xf>
    <xf numFmtId="0" fontId="36" fillId="0" borderId="67" xfId="0" applyFont="1" applyBorder="1" applyAlignment="1">
      <alignment horizontal="left" vertical="top" wrapText="1"/>
    </xf>
    <xf numFmtId="0" fontId="36" fillId="0" borderId="60" xfId="0" applyFont="1" applyBorder="1" applyAlignment="1">
      <alignment horizontal="left" vertical="top" wrapText="1"/>
    </xf>
    <xf numFmtId="0" fontId="36" fillId="0" borderId="68" xfId="0" applyFont="1" applyBorder="1" applyAlignment="1">
      <alignment horizontal="left" vertical="top" wrapText="1"/>
    </xf>
    <xf numFmtId="0" fontId="36" fillId="0" borderId="59" xfId="0" applyFont="1" applyBorder="1" applyAlignment="1">
      <alignment horizontal="left" vertical="top" wrapText="1"/>
    </xf>
    <xf numFmtId="0" fontId="36" fillId="0" borderId="69" xfId="0" applyFont="1" applyBorder="1" applyAlignment="1">
      <alignment horizontal="left" vertical="top" wrapText="1"/>
    </xf>
    <xf numFmtId="0" fontId="36" fillId="0" borderId="52" xfId="0" applyFont="1" applyBorder="1" applyAlignment="1">
      <alignment horizontal="left" vertical="top" wrapText="1"/>
    </xf>
    <xf numFmtId="0" fontId="36" fillId="0" borderId="57" xfId="0" applyFont="1" applyBorder="1" applyAlignment="1">
      <alignment horizontal="left" vertical="top" wrapText="1"/>
    </xf>
    <xf numFmtId="0" fontId="36" fillId="0" borderId="51" xfId="0" applyFont="1" applyBorder="1" applyAlignment="1">
      <alignment horizontal="left" vertical="top" wrapText="1"/>
    </xf>
    <xf numFmtId="0" fontId="16" fillId="0" borderId="56" xfId="0" applyFont="1" applyBorder="1" applyAlignment="1">
      <alignment horizontal="center"/>
    </xf>
    <xf numFmtId="0" fontId="16" fillId="0" borderId="55" xfId="0" applyFont="1" applyBorder="1" applyAlignment="1">
      <alignment horizontal="center"/>
    </xf>
    <xf numFmtId="0" fontId="16" fillId="0" borderId="56" xfId="0" applyFont="1" applyBorder="1" applyAlignment="1">
      <alignment horizontal="left"/>
    </xf>
    <xf numFmtId="0" fontId="16" fillId="0" borderId="55" xfId="0" applyFont="1" applyBorder="1" applyAlignment="1">
      <alignment horizontal="left"/>
    </xf>
    <xf numFmtId="0" fontId="16" fillId="0" borderId="64" xfId="0" applyFont="1" applyBorder="1" applyAlignment="1">
      <alignment horizontal="center" vertical="top" wrapText="1"/>
    </xf>
    <xf numFmtId="0" fontId="16" fillId="0" borderId="56" xfId="0" applyFont="1" applyBorder="1" applyAlignment="1">
      <alignment horizontal="center" vertical="top" wrapText="1"/>
    </xf>
    <xf numFmtId="0" fontId="16" fillId="0" borderId="55" xfId="0" applyFont="1" applyBorder="1" applyAlignment="1">
      <alignment horizontal="center" vertical="top" wrapText="1"/>
    </xf>
    <xf numFmtId="0" fontId="31" fillId="0" borderId="39" xfId="0" applyFont="1" applyBorder="1" applyAlignment="1">
      <alignment horizontal="left" vertical="top" wrapText="1"/>
    </xf>
    <xf numFmtId="0" fontId="31" fillId="0" borderId="13" xfId="0" applyFont="1" applyBorder="1" applyAlignment="1">
      <alignment horizontal="left" vertical="top" wrapText="1"/>
    </xf>
    <xf numFmtId="0" fontId="34" fillId="0" borderId="54" xfId="0" applyFont="1" applyBorder="1" applyAlignment="1">
      <alignment horizontal="left" vertical="top" wrapText="1"/>
    </xf>
    <xf numFmtId="0" fontId="35" fillId="0" borderId="63" xfId="0" applyFont="1" applyBorder="1" applyAlignment="1">
      <alignment horizontal="left" vertical="center" wrapText="1"/>
    </xf>
    <xf numFmtId="0" fontId="35" fillId="0" borderId="94" xfId="0" applyFont="1" applyBorder="1" applyAlignment="1">
      <alignment horizontal="left" vertical="center" wrapText="1"/>
    </xf>
    <xf numFmtId="0" fontId="35" fillId="0" borderId="64" xfId="0" applyFont="1" applyBorder="1" applyAlignment="1">
      <alignment horizontal="left" vertical="center" wrapText="1"/>
    </xf>
    <xf numFmtId="0" fontId="35" fillId="0" borderId="93" xfId="0" applyFont="1" applyBorder="1" applyAlignment="1">
      <alignment horizontal="center" vertical="center" wrapText="1"/>
    </xf>
    <xf numFmtId="0" fontId="35" fillId="0" borderId="7" xfId="0" applyFont="1" applyBorder="1" applyAlignment="1">
      <alignment horizontal="left" vertical="center" wrapText="1"/>
    </xf>
    <xf numFmtId="0" fontId="35" fillId="0" borderId="8" xfId="0" applyFont="1" applyBorder="1" applyAlignment="1">
      <alignment horizontal="left" vertical="center" wrapText="1"/>
    </xf>
    <xf numFmtId="0" fontId="30" fillId="0" borderId="39" xfId="0" applyFont="1" applyBorder="1" applyAlignment="1">
      <alignment horizontal="center" vertical="center"/>
    </xf>
    <xf numFmtId="0" fontId="30" fillId="0" borderId="13" xfId="0" applyFont="1" applyBorder="1" applyAlignment="1">
      <alignment horizontal="center" vertical="center"/>
    </xf>
    <xf numFmtId="0" fontId="9" fillId="8" borderId="39" xfId="0" applyFont="1" applyFill="1" applyBorder="1" applyAlignment="1">
      <alignment horizontal="center"/>
    </xf>
    <xf numFmtId="0" fontId="31" fillId="0" borderId="30" xfId="0" applyFont="1" applyBorder="1" applyAlignment="1">
      <alignment horizontal="left" vertical="top" wrapText="1"/>
    </xf>
    <xf numFmtId="0" fontId="31" fillId="0" borderId="28" xfId="0" applyFont="1" applyBorder="1" applyAlignment="1">
      <alignment horizontal="left" vertical="top" wrapText="1"/>
    </xf>
    <xf numFmtId="0" fontId="31" fillId="0" borderId="25" xfId="0" applyFont="1" applyBorder="1" applyAlignment="1">
      <alignment horizontal="left" vertical="top" wrapText="1"/>
    </xf>
    <xf numFmtId="0" fontId="31" fillId="0" borderId="8" xfId="0" applyFont="1" applyBorder="1" applyAlignment="1">
      <alignment horizontal="left" vertical="top" wrapText="1"/>
    </xf>
    <xf numFmtId="0" fontId="30" fillId="0" borderId="29" xfId="0" applyFont="1" applyBorder="1" applyAlignment="1">
      <alignment horizontal="center" vertical="center"/>
    </xf>
    <xf numFmtId="0" fontId="32" fillId="0" borderId="28" xfId="0" applyFont="1" applyBorder="1" applyAlignment="1">
      <alignment horizontal="center" vertical="center"/>
    </xf>
    <xf numFmtId="0" fontId="32" fillId="0" borderId="7" xfId="0" applyFont="1" applyBorder="1" applyAlignment="1">
      <alignment horizontal="center" vertical="center"/>
    </xf>
    <xf numFmtId="0" fontId="32" fillId="0" borderId="8" xfId="0" applyFont="1" applyBorder="1" applyAlignment="1">
      <alignment horizontal="center" vertical="center"/>
    </xf>
    <xf numFmtId="0" fontId="44" fillId="0" borderId="47" xfId="0" applyFont="1" applyBorder="1" applyAlignment="1">
      <alignment horizontal="center" vertical="top" wrapText="1"/>
    </xf>
    <xf numFmtId="0" fontId="62" fillId="0" borderId="39" xfId="5" applyFont="1" applyBorder="1" applyAlignment="1">
      <alignment horizontal="left" vertical="center"/>
    </xf>
    <xf numFmtId="0" fontId="62" fillId="0" borderId="54" xfId="5" applyFont="1" applyBorder="1" applyAlignment="1">
      <alignment horizontal="left" vertical="center"/>
    </xf>
    <xf numFmtId="0" fontId="62" fillId="0" borderId="13" xfId="5" applyFont="1" applyBorder="1" applyAlignment="1">
      <alignment horizontal="center" vertical="center"/>
    </xf>
    <xf numFmtId="0" fontId="62" fillId="0" borderId="53" xfId="5" applyFont="1" applyBorder="1" applyAlignment="1">
      <alignment horizontal="left" vertical="center"/>
    </xf>
    <xf numFmtId="0" fontId="62" fillId="0" borderId="56" xfId="5" applyFont="1" applyBorder="1" applyAlignment="1">
      <alignment horizontal="left" vertical="center"/>
    </xf>
    <xf numFmtId="0" fontId="62" fillId="0" borderId="55" xfId="5" applyFont="1" applyBorder="1" applyAlignment="1">
      <alignment horizontal="center" vertical="center"/>
    </xf>
    <xf numFmtId="0" fontId="64" fillId="10" borderId="39" xfId="5" applyFont="1" applyFill="1" applyBorder="1" applyAlignment="1">
      <alignment horizontal="center" vertical="center"/>
    </xf>
    <xf numFmtId="0" fontId="64" fillId="10" borderId="54" xfId="5" applyFont="1" applyFill="1" applyBorder="1" applyAlignment="1">
      <alignment horizontal="center" vertical="center"/>
    </xf>
    <xf numFmtId="0" fontId="64" fillId="10" borderId="13" xfId="5" applyFont="1" applyFill="1" applyBorder="1" applyAlignment="1">
      <alignment horizontal="center" vertical="center"/>
    </xf>
    <xf numFmtId="0" fontId="62" fillId="0" borderId="13" xfId="5" applyFont="1" applyBorder="1" applyAlignment="1">
      <alignment horizontal="left" vertical="center"/>
    </xf>
    <xf numFmtId="0" fontId="62" fillId="0" borderId="39" xfId="5" applyFont="1" applyBorder="1" applyAlignment="1">
      <alignment horizontal="center" vertical="center"/>
    </xf>
    <xf numFmtId="0" fontId="62" fillId="0" borderId="54" xfId="5" applyFont="1" applyBorder="1" applyAlignment="1">
      <alignment horizontal="center" vertical="center"/>
    </xf>
    <xf numFmtId="0" fontId="44" fillId="0" borderId="39" xfId="5" applyFont="1" applyBorder="1" applyAlignment="1">
      <alignment horizontal="left" vertical="center"/>
    </xf>
    <xf numFmtId="0" fontId="60" fillId="0" borderId="53" xfId="5" applyFont="1" applyBorder="1" applyAlignment="1">
      <alignment horizontal="left" vertical="center"/>
    </xf>
    <xf numFmtId="0" fontId="54" fillId="0" borderId="53" xfId="5" applyFont="1" applyBorder="1" applyAlignment="1">
      <alignment horizontal="left" vertical="center"/>
    </xf>
    <xf numFmtId="0" fontId="54" fillId="0" borderId="56" xfId="5" applyFont="1" applyBorder="1" applyAlignment="1">
      <alignment horizontal="left" vertical="center"/>
    </xf>
    <xf numFmtId="0" fontId="54" fillId="0" borderId="55" xfId="5" applyFont="1" applyBorder="1" applyAlignment="1">
      <alignment horizontal="center" vertical="center"/>
    </xf>
    <xf numFmtId="0" fontId="54" fillId="0" borderId="39" xfId="5" applyFont="1" applyBorder="1" applyAlignment="1">
      <alignment horizontal="left" vertical="center" wrapText="1"/>
    </xf>
    <xf numFmtId="0" fontId="54" fillId="0" borderId="54" xfId="5" applyFont="1" applyBorder="1" applyAlignment="1">
      <alignment horizontal="left" vertical="center" wrapText="1"/>
    </xf>
    <xf numFmtId="0" fontId="54" fillId="0" borderId="13" xfId="5" applyFont="1" applyBorder="1" applyAlignment="1">
      <alignment horizontal="left" vertical="center" wrapText="1"/>
    </xf>
    <xf numFmtId="0" fontId="54" fillId="0" borderId="28" xfId="5" applyFont="1" applyBorder="1" applyAlignment="1">
      <alignment horizontal="center" vertical="center" wrapText="1"/>
    </xf>
    <xf numFmtId="0" fontId="54" fillId="0" borderId="15" xfId="5" applyFont="1" applyBorder="1" applyAlignment="1">
      <alignment horizontal="center" vertical="center" wrapText="1"/>
    </xf>
    <xf numFmtId="0" fontId="54" fillId="0" borderId="8" xfId="5" applyFont="1" applyBorder="1" applyAlignment="1">
      <alignment horizontal="center" vertical="center" wrapText="1"/>
    </xf>
    <xf numFmtId="0" fontId="54" fillId="0" borderId="117" xfId="5" applyFont="1" applyBorder="1" applyAlignment="1">
      <alignment horizontal="left" vertical="center"/>
    </xf>
    <xf numFmtId="0" fontId="54" fillId="0" borderId="118" xfId="5" applyFont="1" applyBorder="1" applyAlignment="1">
      <alignment horizontal="left" vertical="center"/>
    </xf>
    <xf numFmtId="0" fontId="54" fillId="0" borderId="119" xfId="5" applyFont="1" applyBorder="1" applyAlignment="1">
      <alignment horizontal="center" vertical="center"/>
    </xf>
    <xf numFmtId="0" fontId="53" fillId="10" borderId="29" xfId="5" applyFont="1" applyFill="1" applyBorder="1" applyAlignment="1">
      <alignment horizontal="center" vertical="center" wrapText="1"/>
    </xf>
    <xf numFmtId="0" fontId="53" fillId="10" borderId="28" xfId="5" applyFont="1" applyFill="1" applyBorder="1" applyAlignment="1">
      <alignment horizontal="center" vertical="center" wrapText="1"/>
    </xf>
    <xf numFmtId="0" fontId="53" fillId="10" borderId="7" xfId="5" applyFont="1" applyFill="1" applyBorder="1" applyAlignment="1">
      <alignment horizontal="center" vertical="center" wrapText="1"/>
    </xf>
    <xf numFmtId="0" fontId="53" fillId="10" borderId="8" xfId="5" applyFont="1" applyFill="1" applyBorder="1" applyAlignment="1">
      <alignment horizontal="center" vertical="center" wrapText="1"/>
    </xf>
    <xf numFmtId="0" fontId="53" fillId="10" borderId="39" xfId="5" applyFont="1" applyFill="1" applyBorder="1" applyAlignment="1">
      <alignment horizontal="center" vertical="center" wrapText="1"/>
    </xf>
    <xf numFmtId="0" fontId="53" fillId="10" borderId="54" xfId="5" applyFont="1" applyFill="1" applyBorder="1" applyAlignment="1">
      <alignment horizontal="center" vertical="center" wrapText="1"/>
    </xf>
    <xf numFmtId="0" fontId="53" fillId="10" borderId="13" xfId="5" applyFont="1" applyFill="1" applyBorder="1" applyAlignment="1">
      <alignment horizontal="center" vertical="center" wrapText="1"/>
    </xf>
    <xf numFmtId="0" fontId="55" fillId="10" borderId="39" xfId="5" applyFont="1" applyFill="1" applyBorder="1" applyAlignment="1">
      <alignment horizontal="center" vertical="center" wrapText="1"/>
    </xf>
    <xf numFmtId="0" fontId="55" fillId="10" borderId="54" xfId="5" applyFont="1" applyFill="1" applyBorder="1" applyAlignment="1">
      <alignment horizontal="center" vertical="center" wrapText="1"/>
    </xf>
    <xf numFmtId="0" fontId="55" fillId="10" borderId="13" xfId="5" applyFont="1" applyFill="1" applyBorder="1" applyAlignment="1">
      <alignment horizontal="center" vertical="center" wrapText="1"/>
    </xf>
    <xf numFmtId="0" fontId="60" fillId="0" borderId="39" xfId="5" applyFont="1" applyBorder="1" applyAlignment="1">
      <alignment horizontal="left" vertical="center"/>
    </xf>
    <xf numFmtId="0" fontId="54" fillId="0" borderId="29" xfId="5" applyFont="1" applyBorder="1" applyAlignment="1">
      <alignment horizontal="left" vertical="center" wrapText="1"/>
    </xf>
    <xf numFmtId="0" fontId="54" fillId="0" borderId="28" xfId="5" applyFont="1" applyBorder="1" applyAlignment="1">
      <alignment horizontal="center" vertical="center"/>
    </xf>
    <xf numFmtId="0" fontId="54" fillId="0" borderId="47" xfId="5" applyFont="1" applyBorder="1" applyAlignment="1">
      <alignment horizontal="center" vertical="center"/>
    </xf>
    <xf numFmtId="0" fontId="54" fillId="0" borderId="114" xfId="5" applyFont="1" applyBorder="1" applyAlignment="1">
      <alignment horizontal="left" vertical="center"/>
    </xf>
    <xf numFmtId="0" fontId="54" fillId="0" borderId="115" xfId="5" applyFont="1" applyBorder="1" applyAlignment="1">
      <alignment horizontal="left" vertical="center"/>
    </xf>
    <xf numFmtId="0" fontId="54" fillId="0" borderId="116" xfId="5" applyFont="1" applyBorder="1" applyAlignment="1">
      <alignment horizontal="center" vertical="center"/>
    </xf>
    <xf numFmtId="0" fontId="54" fillId="0" borderId="8" xfId="5" applyFont="1" applyBorder="1" applyAlignment="1">
      <alignment horizontal="center" vertical="center"/>
    </xf>
    <xf numFmtId="0" fontId="54" fillId="6" borderId="39" xfId="5" applyFont="1" applyFill="1" applyBorder="1" applyAlignment="1">
      <alignment horizontal="center" vertical="center"/>
    </xf>
    <xf numFmtId="0" fontId="54" fillId="6" borderId="13" xfId="5" applyFont="1" applyFill="1" applyBorder="1" applyAlignment="1">
      <alignment horizontal="center" vertical="center"/>
    </xf>
    <xf numFmtId="0" fontId="61" fillId="10" borderId="29" xfId="5" applyFont="1" applyFill="1" applyBorder="1" applyAlignment="1">
      <alignment horizontal="center" vertical="center" wrapText="1"/>
    </xf>
    <xf numFmtId="0" fontId="61" fillId="10" borderId="28" xfId="5" applyFont="1" applyFill="1" applyBorder="1" applyAlignment="1">
      <alignment horizontal="center" vertical="center" wrapText="1"/>
    </xf>
    <xf numFmtId="0" fontId="61" fillId="10" borderId="7" xfId="5" applyFont="1" applyFill="1" applyBorder="1" applyAlignment="1">
      <alignment horizontal="center" vertical="center" wrapText="1"/>
    </xf>
    <xf numFmtId="0" fontId="61" fillId="10" borderId="8" xfId="5" applyFont="1" applyFill="1" applyBorder="1" applyAlignment="1">
      <alignment horizontal="center" vertical="center" wrapText="1"/>
    </xf>
    <xf numFmtId="0" fontId="61" fillId="10" borderId="39" xfId="5" applyFont="1" applyFill="1" applyBorder="1" applyAlignment="1">
      <alignment horizontal="center" vertical="center" wrapText="1"/>
    </xf>
    <xf numFmtId="0" fontId="61" fillId="10" borderId="54" xfId="5" applyFont="1" applyFill="1" applyBorder="1" applyAlignment="1">
      <alignment horizontal="center" vertical="center" wrapText="1"/>
    </xf>
    <xf numFmtId="0" fontId="61" fillId="10" borderId="13" xfId="5" applyFont="1" applyFill="1" applyBorder="1" applyAlignment="1">
      <alignment horizontal="center" vertical="center" wrapText="1"/>
    </xf>
    <xf numFmtId="0" fontId="63" fillId="10" borderId="39" xfId="5" applyFont="1" applyFill="1" applyBorder="1" applyAlignment="1">
      <alignment horizontal="center" vertical="center" wrapText="1"/>
    </xf>
    <xf numFmtId="0" fontId="63" fillId="10" borderId="54" xfId="5" applyFont="1" applyFill="1" applyBorder="1" applyAlignment="1">
      <alignment horizontal="center" vertical="center" wrapText="1"/>
    </xf>
    <xf numFmtId="0" fontId="63" fillId="10" borderId="13" xfId="5" applyFont="1" applyFill="1" applyBorder="1" applyAlignment="1">
      <alignment horizontal="center" vertical="center" wrapText="1"/>
    </xf>
    <xf numFmtId="0" fontId="62" fillId="0" borderId="39" xfId="5" applyFont="1" applyBorder="1" applyAlignment="1">
      <alignment horizontal="left" vertical="center" wrapText="1"/>
    </xf>
    <xf numFmtId="0" fontId="62" fillId="0" borderId="13" xfId="5" applyFont="1" applyBorder="1" applyAlignment="1">
      <alignment horizontal="left" vertical="center" wrapText="1"/>
    </xf>
    <xf numFmtId="0" fontId="62" fillId="0" borderId="29" xfId="5" applyFont="1" applyBorder="1" applyAlignment="1">
      <alignment horizontal="left" vertical="top" wrapText="1"/>
    </xf>
    <xf numFmtId="0" fontId="62" fillId="0" borderId="30" xfId="5" applyFont="1" applyBorder="1" applyAlignment="1">
      <alignment horizontal="left" vertical="top" wrapText="1"/>
    </xf>
    <xf numFmtId="0" fontId="62" fillId="0" borderId="28" xfId="5" applyFont="1" applyBorder="1" applyAlignment="1">
      <alignment horizontal="center" vertical="center" wrapText="1"/>
    </xf>
    <xf numFmtId="0" fontId="62" fillId="0" borderId="34" xfId="5" applyFont="1" applyBorder="1" applyAlignment="1">
      <alignment horizontal="left" vertical="top" wrapText="1"/>
    </xf>
    <xf numFmtId="0" fontId="62" fillId="0" borderId="0" xfId="5" applyFont="1" applyAlignment="1">
      <alignment horizontal="left" vertical="top" wrapText="1"/>
    </xf>
    <xf numFmtId="0" fontId="62" fillId="0" borderId="15" xfId="5" applyFont="1" applyBorder="1" applyAlignment="1">
      <alignment horizontal="center" vertical="center" wrapText="1"/>
    </xf>
    <xf numFmtId="0" fontId="62" fillId="0" borderId="7" xfId="5" applyFont="1" applyBorder="1" applyAlignment="1">
      <alignment horizontal="left" vertical="top" wrapText="1"/>
    </xf>
    <xf numFmtId="0" fontId="62" fillId="0" borderId="25" xfId="5" applyFont="1" applyBorder="1" applyAlignment="1">
      <alignment horizontal="left" vertical="top" wrapText="1"/>
    </xf>
    <xf numFmtId="0" fontId="62" fillId="0" borderId="8" xfId="5" applyFont="1" applyBorder="1" applyAlignment="1">
      <alignment horizontal="center" vertical="center" wrapText="1"/>
    </xf>
    <xf numFmtId="0" fontId="44" fillId="0" borderId="39" xfId="5" applyFont="1" applyBorder="1" applyAlignment="1">
      <alignment horizontal="left" vertical="center" wrapText="1"/>
    </xf>
    <xf numFmtId="0" fontId="44" fillId="0" borderId="47" xfId="0" applyFont="1" applyBorder="1" applyAlignment="1">
      <alignment horizontal="center" vertical="center" wrapText="1"/>
    </xf>
    <xf numFmtId="0" fontId="16" fillId="0" borderId="53" xfId="0" applyFont="1" applyBorder="1" applyAlignment="1">
      <alignment horizontal="left" vertical="top" wrapText="1"/>
    </xf>
    <xf numFmtId="0" fontId="16" fillId="0" borderId="62" xfId="0" applyFont="1" applyBorder="1" applyAlignment="1">
      <alignment horizontal="center" vertical="center" wrapText="1"/>
    </xf>
    <xf numFmtId="0" fontId="16" fillId="0" borderId="52" xfId="0" applyFont="1" applyBorder="1" applyAlignment="1">
      <alignment horizontal="left" vertical="top" wrapText="1"/>
    </xf>
    <xf numFmtId="0" fontId="16" fillId="0" borderId="57" xfId="0" applyFont="1" applyBorder="1" applyAlignment="1">
      <alignment horizontal="left" vertical="top" wrapText="1"/>
    </xf>
    <xf numFmtId="0" fontId="16" fillId="0" borderId="51" xfId="0" applyFont="1" applyBorder="1" applyAlignment="1">
      <alignment horizontal="left" vertical="top" wrapText="1"/>
    </xf>
    <xf numFmtId="0" fontId="57" fillId="0" borderId="47" xfId="0" applyFont="1" applyBorder="1" applyAlignment="1">
      <alignment horizontal="center"/>
    </xf>
    <xf numFmtId="0" fontId="16" fillId="0" borderId="64" xfId="0" applyFont="1" applyBorder="1" applyAlignment="1">
      <alignment horizontal="center" vertical="center" wrapText="1"/>
    </xf>
    <xf numFmtId="0" fontId="58" fillId="0" borderId="53" xfId="0" applyFont="1" applyBorder="1" applyAlignment="1">
      <alignment horizontal="center"/>
    </xf>
    <xf numFmtId="0" fontId="58" fillId="0" borderId="56" xfId="0" applyFont="1" applyBorder="1" applyAlignment="1">
      <alignment horizontal="center"/>
    </xf>
    <xf numFmtId="0" fontId="58" fillId="0" borderId="55" xfId="0" applyFont="1" applyBorder="1" applyAlignment="1">
      <alignment horizontal="center"/>
    </xf>
    <xf numFmtId="0" fontId="59" fillId="0" borderId="47" xfId="0" applyFont="1" applyBorder="1" applyAlignment="1">
      <alignment horizontal="left"/>
    </xf>
    <xf numFmtId="0" fontId="16" fillId="0" borderId="53" xfId="0" applyFont="1" applyBorder="1" applyAlignment="1">
      <alignment horizontal="left" wrapText="1"/>
    </xf>
    <xf numFmtId="0" fontId="16" fillId="0" borderId="56" xfId="0" applyFont="1" applyBorder="1" applyAlignment="1">
      <alignment horizontal="left" wrapText="1"/>
    </xf>
    <xf numFmtId="0" fontId="16" fillId="0" borderId="55" xfId="0" applyFont="1" applyBorder="1" applyAlignment="1">
      <alignment horizontal="left" wrapText="1"/>
    </xf>
    <xf numFmtId="0" fontId="62" fillId="0" borderId="9" xfId="5" applyFont="1" applyBorder="1" applyAlignment="1">
      <alignment horizontal="left" vertical="center"/>
    </xf>
    <xf numFmtId="0" fontId="62" fillId="0" borderId="9" xfId="5" applyFont="1" applyBorder="1" applyAlignment="1">
      <alignment horizontal="center" vertical="center"/>
    </xf>
    <xf numFmtId="0" fontId="60" fillId="0" borderId="29" xfId="5" applyFont="1" applyBorder="1" applyAlignment="1">
      <alignment horizontal="left" vertical="center"/>
    </xf>
    <xf numFmtId="0" fontId="60" fillId="0" borderId="47" xfId="5" applyFont="1" applyBorder="1" applyAlignment="1">
      <alignment horizontal="left" vertical="center"/>
    </xf>
    <xf numFmtId="0" fontId="62" fillId="0" borderId="47" xfId="5" applyFont="1" applyBorder="1" applyAlignment="1">
      <alignment horizontal="left" vertical="center"/>
    </xf>
    <xf numFmtId="0" fontId="64" fillId="10" borderId="9" xfId="5" applyFont="1" applyFill="1" applyBorder="1" applyAlignment="1">
      <alignment horizontal="center" vertical="center"/>
    </xf>
    <xf numFmtId="0" fontId="62" fillId="0" borderId="9" xfId="5" applyFont="1" applyBorder="1" applyAlignment="1">
      <alignment horizontal="left" vertical="center" wrapText="1"/>
    </xf>
    <xf numFmtId="0" fontId="62" fillId="0" borderId="28" xfId="5" applyFont="1" applyBorder="1" applyAlignment="1">
      <alignment horizontal="left" vertical="top" wrapText="1"/>
    </xf>
    <xf numFmtId="0" fontId="62" fillId="0" borderId="15" xfId="5" applyFont="1" applyBorder="1" applyAlignment="1">
      <alignment horizontal="left" vertical="top" wrapText="1"/>
    </xf>
    <xf numFmtId="0" fontId="62" fillId="0" borderId="8" xfId="5" applyFont="1" applyBorder="1" applyAlignment="1">
      <alignment horizontal="left" vertical="top" wrapText="1"/>
    </xf>
    <xf numFmtId="0" fontId="61" fillId="10" borderId="9" xfId="5" applyFont="1" applyFill="1" applyBorder="1" applyAlignment="1">
      <alignment horizontal="center" vertical="center" wrapText="1"/>
    </xf>
    <xf numFmtId="0" fontId="61" fillId="10" borderId="9" xfId="5" applyFont="1" applyFill="1" applyBorder="1" applyAlignment="1">
      <alignment horizontal="center" vertical="center"/>
    </xf>
    <xf numFmtId="0" fontId="63" fillId="10" borderId="9" xfId="5" applyFont="1" applyFill="1" applyBorder="1" applyAlignment="1">
      <alignment horizontal="center" vertical="center" wrapText="1"/>
    </xf>
    <xf numFmtId="0" fontId="54" fillId="6" borderId="9" xfId="5" applyFont="1" applyFill="1" applyBorder="1" applyAlignment="1">
      <alignment horizontal="left" vertical="center"/>
    </xf>
    <xf numFmtId="0" fontId="54" fillId="6" borderId="9" xfId="5" applyFont="1" applyFill="1" applyBorder="1" applyAlignment="1">
      <alignment horizontal="center" vertical="center"/>
    </xf>
    <xf numFmtId="0" fontId="54" fillId="6" borderId="9" xfId="5" applyFont="1" applyFill="1" applyBorder="1" applyAlignment="1">
      <alignment horizontal="left" vertical="center" wrapText="1"/>
    </xf>
    <xf numFmtId="0" fontId="54" fillId="6" borderId="39" xfId="5" applyFont="1" applyFill="1" applyBorder="1" applyAlignment="1">
      <alignment horizontal="left" vertical="center"/>
    </xf>
    <xf numFmtId="0" fontId="54" fillId="6" borderId="54" xfId="5" applyFont="1" applyFill="1" applyBorder="1" applyAlignment="1">
      <alignment horizontal="left" vertical="center"/>
    </xf>
    <xf numFmtId="0" fontId="54" fillId="6" borderId="29" xfId="5" applyFont="1" applyFill="1" applyBorder="1" applyAlignment="1">
      <alignment horizontal="left" vertical="top" wrapText="1"/>
    </xf>
    <xf numFmtId="0" fontId="54" fillId="6" borderId="30" xfId="5" applyFont="1" applyFill="1" applyBorder="1" applyAlignment="1">
      <alignment horizontal="left" vertical="top" wrapText="1"/>
    </xf>
    <xf numFmtId="0" fontId="54" fillId="6" borderId="28" xfId="5" applyFont="1" applyFill="1" applyBorder="1" applyAlignment="1">
      <alignment horizontal="left" vertical="top" wrapText="1"/>
    </xf>
    <xf numFmtId="0" fontId="54" fillId="6" borderId="34" xfId="5" applyFont="1" applyFill="1" applyBorder="1" applyAlignment="1">
      <alignment horizontal="left" vertical="top" wrapText="1"/>
    </xf>
    <xf numFmtId="0" fontId="54" fillId="6" borderId="0" xfId="5" applyFont="1" applyFill="1" applyAlignment="1">
      <alignment horizontal="left" vertical="top" wrapText="1"/>
    </xf>
    <xf numFmtId="0" fontId="54" fillId="6" borderId="15" xfId="5" applyFont="1" applyFill="1" applyBorder="1" applyAlignment="1">
      <alignment horizontal="left" vertical="top" wrapText="1"/>
    </xf>
    <xf numFmtId="0" fontId="54" fillId="6" borderId="7" xfId="5" applyFont="1" applyFill="1" applyBorder="1" applyAlignment="1">
      <alignment horizontal="left" vertical="top" wrapText="1"/>
    </xf>
    <xf numFmtId="0" fontId="54" fillId="6" borderId="25" xfId="5" applyFont="1" applyFill="1" applyBorder="1" applyAlignment="1">
      <alignment horizontal="left" vertical="top" wrapText="1"/>
    </xf>
    <xf numFmtId="0" fontId="54" fillId="6" borderId="8" xfId="5" applyFont="1" applyFill="1" applyBorder="1" applyAlignment="1">
      <alignment horizontal="left" vertical="top" wrapText="1"/>
    </xf>
    <xf numFmtId="0" fontId="54" fillId="0" borderId="35" xfId="5" applyFont="1" applyBorder="1" applyAlignment="1">
      <alignment horizontal="center" vertical="center"/>
    </xf>
    <xf numFmtId="0" fontId="54" fillId="0" borderId="31" xfId="5" applyFont="1" applyBorder="1" applyAlignment="1">
      <alignment horizontal="center" vertical="center"/>
    </xf>
    <xf numFmtId="0" fontId="53" fillId="10" borderId="5" xfId="5" applyFont="1" applyFill="1" applyBorder="1" applyAlignment="1">
      <alignment horizontal="center" vertical="center" wrapText="1"/>
    </xf>
    <xf numFmtId="0" fontId="53" fillId="10" borderId="5" xfId="5" applyFont="1" applyFill="1" applyBorder="1" applyAlignment="1">
      <alignment horizontal="center" vertical="center"/>
    </xf>
    <xf numFmtId="0" fontId="60" fillId="0" borderId="117" xfId="5" applyFont="1" applyBorder="1" applyAlignment="1">
      <alignment horizontal="left" vertical="center"/>
    </xf>
    <xf numFmtId="0" fontId="60" fillId="0" borderId="118" xfId="5" applyFont="1" applyBorder="1" applyAlignment="1">
      <alignment horizontal="left" vertical="center"/>
    </xf>
    <xf numFmtId="0" fontId="60" fillId="0" borderId="119" xfId="5" applyFont="1" applyBorder="1" applyAlignment="1">
      <alignment horizontal="left" vertical="center"/>
    </xf>
    <xf numFmtId="0" fontId="60" fillId="0" borderId="56" xfId="5" applyFont="1" applyBorder="1" applyAlignment="1">
      <alignment horizontal="left" vertical="center"/>
    </xf>
    <xf numFmtId="0" fontId="60" fillId="0" borderId="55" xfId="5" applyFont="1" applyBorder="1" applyAlignment="1">
      <alignment horizontal="left" vertical="center"/>
    </xf>
    <xf numFmtId="0" fontId="62" fillId="0" borderId="7" xfId="5" applyFont="1" applyBorder="1" applyAlignment="1">
      <alignment horizontal="left" vertical="center"/>
    </xf>
    <xf numFmtId="0" fontId="62" fillId="0" borderId="25" xfId="5" applyFont="1" applyBorder="1" applyAlignment="1">
      <alignment horizontal="left" vertical="center"/>
    </xf>
    <xf numFmtId="0" fontId="62" fillId="0" borderId="8" xfId="5" applyFont="1" applyBorder="1" applyAlignment="1">
      <alignment horizontal="left" vertical="center"/>
    </xf>
    <xf numFmtId="0" fontId="62" fillId="0" borderId="30" xfId="5" applyFont="1" applyBorder="1" applyAlignment="1">
      <alignment horizontal="left" vertical="center"/>
    </xf>
    <xf numFmtId="0" fontId="62" fillId="0" borderId="28" xfId="5" applyFont="1" applyBorder="1" applyAlignment="1">
      <alignment horizontal="left" vertical="center"/>
    </xf>
    <xf numFmtId="0" fontId="54" fillId="0" borderId="55" xfId="5" applyFont="1" applyBorder="1" applyAlignment="1">
      <alignment horizontal="left" vertical="center"/>
    </xf>
    <xf numFmtId="0" fontId="54" fillId="0" borderId="116" xfId="5" applyFont="1" applyBorder="1" applyAlignment="1">
      <alignment horizontal="left" vertical="center"/>
    </xf>
    <xf numFmtId="0" fontId="54" fillId="0" borderId="119" xfId="5" applyFont="1" applyBorder="1" applyAlignment="1">
      <alignment horizontal="left" vertical="center"/>
    </xf>
    <xf numFmtId="0" fontId="54" fillId="0" borderId="9" xfId="5" applyFont="1" applyBorder="1" applyAlignment="1">
      <alignment horizontal="left" vertical="top"/>
    </xf>
    <xf numFmtId="0" fontId="60" fillId="0" borderId="7" xfId="5" applyFont="1" applyBorder="1" applyAlignment="1">
      <alignment horizontal="left" vertical="center"/>
    </xf>
    <xf numFmtId="0" fontId="60" fillId="0" borderId="9" xfId="5" applyFont="1" applyBorder="1" applyAlignment="1">
      <alignment horizontal="left" vertical="center" wrapText="1"/>
    </xf>
    <xf numFmtId="0" fontId="17" fillId="0" borderId="60" xfId="4" applyFont="1" applyBorder="1" applyAlignment="1">
      <alignment horizontal="center" vertical="center"/>
    </xf>
    <xf numFmtId="0" fontId="60" fillId="0" borderId="39" xfId="5" applyFont="1" applyBorder="1" applyAlignment="1">
      <alignment horizontal="left" vertical="center" wrapText="1"/>
    </xf>
    <xf numFmtId="0" fontId="60" fillId="0" borderId="54" xfId="5" applyFont="1" applyBorder="1" applyAlignment="1">
      <alignment horizontal="left" vertical="center" wrapText="1"/>
    </xf>
    <xf numFmtId="0" fontId="60" fillId="0" borderId="13" xfId="5" applyFont="1" applyBorder="1" applyAlignment="1">
      <alignment horizontal="left" vertical="center" wrapText="1"/>
    </xf>
    <xf numFmtId="0" fontId="60" fillId="0" borderId="54" xfId="5" applyFont="1" applyBorder="1" applyAlignment="1">
      <alignment horizontal="left" vertical="center"/>
    </xf>
    <xf numFmtId="0" fontId="60" fillId="0" borderId="123" xfId="5" applyFont="1" applyBorder="1" applyAlignment="1">
      <alignment horizontal="left" vertical="center"/>
    </xf>
    <xf numFmtId="0" fontId="2" fillId="0" borderId="125" xfId="0" applyFont="1" applyBorder="1" applyAlignment="1">
      <alignment horizontal="center" vertical="center"/>
    </xf>
    <xf numFmtId="0" fontId="2" fillId="0" borderId="124" xfId="0" applyFont="1" applyBorder="1" applyAlignment="1">
      <alignment horizontal="center" vertical="center"/>
    </xf>
    <xf numFmtId="0" fontId="2" fillId="0" borderId="127" xfId="0" applyFont="1" applyBorder="1" applyAlignment="1">
      <alignment horizontal="center" vertical="center"/>
    </xf>
    <xf numFmtId="0" fontId="2" fillId="0" borderId="112" xfId="0" applyFont="1" applyBorder="1" applyAlignment="1">
      <alignment horizontal="center" vertical="center"/>
    </xf>
    <xf numFmtId="0" fontId="2" fillId="0" borderId="126" xfId="0" applyFont="1" applyBorder="1" applyAlignment="1">
      <alignment horizontal="center" vertical="center"/>
    </xf>
    <xf numFmtId="0" fontId="2" fillId="0" borderId="128" xfId="0" applyFont="1" applyBorder="1" applyAlignment="1">
      <alignment horizontal="center" vertical="center"/>
    </xf>
    <xf numFmtId="0" fontId="56" fillId="10" borderId="7" xfId="5" applyFont="1" applyFill="1" applyBorder="1" applyAlignment="1">
      <alignment horizontal="center" vertical="center"/>
    </xf>
    <xf numFmtId="0" fontId="56" fillId="10" borderId="8" xfId="5" applyFont="1" applyFill="1" applyBorder="1" applyAlignment="1">
      <alignment horizontal="center" vertical="center"/>
    </xf>
    <xf numFmtId="0" fontId="54" fillId="0" borderId="39" xfId="5" applyFont="1" applyBorder="1" applyAlignment="1">
      <alignment horizontal="center" vertical="center" wrapText="1"/>
    </xf>
    <xf numFmtId="0" fontId="54" fillId="0" borderId="13" xfId="5" applyFont="1" applyBorder="1" applyAlignment="1">
      <alignment horizontal="center" vertical="center" wrapText="1"/>
    </xf>
    <xf numFmtId="0" fontId="14" fillId="0" borderId="9" xfId="5" applyFont="1" applyBorder="1" applyAlignment="1">
      <alignment horizontal="left" vertical="center"/>
    </xf>
    <xf numFmtId="0" fontId="70" fillId="0" borderId="9" xfId="5" applyFont="1" applyBorder="1" applyAlignment="1">
      <alignment horizontal="left" vertical="center" wrapText="1"/>
    </xf>
    <xf numFmtId="0" fontId="70" fillId="0" borderId="53" xfId="5" applyFont="1" applyBorder="1" applyAlignment="1">
      <alignment horizontal="left" vertical="center"/>
    </xf>
    <xf numFmtId="0" fontId="70" fillId="0" borderId="56" xfId="5" applyFont="1" applyBorder="1" applyAlignment="1">
      <alignment horizontal="left" vertical="center"/>
    </xf>
    <xf numFmtId="0" fontId="70" fillId="0" borderId="55" xfId="5" applyFont="1" applyBorder="1" applyAlignment="1">
      <alignment horizontal="left" vertical="center"/>
    </xf>
    <xf numFmtId="0" fontId="70" fillId="0" borderId="51" xfId="5" applyFont="1" applyBorder="1" applyAlignment="1">
      <alignment horizontal="left" vertical="center"/>
    </xf>
    <xf numFmtId="0" fontId="62" fillId="0" borderId="51" xfId="5" applyFont="1" applyBorder="1" applyAlignment="1">
      <alignment horizontal="left" vertical="center"/>
    </xf>
    <xf numFmtId="0" fontId="70" fillId="0" borderId="7" xfId="5" applyFont="1" applyBorder="1" applyAlignment="1">
      <alignment horizontal="left" vertical="center"/>
    </xf>
    <xf numFmtId="0" fontId="54" fillId="5" borderId="0" xfId="5" applyFont="1" applyFill="1" applyAlignment="1">
      <alignment horizontal="center" vertical="center"/>
    </xf>
    <xf numFmtId="0" fontId="54" fillId="5" borderId="0" xfId="5" applyFont="1" applyFill="1" applyAlignment="1">
      <alignment horizontal="center" vertical="center" wrapText="1"/>
    </xf>
    <xf numFmtId="0" fontId="60" fillId="0" borderId="52" xfId="5" applyFont="1" applyBorder="1" applyAlignment="1">
      <alignment horizontal="left" vertical="center"/>
    </xf>
    <xf numFmtId="0" fontId="54" fillId="0" borderId="52" xfId="5" applyFont="1" applyBorder="1" applyAlignment="1">
      <alignment horizontal="left" vertical="center"/>
    </xf>
    <xf numFmtId="0" fontId="60" fillId="0" borderId="51" xfId="5" applyFont="1" applyBorder="1" applyAlignment="1">
      <alignment horizontal="left" vertical="center"/>
    </xf>
    <xf numFmtId="0" fontId="54" fillId="0" borderId="51" xfId="5" applyFont="1" applyBorder="1" applyAlignment="1">
      <alignment horizontal="left" vertical="center"/>
    </xf>
    <xf numFmtId="0" fontId="2" fillId="0" borderId="47" xfId="0" applyFont="1" applyBorder="1" applyAlignment="1">
      <alignment horizontal="center" vertical="center"/>
    </xf>
    <xf numFmtId="0" fontId="2" fillId="0" borderId="52" xfId="0" applyFont="1" applyBorder="1" applyAlignment="1">
      <alignment horizontal="center" vertical="center"/>
    </xf>
    <xf numFmtId="0" fontId="71" fillId="0" borderId="7" xfId="5" applyFont="1" applyBorder="1" applyAlignment="1">
      <alignment horizontal="left" vertical="center"/>
    </xf>
    <xf numFmtId="0" fontId="2" fillId="3" borderId="142" xfId="0" applyFont="1" applyFill="1" applyBorder="1" applyAlignment="1">
      <alignment horizontal="center" vertical="center"/>
    </xf>
    <xf numFmtId="0" fontId="2" fillId="3" borderId="143" xfId="0" applyFont="1" applyFill="1" applyBorder="1" applyAlignment="1">
      <alignment horizontal="center" vertical="center"/>
    </xf>
    <xf numFmtId="0" fontId="54" fillId="0" borderId="5" xfId="5" applyFont="1" applyBorder="1" applyAlignment="1">
      <alignment horizontal="left" vertical="center"/>
    </xf>
    <xf numFmtId="0" fontId="54" fillId="0" borderId="5" xfId="5" applyFont="1" applyBorder="1" applyAlignment="1">
      <alignment horizontal="center" vertical="center"/>
    </xf>
    <xf numFmtId="0" fontId="53" fillId="10" borderId="124" xfId="5" applyFont="1" applyFill="1" applyBorder="1" applyAlignment="1">
      <alignment horizontal="center" vertical="center" wrapText="1"/>
    </xf>
    <xf numFmtId="0" fontId="53" fillId="10" borderId="125" xfId="5" applyFont="1" applyFill="1" applyBorder="1" applyAlignment="1">
      <alignment horizontal="center" vertical="center"/>
    </xf>
    <xf numFmtId="0" fontId="53" fillId="10" borderId="145" xfId="5" applyFont="1" applyFill="1" applyBorder="1" applyAlignment="1">
      <alignment horizontal="center" vertical="center"/>
    </xf>
    <xf numFmtId="0" fontId="53" fillId="10" borderId="146" xfId="5" applyFont="1" applyFill="1" applyBorder="1" applyAlignment="1">
      <alignment horizontal="center" vertical="center"/>
    </xf>
    <xf numFmtId="0" fontId="53" fillId="10" borderId="125" xfId="5" applyFont="1" applyFill="1" applyBorder="1" applyAlignment="1">
      <alignment horizontal="center" vertical="center" wrapText="1"/>
    </xf>
    <xf numFmtId="0" fontId="53" fillId="10" borderId="126" xfId="5" applyFont="1" applyFill="1" applyBorder="1" applyAlignment="1">
      <alignment horizontal="center" vertical="center" wrapText="1"/>
    </xf>
    <xf numFmtId="0" fontId="55" fillId="10" borderId="146" xfId="5" applyFont="1" applyFill="1" applyBorder="1" applyAlignment="1">
      <alignment horizontal="center" vertical="center" wrapText="1"/>
    </xf>
    <xf numFmtId="0" fontId="55" fillId="10" borderId="147" xfId="5" applyFont="1" applyFill="1" applyBorder="1" applyAlignment="1">
      <alignment horizontal="center" vertical="center" wrapText="1"/>
    </xf>
    <xf numFmtId="0" fontId="77" fillId="0" borderId="7" xfId="5" applyFont="1" applyBorder="1" applyAlignment="1">
      <alignment horizontal="left" vertical="center"/>
    </xf>
    <xf numFmtId="0" fontId="14" fillId="0" borderId="25" xfId="5" applyFont="1" applyBorder="1" applyAlignment="1">
      <alignment horizontal="left" vertical="center"/>
    </xf>
    <xf numFmtId="0" fontId="14" fillId="0" borderId="8" xfId="5" applyFont="1" applyBorder="1" applyAlignment="1">
      <alignment horizontal="left" vertical="center"/>
    </xf>
    <xf numFmtId="0" fontId="60" fillId="0" borderId="5" xfId="5" applyFont="1" applyBorder="1" applyAlignment="1">
      <alignment horizontal="left" vertical="center" wrapText="1"/>
    </xf>
    <xf numFmtId="0" fontId="54" fillId="0" borderId="5" xfId="5" applyFont="1" applyBorder="1" applyAlignment="1">
      <alignment horizontal="left" vertical="center" wrapText="1"/>
    </xf>
    <xf numFmtId="0" fontId="56" fillId="10" borderId="31" xfId="5" applyFont="1" applyFill="1" applyBorder="1" applyAlignment="1">
      <alignment horizontal="center" vertical="center"/>
    </xf>
    <xf numFmtId="0" fontId="14" fillId="8" borderId="54" xfId="0" applyFont="1" applyFill="1" applyBorder="1" applyAlignment="1">
      <alignment horizontal="center"/>
    </xf>
    <xf numFmtId="0" fontId="72" fillId="8" borderId="54" xfId="0" applyFont="1" applyFill="1" applyBorder="1" applyAlignment="1">
      <alignment horizontal="center"/>
    </xf>
    <xf numFmtId="0" fontId="0" fillId="0" borderId="25" xfId="0" applyBorder="1" applyAlignment="1">
      <alignment horizontal="center"/>
    </xf>
  </cellXfs>
  <cellStyles count="6">
    <cellStyle name="Normal" xfId="0" builtinId="0"/>
    <cellStyle name="Normal 2" xfId="3" xr:uid="{55C57338-B56A-4263-B95D-3499FF794444}"/>
    <cellStyle name="Normal 3" xfId="5" xr:uid="{BA3EA825-3179-4A68-8553-9EFD9B661D81}"/>
    <cellStyle name="Normal 4" xfId="4" xr:uid="{66CC92B7-F88E-49D4-9CB6-495C0C887BE4}"/>
    <cellStyle name="Normal_CASTER DELAY OF-NOV'11_Book1" xfId="1" xr:uid="{2FAB6658-D438-47EB-83B1-64776C841067}"/>
    <cellStyle name="Normal_CSP JAN- 2014" xfId="2" xr:uid="{6972581E-F2B4-4BCD-B32D-7EDFE063517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E5D4DAEA-E8AC-41A3-8AC3-5576DB71F518}"/>
            </a:ext>
          </a:extLst>
        </xdr:cNvPr>
        <xdr:cNvSpPr>
          <a:spLocks noChangeShapeType="1"/>
        </xdr:cNvSpPr>
      </xdr:nvSpPr>
      <xdr:spPr bwMode="auto">
        <a:xfrm>
          <a:off x="342900" y="9477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4A0A6488-5ABE-48C9-9A05-314709A259B5}"/>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68</xdr:row>
      <xdr:rowOff>142875</xdr:rowOff>
    </xdr:from>
    <xdr:to>
      <xdr:col>1</xdr:col>
      <xdr:colOff>257175</xdr:colOff>
      <xdr:row>68</xdr:row>
      <xdr:rowOff>142875</xdr:rowOff>
    </xdr:to>
    <xdr:sp macro="" textlink="">
      <xdr:nvSpPr>
        <xdr:cNvPr id="3" name="Straight Connector 1">
          <a:extLst>
            <a:ext uri="{FF2B5EF4-FFF2-40B4-BE49-F238E27FC236}">
              <a16:creationId xmlns:a16="http://schemas.microsoft.com/office/drawing/2014/main" id="{6F8F448C-618E-416B-B3FA-D898B772BFE2}"/>
            </a:ext>
            <a:ext uri="{147F2762-F138-4A5C-976F-8EAC2B608ADB}">
              <a16:predDERef xmlns:a16="http://schemas.microsoft.com/office/drawing/2014/main" pred="{4A0A6488-5ABE-48C9-9A05-314709A259B5}"/>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104</xdr:row>
      <xdr:rowOff>142875</xdr:rowOff>
    </xdr:from>
    <xdr:to>
      <xdr:col>1</xdr:col>
      <xdr:colOff>257175</xdr:colOff>
      <xdr:row>104</xdr:row>
      <xdr:rowOff>142875</xdr:rowOff>
    </xdr:to>
    <xdr:sp macro="" textlink="">
      <xdr:nvSpPr>
        <xdr:cNvPr id="4" name="Straight Connector 1">
          <a:extLst>
            <a:ext uri="{FF2B5EF4-FFF2-40B4-BE49-F238E27FC236}">
              <a16:creationId xmlns:a16="http://schemas.microsoft.com/office/drawing/2014/main" id="{22A9A1FC-6EDB-4834-B3FF-CAFE9A13C203}"/>
            </a:ext>
            <a:ext uri="{147F2762-F138-4A5C-976F-8EAC2B608ADB}">
              <a16:predDERef xmlns:a16="http://schemas.microsoft.com/office/drawing/2014/main" pred="{6F8F448C-618E-416B-B3FA-D898B772BFE2}"/>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140</xdr:row>
      <xdr:rowOff>142875</xdr:rowOff>
    </xdr:from>
    <xdr:to>
      <xdr:col>1</xdr:col>
      <xdr:colOff>257175</xdr:colOff>
      <xdr:row>140</xdr:row>
      <xdr:rowOff>142875</xdr:rowOff>
    </xdr:to>
    <xdr:sp macro="" textlink="">
      <xdr:nvSpPr>
        <xdr:cNvPr id="5" name="Straight Connector 1">
          <a:extLst>
            <a:ext uri="{FF2B5EF4-FFF2-40B4-BE49-F238E27FC236}">
              <a16:creationId xmlns:a16="http://schemas.microsoft.com/office/drawing/2014/main" id="{5AA8B300-7838-45D4-ABB7-0854E5401138}"/>
            </a:ext>
            <a:ext uri="{147F2762-F138-4A5C-976F-8EAC2B608ADB}">
              <a16:predDERef xmlns:a16="http://schemas.microsoft.com/office/drawing/2014/main" pred="{22A9A1FC-6EDB-4834-B3FF-CAFE9A13C203}"/>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176</xdr:row>
      <xdr:rowOff>142875</xdr:rowOff>
    </xdr:from>
    <xdr:to>
      <xdr:col>1</xdr:col>
      <xdr:colOff>257175</xdr:colOff>
      <xdr:row>176</xdr:row>
      <xdr:rowOff>142875</xdr:rowOff>
    </xdr:to>
    <xdr:sp macro="" textlink="">
      <xdr:nvSpPr>
        <xdr:cNvPr id="6" name="Straight Connector 1">
          <a:extLst>
            <a:ext uri="{FF2B5EF4-FFF2-40B4-BE49-F238E27FC236}">
              <a16:creationId xmlns:a16="http://schemas.microsoft.com/office/drawing/2014/main" id="{5C898A09-1347-4D2E-93BF-3D1CD13371E1}"/>
            </a:ext>
            <a:ext uri="{147F2762-F138-4A5C-976F-8EAC2B608ADB}">
              <a16:predDERef xmlns:a16="http://schemas.microsoft.com/office/drawing/2014/main" pred="{5AA8B300-7838-45D4-ABB7-0854E5401138}"/>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2597CF9F-1FA4-4C00-B47B-000ECAC4A281}"/>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68</xdr:row>
      <xdr:rowOff>142875</xdr:rowOff>
    </xdr:from>
    <xdr:to>
      <xdr:col>1</xdr:col>
      <xdr:colOff>257175</xdr:colOff>
      <xdr:row>68</xdr:row>
      <xdr:rowOff>142875</xdr:rowOff>
    </xdr:to>
    <xdr:sp macro="" textlink="">
      <xdr:nvSpPr>
        <xdr:cNvPr id="3" name="Straight Connector 1">
          <a:extLst>
            <a:ext uri="{FF2B5EF4-FFF2-40B4-BE49-F238E27FC236}">
              <a16:creationId xmlns:a16="http://schemas.microsoft.com/office/drawing/2014/main" id="{88A579B6-895E-4120-A46C-C14E0EF0C917}"/>
            </a:ext>
            <a:ext uri="{147F2762-F138-4A5C-976F-8EAC2B608ADB}">
              <a16:predDERef xmlns:a16="http://schemas.microsoft.com/office/drawing/2014/main" pred="{2597CF9F-1FA4-4C00-B47B-000ECAC4A281}"/>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150</xdr:row>
      <xdr:rowOff>142875</xdr:rowOff>
    </xdr:from>
    <xdr:to>
      <xdr:col>1</xdr:col>
      <xdr:colOff>257175</xdr:colOff>
      <xdr:row>150</xdr:row>
      <xdr:rowOff>142875</xdr:rowOff>
    </xdr:to>
    <xdr:sp macro="" textlink="">
      <xdr:nvSpPr>
        <xdr:cNvPr id="5" name="Straight Connector 1">
          <a:extLst>
            <a:ext uri="{FF2B5EF4-FFF2-40B4-BE49-F238E27FC236}">
              <a16:creationId xmlns:a16="http://schemas.microsoft.com/office/drawing/2014/main" id="{4CC167C9-7758-4C4A-98D0-5B7549BC82AF}"/>
            </a:ext>
            <a:ext uri="{147F2762-F138-4A5C-976F-8EAC2B608ADB}">
              <a16:predDERef xmlns:a16="http://schemas.microsoft.com/office/drawing/2014/main" pred="{88A579B6-895E-4120-A46C-C14E0EF0C917}"/>
            </a:ext>
          </a:extLst>
        </xdr:cNvPr>
        <xdr:cNvSpPr>
          <a:spLocks noChangeShapeType="1"/>
        </xdr:cNvSpPr>
      </xdr:nvSpPr>
      <xdr:spPr bwMode="auto">
        <a:xfrm>
          <a:off x="342900" y="17097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106</xdr:row>
      <xdr:rowOff>142875</xdr:rowOff>
    </xdr:from>
    <xdr:to>
      <xdr:col>1</xdr:col>
      <xdr:colOff>257175</xdr:colOff>
      <xdr:row>106</xdr:row>
      <xdr:rowOff>142875</xdr:rowOff>
    </xdr:to>
    <xdr:sp macro="" textlink="">
      <xdr:nvSpPr>
        <xdr:cNvPr id="7" name="Straight Connector 1">
          <a:extLst>
            <a:ext uri="{FF2B5EF4-FFF2-40B4-BE49-F238E27FC236}">
              <a16:creationId xmlns:a16="http://schemas.microsoft.com/office/drawing/2014/main" id="{1BCAEC77-00B2-475C-A40C-C4192C14E2E6}"/>
            </a:ext>
            <a:ext uri="{147F2762-F138-4A5C-976F-8EAC2B608ADB}">
              <a16:predDERef xmlns:a16="http://schemas.microsoft.com/office/drawing/2014/main" pred="{4CC167C9-7758-4C4A-98D0-5B7549BC82AF}"/>
            </a:ext>
          </a:extLst>
        </xdr:cNvPr>
        <xdr:cNvSpPr>
          <a:spLocks noChangeShapeType="1"/>
        </xdr:cNvSpPr>
      </xdr:nvSpPr>
      <xdr:spPr bwMode="auto">
        <a:xfrm>
          <a:off x="342900" y="170973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187</xdr:row>
      <xdr:rowOff>142875</xdr:rowOff>
    </xdr:from>
    <xdr:to>
      <xdr:col>1</xdr:col>
      <xdr:colOff>257175</xdr:colOff>
      <xdr:row>187</xdr:row>
      <xdr:rowOff>142875</xdr:rowOff>
    </xdr:to>
    <xdr:sp macro="" textlink="">
      <xdr:nvSpPr>
        <xdr:cNvPr id="4" name="Straight Connector 1">
          <a:extLst>
            <a:ext uri="{FF2B5EF4-FFF2-40B4-BE49-F238E27FC236}">
              <a16:creationId xmlns:a16="http://schemas.microsoft.com/office/drawing/2014/main" id="{D43C0EC9-A204-4BE5-9343-82C2E3FB3260}"/>
            </a:ext>
            <a:ext uri="{147F2762-F138-4A5C-976F-8EAC2B608ADB}">
              <a16:predDERef xmlns:a16="http://schemas.microsoft.com/office/drawing/2014/main" pred="{1BCAEC77-00B2-475C-A40C-C4192C14E2E6}"/>
            </a:ext>
          </a:extLst>
        </xdr:cNvPr>
        <xdr:cNvSpPr>
          <a:spLocks noChangeShapeType="1"/>
        </xdr:cNvSpPr>
      </xdr:nvSpPr>
      <xdr:spPr bwMode="auto">
        <a:xfrm>
          <a:off x="342900" y="354996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257175</xdr:colOff>
      <xdr:row>33</xdr:row>
      <xdr:rowOff>142875</xdr:rowOff>
    </xdr:from>
    <xdr:to>
      <xdr:col>1</xdr:col>
      <xdr:colOff>257175</xdr:colOff>
      <xdr:row>33</xdr:row>
      <xdr:rowOff>142875</xdr:rowOff>
    </xdr:to>
    <xdr:sp macro="" textlink="">
      <xdr:nvSpPr>
        <xdr:cNvPr id="6" name="Straight Connector 1">
          <a:extLst>
            <a:ext uri="{FF2B5EF4-FFF2-40B4-BE49-F238E27FC236}">
              <a16:creationId xmlns:a16="http://schemas.microsoft.com/office/drawing/2014/main" id="{E5EB8643-6D9B-481D-B061-ACB98749F69A}"/>
            </a:ext>
            <a:ext uri="{147F2762-F138-4A5C-976F-8EAC2B608ADB}">
              <a16:predDERef xmlns:a16="http://schemas.microsoft.com/office/drawing/2014/main" pred="{DC17FE87-3A17-41C3-A17B-9CA27933D9D6}"/>
            </a:ext>
          </a:extLst>
        </xdr:cNvPr>
        <xdr:cNvSpPr>
          <a:spLocks noChangeShapeType="1"/>
        </xdr:cNvSpPr>
      </xdr:nvSpPr>
      <xdr:spPr bwMode="auto">
        <a:xfrm>
          <a:off x="342900" y="45272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72</xdr:row>
      <xdr:rowOff>142875</xdr:rowOff>
    </xdr:from>
    <xdr:to>
      <xdr:col>1</xdr:col>
      <xdr:colOff>257175</xdr:colOff>
      <xdr:row>72</xdr:row>
      <xdr:rowOff>142875</xdr:rowOff>
    </xdr:to>
    <xdr:sp macro="" textlink="">
      <xdr:nvSpPr>
        <xdr:cNvPr id="2" name="Straight Connector 1">
          <a:extLst>
            <a:ext uri="{FF2B5EF4-FFF2-40B4-BE49-F238E27FC236}">
              <a16:creationId xmlns:a16="http://schemas.microsoft.com/office/drawing/2014/main" id="{D571EAE2-0B39-4C22-8BB6-BCFF3FCD3FEB}"/>
            </a:ext>
            <a:ext uri="{147F2762-F138-4A5C-976F-8EAC2B608ADB}">
              <a16:predDERef xmlns:a16="http://schemas.microsoft.com/office/drawing/2014/main" pred="{E5EB8643-6D9B-481D-B061-ACB98749F69A}"/>
            </a:ext>
          </a:extLst>
        </xdr:cNvPr>
        <xdr:cNvSpPr>
          <a:spLocks noChangeShapeType="1"/>
        </xdr:cNvSpPr>
      </xdr:nvSpPr>
      <xdr:spPr bwMode="auto">
        <a:xfrm>
          <a:off x="342900" y="93059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xdr:col>
      <xdr:colOff>257175</xdr:colOff>
      <xdr:row>109</xdr:row>
      <xdr:rowOff>142875</xdr:rowOff>
    </xdr:from>
    <xdr:to>
      <xdr:col>2</xdr:col>
      <xdr:colOff>257175</xdr:colOff>
      <xdr:row>109</xdr:row>
      <xdr:rowOff>142875</xdr:rowOff>
    </xdr:to>
    <xdr:sp macro="" textlink="">
      <xdr:nvSpPr>
        <xdr:cNvPr id="3" name="Straight Connector 1">
          <a:extLst>
            <a:ext uri="{FF2B5EF4-FFF2-40B4-BE49-F238E27FC236}">
              <a16:creationId xmlns:a16="http://schemas.microsoft.com/office/drawing/2014/main" id="{B782E860-36C1-4DDB-B221-53271EA7A85C}"/>
            </a:ext>
            <a:ext uri="{147F2762-F138-4A5C-976F-8EAC2B608ADB}">
              <a16:predDERef xmlns:a16="http://schemas.microsoft.com/office/drawing/2014/main" pred="{D571EAE2-0B39-4C22-8BB6-BCFF3FCD3FEB}"/>
            </a:ext>
          </a:extLst>
        </xdr:cNvPr>
        <xdr:cNvSpPr>
          <a:spLocks noChangeShapeType="1"/>
        </xdr:cNvSpPr>
      </xdr:nvSpPr>
      <xdr:spPr bwMode="auto">
        <a:xfrm>
          <a:off x="342900" y="93059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xdr:col>
      <xdr:colOff>257175</xdr:colOff>
      <xdr:row>148</xdr:row>
      <xdr:rowOff>142875</xdr:rowOff>
    </xdr:from>
    <xdr:to>
      <xdr:col>2</xdr:col>
      <xdr:colOff>257175</xdr:colOff>
      <xdr:row>148</xdr:row>
      <xdr:rowOff>142875</xdr:rowOff>
    </xdr:to>
    <xdr:sp macro="" textlink="">
      <xdr:nvSpPr>
        <xdr:cNvPr id="4" name="Straight Connector 1">
          <a:extLst>
            <a:ext uri="{FF2B5EF4-FFF2-40B4-BE49-F238E27FC236}">
              <a16:creationId xmlns:a16="http://schemas.microsoft.com/office/drawing/2014/main" id="{B0BA0C2A-7674-448D-9F6A-F82331C0AA2E}"/>
            </a:ext>
            <a:ext uri="{147F2762-F138-4A5C-976F-8EAC2B608ADB}">
              <a16:predDERef xmlns:a16="http://schemas.microsoft.com/office/drawing/2014/main" pred="{B782E860-36C1-4DDB-B221-53271EA7A85C}"/>
            </a:ext>
          </a:extLst>
        </xdr:cNvPr>
        <xdr:cNvSpPr>
          <a:spLocks noChangeShapeType="1"/>
        </xdr:cNvSpPr>
      </xdr:nvSpPr>
      <xdr:spPr bwMode="auto">
        <a:xfrm>
          <a:off x="1790700" y="267271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2</xdr:col>
      <xdr:colOff>257175</xdr:colOff>
      <xdr:row>184</xdr:row>
      <xdr:rowOff>142875</xdr:rowOff>
    </xdr:from>
    <xdr:to>
      <xdr:col>2</xdr:col>
      <xdr:colOff>257175</xdr:colOff>
      <xdr:row>184</xdr:row>
      <xdr:rowOff>142875</xdr:rowOff>
    </xdr:to>
    <xdr:sp macro="" textlink="">
      <xdr:nvSpPr>
        <xdr:cNvPr id="5" name="Straight Connector 1">
          <a:extLst>
            <a:ext uri="{FF2B5EF4-FFF2-40B4-BE49-F238E27FC236}">
              <a16:creationId xmlns:a16="http://schemas.microsoft.com/office/drawing/2014/main" id="{F1A632AE-F90F-409F-BDF9-8CC8F80C42BE}"/>
            </a:ext>
            <a:ext uri="{147F2762-F138-4A5C-976F-8EAC2B608ADB}">
              <a16:predDERef xmlns:a16="http://schemas.microsoft.com/office/drawing/2014/main" pred="{B0BA0C2A-7674-448D-9F6A-F82331C0AA2E}"/>
            </a:ext>
          </a:extLst>
        </xdr:cNvPr>
        <xdr:cNvSpPr>
          <a:spLocks noChangeShapeType="1"/>
        </xdr:cNvSpPr>
      </xdr:nvSpPr>
      <xdr:spPr bwMode="auto">
        <a:xfrm>
          <a:off x="1790700" y="348138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199E818C-F3F9-49AE-882D-C1A4EEBFD83B}"/>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69</xdr:row>
      <xdr:rowOff>142875</xdr:rowOff>
    </xdr:from>
    <xdr:to>
      <xdr:col>1</xdr:col>
      <xdr:colOff>257175</xdr:colOff>
      <xdr:row>69</xdr:row>
      <xdr:rowOff>142875</xdr:rowOff>
    </xdr:to>
    <xdr:sp macro="" textlink="">
      <xdr:nvSpPr>
        <xdr:cNvPr id="4" name="Straight Connector 1">
          <a:extLst>
            <a:ext uri="{FF2B5EF4-FFF2-40B4-BE49-F238E27FC236}">
              <a16:creationId xmlns:a16="http://schemas.microsoft.com/office/drawing/2014/main" id="{96176193-F09C-4100-B201-7B2172EF1A90}"/>
            </a:ext>
            <a:ext uri="{147F2762-F138-4A5C-976F-8EAC2B608ADB}">
              <a16:predDERef xmlns:a16="http://schemas.microsoft.com/office/drawing/2014/main" pred="{278B809E-8714-4D44-884A-CAFF8D660E83}"/>
            </a:ext>
          </a:extLst>
        </xdr:cNvPr>
        <xdr:cNvSpPr>
          <a:spLocks noChangeShapeType="1"/>
        </xdr:cNvSpPr>
      </xdr:nvSpPr>
      <xdr:spPr bwMode="auto">
        <a:xfrm>
          <a:off x="342900" y="165639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104</xdr:row>
      <xdr:rowOff>142875</xdr:rowOff>
    </xdr:from>
    <xdr:to>
      <xdr:col>1</xdr:col>
      <xdr:colOff>257175</xdr:colOff>
      <xdr:row>104</xdr:row>
      <xdr:rowOff>142875</xdr:rowOff>
    </xdr:to>
    <xdr:sp macro="" textlink="">
      <xdr:nvSpPr>
        <xdr:cNvPr id="3" name="Straight Connector 1">
          <a:extLst>
            <a:ext uri="{FF2B5EF4-FFF2-40B4-BE49-F238E27FC236}">
              <a16:creationId xmlns:a16="http://schemas.microsoft.com/office/drawing/2014/main" id="{3273829B-7164-4C9C-AE21-62BE053DF8A5}"/>
            </a:ext>
            <a:ext uri="{147F2762-F138-4A5C-976F-8EAC2B608ADB}">
              <a16:predDERef xmlns:a16="http://schemas.microsoft.com/office/drawing/2014/main" pred="{96176193-F09C-4100-B201-7B2172EF1A90}"/>
            </a:ext>
          </a:extLst>
        </xdr:cNvPr>
        <xdr:cNvSpPr>
          <a:spLocks noChangeShapeType="1"/>
        </xdr:cNvSpPr>
      </xdr:nvSpPr>
      <xdr:spPr bwMode="auto">
        <a:xfrm>
          <a:off x="342900" y="18745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xdr:col>
      <xdr:colOff>257175</xdr:colOff>
      <xdr:row>145</xdr:row>
      <xdr:rowOff>142875</xdr:rowOff>
    </xdr:from>
    <xdr:to>
      <xdr:col>1</xdr:col>
      <xdr:colOff>257175</xdr:colOff>
      <xdr:row>145</xdr:row>
      <xdr:rowOff>142875</xdr:rowOff>
    </xdr:to>
    <xdr:sp macro="" textlink="">
      <xdr:nvSpPr>
        <xdr:cNvPr id="5" name="Straight Connector 1">
          <a:extLst>
            <a:ext uri="{FF2B5EF4-FFF2-40B4-BE49-F238E27FC236}">
              <a16:creationId xmlns:a16="http://schemas.microsoft.com/office/drawing/2014/main" id="{D964A59E-56AB-4D45-84B5-FF6A348C3AA1}"/>
            </a:ext>
            <a:ext uri="{147F2762-F138-4A5C-976F-8EAC2B608ADB}">
              <a16:predDERef xmlns:a16="http://schemas.microsoft.com/office/drawing/2014/main" pred="{3273829B-7164-4C9C-AE21-62BE053DF8A5}"/>
            </a:ext>
          </a:extLst>
        </xdr:cNvPr>
        <xdr:cNvSpPr>
          <a:spLocks noChangeShapeType="1"/>
        </xdr:cNvSpPr>
      </xdr:nvSpPr>
      <xdr:spPr bwMode="auto">
        <a:xfrm>
          <a:off x="342900" y="293941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DE9B69B2-7244-4B95-B6AE-E921AA0044FF}"/>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9A737B7B-2947-4D38-90BB-27F363099042}"/>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04A14F17-9359-413D-9309-678BDFE4867A}"/>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257175</xdr:colOff>
      <xdr:row>32</xdr:row>
      <xdr:rowOff>142875</xdr:rowOff>
    </xdr:from>
    <xdr:to>
      <xdr:col>1</xdr:col>
      <xdr:colOff>257175</xdr:colOff>
      <xdr:row>32</xdr:row>
      <xdr:rowOff>142875</xdr:rowOff>
    </xdr:to>
    <xdr:sp macro="" textlink="">
      <xdr:nvSpPr>
        <xdr:cNvPr id="2" name="Straight Connector 1">
          <a:extLst>
            <a:ext uri="{FF2B5EF4-FFF2-40B4-BE49-F238E27FC236}">
              <a16:creationId xmlns:a16="http://schemas.microsoft.com/office/drawing/2014/main" id="{E4F474E0-15DA-42D7-B614-817D70D599FF}"/>
            </a:ext>
          </a:extLst>
        </xdr:cNvPr>
        <xdr:cNvSpPr>
          <a:spLocks noChangeShapeType="1"/>
        </xdr:cNvSpPr>
      </xdr:nvSpPr>
      <xdr:spPr bwMode="auto">
        <a:xfrm>
          <a:off x="342900" y="96488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93D4-C667-4596-A734-71FEF73D898A}">
  <sheetPr>
    <pageSetUpPr fitToPage="1"/>
  </sheetPr>
  <dimension ref="B2:N57"/>
  <sheetViews>
    <sheetView workbookViewId="0">
      <selection activeCell="B29" sqref="B29"/>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3.140625" customWidth="1"/>
    <col min="10" max="10" width="29.85546875" bestFit="1" customWidth="1"/>
    <col min="11" max="11" width="55.28515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c r="B3" s="444"/>
      <c r="C3" s="41" t="s">
        <v>9</v>
      </c>
      <c r="D3" s="42" t="s">
        <v>10</v>
      </c>
      <c r="E3" s="439"/>
      <c r="F3" s="439"/>
      <c r="G3" s="439"/>
      <c r="H3" s="439"/>
      <c r="I3" s="439"/>
      <c r="J3" s="439"/>
      <c r="K3" s="441"/>
    </row>
    <row r="4" spans="2:14" s="3" customFormat="1" ht="42" customHeight="1">
      <c r="B4" s="32">
        <v>1</v>
      </c>
      <c r="C4" s="37"/>
      <c r="D4" s="37"/>
      <c r="E4" s="37"/>
      <c r="F4" s="37"/>
      <c r="G4" s="37"/>
      <c r="H4" s="37"/>
      <c r="I4" s="37"/>
      <c r="J4" s="37"/>
      <c r="K4" s="37"/>
    </row>
    <row r="5" spans="2:14" s="3" customFormat="1" ht="42" customHeight="1">
      <c r="B5" s="32">
        <v>2</v>
      </c>
      <c r="C5" s="37"/>
      <c r="D5" s="37"/>
      <c r="E5" s="37"/>
      <c r="F5" s="37"/>
      <c r="G5" s="37"/>
      <c r="H5" s="37"/>
      <c r="I5" s="37"/>
      <c r="J5" s="37"/>
      <c r="K5" s="37"/>
      <c r="M5" s="442"/>
      <c r="N5" s="442"/>
    </row>
    <row r="6" spans="2:14" s="3" customFormat="1" ht="61.5" customHeight="1">
      <c r="B6" s="32">
        <v>3</v>
      </c>
      <c r="C6" s="37"/>
      <c r="D6" s="37"/>
      <c r="E6" s="37"/>
      <c r="F6" s="37"/>
      <c r="G6" s="37"/>
      <c r="H6" s="37"/>
      <c r="I6" s="37"/>
      <c r="J6" s="37"/>
      <c r="K6" s="37"/>
      <c r="L6" s="442"/>
      <c r="M6" s="442"/>
    </row>
    <row r="7" spans="2:14" s="3" customFormat="1" ht="42" customHeight="1">
      <c r="B7" s="32">
        <v>4</v>
      </c>
      <c r="C7" s="37"/>
      <c r="D7" s="37"/>
      <c r="E7" s="37"/>
      <c r="F7" s="37"/>
      <c r="G7" s="37"/>
      <c r="H7" s="37"/>
      <c r="I7" s="37"/>
      <c r="J7" s="37"/>
      <c r="K7" s="37"/>
    </row>
    <row r="8" spans="2:14" s="3" customFormat="1" ht="42" customHeight="1">
      <c r="B8" s="32">
        <v>5</v>
      </c>
      <c r="C8" s="37"/>
      <c r="D8" s="37"/>
      <c r="E8" s="37"/>
      <c r="F8" s="37"/>
      <c r="G8" s="37"/>
      <c r="H8" s="37"/>
      <c r="I8" s="37"/>
      <c r="J8" s="37"/>
      <c r="K8" s="37"/>
    </row>
    <row r="9" spans="2:14" s="3" customFormat="1" ht="42" customHeight="1">
      <c r="B9" s="32">
        <v>6</v>
      </c>
      <c r="C9" s="37"/>
      <c r="D9" s="37"/>
      <c r="E9" s="37"/>
      <c r="F9" s="37"/>
      <c r="G9" s="37"/>
      <c r="H9" s="37"/>
      <c r="I9" s="37"/>
      <c r="J9" s="37"/>
      <c r="K9" s="37"/>
    </row>
    <row r="10" spans="2:14" s="3" customFormat="1" ht="42" customHeight="1">
      <c r="B10" s="32">
        <v>7</v>
      </c>
      <c r="C10" s="37"/>
      <c r="D10" s="37"/>
      <c r="E10" s="37"/>
      <c r="F10" s="37"/>
      <c r="G10" s="37"/>
      <c r="H10" s="37"/>
      <c r="I10" s="37"/>
      <c r="J10" s="37"/>
      <c r="K10" s="37"/>
    </row>
    <row r="11" spans="2:14" s="3" customFormat="1" ht="42" customHeight="1">
      <c r="B11" s="32">
        <v>8</v>
      </c>
      <c r="C11" s="37"/>
      <c r="D11" s="37"/>
      <c r="E11" s="37"/>
      <c r="F11" s="37"/>
      <c r="G11" s="37"/>
      <c r="H11" s="37"/>
      <c r="I11" s="37"/>
      <c r="J11" s="37"/>
      <c r="K11" s="37"/>
    </row>
    <row r="12" spans="2:14" s="3" customFormat="1" ht="42" customHeight="1">
      <c r="B12" s="32">
        <v>9</v>
      </c>
      <c r="C12" s="37"/>
      <c r="D12" s="37"/>
      <c r="E12" s="37"/>
      <c r="F12" s="37"/>
      <c r="G12" s="37"/>
      <c r="H12" s="37"/>
      <c r="I12" s="37"/>
      <c r="J12" s="37"/>
      <c r="K12" s="37"/>
    </row>
    <row r="13" spans="2:14" s="3" customFormat="1" ht="42" customHeight="1">
      <c r="B13" s="32">
        <v>10</v>
      </c>
      <c r="C13" s="37"/>
      <c r="D13" s="37"/>
      <c r="E13" s="37"/>
      <c r="F13" s="37"/>
      <c r="G13" s="37"/>
      <c r="H13" s="37"/>
      <c r="I13" s="37"/>
      <c r="J13" s="37"/>
      <c r="K13" s="37"/>
    </row>
    <row r="14" spans="2:14" s="3" customFormat="1" ht="42" customHeight="1">
      <c r="B14" s="32">
        <v>11</v>
      </c>
      <c r="C14" s="37"/>
      <c r="D14" s="37"/>
      <c r="E14" s="37"/>
      <c r="F14" s="37"/>
      <c r="G14" s="37"/>
      <c r="H14" s="37"/>
      <c r="I14" s="37"/>
      <c r="J14" s="37"/>
      <c r="K14" s="37"/>
    </row>
    <row r="15" spans="2:14" s="3" customFormat="1" ht="42" customHeight="1">
      <c r="B15" s="32">
        <v>12</v>
      </c>
      <c r="C15" s="37"/>
      <c r="D15" s="37"/>
      <c r="E15" s="37"/>
      <c r="F15" s="37"/>
      <c r="G15" s="37"/>
      <c r="H15" s="37"/>
      <c r="I15" s="37"/>
      <c r="J15" s="37"/>
      <c r="K15" s="37"/>
    </row>
    <row r="16" spans="2:14" ht="42" customHeight="1">
      <c r="B16" s="32">
        <v>13</v>
      </c>
      <c r="C16" s="37"/>
      <c r="D16" s="37"/>
      <c r="E16" s="37"/>
      <c r="F16" s="37"/>
      <c r="G16" s="37"/>
      <c r="H16" s="37"/>
      <c r="I16" s="37"/>
      <c r="J16" s="37"/>
      <c r="K16" s="37"/>
    </row>
    <row r="17" spans="2:11" ht="42" customHeight="1">
      <c r="B17" s="32">
        <v>14</v>
      </c>
      <c r="C17" s="37"/>
      <c r="D17" s="37"/>
      <c r="E17" s="37"/>
      <c r="F17" s="37"/>
      <c r="G17" s="37"/>
      <c r="H17" s="37"/>
      <c r="I17" s="37"/>
      <c r="J17" s="37"/>
      <c r="K17" s="37"/>
    </row>
    <row r="18" spans="2:11" ht="42" customHeight="1">
      <c r="B18" s="32">
        <v>15</v>
      </c>
      <c r="C18" s="37"/>
      <c r="D18" s="37"/>
      <c r="E18" s="37"/>
      <c r="F18" s="37"/>
      <c r="G18" s="37"/>
      <c r="H18" s="37"/>
      <c r="I18" s="37"/>
      <c r="J18" s="37"/>
      <c r="K18" s="37"/>
    </row>
    <row r="19" spans="2:11" ht="42" customHeight="1">
      <c r="B19" s="32">
        <v>16</v>
      </c>
      <c r="C19" s="37"/>
      <c r="D19" s="37"/>
      <c r="E19" s="37"/>
      <c r="F19" s="37"/>
      <c r="G19" s="37"/>
      <c r="H19" s="37"/>
      <c r="I19" s="37"/>
      <c r="J19" s="37"/>
      <c r="K19" s="37"/>
    </row>
    <row r="20" spans="2:11" ht="89.25" customHeight="1">
      <c r="B20" s="32">
        <v>17</v>
      </c>
      <c r="C20" s="37"/>
      <c r="D20" s="37"/>
      <c r="E20" s="37"/>
      <c r="F20" s="37"/>
      <c r="G20" s="37"/>
      <c r="H20" s="37"/>
      <c r="I20" s="37"/>
      <c r="J20" s="37"/>
      <c r="K20" s="37"/>
    </row>
    <row r="21" spans="2:11" ht="42" customHeight="1">
      <c r="B21" s="32">
        <v>18</v>
      </c>
      <c r="C21" s="37"/>
      <c r="D21" s="37"/>
      <c r="E21" s="37"/>
      <c r="F21" s="37"/>
      <c r="G21" s="37"/>
      <c r="H21" s="37"/>
      <c r="I21" s="37"/>
      <c r="J21" s="37"/>
      <c r="K21" s="37"/>
    </row>
    <row r="22" spans="2:11" ht="42" customHeight="1">
      <c r="B22" s="32">
        <v>19</v>
      </c>
      <c r="C22" s="37"/>
      <c r="D22" s="37"/>
      <c r="E22" s="37"/>
      <c r="F22" s="37"/>
      <c r="G22" s="37"/>
      <c r="H22" s="37"/>
      <c r="I22" s="37"/>
      <c r="J22" s="37"/>
      <c r="K22" s="37"/>
    </row>
    <row r="23" spans="2:11">
      <c r="B23" s="6" t="s">
        <v>11</v>
      </c>
      <c r="C23" s="7">
        <f>SUM(C4:C22)</f>
        <v>0</v>
      </c>
      <c r="D23" s="7">
        <f>SUM(D4:D22)</f>
        <v>0</v>
      </c>
      <c r="E23" s="434"/>
      <c r="F23" s="435"/>
      <c r="G23" s="435"/>
      <c r="H23" s="435"/>
      <c r="I23" s="435"/>
      <c r="J23" s="435"/>
      <c r="K23" s="435"/>
    </row>
    <row r="24" spans="2:11">
      <c r="B24" s="9"/>
      <c r="C24" s="10"/>
      <c r="D24" s="11"/>
      <c r="E24" s="434"/>
      <c r="F24" s="435"/>
      <c r="G24" s="435"/>
      <c r="H24" s="435"/>
      <c r="I24" s="435"/>
      <c r="J24" s="435"/>
      <c r="K24" s="435"/>
    </row>
    <row r="25" spans="2:11">
      <c r="B25" s="6" t="s">
        <v>12</v>
      </c>
      <c r="C25" s="432">
        <f>SUM(C23,D23)</f>
        <v>0</v>
      </c>
      <c r="D25" s="433"/>
      <c r="E25" s="434"/>
      <c r="F25" s="435"/>
      <c r="G25" s="435"/>
      <c r="H25" s="435"/>
      <c r="I25" s="435"/>
      <c r="J25" s="435"/>
      <c r="K25" s="435"/>
    </row>
    <row r="26" spans="2:11">
      <c r="B26" s="12"/>
      <c r="C26" s="13"/>
      <c r="D26" s="14"/>
      <c r="E26" s="436"/>
      <c r="F26" s="437"/>
      <c r="G26" s="437"/>
      <c r="H26" s="437"/>
      <c r="I26" s="437"/>
      <c r="J26" s="437"/>
      <c r="K26" s="437"/>
    </row>
    <row r="29" spans="2:11" ht="26.25">
      <c r="B29" s="446" t="s">
        <v>13</v>
      </c>
      <c r="C29" s="447"/>
      <c r="D29" s="446" t="s">
        <v>14</v>
      </c>
      <c r="E29" s="446"/>
      <c r="F29" s="446"/>
      <c r="G29" s="446"/>
      <c r="H29" s="446"/>
      <c r="I29" s="446"/>
      <c r="J29" s="197" t="s">
        <v>15</v>
      </c>
    </row>
    <row r="30" spans="2:11" ht="20.25">
      <c r="B30" s="447"/>
      <c r="C30" s="447"/>
      <c r="D30" s="448" t="s">
        <v>16</v>
      </c>
      <c r="E30" s="448"/>
      <c r="F30" s="448"/>
      <c r="G30" s="448"/>
      <c r="H30" s="448"/>
      <c r="I30" s="448"/>
      <c r="J30" s="197" t="s">
        <v>17</v>
      </c>
    </row>
    <row r="31" spans="2:11">
      <c r="B31" s="449" t="s">
        <v>18</v>
      </c>
      <c r="C31" s="449"/>
      <c r="D31" s="199" t="s">
        <v>19</v>
      </c>
      <c r="E31" s="199" t="s">
        <v>20</v>
      </c>
      <c r="F31" s="450"/>
      <c r="G31" s="450"/>
      <c r="H31" s="201" t="s">
        <v>21</v>
      </c>
      <c r="I31" s="202" t="s">
        <v>22</v>
      </c>
      <c r="J31" s="199" t="s">
        <v>23</v>
      </c>
    </row>
    <row r="32" spans="2:11" ht="30">
      <c r="B32" s="449" t="s">
        <v>24</v>
      </c>
      <c r="C32" s="449"/>
      <c r="D32" s="203">
        <v>0.15277777777777779</v>
      </c>
      <c r="E32" s="204" t="s">
        <v>25</v>
      </c>
      <c r="F32" s="450" t="s">
        <v>26</v>
      </c>
      <c r="G32" s="450"/>
      <c r="H32" s="199" t="s">
        <v>27</v>
      </c>
      <c r="I32" s="202" t="s">
        <v>28</v>
      </c>
      <c r="J32" s="202" t="s">
        <v>29</v>
      </c>
    </row>
    <row r="33" spans="2:10">
      <c r="B33" s="449" t="s">
        <v>30</v>
      </c>
      <c r="C33" s="449"/>
      <c r="D33" s="199" t="s">
        <v>31</v>
      </c>
      <c r="E33" s="199" t="s">
        <v>32</v>
      </c>
      <c r="F33" s="450">
        <v>56</v>
      </c>
      <c r="G33" s="450"/>
      <c r="H33" s="201" t="s">
        <v>33</v>
      </c>
      <c r="I33" s="204" t="s">
        <v>34</v>
      </c>
      <c r="J33" s="202"/>
    </row>
    <row r="34" spans="2:10">
      <c r="B34" s="451" t="s">
        <v>35</v>
      </c>
      <c r="C34" s="451"/>
      <c r="D34" s="449" t="s">
        <v>36</v>
      </c>
      <c r="E34" s="449"/>
      <c r="F34" s="449"/>
      <c r="G34" s="449"/>
      <c r="H34" s="449"/>
      <c r="I34" s="449"/>
      <c r="J34" s="449"/>
    </row>
    <row r="35" spans="2:10">
      <c r="B35" s="452" t="s">
        <v>37</v>
      </c>
      <c r="C35" s="453"/>
      <c r="D35" s="453"/>
      <c r="E35" s="453"/>
      <c r="F35" s="453"/>
      <c r="G35" s="453"/>
      <c r="H35" s="453"/>
      <c r="I35" s="453"/>
      <c r="J35" s="454"/>
    </row>
    <row r="36" spans="2:10">
      <c r="B36" s="455"/>
      <c r="C36" s="456"/>
      <c r="D36" s="456"/>
      <c r="E36" s="456"/>
      <c r="F36" s="456"/>
      <c r="G36" s="456"/>
      <c r="H36" s="456"/>
      <c r="I36" s="456"/>
      <c r="J36" s="457"/>
    </row>
    <row r="37" spans="2:10">
      <c r="B37" s="455"/>
      <c r="C37" s="456"/>
      <c r="D37" s="456"/>
      <c r="E37" s="456"/>
      <c r="F37" s="456"/>
      <c r="G37" s="456"/>
      <c r="H37" s="456"/>
      <c r="I37" s="456"/>
      <c r="J37" s="457"/>
    </row>
    <row r="38" spans="2:10">
      <c r="B38" s="458"/>
      <c r="C38" s="459"/>
      <c r="D38" s="459"/>
      <c r="E38" s="459"/>
      <c r="F38" s="459"/>
      <c r="G38" s="459"/>
      <c r="H38" s="459"/>
      <c r="I38" s="459"/>
      <c r="J38" s="460"/>
    </row>
    <row r="39" spans="2:10" ht="18">
      <c r="B39" s="461" t="s">
        <v>38</v>
      </c>
      <c r="C39" s="462"/>
      <c r="D39" s="462"/>
      <c r="E39" s="462"/>
      <c r="F39" s="462"/>
      <c r="G39" s="462"/>
      <c r="H39" s="462"/>
      <c r="I39" s="463"/>
      <c r="J39" s="205" t="s">
        <v>39</v>
      </c>
    </row>
    <row r="40" spans="2:10">
      <c r="B40" s="200">
        <v>1</v>
      </c>
      <c r="C40" s="464" t="s">
        <v>40</v>
      </c>
      <c r="D40" s="465"/>
      <c r="E40" s="465"/>
      <c r="F40" s="465"/>
      <c r="G40" s="465"/>
      <c r="H40" s="465"/>
      <c r="I40" s="466"/>
      <c r="J40" s="200" t="s">
        <v>41</v>
      </c>
    </row>
    <row r="41" spans="2:10">
      <c r="B41" s="200">
        <v>2</v>
      </c>
      <c r="C41" s="464" t="s">
        <v>42</v>
      </c>
      <c r="D41" s="465"/>
      <c r="E41" s="465"/>
      <c r="F41" s="465"/>
      <c r="G41" s="465"/>
      <c r="H41" s="465"/>
      <c r="I41" s="466"/>
      <c r="J41" s="200" t="s">
        <v>43</v>
      </c>
    </row>
    <row r="42" spans="2:10">
      <c r="B42" s="200">
        <v>3</v>
      </c>
      <c r="C42" s="467"/>
      <c r="D42" s="468"/>
      <c r="E42" s="468"/>
      <c r="F42" s="468"/>
      <c r="G42" s="468"/>
      <c r="H42" s="468"/>
      <c r="I42" s="469"/>
      <c r="J42" s="200"/>
    </row>
    <row r="43" spans="2:10" ht="18">
      <c r="B43" s="461" t="s">
        <v>44</v>
      </c>
      <c r="C43" s="462"/>
      <c r="D43" s="462"/>
      <c r="E43" s="462"/>
      <c r="F43" s="462"/>
      <c r="G43" s="462"/>
      <c r="H43" s="462"/>
      <c r="I43" s="462"/>
      <c r="J43" s="463"/>
    </row>
    <row r="44" spans="2:10">
      <c r="B44" s="200" t="s">
        <v>45</v>
      </c>
      <c r="C44" s="470" t="s">
        <v>46</v>
      </c>
      <c r="D44" s="471"/>
      <c r="E44" s="471"/>
      <c r="F44" s="471"/>
      <c r="G44" s="471"/>
      <c r="H44" s="471"/>
      <c r="I44" s="471"/>
      <c r="J44" s="472"/>
    </row>
    <row r="45" spans="2:10">
      <c r="B45" s="206" t="s">
        <v>45</v>
      </c>
      <c r="C45" s="473" t="s">
        <v>47</v>
      </c>
      <c r="D45" s="473"/>
      <c r="E45" s="473"/>
      <c r="F45" s="473"/>
      <c r="G45" s="473"/>
      <c r="H45" s="473"/>
      <c r="I45" s="473"/>
      <c r="J45" s="473"/>
    </row>
    <row r="46" spans="2:10">
      <c r="B46" s="206" t="s">
        <v>45</v>
      </c>
      <c r="C46" s="473" t="s">
        <v>48</v>
      </c>
      <c r="D46" s="473"/>
      <c r="E46" s="473"/>
      <c r="F46" s="473"/>
      <c r="G46" s="473"/>
      <c r="H46" s="473"/>
      <c r="I46" s="473"/>
      <c r="J46" s="473"/>
    </row>
    <row r="47" spans="2:10">
      <c r="B47" s="206" t="s">
        <v>45</v>
      </c>
      <c r="C47" s="474" t="s">
        <v>49</v>
      </c>
      <c r="D47" s="475"/>
      <c r="E47" s="475"/>
      <c r="F47" s="475"/>
      <c r="G47" s="475"/>
      <c r="H47" s="475"/>
      <c r="I47" s="475"/>
      <c r="J47" s="476"/>
    </row>
    <row r="48" spans="2:10">
      <c r="B48" s="206" t="s">
        <v>45</v>
      </c>
      <c r="C48" s="474" t="s">
        <v>50</v>
      </c>
      <c r="D48" s="475"/>
      <c r="E48" s="475"/>
      <c r="F48" s="475"/>
      <c r="G48" s="475"/>
      <c r="H48" s="475"/>
      <c r="I48" s="475"/>
      <c r="J48" s="476"/>
    </row>
    <row r="49" spans="2:10">
      <c r="B49" s="206" t="s">
        <v>45</v>
      </c>
      <c r="C49" s="464" t="s">
        <v>51</v>
      </c>
      <c r="D49" s="465"/>
      <c r="E49" s="465"/>
      <c r="F49" s="465"/>
      <c r="G49" s="465"/>
      <c r="H49" s="465"/>
      <c r="I49" s="465"/>
      <c r="J49" s="466"/>
    </row>
    <row r="50" spans="2:10">
      <c r="B50" s="200" t="s">
        <v>45</v>
      </c>
      <c r="C50" s="464"/>
      <c r="D50" s="465"/>
      <c r="E50" s="465"/>
      <c r="F50" s="465"/>
      <c r="G50" s="465"/>
      <c r="H50" s="465"/>
      <c r="I50" s="465"/>
      <c r="J50" s="466"/>
    </row>
    <row r="51" spans="2:10">
      <c r="B51" s="200" t="s">
        <v>7</v>
      </c>
      <c r="C51" s="464" t="s">
        <v>51</v>
      </c>
      <c r="D51" s="465"/>
      <c r="E51" s="465"/>
      <c r="F51" s="465"/>
      <c r="G51" s="465"/>
      <c r="H51" s="465"/>
      <c r="I51" s="465"/>
      <c r="J51" s="466"/>
    </row>
    <row r="52" spans="2:10" ht="18">
      <c r="B52" s="205" t="s">
        <v>52</v>
      </c>
      <c r="C52" s="477" t="s">
        <v>53</v>
      </c>
      <c r="D52" s="477"/>
      <c r="E52" s="477"/>
      <c r="F52" s="477"/>
      <c r="G52" s="477"/>
      <c r="H52" s="205" t="s">
        <v>54</v>
      </c>
      <c r="I52" s="205" t="s">
        <v>55</v>
      </c>
      <c r="J52" s="205" t="s">
        <v>56</v>
      </c>
    </row>
    <row r="53" spans="2:10" ht="60">
      <c r="B53" s="200">
        <v>1</v>
      </c>
      <c r="C53" s="451" t="s">
        <v>57</v>
      </c>
      <c r="D53" s="451"/>
      <c r="E53" s="451"/>
      <c r="F53" s="451"/>
      <c r="G53" s="451"/>
      <c r="H53" s="200" t="s">
        <v>58</v>
      </c>
      <c r="I53" s="207" t="s">
        <v>59</v>
      </c>
      <c r="J53" s="200" t="s">
        <v>60</v>
      </c>
    </row>
    <row r="54" spans="2:10" ht="60">
      <c r="B54" s="200">
        <v>2</v>
      </c>
      <c r="C54" s="449" t="s">
        <v>61</v>
      </c>
      <c r="D54" s="449"/>
      <c r="E54" s="449"/>
      <c r="F54" s="449"/>
      <c r="G54" s="449"/>
      <c r="H54" s="200" t="s">
        <v>62</v>
      </c>
      <c r="I54" s="207" t="s">
        <v>59</v>
      </c>
      <c r="J54" s="200" t="s">
        <v>60</v>
      </c>
    </row>
    <row r="55" spans="2:10">
      <c r="B55" s="200">
        <v>3</v>
      </c>
      <c r="C55" s="450"/>
      <c r="D55" s="450"/>
      <c r="E55" s="450"/>
      <c r="F55" s="450"/>
      <c r="G55" s="450"/>
      <c r="H55" s="200"/>
      <c r="I55" s="200"/>
      <c r="J55" s="200"/>
    </row>
    <row r="56" spans="2:10">
      <c r="B56" s="450" t="s">
        <v>63</v>
      </c>
      <c r="C56" s="450"/>
      <c r="D56" s="199" t="s">
        <v>31</v>
      </c>
      <c r="E56" s="198" t="s">
        <v>64</v>
      </c>
      <c r="F56" s="467" t="s">
        <v>65</v>
      </c>
      <c r="G56" s="469"/>
      <c r="H56" s="199"/>
      <c r="I56" s="199"/>
      <c r="J56" s="199"/>
    </row>
    <row r="57" spans="2:10" ht="45">
      <c r="B57" s="201" t="s">
        <v>66</v>
      </c>
      <c r="C57" s="450"/>
      <c r="D57" s="450"/>
      <c r="E57" s="201" t="s">
        <v>67</v>
      </c>
      <c r="F57" s="450"/>
      <c r="G57" s="450"/>
      <c r="H57" s="201" t="s">
        <v>68</v>
      </c>
      <c r="I57" s="450"/>
      <c r="J57" s="450"/>
    </row>
  </sheetData>
  <autoFilter ref="B2:K23" xr:uid="{7E3221BD-3E6C-4BA8-BFAD-98351ACD7F09}">
    <filterColumn colId="1" showButton="0"/>
  </autoFilter>
  <mergeCells count="47">
    <mergeCell ref="C57:D57"/>
    <mergeCell ref="F57:G57"/>
    <mergeCell ref="I57:J57"/>
    <mergeCell ref="C53:G53"/>
    <mergeCell ref="C54:G54"/>
    <mergeCell ref="C55:G55"/>
    <mergeCell ref="B56:C56"/>
    <mergeCell ref="F56:G56"/>
    <mergeCell ref="C48:J48"/>
    <mergeCell ref="C49:J49"/>
    <mergeCell ref="C50:J50"/>
    <mergeCell ref="C51:J51"/>
    <mergeCell ref="C52:G52"/>
    <mergeCell ref="B43:J43"/>
    <mergeCell ref="C44:J44"/>
    <mergeCell ref="C45:J45"/>
    <mergeCell ref="C46:J46"/>
    <mergeCell ref="C47:J47"/>
    <mergeCell ref="B35:J38"/>
    <mergeCell ref="B39:I39"/>
    <mergeCell ref="C40:I40"/>
    <mergeCell ref="C41:I41"/>
    <mergeCell ref="C42:I42"/>
    <mergeCell ref="B32:C32"/>
    <mergeCell ref="F32:G32"/>
    <mergeCell ref="B33:C33"/>
    <mergeCell ref="F33:G33"/>
    <mergeCell ref="B34:C34"/>
    <mergeCell ref="D34:J34"/>
    <mergeCell ref="B29:C30"/>
    <mergeCell ref="D29:I29"/>
    <mergeCell ref="D30:I30"/>
    <mergeCell ref="B31:C31"/>
    <mergeCell ref="F31:G31"/>
    <mergeCell ref="M5:N5"/>
    <mergeCell ref="L6:M6"/>
    <mergeCell ref="H2:H3"/>
    <mergeCell ref="B2:B3"/>
    <mergeCell ref="C2:D2"/>
    <mergeCell ref="E2:E3"/>
    <mergeCell ref="F2:F3"/>
    <mergeCell ref="G2:G3"/>
    <mergeCell ref="C25:D25"/>
    <mergeCell ref="E23:K26"/>
    <mergeCell ref="I2:I3"/>
    <mergeCell ref="J2:J3"/>
    <mergeCell ref="K2:K3"/>
  </mergeCells>
  <phoneticPr fontId="0" type="noConversion"/>
  <printOptions horizontalCentered="1" verticalCentered="1"/>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2C216-1BFC-4950-BDA3-182DCB06F2FA}">
  <sheetPr>
    <pageSetUpPr fitToPage="1"/>
  </sheetPr>
  <dimension ref="A1:P34"/>
  <sheetViews>
    <sheetView workbookViewId="0">
      <selection activeCell="E12" sqref="E12:G12"/>
    </sheetView>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t="s">
        <v>72</v>
      </c>
      <c r="H2" s="536"/>
      <c r="I2" s="536"/>
      <c r="J2" s="537" t="s">
        <v>73</v>
      </c>
      <c r="K2" s="537"/>
      <c r="L2" s="538"/>
    </row>
    <row r="3" spans="1:16">
      <c r="A3" s="539" t="s">
        <v>74</v>
      </c>
      <c r="B3" s="540"/>
      <c r="C3" s="540"/>
      <c r="D3" s="540"/>
      <c r="E3" s="540"/>
      <c r="F3" s="540"/>
      <c r="G3" s="540"/>
      <c r="H3" s="540"/>
      <c r="I3" s="541"/>
      <c r="J3" s="542" t="s">
        <v>75</v>
      </c>
      <c r="K3" s="542"/>
      <c r="L3" s="542"/>
    </row>
    <row r="4" spans="1:16" ht="12.75" customHeight="1">
      <c r="A4" s="510" t="s">
        <v>76</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95</v>
      </c>
      <c r="B10" s="492"/>
      <c r="C10" s="495" t="s">
        <v>96</v>
      </c>
      <c r="D10" s="495"/>
      <c r="E10" s="492" t="s">
        <v>97</v>
      </c>
      <c r="F10" s="492"/>
      <c r="G10" s="492"/>
      <c r="H10" s="496" t="s">
        <v>98</v>
      </c>
      <c r="I10" s="495"/>
      <c r="J10" s="495" t="s">
        <v>99</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101</v>
      </c>
      <c r="F12" s="492"/>
      <c r="G12" s="492"/>
      <c r="H12" s="495"/>
      <c r="I12" s="495"/>
      <c r="J12" s="495"/>
      <c r="K12" s="499"/>
      <c r="L12" s="500"/>
    </row>
    <row r="13" spans="1:16">
      <c r="A13" s="492" t="s">
        <v>102</v>
      </c>
      <c r="B13" s="492"/>
      <c r="C13" s="495"/>
      <c r="D13" s="495"/>
      <c r="E13" s="493"/>
      <c r="F13" s="493"/>
      <c r="G13" s="493"/>
      <c r="H13" s="495"/>
      <c r="I13" s="495"/>
      <c r="J13" s="495"/>
      <c r="K13" s="499"/>
      <c r="L13" s="500"/>
    </row>
    <row r="14" spans="1:16" ht="30" customHeight="1">
      <c r="A14" s="492"/>
      <c r="B14" s="492"/>
      <c r="C14" s="495"/>
      <c r="D14" s="495"/>
      <c r="E14" s="492" t="s">
        <v>103</v>
      </c>
      <c r="F14" s="492"/>
      <c r="G14" s="492"/>
      <c r="H14" s="495"/>
      <c r="I14" s="495"/>
      <c r="J14" s="495"/>
      <c r="K14" s="499"/>
      <c r="L14" s="500"/>
    </row>
    <row r="15" spans="1:16" ht="12.75" customHeight="1">
      <c r="A15" s="492" t="s">
        <v>104</v>
      </c>
      <c r="B15" s="492"/>
      <c r="C15" s="495"/>
      <c r="D15" s="495"/>
      <c r="E15" s="503"/>
      <c r="F15" s="503"/>
      <c r="G15" s="503"/>
      <c r="H15" s="495"/>
      <c r="I15" s="495"/>
      <c r="J15" s="495"/>
      <c r="K15" s="499"/>
      <c r="L15" s="500"/>
    </row>
    <row r="16" spans="1:16" ht="35.25" customHeight="1">
      <c r="A16" s="492"/>
      <c r="B16" s="492"/>
      <c r="C16" s="495"/>
      <c r="D16" s="495"/>
      <c r="E16" s="492" t="s">
        <v>101</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t="s">
        <v>105</v>
      </c>
      <c r="B18" s="478"/>
      <c r="C18" s="495"/>
      <c r="D18" s="495"/>
      <c r="E18" s="493"/>
      <c r="F18" s="493"/>
      <c r="G18" s="493"/>
      <c r="H18" s="495"/>
      <c r="I18" s="495"/>
      <c r="J18" s="495"/>
      <c r="K18" s="499"/>
      <c r="L18" s="500"/>
    </row>
    <row r="19" spans="1:12" ht="29.25" customHeight="1">
      <c r="A19" s="478"/>
      <c r="B19" s="478"/>
      <c r="C19" s="495"/>
      <c r="D19" s="495"/>
      <c r="E19" s="492" t="s">
        <v>103</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101</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103</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106</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114</v>
      </c>
      <c r="K31" s="134"/>
      <c r="L31" s="134" t="s">
        <v>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sheetData>
  <mergeCells count="56">
    <mergeCell ref="E8:G9"/>
    <mergeCell ref="H8:I9"/>
    <mergeCell ref="A1:L1"/>
    <mergeCell ref="E2:F2"/>
    <mergeCell ref="G2:I2"/>
    <mergeCell ref="J2:L2"/>
    <mergeCell ref="A3:I3"/>
    <mergeCell ref="J3:L3"/>
    <mergeCell ref="E27:G27"/>
    <mergeCell ref="E28:G28"/>
    <mergeCell ref="J8:J9"/>
    <mergeCell ref="K8:L9"/>
    <mergeCell ref="A4:G5"/>
    <mergeCell ref="H4:I5"/>
    <mergeCell ref="J4:J5"/>
    <mergeCell ref="K4:L5"/>
    <mergeCell ref="E6:L6"/>
    <mergeCell ref="A7:B7"/>
    <mergeCell ref="C7:D7"/>
    <mergeCell ref="E7:G7"/>
    <mergeCell ref="H7:I7"/>
    <mergeCell ref="K7:L7"/>
    <mergeCell ref="A8:B9"/>
    <mergeCell ref="C8:D9"/>
    <mergeCell ref="O10:P10"/>
    <mergeCell ref="E11:G11"/>
    <mergeCell ref="O11:P11"/>
    <mergeCell ref="E12:G12"/>
    <mergeCell ref="A13:B14"/>
    <mergeCell ref="E13:G13"/>
    <mergeCell ref="E14:G14"/>
    <mergeCell ref="A10:B12"/>
    <mergeCell ref="C10:D29"/>
    <mergeCell ref="E10:G10"/>
    <mergeCell ref="H10:I29"/>
    <mergeCell ref="J10:J29"/>
    <mergeCell ref="K10:L29"/>
    <mergeCell ref="A15:B17"/>
    <mergeCell ref="E15:G15"/>
    <mergeCell ref="E16:G17"/>
    <mergeCell ref="A18:B29"/>
    <mergeCell ref="A30:H31"/>
    <mergeCell ref="A32:H33"/>
    <mergeCell ref="A34:B34"/>
    <mergeCell ref="C34:D34"/>
    <mergeCell ref="E34:H34"/>
    <mergeCell ref="E29:G29"/>
    <mergeCell ref="E18:G18"/>
    <mergeCell ref="E19:G19"/>
    <mergeCell ref="E20:G20"/>
    <mergeCell ref="E21:G21"/>
    <mergeCell ref="E22:G22"/>
    <mergeCell ref="E23:G23"/>
    <mergeCell ref="E24:G24"/>
    <mergeCell ref="E25:G25"/>
    <mergeCell ref="E26:G26"/>
  </mergeCells>
  <pageMargins left="0.2" right="0.2" top="0.5" bottom="0.5" header="0.05" footer="0.05"/>
  <pageSetup paperSize="9" scale="5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21BD-3E6C-4BA8-BFAD-98351ACD7F09}">
  <sheetPr filterMode="1">
    <pageSetUpPr fitToPage="1"/>
  </sheetPr>
  <dimension ref="B2:N518"/>
  <sheetViews>
    <sheetView topLeftCell="B1" workbookViewId="0">
      <selection activeCell="C4" sqref="C4"/>
    </sheetView>
  </sheetViews>
  <sheetFormatPr defaultRowHeight="15"/>
  <cols>
    <col min="2" max="2" width="11.5703125" bestFit="1" customWidth="1"/>
    <col min="3" max="3" width="9.140625" customWidth="1"/>
    <col min="4" max="4" width="34.42578125" customWidth="1"/>
    <col min="5" max="5" width="9.140625" customWidth="1"/>
    <col min="6" max="6" width="32.140625" customWidth="1"/>
    <col min="7" max="7" width="31.85546875" customWidth="1"/>
    <col min="8" max="8" width="49.140625" customWidth="1"/>
    <col min="9" max="9" width="13.140625" customWidth="1"/>
    <col min="10" max="10" width="29.85546875" bestFit="1" customWidth="1"/>
    <col min="11" max="11" width="55.28515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hidden="1">
      <c r="B3" s="444"/>
      <c r="C3" s="41" t="s">
        <v>9</v>
      </c>
      <c r="D3" s="42" t="s">
        <v>10</v>
      </c>
      <c r="E3" s="439"/>
      <c r="F3" s="439"/>
      <c r="G3" s="439"/>
      <c r="H3" s="439"/>
      <c r="I3" s="439"/>
      <c r="J3" s="439"/>
      <c r="K3" s="441"/>
    </row>
    <row r="4" spans="2:14" s="3" customFormat="1" ht="42" customHeight="1">
      <c r="B4" s="79">
        <v>1</v>
      </c>
      <c r="C4" s="74">
        <v>118</v>
      </c>
      <c r="D4" s="4"/>
      <c r="E4" s="30" t="s">
        <v>123</v>
      </c>
      <c r="F4" s="1" t="s">
        <v>124</v>
      </c>
      <c r="G4" s="1" t="s">
        <v>125</v>
      </c>
      <c r="H4" s="34" t="s">
        <v>126</v>
      </c>
      <c r="I4" s="2" t="s">
        <v>127</v>
      </c>
      <c r="J4" s="38" t="s">
        <v>128</v>
      </c>
      <c r="K4" s="35" t="s">
        <v>129</v>
      </c>
    </row>
    <row r="5" spans="2:14" s="3" customFormat="1" ht="42" customHeight="1">
      <c r="B5" s="37">
        <v>2</v>
      </c>
      <c r="C5" s="37">
        <v>30</v>
      </c>
      <c r="D5" s="4"/>
      <c r="E5" s="31" t="s">
        <v>130</v>
      </c>
      <c r="F5" s="1" t="s">
        <v>131</v>
      </c>
      <c r="G5" s="1" t="s">
        <v>125</v>
      </c>
      <c r="H5" s="34" t="s">
        <v>132</v>
      </c>
      <c r="I5" s="2" t="s">
        <v>127</v>
      </c>
      <c r="J5" s="38" t="s">
        <v>133</v>
      </c>
      <c r="K5" s="35" t="s">
        <v>134</v>
      </c>
      <c r="M5" s="442"/>
      <c r="N5" s="442"/>
    </row>
    <row r="6" spans="2:14" s="3" customFormat="1" ht="29.25">
      <c r="B6" s="37">
        <v>3</v>
      </c>
      <c r="C6" s="37">
        <v>121</v>
      </c>
      <c r="D6" s="4"/>
      <c r="E6" s="31" t="s">
        <v>135</v>
      </c>
      <c r="F6" s="1" t="s">
        <v>131</v>
      </c>
      <c r="G6" s="1" t="s">
        <v>125</v>
      </c>
      <c r="H6" s="34" t="s">
        <v>136</v>
      </c>
      <c r="I6" s="2" t="s">
        <v>127</v>
      </c>
      <c r="J6" s="33" t="s">
        <v>137</v>
      </c>
      <c r="K6" s="36" t="s">
        <v>138</v>
      </c>
      <c r="L6" s="442"/>
      <c r="M6" s="442"/>
    </row>
    <row r="7" spans="2:14" s="3" customFormat="1" ht="42" customHeight="1">
      <c r="B7" s="37">
        <v>4</v>
      </c>
      <c r="C7" s="119">
        <v>406</v>
      </c>
      <c r="D7" s="4"/>
      <c r="E7" s="31" t="s">
        <v>139</v>
      </c>
      <c r="F7" s="1" t="s">
        <v>124</v>
      </c>
      <c r="G7" s="1" t="s">
        <v>140</v>
      </c>
      <c r="H7" s="34" t="s">
        <v>141</v>
      </c>
      <c r="I7" s="2" t="s">
        <v>127</v>
      </c>
      <c r="J7" s="38" t="s">
        <v>142</v>
      </c>
      <c r="K7" s="61" t="s">
        <v>143</v>
      </c>
    </row>
    <row r="8" spans="2:14" s="3" customFormat="1" ht="42" hidden="1" customHeight="1">
      <c r="B8" s="37">
        <v>5</v>
      </c>
      <c r="C8" s="37">
        <v>15</v>
      </c>
      <c r="D8" s="4"/>
      <c r="E8" s="31" t="s">
        <v>144</v>
      </c>
      <c r="F8" s="1" t="s">
        <v>124</v>
      </c>
      <c r="G8" s="1" t="s">
        <v>140</v>
      </c>
      <c r="H8" s="34" t="s">
        <v>145</v>
      </c>
      <c r="I8" s="2" t="s">
        <v>146</v>
      </c>
      <c r="J8" s="38"/>
      <c r="K8" s="36"/>
    </row>
    <row r="9" spans="2:14" s="3" customFormat="1" ht="32.25">
      <c r="B9" s="37">
        <v>6</v>
      </c>
      <c r="C9" s="37"/>
      <c r="D9" s="122">
        <v>152</v>
      </c>
      <c r="E9" s="31" t="s">
        <v>147</v>
      </c>
      <c r="F9" s="1" t="s">
        <v>131</v>
      </c>
      <c r="G9" s="1" t="s">
        <v>140</v>
      </c>
      <c r="H9" s="34" t="s">
        <v>148</v>
      </c>
      <c r="I9" s="2" t="s">
        <v>127</v>
      </c>
      <c r="J9" s="33" t="s">
        <v>149</v>
      </c>
      <c r="K9" s="36" t="s">
        <v>150</v>
      </c>
    </row>
    <row r="10" spans="2:14" s="3" customFormat="1" ht="42" hidden="1" customHeight="1">
      <c r="B10" s="37">
        <v>7</v>
      </c>
      <c r="C10" s="37"/>
      <c r="D10" s="123">
        <v>14</v>
      </c>
      <c r="E10" s="31" t="s">
        <v>151</v>
      </c>
      <c r="F10" s="1" t="s">
        <v>131</v>
      </c>
      <c r="G10" s="1" t="s">
        <v>152</v>
      </c>
      <c r="H10" s="34" t="s">
        <v>153</v>
      </c>
      <c r="I10" s="2" t="s">
        <v>146</v>
      </c>
      <c r="J10" s="38"/>
      <c r="K10" s="36"/>
    </row>
    <row r="11" spans="2:14" s="3" customFormat="1" ht="29.25">
      <c r="B11" s="37">
        <v>8</v>
      </c>
      <c r="C11" s="37"/>
      <c r="D11" s="123">
        <v>105</v>
      </c>
      <c r="E11" s="31" t="s">
        <v>154</v>
      </c>
      <c r="F11" s="1" t="s">
        <v>131</v>
      </c>
      <c r="G11" s="1" t="s">
        <v>152</v>
      </c>
      <c r="H11" s="34" t="s">
        <v>155</v>
      </c>
      <c r="I11" s="2" t="s">
        <v>127</v>
      </c>
      <c r="J11" s="38" t="s">
        <v>156</v>
      </c>
      <c r="K11" s="36" t="s">
        <v>157</v>
      </c>
    </row>
    <row r="12" spans="2:14" s="3" customFormat="1" ht="42" hidden="1" customHeight="1">
      <c r="B12" s="37">
        <v>9</v>
      </c>
      <c r="C12" s="37">
        <v>10</v>
      </c>
      <c r="D12" s="8"/>
      <c r="E12" s="31" t="s">
        <v>158</v>
      </c>
      <c r="F12" s="5" t="s">
        <v>159</v>
      </c>
      <c r="G12" s="1" t="s">
        <v>140</v>
      </c>
      <c r="H12" s="34" t="s">
        <v>160</v>
      </c>
      <c r="I12" s="2" t="s">
        <v>146</v>
      </c>
      <c r="J12" s="38"/>
      <c r="K12" s="36"/>
    </row>
    <row r="13" spans="2:14" s="3" customFormat="1">
      <c r="B13" s="37">
        <v>10</v>
      </c>
      <c r="C13" s="37">
        <v>120</v>
      </c>
      <c r="D13" s="8"/>
      <c r="E13" s="31" t="s">
        <v>161</v>
      </c>
      <c r="F13" s="5" t="s">
        <v>131</v>
      </c>
      <c r="G13" s="5" t="s">
        <v>162</v>
      </c>
      <c r="H13" s="34" t="s">
        <v>163</v>
      </c>
      <c r="I13" s="2" t="s">
        <v>127</v>
      </c>
      <c r="J13" s="39" t="s">
        <v>164</v>
      </c>
      <c r="K13" s="36" t="s">
        <v>165</v>
      </c>
    </row>
    <row r="14" spans="2:14" s="3" customFormat="1" hidden="1">
      <c r="B14" s="37">
        <v>11</v>
      </c>
      <c r="C14" s="37"/>
      <c r="D14" s="8">
        <v>5</v>
      </c>
      <c r="E14" s="31" t="s">
        <v>166</v>
      </c>
      <c r="F14" s="1" t="s">
        <v>131</v>
      </c>
      <c r="G14" s="1" t="s">
        <v>152</v>
      </c>
      <c r="H14" s="34" t="s">
        <v>167</v>
      </c>
      <c r="I14" s="5" t="s">
        <v>146</v>
      </c>
      <c r="J14" s="39"/>
      <c r="K14" s="36"/>
    </row>
    <row r="15" spans="2:14" s="3" customFormat="1" ht="29.25">
      <c r="B15" s="37">
        <v>12</v>
      </c>
      <c r="C15" s="37">
        <v>120</v>
      </c>
      <c r="D15" s="8"/>
      <c r="E15" s="31" t="s">
        <v>168</v>
      </c>
      <c r="F15" s="5" t="s">
        <v>159</v>
      </c>
      <c r="G15" s="1" t="s">
        <v>140</v>
      </c>
      <c r="H15" s="34" t="s">
        <v>169</v>
      </c>
      <c r="I15" s="2" t="s">
        <v>127</v>
      </c>
      <c r="J15" s="40" t="s">
        <v>170</v>
      </c>
      <c r="K15" s="36" t="s">
        <v>171</v>
      </c>
    </row>
    <row r="16" spans="2:14" hidden="1">
      <c r="B16" s="37">
        <v>13</v>
      </c>
      <c r="C16" s="37">
        <v>6</v>
      </c>
      <c r="D16" s="8"/>
      <c r="E16" s="31" t="s">
        <v>172</v>
      </c>
      <c r="F16" s="5" t="s">
        <v>124</v>
      </c>
      <c r="G16" s="1" t="s">
        <v>125</v>
      </c>
      <c r="H16" s="34" t="s">
        <v>173</v>
      </c>
      <c r="I16" s="5" t="s">
        <v>146</v>
      </c>
      <c r="J16" s="39"/>
      <c r="K16" s="36"/>
    </row>
    <row r="17" spans="2:11">
      <c r="B17" s="37">
        <v>14</v>
      </c>
      <c r="C17" s="119">
        <v>248</v>
      </c>
      <c r="D17" s="8"/>
      <c r="E17" s="31" t="s">
        <v>172</v>
      </c>
      <c r="F17" s="5" t="s">
        <v>131</v>
      </c>
      <c r="G17" s="5" t="s">
        <v>174</v>
      </c>
      <c r="H17" s="34" t="s">
        <v>175</v>
      </c>
      <c r="I17" s="2" t="s">
        <v>127</v>
      </c>
      <c r="J17" s="38" t="s">
        <v>156</v>
      </c>
      <c r="K17" s="36" t="s">
        <v>176</v>
      </c>
    </row>
    <row r="18" spans="2:11">
      <c r="B18" s="37">
        <v>15</v>
      </c>
      <c r="C18" s="119">
        <v>270</v>
      </c>
      <c r="D18" s="8"/>
      <c r="E18" s="31" t="s">
        <v>177</v>
      </c>
      <c r="F18" s="5" t="s">
        <v>159</v>
      </c>
      <c r="G18" s="1" t="s">
        <v>152</v>
      </c>
      <c r="H18" s="34" t="s">
        <v>175</v>
      </c>
      <c r="I18" s="2" t="s">
        <v>127</v>
      </c>
      <c r="J18" s="38" t="s">
        <v>156</v>
      </c>
      <c r="K18" s="36" t="s">
        <v>178</v>
      </c>
    </row>
    <row r="19" spans="2:11" ht="29.25">
      <c r="B19" s="37">
        <v>16</v>
      </c>
      <c r="C19" s="37">
        <v>90</v>
      </c>
      <c r="D19" s="8"/>
      <c r="E19" s="31" t="s">
        <v>179</v>
      </c>
      <c r="F19" s="5" t="s">
        <v>131</v>
      </c>
      <c r="G19" s="5" t="s">
        <v>174</v>
      </c>
      <c r="H19" s="34" t="s">
        <v>175</v>
      </c>
      <c r="I19" s="2" t="s">
        <v>127</v>
      </c>
      <c r="J19" s="38" t="s">
        <v>156</v>
      </c>
      <c r="K19" s="36" t="s">
        <v>180</v>
      </c>
    </row>
    <row r="20" spans="2:11" ht="87">
      <c r="B20" s="37">
        <v>17</v>
      </c>
      <c r="C20" s="37">
        <v>140</v>
      </c>
      <c r="D20" s="8"/>
      <c r="E20" s="31" t="s">
        <v>181</v>
      </c>
      <c r="F20" s="5" t="s">
        <v>159</v>
      </c>
      <c r="G20" s="1" t="s">
        <v>152</v>
      </c>
      <c r="H20" s="34" t="s">
        <v>175</v>
      </c>
      <c r="I20" s="2" t="s">
        <v>127</v>
      </c>
      <c r="J20" s="38" t="s">
        <v>156</v>
      </c>
      <c r="K20" s="36" t="s">
        <v>182</v>
      </c>
    </row>
    <row r="21" spans="2:11" ht="42" customHeight="1">
      <c r="B21" s="37">
        <v>18</v>
      </c>
      <c r="C21" s="37">
        <v>75</v>
      </c>
      <c r="D21" s="8"/>
      <c r="E21" s="31" t="s">
        <v>183</v>
      </c>
      <c r="F21" s="5" t="s">
        <v>131</v>
      </c>
      <c r="G21" s="1" t="s">
        <v>125</v>
      </c>
      <c r="H21" s="34" t="s">
        <v>184</v>
      </c>
      <c r="I21" s="2" t="s">
        <v>127</v>
      </c>
      <c r="J21" s="39" t="s">
        <v>185</v>
      </c>
      <c r="K21" s="36" t="s">
        <v>186</v>
      </c>
    </row>
    <row r="22" spans="2:11" ht="42" customHeight="1">
      <c r="B22" s="37">
        <v>19</v>
      </c>
      <c r="C22" s="37">
        <v>102</v>
      </c>
      <c r="D22" s="8"/>
      <c r="E22" s="31" t="s">
        <v>187</v>
      </c>
      <c r="F22" s="5" t="s">
        <v>159</v>
      </c>
      <c r="G22" s="5" t="s">
        <v>174</v>
      </c>
      <c r="H22" s="34" t="s">
        <v>175</v>
      </c>
      <c r="I22" s="2" t="s">
        <v>127</v>
      </c>
      <c r="J22" s="38" t="s">
        <v>156</v>
      </c>
      <c r="K22" s="36" t="s">
        <v>188</v>
      </c>
    </row>
    <row r="23" spans="2:11" hidden="1">
      <c r="B23" s="124" t="s">
        <v>11</v>
      </c>
      <c r="C23" s="94">
        <f>SUM(C4:C22)</f>
        <v>1871</v>
      </c>
      <c r="D23" s="7">
        <f>SUM(D4:D22)</f>
        <v>276</v>
      </c>
      <c r="E23" s="434"/>
      <c r="F23" s="435"/>
      <c r="G23" s="435"/>
      <c r="H23" s="435"/>
      <c r="I23" s="435"/>
      <c r="J23" s="435"/>
      <c r="K23" s="435"/>
    </row>
    <row r="24" spans="2:11">
      <c r="B24" s="9"/>
      <c r="C24" s="10"/>
      <c r="D24" s="11"/>
      <c r="E24" s="434"/>
      <c r="F24" s="435"/>
      <c r="G24" s="435"/>
      <c r="H24" s="435"/>
      <c r="I24" s="435"/>
      <c r="J24" s="435"/>
      <c r="K24" s="435"/>
    </row>
    <row r="25" spans="2:11">
      <c r="B25" s="6" t="s">
        <v>12</v>
      </c>
      <c r="C25" s="432">
        <f>SUM(C23,D23)</f>
        <v>2147</v>
      </c>
      <c r="D25" s="433"/>
      <c r="E25" s="434"/>
      <c r="F25" s="435"/>
      <c r="G25" s="435"/>
      <c r="H25" s="435"/>
      <c r="I25" s="435"/>
      <c r="J25" s="435"/>
      <c r="K25" s="435"/>
    </row>
    <row r="26" spans="2:11">
      <c r="B26" s="12"/>
      <c r="C26" s="13"/>
      <c r="D26" s="14"/>
      <c r="E26" s="436"/>
      <c r="F26" s="437"/>
      <c r="G26" s="437"/>
      <c r="H26" s="437"/>
      <c r="I26" s="437"/>
      <c r="J26" s="437"/>
      <c r="K26" s="437"/>
    </row>
    <row r="29" spans="2:11" ht="15.75">
      <c r="B29" s="543" t="s">
        <v>189</v>
      </c>
      <c r="C29" s="544"/>
      <c r="D29" s="544"/>
      <c r="E29" s="544"/>
      <c r="F29" s="544"/>
      <c r="G29" s="545"/>
    </row>
    <row r="30" spans="2:11" ht="15.75">
      <c r="B30" s="546" t="s">
        <v>190</v>
      </c>
      <c r="C30" s="547"/>
      <c r="D30" s="547"/>
      <c r="E30" s="547"/>
      <c r="F30" s="547"/>
      <c r="G30" s="548"/>
    </row>
    <row r="31" spans="2:11" ht="15" customHeight="1">
      <c r="B31" s="549" t="s">
        <v>191</v>
      </c>
      <c r="C31" s="550"/>
      <c r="D31" s="551" t="s">
        <v>192</v>
      </c>
      <c r="E31" s="552"/>
      <c r="F31" s="555" t="s">
        <v>193</v>
      </c>
      <c r="G31" s="15" t="s">
        <v>194</v>
      </c>
    </row>
    <row r="32" spans="2:11" ht="15" customHeight="1">
      <c r="B32" s="557" t="s">
        <v>195</v>
      </c>
      <c r="C32" s="558"/>
      <c r="D32" s="553"/>
      <c r="E32" s="554"/>
      <c r="F32" s="556"/>
      <c r="G32" s="16" t="s">
        <v>196</v>
      </c>
    </row>
    <row r="33" spans="2:7" ht="21.75">
      <c r="B33" s="559" t="s">
        <v>197</v>
      </c>
      <c r="C33" s="560"/>
      <c r="D33" s="565" t="s">
        <v>126</v>
      </c>
      <c r="E33" s="566"/>
      <c r="F33" s="571" t="s">
        <v>198</v>
      </c>
      <c r="G33" s="17" t="s">
        <v>199</v>
      </c>
    </row>
    <row r="34" spans="2:7">
      <c r="B34" s="561"/>
      <c r="C34" s="562"/>
      <c r="D34" s="567"/>
      <c r="E34" s="568"/>
      <c r="F34" s="572"/>
      <c r="G34" s="18" t="s">
        <v>200</v>
      </c>
    </row>
    <row r="35" spans="2:7">
      <c r="B35" s="563"/>
      <c r="C35" s="564"/>
      <c r="D35" s="569"/>
      <c r="E35" s="570"/>
      <c r="F35" s="573"/>
      <c r="G35" s="17" t="s">
        <v>201</v>
      </c>
    </row>
    <row r="36" spans="2:7">
      <c r="B36" s="19" t="s">
        <v>202</v>
      </c>
      <c r="C36" s="20"/>
      <c r="D36" s="20"/>
      <c r="E36" s="20"/>
      <c r="F36" s="20"/>
      <c r="G36" s="21"/>
    </row>
    <row r="37" spans="2:7">
      <c r="B37" s="22"/>
      <c r="C37" s="23" t="s">
        <v>203</v>
      </c>
      <c r="D37" s="23" t="s">
        <v>203</v>
      </c>
      <c r="E37" s="23" t="s">
        <v>203</v>
      </c>
      <c r="F37" s="23" t="s">
        <v>203</v>
      </c>
      <c r="G37" s="23" t="s">
        <v>203</v>
      </c>
    </row>
    <row r="38" spans="2:7">
      <c r="B38" s="574" t="s">
        <v>204</v>
      </c>
      <c r="C38" s="580" t="s">
        <v>205</v>
      </c>
      <c r="D38" s="577" t="s">
        <v>206</v>
      </c>
      <c r="E38" s="577" t="s">
        <v>207</v>
      </c>
      <c r="F38" s="577"/>
      <c r="G38" s="577"/>
    </row>
    <row r="39" spans="2:7">
      <c r="B39" s="575"/>
      <c r="C39" s="581"/>
      <c r="D39" s="578"/>
      <c r="E39" s="578"/>
      <c r="F39" s="578"/>
      <c r="G39" s="578"/>
    </row>
    <row r="40" spans="2:7">
      <c r="B40" s="575"/>
      <c r="C40" s="581"/>
      <c r="D40" s="578"/>
      <c r="E40" s="578"/>
      <c r="F40" s="578"/>
      <c r="G40" s="578"/>
    </row>
    <row r="41" spans="2:7">
      <c r="B41" s="576"/>
      <c r="C41" s="582"/>
      <c r="D41" s="579"/>
      <c r="E41" s="579"/>
      <c r="F41" s="579"/>
      <c r="G41" s="579"/>
    </row>
    <row r="42" spans="2:7">
      <c r="B42" s="574" t="s">
        <v>208</v>
      </c>
      <c r="C42" s="577" t="s">
        <v>209</v>
      </c>
      <c r="D42" s="577" t="s">
        <v>210</v>
      </c>
      <c r="E42" s="577" t="s">
        <v>211</v>
      </c>
      <c r="F42" s="577"/>
      <c r="G42" s="577"/>
    </row>
    <row r="43" spans="2:7">
      <c r="B43" s="575"/>
      <c r="C43" s="578"/>
      <c r="D43" s="578"/>
      <c r="E43" s="578"/>
      <c r="F43" s="578"/>
      <c r="G43" s="578"/>
    </row>
    <row r="44" spans="2:7">
      <c r="B44" s="575"/>
      <c r="C44" s="578"/>
      <c r="D44" s="578"/>
      <c r="E44" s="578"/>
      <c r="F44" s="578"/>
      <c r="G44" s="578"/>
    </row>
    <row r="45" spans="2:7" ht="42.75" customHeight="1">
      <c r="B45" s="576"/>
      <c r="C45" s="579"/>
      <c r="D45" s="579"/>
      <c r="E45" s="579"/>
      <c r="F45" s="579"/>
      <c r="G45" s="579"/>
    </row>
    <row r="46" spans="2:7">
      <c r="B46" s="24"/>
      <c r="C46" s="20"/>
      <c r="D46" s="20"/>
      <c r="E46" s="20"/>
      <c r="F46" s="20"/>
      <c r="G46" s="21"/>
    </row>
    <row r="47" spans="2:7">
      <c r="B47" s="597" t="s">
        <v>212</v>
      </c>
      <c r="C47" s="598"/>
      <c r="D47" s="598"/>
      <c r="E47" s="599" t="s">
        <v>213</v>
      </c>
      <c r="F47" s="599"/>
      <c r="G47" s="600"/>
    </row>
    <row r="48" spans="2:7">
      <c r="B48" s="601" t="s">
        <v>214</v>
      </c>
      <c r="C48" s="602"/>
      <c r="D48" s="603"/>
      <c r="E48" s="610" t="s">
        <v>215</v>
      </c>
      <c r="F48" s="611"/>
      <c r="G48" s="612"/>
    </row>
    <row r="49" spans="2:7">
      <c r="B49" s="604"/>
      <c r="C49" s="605"/>
      <c r="D49" s="606"/>
      <c r="E49" s="611"/>
      <c r="F49" s="611"/>
      <c r="G49" s="612"/>
    </row>
    <row r="50" spans="2:7">
      <c r="B50" s="604"/>
      <c r="C50" s="605"/>
      <c r="D50" s="606"/>
      <c r="E50" s="611"/>
      <c r="F50" s="611"/>
      <c r="G50" s="612"/>
    </row>
    <row r="51" spans="2:7" ht="24.75" customHeight="1">
      <c r="B51" s="607"/>
      <c r="C51" s="608"/>
      <c r="D51" s="609"/>
      <c r="E51" s="611"/>
      <c r="F51" s="611"/>
      <c r="G51" s="612"/>
    </row>
    <row r="52" spans="2:7">
      <c r="B52" s="25"/>
      <c r="C52" s="26"/>
      <c r="D52" s="26"/>
      <c r="E52" s="26"/>
      <c r="F52" s="26"/>
      <c r="G52" s="27"/>
    </row>
    <row r="53" spans="2:7">
      <c r="B53" s="28"/>
      <c r="G53" s="29"/>
    </row>
    <row r="54" spans="2:7" ht="15.75">
      <c r="B54" s="613" t="s">
        <v>216</v>
      </c>
      <c r="C54" s="614"/>
      <c r="D54" s="614"/>
      <c r="E54" s="614"/>
      <c r="F54" s="614"/>
      <c r="G54" s="615"/>
    </row>
    <row r="55" spans="2:7">
      <c r="B55" s="616" t="s">
        <v>217</v>
      </c>
      <c r="C55" s="617"/>
      <c r="D55" s="617" t="s">
        <v>218</v>
      </c>
      <c r="E55" s="617"/>
      <c r="F55" s="595" t="s">
        <v>219</v>
      </c>
      <c r="G55" s="596"/>
    </row>
    <row r="56" spans="2:7">
      <c r="B56" s="583"/>
      <c r="C56" s="584"/>
      <c r="D56" s="587"/>
      <c r="E56" s="584"/>
      <c r="F56" s="589"/>
      <c r="G56" s="590"/>
    </row>
    <row r="57" spans="2:7">
      <c r="B57" s="585"/>
      <c r="C57" s="586"/>
      <c r="D57" s="588"/>
      <c r="E57" s="586"/>
      <c r="F57" s="591"/>
      <c r="G57" s="592"/>
    </row>
    <row r="58" spans="2:7">
      <c r="B58" s="28"/>
      <c r="G58" s="29"/>
    </row>
    <row r="59" spans="2:7">
      <c r="B59" s="593" t="s">
        <v>220</v>
      </c>
      <c r="C59" s="594"/>
      <c r="D59" s="595" t="s">
        <v>221</v>
      </c>
      <c r="E59" s="594"/>
      <c r="F59" s="595" t="s">
        <v>222</v>
      </c>
      <c r="G59" s="596"/>
    </row>
    <row r="60" spans="2:7">
      <c r="B60" s="639"/>
      <c r="C60" s="640"/>
      <c r="D60" s="641"/>
      <c r="E60" s="640"/>
      <c r="F60" s="641" t="s">
        <v>223</v>
      </c>
      <c r="G60" s="642"/>
    </row>
    <row r="61" spans="2:7">
      <c r="B61" s="43"/>
      <c r="C61" s="43"/>
      <c r="D61" s="43"/>
      <c r="E61" s="43"/>
      <c r="F61" s="43"/>
      <c r="G61" s="43"/>
    </row>
    <row r="62" spans="2:7">
      <c r="B62" s="43"/>
      <c r="C62" s="43"/>
      <c r="D62" s="43"/>
      <c r="E62" s="43"/>
      <c r="F62" s="43"/>
      <c r="G62" s="43"/>
    </row>
    <row r="63" spans="2:7" ht="15.75">
      <c r="B63" s="543" t="s">
        <v>189</v>
      </c>
      <c r="C63" s="544"/>
      <c r="D63" s="544"/>
      <c r="E63" s="544"/>
      <c r="F63" s="544"/>
      <c r="G63" s="545"/>
    </row>
    <row r="64" spans="2:7" ht="15.75">
      <c r="B64" s="643" t="s">
        <v>190</v>
      </c>
      <c r="C64" s="644"/>
      <c r="D64" s="644"/>
      <c r="E64" s="644"/>
      <c r="F64" s="644"/>
      <c r="G64" s="645"/>
    </row>
    <row r="65" spans="2:7">
      <c r="B65" s="646" t="s">
        <v>191</v>
      </c>
      <c r="C65" s="647"/>
      <c r="D65" s="648" t="s">
        <v>192</v>
      </c>
      <c r="E65" s="649"/>
      <c r="F65" s="652" t="s">
        <v>193</v>
      </c>
      <c r="G65" s="44" t="s">
        <v>194</v>
      </c>
    </row>
    <row r="66" spans="2:7">
      <c r="B66" s="654" t="s">
        <v>224</v>
      </c>
      <c r="C66" s="655"/>
      <c r="D66" s="650"/>
      <c r="E66" s="651"/>
      <c r="F66" s="653"/>
      <c r="G66" s="45" t="s">
        <v>225</v>
      </c>
    </row>
    <row r="67" spans="2:7" ht="22.5">
      <c r="B67" s="618" t="s">
        <v>197</v>
      </c>
      <c r="C67" s="619"/>
      <c r="D67" s="624" t="s">
        <v>226</v>
      </c>
      <c r="E67" s="625"/>
      <c r="F67" s="630">
        <v>30</v>
      </c>
      <c r="G67" s="46" t="s">
        <v>199</v>
      </c>
    </row>
    <row r="68" spans="2:7">
      <c r="B68" s="620"/>
      <c r="C68" s="621"/>
      <c r="D68" s="626"/>
      <c r="E68" s="627"/>
      <c r="F68" s="631"/>
      <c r="G68" s="47" t="s">
        <v>200</v>
      </c>
    </row>
    <row r="69" spans="2:7">
      <c r="B69" s="622"/>
      <c r="C69" s="623"/>
      <c r="D69" s="628"/>
      <c r="E69" s="629"/>
      <c r="F69" s="632"/>
      <c r="G69" s="46" t="s">
        <v>201</v>
      </c>
    </row>
    <row r="70" spans="2:7">
      <c r="B70" s="48" t="s">
        <v>202</v>
      </c>
      <c r="C70" s="49"/>
      <c r="D70" s="49"/>
      <c r="E70" s="49"/>
      <c r="F70" s="49"/>
      <c r="G70" s="50"/>
    </row>
    <row r="71" spans="2:7">
      <c r="B71" s="51"/>
      <c r="C71" s="52" t="s">
        <v>203</v>
      </c>
      <c r="D71" s="52" t="s">
        <v>203</v>
      </c>
      <c r="E71" s="52" t="s">
        <v>203</v>
      </c>
      <c r="F71" s="52" t="s">
        <v>203</v>
      </c>
      <c r="G71" s="52" t="s">
        <v>203</v>
      </c>
    </row>
    <row r="72" spans="2:7">
      <c r="B72" s="633" t="s">
        <v>204</v>
      </c>
      <c r="C72" s="580" t="s">
        <v>205</v>
      </c>
      <c r="D72" s="577" t="s">
        <v>206</v>
      </c>
      <c r="E72" s="577" t="s">
        <v>207</v>
      </c>
      <c r="F72" s="636" t="s">
        <v>202</v>
      </c>
      <c r="G72" s="636" t="s">
        <v>202</v>
      </c>
    </row>
    <row r="73" spans="2:7">
      <c r="B73" s="634"/>
      <c r="C73" s="581"/>
      <c r="D73" s="578"/>
      <c r="E73" s="578"/>
      <c r="F73" s="637"/>
      <c r="G73" s="637"/>
    </row>
    <row r="74" spans="2:7">
      <c r="B74" s="634"/>
      <c r="C74" s="581"/>
      <c r="D74" s="578"/>
      <c r="E74" s="578"/>
      <c r="F74" s="637"/>
      <c r="G74" s="637"/>
    </row>
    <row r="75" spans="2:7">
      <c r="B75" s="635"/>
      <c r="C75" s="582"/>
      <c r="D75" s="579"/>
      <c r="E75" s="579"/>
      <c r="F75" s="638"/>
      <c r="G75" s="638"/>
    </row>
    <row r="76" spans="2:7">
      <c r="B76" s="633" t="s">
        <v>208</v>
      </c>
      <c r="C76" s="636" t="s">
        <v>227</v>
      </c>
      <c r="D76" s="636" t="s">
        <v>210</v>
      </c>
      <c r="E76" s="636" t="s">
        <v>228</v>
      </c>
      <c r="F76" s="636" t="s">
        <v>202</v>
      </c>
      <c r="G76" s="636" t="s">
        <v>202</v>
      </c>
    </row>
    <row r="77" spans="2:7">
      <c r="B77" s="634"/>
      <c r="C77" s="637"/>
      <c r="D77" s="637"/>
      <c r="E77" s="637"/>
      <c r="F77" s="637"/>
      <c r="G77" s="637"/>
    </row>
    <row r="78" spans="2:7">
      <c r="B78" s="634"/>
      <c r="C78" s="637"/>
      <c r="D78" s="637"/>
      <c r="E78" s="637"/>
      <c r="F78" s="637"/>
      <c r="G78" s="637"/>
    </row>
    <row r="79" spans="2:7" ht="32.25" customHeight="1">
      <c r="B79" s="635"/>
      <c r="C79" s="638"/>
      <c r="D79" s="638"/>
      <c r="E79" s="638"/>
      <c r="F79" s="638"/>
      <c r="G79" s="638"/>
    </row>
    <row r="80" spans="2:7">
      <c r="B80" s="53"/>
      <c r="C80" s="49"/>
      <c r="D80" s="49"/>
      <c r="E80" s="49"/>
      <c r="F80" s="49"/>
      <c r="G80" s="50"/>
    </row>
    <row r="81" spans="2:7">
      <c r="B81" s="656" t="s">
        <v>212</v>
      </c>
      <c r="C81" s="657"/>
      <c r="D81" s="657"/>
      <c r="E81" s="658" t="s">
        <v>213</v>
      </c>
      <c r="F81" s="658"/>
      <c r="G81" s="659"/>
    </row>
    <row r="82" spans="2:7">
      <c r="B82" s="660" t="s">
        <v>228</v>
      </c>
      <c r="C82" s="661"/>
      <c r="D82" s="661"/>
      <c r="E82" s="662" t="s">
        <v>229</v>
      </c>
      <c r="F82" s="661"/>
      <c r="G82" s="663"/>
    </row>
    <row r="83" spans="2:7">
      <c r="B83" s="660"/>
      <c r="C83" s="661"/>
      <c r="D83" s="661"/>
      <c r="E83" s="661"/>
      <c r="F83" s="661"/>
      <c r="G83" s="663"/>
    </row>
    <row r="84" spans="2:7">
      <c r="B84" s="660"/>
      <c r="C84" s="661"/>
      <c r="D84" s="661"/>
      <c r="E84" s="661"/>
      <c r="F84" s="661"/>
      <c r="G84" s="663"/>
    </row>
    <row r="85" spans="2:7" ht="26.25" customHeight="1">
      <c r="B85" s="660"/>
      <c r="C85" s="661"/>
      <c r="D85" s="661"/>
      <c r="E85" s="661"/>
      <c r="F85" s="661"/>
      <c r="G85" s="663"/>
    </row>
    <row r="86" spans="2:7">
      <c r="B86" s="54"/>
      <c r="C86" s="55"/>
      <c r="D86" s="55"/>
      <c r="E86" s="55"/>
      <c r="F86" s="55"/>
      <c r="G86" s="56"/>
    </row>
    <row r="87" spans="2:7">
      <c r="B87" s="57"/>
      <c r="C87" s="58"/>
      <c r="D87" s="58"/>
      <c r="E87" s="58"/>
      <c r="F87" s="58"/>
      <c r="G87" s="59"/>
    </row>
    <row r="88" spans="2:7" ht="15.75">
      <c r="B88" s="664" t="s">
        <v>216</v>
      </c>
      <c r="C88" s="665"/>
      <c r="D88" s="665"/>
      <c r="E88" s="665"/>
      <c r="F88" s="665"/>
      <c r="G88" s="666"/>
    </row>
    <row r="89" spans="2:7">
      <c r="B89" s="667" t="s">
        <v>217</v>
      </c>
      <c r="C89" s="668"/>
      <c r="D89" s="668" t="s">
        <v>218</v>
      </c>
      <c r="E89" s="668"/>
      <c r="F89" s="669" t="s">
        <v>219</v>
      </c>
      <c r="G89" s="670"/>
    </row>
    <row r="90" spans="2:7">
      <c r="B90" s="675"/>
      <c r="C90" s="676"/>
      <c r="D90" s="679"/>
      <c r="E90" s="676"/>
      <c r="F90" s="681"/>
      <c r="G90" s="682"/>
    </row>
    <row r="91" spans="2:7">
      <c r="B91" s="677"/>
      <c r="C91" s="678"/>
      <c r="D91" s="680"/>
      <c r="E91" s="678"/>
      <c r="F91" s="683"/>
      <c r="G91" s="684"/>
    </row>
    <row r="92" spans="2:7">
      <c r="B92" s="57"/>
      <c r="C92" s="58"/>
      <c r="D92" s="58"/>
      <c r="E92" s="58"/>
      <c r="F92" s="58"/>
      <c r="G92" s="59"/>
    </row>
    <row r="93" spans="2:7">
      <c r="B93" s="685" t="s">
        <v>220</v>
      </c>
      <c r="C93" s="686"/>
      <c r="D93" s="669" t="s">
        <v>221</v>
      </c>
      <c r="E93" s="686"/>
      <c r="F93" s="669" t="s">
        <v>222</v>
      </c>
      <c r="G93" s="670"/>
    </row>
    <row r="94" spans="2:7">
      <c r="B94" s="671"/>
      <c r="C94" s="672"/>
      <c r="D94" s="673"/>
      <c r="E94" s="672"/>
      <c r="F94" s="673" t="s">
        <v>230</v>
      </c>
      <c r="G94" s="674"/>
    </row>
    <row r="95" spans="2:7">
      <c r="B95" s="58"/>
      <c r="C95" s="58"/>
      <c r="D95" s="58"/>
      <c r="E95" s="58"/>
      <c r="F95" s="58"/>
      <c r="G95" s="58"/>
    </row>
    <row r="96" spans="2:7">
      <c r="B96" s="58"/>
      <c r="C96" s="58"/>
      <c r="D96" s="58"/>
      <c r="E96" s="58"/>
      <c r="F96" s="58"/>
      <c r="G96" s="58"/>
    </row>
    <row r="97" spans="2:7" ht="15.75">
      <c r="B97" s="543" t="s">
        <v>189</v>
      </c>
      <c r="C97" s="544"/>
      <c r="D97" s="544"/>
      <c r="E97" s="544"/>
      <c r="F97" s="544"/>
      <c r="G97" s="545"/>
    </row>
    <row r="98" spans="2:7" ht="15.75">
      <c r="B98" s="643" t="s">
        <v>190</v>
      </c>
      <c r="C98" s="644"/>
      <c r="D98" s="644"/>
      <c r="E98" s="644"/>
      <c r="F98" s="644"/>
      <c r="G98" s="645"/>
    </row>
    <row r="99" spans="2:7">
      <c r="B99" s="646" t="s">
        <v>191</v>
      </c>
      <c r="C99" s="647"/>
      <c r="D99" s="648" t="s">
        <v>192</v>
      </c>
      <c r="E99" s="649"/>
      <c r="F99" s="652" t="s">
        <v>193</v>
      </c>
      <c r="G99" s="44" t="s">
        <v>194</v>
      </c>
    </row>
    <row r="100" spans="2:7">
      <c r="B100" s="654" t="s">
        <v>231</v>
      </c>
      <c r="C100" s="655"/>
      <c r="D100" s="650"/>
      <c r="E100" s="651"/>
      <c r="F100" s="653"/>
      <c r="G100" s="45" t="s">
        <v>232</v>
      </c>
    </row>
    <row r="101" spans="2:7" ht="22.5">
      <c r="B101" s="618" t="s">
        <v>197</v>
      </c>
      <c r="C101" s="619"/>
      <c r="D101" s="624" t="s">
        <v>233</v>
      </c>
      <c r="E101" s="687"/>
      <c r="F101" s="630">
        <v>121</v>
      </c>
      <c r="G101" s="46" t="s">
        <v>199</v>
      </c>
    </row>
    <row r="102" spans="2:7">
      <c r="B102" s="620"/>
      <c r="C102" s="621"/>
      <c r="D102" s="626"/>
      <c r="E102" s="688"/>
      <c r="F102" s="631"/>
      <c r="G102" s="47" t="s">
        <v>200</v>
      </c>
    </row>
    <row r="103" spans="2:7">
      <c r="B103" s="622"/>
      <c r="C103" s="623"/>
      <c r="D103" s="689"/>
      <c r="E103" s="690"/>
      <c r="F103" s="632"/>
      <c r="G103" s="46" t="s">
        <v>201</v>
      </c>
    </row>
    <row r="104" spans="2:7">
      <c r="B104" s="48" t="s">
        <v>202</v>
      </c>
      <c r="C104" s="49"/>
      <c r="D104" s="49"/>
      <c r="E104" s="49"/>
      <c r="F104" s="49"/>
      <c r="G104" s="50"/>
    </row>
    <row r="105" spans="2:7">
      <c r="B105" s="51"/>
      <c r="C105" s="52" t="s">
        <v>203</v>
      </c>
      <c r="D105" s="52" t="s">
        <v>203</v>
      </c>
      <c r="E105" s="52" t="s">
        <v>203</v>
      </c>
      <c r="F105" s="52" t="s">
        <v>203</v>
      </c>
      <c r="G105" s="52" t="s">
        <v>203</v>
      </c>
    </row>
    <row r="106" spans="2:7">
      <c r="B106" s="633" t="s">
        <v>204</v>
      </c>
      <c r="C106" s="691" t="s">
        <v>205</v>
      </c>
      <c r="D106" s="636" t="s">
        <v>234</v>
      </c>
      <c r="E106" s="636" t="s">
        <v>202</v>
      </c>
      <c r="F106" s="636" t="s">
        <v>202</v>
      </c>
      <c r="G106" s="636" t="s">
        <v>202</v>
      </c>
    </row>
    <row r="107" spans="2:7">
      <c r="B107" s="634"/>
      <c r="C107" s="692"/>
      <c r="D107" s="637"/>
      <c r="E107" s="637"/>
      <c r="F107" s="637"/>
      <c r="G107" s="637"/>
    </row>
    <row r="108" spans="2:7">
      <c r="B108" s="634"/>
      <c r="C108" s="692"/>
      <c r="D108" s="637"/>
      <c r="E108" s="637"/>
      <c r="F108" s="637"/>
      <c r="G108" s="637"/>
    </row>
    <row r="109" spans="2:7">
      <c r="B109" s="635"/>
      <c r="C109" s="693"/>
      <c r="D109" s="638"/>
      <c r="E109" s="638"/>
      <c r="F109" s="638"/>
      <c r="G109" s="638"/>
    </row>
    <row r="110" spans="2:7">
      <c r="B110" s="633" t="s">
        <v>208</v>
      </c>
      <c r="C110" s="636" t="s">
        <v>235</v>
      </c>
      <c r="D110" s="636" t="s">
        <v>236</v>
      </c>
      <c r="E110" s="636" t="s">
        <v>202</v>
      </c>
      <c r="F110" s="636" t="s">
        <v>202</v>
      </c>
      <c r="G110" s="636" t="s">
        <v>202</v>
      </c>
    </row>
    <row r="111" spans="2:7">
      <c r="B111" s="634"/>
      <c r="C111" s="637"/>
      <c r="D111" s="637"/>
      <c r="E111" s="637"/>
      <c r="F111" s="637"/>
      <c r="G111" s="637"/>
    </row>
    <row r="112" spans="2:7">
      <c r="B112" s="634"/>
      <c r="C112" s="637"/>
      <c r="D112" s="637"/>
      <c r="E112" s="637"/>
      <c r="F112" s="637"/>
      <c r="G112" s="637"/>
    </row>
    <row r="113" spans="2:7">
      <c r="B113" s="635"/>
      <c r="C113" s="638"/>
      <c r="D113" s="638"/>
      <c r="E113" s="638"/>
      <c r="F113" s="638"/>
      <c r="G113" s="638"/>
    </row>
    <row r="114" spans="2:7">
      <c r="B114" s="53"/>
      <c r="C114" s="49"/>
      <c r="D114" s="49"/>
      <c r="E114" s="49"/>
      <c r="F114" s="49"/>
      <c r="G114" s="50"/>
    </row>
    <row r="115" spans="2:7">
      <c r="B115" s="656" t="s">
        <v>212</v>
      </c>
      <c r="C115" s="657"/>
      <c r="D115" s="657"/>
      <c r="E115" s="658" t="s">
        <v>213</v>
      </c>
      <c r="F115" s="658"/>
      <c r="G115" s="659"/>
    </row>
    <row r="116" spans="2:7">
      <c r="B116" s="660" t="s">
        <v>237</v>
      </c>
      <c r="C116" s="661"/>
      <c r="D116" s="661"/>
      <c r="E116" s="662" t="s">
        <v>238</v>
      </c>
      <c r="F116" s="661"/>
      <c r="G116" s="663"/>
    </row>
    <row r="117" spans="2:7">
      <c r="B117" s="660"/>
      <c r="C117" s="661"/>
      <c r="D117" s="661"/>
      <c r="E117" s="661"/>
      <c r="F117" s="661"/>
      <c r="G117" s="663"/>
    </row>
    <row r="118" spans="2:7">
      <c r="B118" s="660"/>
      <c r="C118" s="661"/>
      <c r="D118" s="661"/>
      <c r="E118" s="661"/>
      <c r="F118" s="661"/>
      <c r="G118" s="663"/>
    </row>
    <row r="119" spans="2:7">
      <c r="B119" s="660"/>
      <c r="C119" s="661"/>
      <c r="D119" s="661"/>
      <c r="E119" s="661"/>
      <c r="F119" s="661"/>
      <c r="G119" s="663"/>
    </row>
    <row r="120" spans="2:7">
      <c r="B120" s="54"/>
      <c r="C120" s="55"/>
      <c r="D120" s="55"/>
      <c r="E120" s="55"/>
      <c r="F120" s="55"/>
      <c r="G120" s="56"/>
    </row>
    <row r="121" spans="2:7">
      <c r="B121" s="57"/>
      <c r="C121" s="58"/>
      <c r="D121" s="58"/>
      <c r="E121" s="58"/>
      <c r="F121" s="58"/>
      <c r="G121" s="59"/>
    </row>
    <row r="122" spans="2:7" ht="15.75">
      <c r="B122" s="664" t="s">
        <v>216</v>
      </c>
      <c r="C122" s="665"/>
      <c r="D122" s="665"/>
      <c r="E122" s="665"/>
      <c r="F122" s="665"/>
      <c r="G122" s="666"/>
    </row>
    <row r="123" spans="2:7">
      <c r="B123" s="667" t="s">
        <v>217</v>
      </c>
      <c r="C123" s="668"/>
      <c r="D123" s="668" t="s">
        <v>218</v>
      </c>
      <c r="E123" s="668"/>
      <c r="F123" s="669" t="s">
        <v>219</v>
      </c>
      <c r="G123" s="670"/>
    </row>
    <row r="124" spans="2:7">
      <c r="B124" s="675"/>
      <c r="C124" s="676"/>
      <c r="D124" s="679"/>
      <c r="E124" s="676"/>
      <c r="F124" s="681"/>
      <c r="G124" s="682"/>
    </row>
    <row r="125" spans="2:7">
      <c r="B125" s="677"/>
      <c r="C125" s="678"/>
      <c r="D125" s="680"/>
      <c r="E125" s="678"/>
      <c r="F125" s="683"/>
      <c r="G125" s="684"/>
    </row>
    <row r="126" spans="2:7">
      <c r="B126" s="57"/>
      <c r="C126" s="58"/>
      <c r="D126" s="58"/>
      <c r="E126" s="58"/>
      <c r="F126" s="58"/>
      <c r="G126" s="59"/>
    </row>
    <row r="127" spans="2:7">
      <c r="B127" s="685" t="s">
        <v>220</v>
      </c>
      <c r="C127" s="686"/>
      <c r="D127" s="669" t="s">
        <v>221</v>
      </c>
      <c r="E127" s="686"/>
      <c r="F127" s="669" t="s">
        <v>222</v>
      </c>
      <c r="G127" s="670"/>
    </row>
    <row r="128" spans="2:7">
      <c r="B128" s="671"/>
      <c r="C128" s="672"/>
      <c r="D128" s="673"/>
      <c r="E128" s="672"/>
      <c r="F128" s="673" t="s">
        <v>230</v>
      </c>
      <c r="G128" s="674"/>
    </row>
    <row r="129" spans="2:7">
      <c r="B129" s="58"/>
      <c r="C129" s="58"/>
      <c r="D129" s="58"/>
      <c r="E129" s="58"/>
      <c r="F129" s="58"/>
      <c r="G129" s="58"/>
    </row>
    <row r="130" spans="2:7">
      <c r="B130" s="58"/>
      <c r="C130" s="58"/>
      <c r="D130" s="58"/>
      <c r="E130" s="58"/>
      <c r="F130" s="58"/>
      <c r="G130" s="58"/>
    </row>
    <row r="131" spans="2:7" ht="15.75">
      <c r="B131" s="543" t="s">
        <v>189</v>
      </c>
      <c r="C131" s="544"/>
      <c r="D131" s="544"/>
      <c r="E131" s="544"/>
      <c r="F131" s="544"/>
      <c r="G131" s="545"/>
    </row>
    <row r="132" spans="2:7" ht="15.75">
      <c r="B132" s="643" t="s">
        <v>190</v>
      </c>
      <c r="C132" s="644"/>
      <c r="D132" s="644"/>
      <c r="E132" s="644"/>
      <c r="F132" s="644"/>
      <c r="G132" s="645"/>
    </row>
    <row r="133" spans="2:7">
      <c r="B133" s="646" t="s">
        <v>191</v>
      </c>
      <c r="C133" s="647"/>
      <c r="D133" s="648" t="s">
        <v>192</v>
      </c>
      <c r="E133" s="649"/>
      <c r="F133" s="652" t="s">
        <v>193</v>
      </c>
      <c r="G133" s="44" t="s">
        <v>194</v>
      </c>
    </row>
    <row r="134" spans="2:7">
      <c r="B134" s="654" t="s">
        <v>239</v>
      </c>
      <c r="C134" s="655"/>
      <c r="D134" s="650"/>
      <c r="E134" s="651"/>
      <c r="F134" s="653"/>
      <c r="G134" s="45" t="s">
        <v>240</v>
      </c>
    </row>
    <row r="135" spans="2:7" ht="22.5">
      <c r="B135" s="618" t="s">
        <v>197</v>
      </c>
      <c r="C135" s="619"/>
      <c r="D135" s="624" t="s">
        <v>241</v>
      </c>
      <c r="E135" s="625"/>
      <c r="F135" s="630">
        <v>406</v>
      </c>
      <c r="G135" s="46" t="s">
        <v>199</v>
      </c>
    </row>
    <row r="136" spans="2:7">
      <c r="B136" s="620"/>
      <c r="C136" s="621"/>
      <c r="D136" s="626"/>
      <c r="E136" s="627"/>
      <c r="F136" s="631"/>
      <c r="G136" s="47" t="s">
        <v>200</v>
      </c>
    </row>
    <row r="137" spans="2:7">
      <c r="B137" s="622"/>
      <c r="C137" s="623"/>
      <c r="D137" s="628"/>
      <c r="E137" s="629"/>
      <c r="F137" s="632"/>
      <c r="G137" s="46" t="s">
        <v>201</v>
      </c>
    </row>
    <row r="138" spans="2:7">
      <c r="B138" s="48" t="s">
        <v>202</v>
      </c>
      <c r="C138" s="49"/>
      <c r="D138" s="49"/>
      <c r="E138" s="49"/>
      <c r="F138" s="49"/>
      <c r="G138" s="50"/>
    </row>
    <row r="139" spans="2:7">
      <c r="B139" s="51"/>
      <c r="C139" s="52" t="s">
        <v>203</v>
      </c>
      <c r="D139" s="52" t="s">
        <v>203</v>
      </c>
      <c r="E139" s="52" t="s">
        <v>203</v>
      </c>
      <c r="F139" s="52" t="s">
        <v>203</v>
      </c>
      <c r="G139" s="52" t="s">
        <v>203</v>
      </c>
    </row>
    <row r="140" spans="2:7">
      <c r="B140" s="633" t="s">
        <v>204</v>
      </c>
      <c r="C140" s="691" t="s">
        <v>205</v>
      </c>
      <c r="D140" s="636" t="s">
        <v>242</v>
      </c>
      <c r="E140" s="636" t="s">
        <v>243</v>
      </c>
      <c r="F140" s="636" t="s">
        <v>244</v>
      </c>
      <c r="G140" s="636" t="s">
        <v>202</v>
      </c>
    </row>
    <row r="141" spans="2:7">
      <c r="B141" s="634"/>
      <c r="C141" s="692"/>
      <c r="D141" s="637"/>
      <c r="E141" s="637"/>
      <c r="F141" s="637"/>
      <c r="G141" s="637"/>
    </row>
    <row r="142" spans="2:7">
      <c r="B142" s="634"/>
      <c r="C142" s="692"/>
      <c r="D142" s="637"/>
      <c r="E142" s="637"/>
      <c r="F142" s="637"/>
      <c r="G142" s="637"/>
    </row>
    <row r="143" spans="2:7">
      <c r="B143" s="635"/>
      <c r="C143" s="693"/>
      <c r="D143" s="638"/>
      <c r="E143" s="638"/>
      <c r="F143" s="638"/>
      <c r="G143" s="638"/>
    </row>
    <row r="144" spans="2:7">
      <c r="B144" s="633" t="s">
        <v>208</v>
      </c>
      <c r="C144" s="636" t="s">
        <v>245</v>
      </c>
      <c r="D144" s="636" t="s">
        <v>246</v>
      </c>
      <c r="E144" s="636" t="s">
        <v>247</v>
      </c>
      <c r="F144" s="636" t="s">
        <v>248</v>
      </c>
      <c r="G144" s="636" t="s">
        <v>202</v>
      </c>
    </row>
    <row r="145" spans="2:7">
      <c r="B145" s="634"/>
      <c r="C145" s="637"/>
      <c r="D145" s="637"/>
      <c r="E145" s="637"/>
      <c r="F145" s="637"/>
      <c r="G145" s="637"/>
    </row>
    <row r="146" spans="2:7">
      <c r="B146" s="634"/>
      <c r="C146" s="637"/>
      <c r="D146" s="637"/>
      <c r="E146" s="637"/>
      <c r="F146" s="637"/>
      <c r="G146" s="637"/>
    </row>
    <row r="147" spans="2:7">
      <c r="B147" s="635"/>
      <c r="C147" s="638"/>
      <c r="D147" s="638"/>
      <c r="E147" s="638"/>
      <c r="F147" s="638"/>
      <c r="G147" s="638"/>
    </row>
    <row r="148" spans="2:7">
      <c r="B148" s="53"/>
      <c r="C148" s="49"/>
      <c r="D148" s="49"/>
      <c r="E148" s="49"/>
      <c r="F148" s="49"/>
      <c r="G148" s="50"/>
    </row>
    <row r="149" spans="2:7">
      <c r="B149" s="656" t="s">
        <v>212</v>
      </c>
      <c r="C149" s="657"/>
      <c r="D149" s="657"/>
      <c r="E149" s="658" t="s">
        <v>213</v>
      </c>
      <c r="F149" s="658"/>
      <c r="G149" s="659"/>
    </row>
    <row r="150" spans="2:7">
      <c r="B150" s="694" t="s">
        <v>248</v>
      </c>
      <c r="C150" s="695"/>
      <c r="D150" s="696"/>
      <c r="E150" s="662" t="s">
        <v>249</v>
      </c>
      <c r="F150" s="661"/>
      <c r="G150" s="663"/>
    </row>
    <row r="151" spans="2:7">
      <c r="B151" s="697"/>
      <c r="C151" s="698"/>
      <c r="D151" s="699"/>
      <c r="E151" s="661"/>
      <c r="F151" s="661"/>
      <c r="G151" s="663"/>
    </row>
    <row r="152" spans="2:7">
      <c r="B152" s="697"/>
      <c r="C152" s="698"/>
      <c r="D152" s="699"/>
      <c r="E152" s="661"/>
      <c r="F152" s="661"/>
      <c r="G152" s="663"/>
    </row>
    <row r="153" spans="2:7">
      <c r="B153" s="700"/>
      <c r="C153" s="701"/>
      <c r="D153" s="702"/>
      <c r="E153" s="661"/>
      <c r="F153" s="661"/>
      <c r="G153" s="663"/>
    </row>
    <row r="154" spans="2:7">
      <c r="B154" s="54"/>
      <c r="C154" s="55"/>
      <c r="D154" s="55"/>
      <c r="E154" s="55"/>
      <c r="F154" s="55"/>
      <c r="G154" s="56"/>
    </row>
    <row r="155" spans="2:7">
      <c r="B155" s="57"/>
      <c r="C155" s="58"/>
      <c r="D155" s="58"/>
      <c r="E155" s="58"/>
      <c r="F155" s="58"/>
      <c r="G155" s="59"/>
    </row>
    <row r="156" spans="2:7" ht="15.75">
      <c r="B156" s="664" t="s">
        <v>216</v>
      </c>
      <c r="C156" s="665"/>
      <c r="D156" s="665"/>
      <c r="E156" s="665"/>
      <c r="F156" s="665"/>
      <c r="G156" s="666"/>
    </row>
    <row r="157" spans="2:7">
      <c r="B157" s="667" t="s">
        <v>217</v>
      </c>
      <c r="C157" s="668"/>
      <c r="D157" s="668" t="s">
        <v>218</v>
      </c>
      <c r="E157" s="668"/>
      <c r="F157" s="669" t="s">
        <v>219</v>
      </c>
      <c r="G157" s="670"/>
    </row>
    <row r="158" spans="2:7">
      <c r="B158" s="675"/>
      <c r="C158" s="676"/>
      <c r="D158" s="679"/>
      <c r="E158" s="676"/>
      <c r="F158" s="681"/>
      <c r="G158" s="682"/>
    </row>
    <row r="159" spans="2:7">
      <c r="B159" s="677"/>
      <c r="C159" s="678"/>
      <c r="D159" s="680"/>
      <c r="E159" s="678"/>
      <c r="F159" s="683"/>
      <c r="G159" s="684"/>
    </row>
    <row r="160" spans="2:7">
      <c r="B160" s="57"/>
      <c r="C160" s="58"/>
      <c r="D160" s="58"/>
      <c r="E160" s="58"/>
      <c r="F160" s="58"/>
      <c r="G160" s="59"/>
    </row>
    <row r="161" spans="2:7">
      <c r="B161" s="685" t="s">
        <v>220</v>
      </c>
      <c r="C161" s="686"/>
      <c r="D161" s="669" t="s">
        <v>221</v>
      </c>
      <c r="E161" s="686"/>
      <c r="F161" s="669" t="s">
        <v>222</v>
      </c>
      <c r="G161" s="670"/>
    </row>
    <row r="162" spans="2:7">
      <c r="B162" s="671"/>
      <c r="C162" s="672"/>
      <c r="D162" s="673"/>
      <c r="E162" s="672"/>
      <c r="F162" s="673" t="s">
        <v>230</v>
      </c>
      <c r="G162" s="674"/>
    </row>
    <row r="163" spans="2:7">
      <c r="B163" s="58"/>
      <c r="C163" s="58"/>
      <c r="D163" s="58"/>
      <c r="E163" s="58"/>
      <c r="F163" s="58"/>
      <c r="G163" s="58"/>
    </row>
    <row r="164" spans="2:7">
      <c r="B164" s="58"/>
      <c r="C164" s="58"/>
      <c r="D164" s="58"/>
      <c r="E164" s="58"/>
      <c r="F164" s="58"/>
      <c r="G164" s="58"/>
    </row>
    <row r="165" spans="2:7" ht="15.75">
      <c r="B165" s="543" t="s">
        <v>189</v>
      </c>
      <c r="C165" s="544"/>
      <c r="D165" s="544"/>
      <c r="E165" s="544"/>
      <c r="F165" s="544"/>
      <c r="G165" s="545"/>
    </row>
    <row r="166" spans="2:7" ht="15.75">
      <c r="B166" s="643" t="s">
        <v>190</v>
      </c>
      <c r="C166" s="644"/>
      <c r="D166" s="644"/>
      <c r="E166" s="644"/>
      <c r="F166" s="644"/>
      <c r="G166" s="645"/>
    </row>
    <row r="167" spans="2:7">
      <c r="B167" s="646" t="s">
        <v>191</v>
      </c>
      <c r="C167" s="647"/>
      <c r="D167" s="648" t="s">
        <v>192</v>
      </c>
      <c r="E167" s="649"/>
      <c r="F167" s="652" t="s">
        <v>193</v>
      </c>
      <c r="G167" s="44" t="s">
        <v>194</v>
      </c>
    </row>
    <row r="168" spans="2:7">
      <c r="B168" s="654" t="s">
        <v>250</v>
      </c>
      <c r="C168" s="655"/>
      <c r="D168" s="650"/>
      <c r="E168" s="651"/>
      <c r="F168" s="653"/>
      <c r="G168" s="45" t="s">
        <v>251</v>
      </c>
    </row>
    <row r="169" spans="2:7" ht="22.5">
      <c r="B169" s="618" t="s">
        <v>197</v>
      </c>
      <c r="C169" s="619"/>
      <c r="D169" s="624" t="s">
        <v>252</v>
      </c>
      <c r="E169" s="625"/>
      <c r="F169" s="630">
        <v>120</v>
      </c>
      <c r="G169" s="46" t="s">
        <v>199</v>
      </c>
    </row>
    <row r="170" spans="2:7">
      <c r="B170" s="620"/>
      <c r="C170" s="621"/>
      <c r="D170" s="626"/>
      <c r="E170" s="627"/>
      <c r="F170" s="631"/>
      <c r="G170" s="47" t="s">
        <v>200</v>
      </c>
    </row>
    <row r="171" spans="2:7">
      <c r="B171" s="622"/>
      <c r="C171" s="623"/>
      <c r="D171" s="628"/>
      <c r="E171" s="629"/>
      <c r="F171" s="632"/>
      <c r="G171" s="46" t="s">
        <v>201</v>
      </c>
    </row>
    <row r="172" spans="2:7">
      <c r="B172" s="48" t="s">
        <v>202</v>
      </c>
      <c r="C172" s="49"/>
      <c r="D172" s="49"/>
      <c r="E172" s="49"/>
      <c r="F172" s="49"/>
      <c r="G172" s="50"/>
    </row>
    <row r="173" spans="2:7">
      <c r="B173" s="51"/>
      <c r="C173" s="52" t="s">
        <v>203</v>
      </c>
      <c r="D173" s="52" t="s">
        <v>203</v>
      </c>
      <c r="E173" s="52" t="s">
        <v>203</v>
      </c>
      <c r="F173" s="52" t="s">
        <v>203</v>
      </c>
      <c r="G173" s="52" t="s">
        <v>203</v>
      </c>
    </row>
    <row r="174" spans="2:7">
      <c r="B174" s="633" t="s">
        <v>204</v>
      </c>
      <c r="C174" s="691" t="s">
        <v>253</v>
      </c>
      <c r="D174" s="636" t="s">
        <v>254</v>
      </c>
      <c r="E174" s="636" t="s">
        <v>255</v>
      </c>
      <c r="F174" s="636" t="s">
        <v>202</v>
      </c>
      <c r="G174" s="636" t="s">
        <v>202</v>
      </c>
    </row>
    <row r="175" spans="2:7">
      <c r="B175" s="634"/>
      <c r="C175" s="692"/>
      <c r="D175" s="637"/>
      <c r="E175" s="637"/>
      <c r="F175" s="637"/>
      <c r="G175" s="637"/>
    </row>
    <row r="176" spans="2:7">
      <c r="B176" s="634"/>
      <c r="C176" s="692"/>
      <c r="D176" s="637"/>
      <c r="E176" s="637"/>
      <c r="F176" s="637"/>
      <c r="G176" s="637"/>
    </row>
    <row r="177" spans="2:7">
      <c r="B177" s="635"/>
      <c r="C177" s="693"/>
      <c r="D177" s="638"/>
      <c r="E177" s="638"/>
      <c r="F177" s="638"/>
      <c r="G177" s="638"/>
    </row>
    <row r="178" spans="2:7">
      <c r="B178" s="633" t="s">
        <v>208</v>
      </c>
      <c r="C178" s="636" t="s">
        <v>256</v>
      </c>
      <c r="D178" s="636" t="s">
        <v>257</v>
      </c>
      <c r="E178" s="636" t="s">
        <v>258</v>
      </c>
      <c r="F178" s="636" t="s">
        <v>202</v>
      </c>
      <c r="G178" s="636" t="s">
        <v>202</v>
      </c>
    </row>
    <row r="179" spans="2:7">
      <c r="B179" s="634"/>
      <c r="C179" s="637"/>
      <c r="D179" s="637"/>
      <c r="E179" s="637"/>
      <c r="F179" s="637"/>
      <c r="G179" s="637"/>
    </row>
    <row r="180" spans="2:7">
      <c r="B180" s="634"/>
      <c r="C180" s="637"/>
      <c r="D180" s="637"/>
      <c r="E180" s="637"/>
      <c r="F180" s="637"/>
      <c r="G180" s="637"/>
    </row>
    <row r="181" spans="2:7">
      <c r="B181" s="635"/>
      <c r="C181" s="638"/>
      <c r="D181" s="638"/>
      <c r="E181" s="638"/>
      <c r="F181" s="638"/>
      <c r="G181" s="638"/>
    </row>
    <row r="182" spans="2:7">
      <c r="B182" s="53"/>
      <c r="C182" s="49"/>
      <c r="D182" s="49"/>
      <c r="E182" s="49"/>
      <c r="F182" s="49"/>
      <c r="G182" s="50"/>
    </row>
    <row r="183" spans="2:7">
      <c r="B183" s="656" t="s">
        <v>212</v>
      </c>
      <c r="C183" s="657"/>
      <c r="D183" s="657"/>
      <c r="E183" s="658" t="s">
        <v>213</v>
      </c>
      <c r="F183" s="658"/>
      <c r="G183" s="659"/>
    </row>
    <row r="184" spans="2:7">
      <c r="B184" s="660" t="s">
        <v>259</v>
      </c>
      <c r="C184" s="661"/>
      <c r="D184" s="661"/>
      <c r="E184" s="662" t="s">
        <v>260</v>
      </c>
      <c r="F184" s="661"/>
      <c r="G184" s="663"/>
    </row>
    <row r="185" spans="2:7">
      <c r="B185" s="660"/>
      <c r="C185" s="661"/>
      <c r="D185" s="661"/>
      <c r="E185" s="661"/>
      <c r="F185" s="661"/>
      <c r="G185" s="663"/>
    </row>
    <row r="186" spans="2:7">
      <c r="B186" s="660"/>
      <c r="C186" s="661"/>
      <c r="D186" s="661"/>
      <c r="E186" s="661"/>
      <c r="F186" s="661"/>
      <c r="G186" s="663"/>
    </row>
    <row r="187" spans="2:7">
      <c r="B187" s="660"/>
      <c r="C187" s="661"/>
      <c r="D187" s="661"/>
      <c r="E187" s="661"/>
      <c r="F187" s="661"/>
      <c r="G187" s="663"/>
    </row>
    <row r="188" spans="2:7">
      <c r="B188" s="54"/>
      <c r="C188" s="55"/>
      <c r="D188" s="55"/>
      <c r="E188" s="55"/>
      <c r="F188" s="55"/>
      <c r="G188" s="56"/>
    </row>
    <row r="189" spans="2:7">
      <c r="B189" s="57"/>
      <c r="C189" s="58"/>
      <c r="D189" s="58"/>
      <c r="E189" s="58"/>
      <c r="F189" s="58"/>
      <c r="G189" s="59"/>
    </row>
    <row r="190" spans="2:7" ht="15.75">
      <c r="B190" s="664" t="s">
        <v>216</v>
      </c>
      <c r="C190" s="665"/>
      <c r="D190" s="665"/>
      <c r="E190" s="665"/>
      <c r="F190" s="665"/>
      <c r="G190" s="666"/>
    </row>
    <row r="191" spans="2:7">
      <c r="B191" s="667" t="s">
        <v>217</v>
      </c>
      <c r="C191" s="668"/>
      <c r="D191" s="668" t="s">
        <v>218</v>
      </c>
      <c r="E191" s="668"/>
      <c r="F191" s="669" t="s">
        <v>219</v>
      </c>
      <c r="G191" s="670"/>
    </row>
    <row r="192" spans="2:7">
      <c r="B192" s="675"/>
      <c r="C192" s="676"/>
      <c r="D192" s="679"/>
      <c r="E192" s="676"/>
      <c r="F192" s="681"/>
      <c r="G192" s="682"/>
    </row>
    <row r="193" spans="2:7">
      <c r="B193" s="677"/>
      <c r="C193" s="678"/>
      <c r="D193" s="680"/>
      <c r="E193" s="678"/>
      <c r="F193" s="683"/>
      <c r="G193" s="684"/>
    </row>
    <row r="194" spans="2:7">
      <c r="B194" s="57"/>
      <c r="C194" s="58"/>
      <c r="D194" s="58"/>
      <c r="E194" s="58"/>
      <c r="F194" s="58"/>
      <c r="G194" s="59"/>
    </row>
    <row r="195" spans="2:7">
      <c r="B195" s="685" t="s">
        <v>220</v>
      </c>
      <c r="C195" s="686"/>
      <c r="D195" s="669" t="s">
        <v>221</v>
      </c>
      <c r="E195" s="686"/>
      <c r="F195" s="669" t="s">
        <v>222</v>
      </c>
      <c r="G195" s="670"/>
    </row>
    <row r="196" spans="2:7">
      <c r="B196" s="671"/>
      <c r="C196" s="672"/>
      <c r="D196" s="673"/>
      <c r="E196" s="672"/>
      <c r="F196" s="673" t="s">
        <v>230</v>
      </c>
      <c r="G196" s="674"/>
    </row>
    <row r="197" spans="2:7">
      <c r="B197" s="58"/>
      <c r="C197" s="58"/>
      <c r="D197" s="58"/>
      <c r="E197" s="58"/>
      <c r="F197" s="58"/>
      <c r="G197" s="58"/>
    </row>
    <row r="198" spans="2:7">
      <c r="B198" s="58"/>
      <c r="C198" s="58"/>
      <c r="D198" s="58"/>
      <c r="E198" s="58"/>
      <c r="F198" s="58"/>
      <c r="G198" s="58"/>
    </row>
    <row r="199" spans="2:7" ht="15.75">
      <c r="B199" s="543" t="s">
        <v>189</v>
      </c>
      <c r="C199" s="544"/>
      <c r="D199" s="544"/>
      <c r="E199" s="544"/>
      <c r="F199" s="544"/>
      <c r="G199" s="545"/>
    </row>
    <row r="200" spans="2:7" ht="15.75">
      <c r="B200" s="643" t="s">
        <v>190</v>
      </c>
      <c r="C200" s="644"/>
      <c r="D200" s="644"/>
      <c r="E200" s="644"/>
      <c r="F200" s="644"/>
      <c r="G200" s="645"/>
    </row>
    <row r="201" spans="2:7">
      <c r="B201" s="646" t="s">
        <v>191</v>
      </c>
      <c r="C201" s="647"/>
      <c r="D201" s="648" t="s">
        <v>192</v>
      </c>
      <c r="E201" s="649"/>
      <c r="F201" s="652" t="s">
        <v>193</v>
      </c>
      <c r="G201" s="44" t="s">
        <v>194</v>
      </c>
    </row>
    <row r="202" spans="2:7">
      <c r="B202" s="654" t="s">
        <v>261</v>
      </c>
      <c r="C202" s="655"/>
      <c r="D202" s="650"/>
      <c r="E202" s="651"/>
      <c r="F202" s="653"/>
      <c r="G202" s="45" t="s">
        <v>262</v>
      </c>
    </row>
    <row r="203" spans="2:7" ht="22.5">
      <c r="B203" s="618" t="s">
        <v>197</v>
      </c>
      <c r="C203" s="619"/>
      <c r="D203" s="624" t="s">
        <v>263</v>
      </c>
      <c r="E203" s="687"/>
      <c r="F203" s="630">
        <v>120</v>
      </c>
      <c r="G203" s="46" t="s">
        <v>199</v>
      </c>
    </row>
    <row r="204" spans="2:7">
      <c r="B204" s="620"/>
      <c r="C204" s="621"/>
      <c r="D204" s="626"/>
      <c r="E204" s="688"/>
      <c r="F204" s="631"/>
      <c r="G204" s="47" t="s">
        <v>200</v>
      </c>
    </row>
    <row r="205" spans="2:7">
      <c r="B205" s="622"/>
      <c r="C205" s="623"/>
      <c r="D205" s="628"/>
      <c r="E205" s="703"/>
      <c r="F205" s="632"/>
      <c r="G205" s="46" t="s">
        <v>201</v>
      </c>
    </row>
    <row r="206" spans="2:7">
      <c r="B206" s="48" t="s">
        <v>202</v>
      </c>
      <c r="C206" s="49"/>
      <c r="D206" s="49"/>
      <c r="E206" s="49"/>
      <c r="F206" s="49"/>
      <c r="G206" s="50"/>
    </row>
    <row r="207" spans="2:7">
      <c r="B207" s="51"/>
      <c r="C207" s="52" t="s">
        <v>203</v>
      </c>
      <c r="D207" s="52" t="s">
        <v>203</v>
      </c>
      <c r="E207" s="52" t="s">
        <v>203</v>
      </c>
      <c r="F207" s="52" t="s">
        <v>203</v>
      </c>
      <c r="G207" s="52" t="s">
        <v>203</v>
      </c>
    </row>
    <row r="208" spans="2:7">
      <c r="B208" s="633" t="s">
        <v>204</v>
      </c>
      <c r="C208" s="691" t="s">
        <v>264</v>
      </c>
      <c r="D208" s="636" t="s">
        <v>265</v>
      </c>
      <c r="E208" s="636" t="s">
        <v>266</v>
      </c>
      <c r="F208" s="636" t="s">
        <v>202</v>
      </c>
      <c r="G208" s="636" t="s">
        <v>202</v>
      </c>
    </row>
    <row r="209" spans="2:7">
      <c r="B209" s="634"/>
      <c r="C209" s="692"/>
      <c r="D209" s="637"/>
      <c r="E209" s="637"/>
      <c r="F209" s="637"/>
      <c r="G209" s="637"/>
    </row>
    <row r="210" spans="2:7">
      <c r="B210" s="634"/>
      <c r="C210" s="692"/>
      <c r="D210" s="637"/>
      <c r="E210" s="637"/>
      <c r="F210" s="637"/>
      <c r="G210" s="637"/>
    </row>
    <row r="211" spans="2:7">
      <c r="B211" s="635"/>
      <c r="C211" s="693"/>
      <c r="D211" s="638"/>
      <c r="E211" s="638"/>
      <c r="F211" s="638"/>
      <c r="G211" s="638"/>
    </row>
    <row r="212" spans="2:7">
      <c r="B212" s="633" t="s">
        <v>208</v>
      </c>
      <c r="C212" s="636" t="s">
        <v>267</v>
      </c>
      <c r="D212" s="636" t="s">
        <v>268</v>
      </c>
      <c r="E212" s="636" t="s">
        <v>269</v>
      </c>
      <c r="F212" s="636" t="s">
        <v>202</v>
      </c>
      <c r="G212" s="636" t="s">
        <v>202</v>
      </c>
    </row>
    <row r="213" spans="2:7">
      <c r="B213" s="634"/>
      <c r="C213" s="637"/>
      <c r="D213" s="637"/>
      <c r="E213" s="637"/>
      <c r="F213" s="637"/>
      <c r="G213" s="637"/>
    </row>
    <row r="214" spans="2:7">
      <c r="B214" s="634"/>
      <c r="C214" s="637"/>
      <c r="D214" s="637"/>
      <c r="E214" s="637"/>
      <c r="F214" s="637"/>
      <c r="G214" s="637"/>
    </row>
    <row r="215" spans="2:7">
      <c r="B215" s="635"/>
      <c r="C215" s="638"/>
      <c r="D215" s="638"/>
      <c r="E215" s="638"/>
      <c r="F215" s="638"/>
      <c r="G215" s="638"/>
    </row>
    <row r="216" spans="2:7">
      <c r="B216" s="53"/>
      <c r="C216" s="49"/>
      <c r="D216" s="49"/>
      <c r="E216" s="49"/>
      <c r="F216" s="49"/>
      <c r="G216" s="50"/>
    </row>
    <row r="217" spans="2:7">
      <c r="B217" s="656" t="s">
        <v>212</v>
      </c>
      <c r="C217" s="657"/>
      <c r="D217" s="657"/>
      <c r="E217" s="658" t="s">
        <v>213</v>
      </c>
      <c r="F217" s="658"/>
      <c r="G217" s="659"/>
    </row>
    <row r="218" spans="2:7">
      <c r="B218" s="660" t="s">
        <v>269</v>
      </c>
      <c r="C218" s="661"/>
      <c r="D218" s="661"/>
      <c r="E218" s="662" t="s">
        <v>270</v>
      </c>
      <c r="F218" s="661"/>
      <c r="G218" s="663"/>
    </row>
    <row r="219" spans="2:7">
      <c r="B219" s="660"/>
      <c r="C219" s="661"/>
      <c r="D219" s="661"/>
      <c r="E219" s="661"/>
      <c r="F219" s="661"/>
      <c r="G219" s="663"/>
    </row>
    <row r="220" spans="2:7">
      <c r="B220" s="660"/>
      <c r="C220" s="661"/>
      <c r="D220" s="661"/>
      <c r="E220" s="661"/>
      <c r="F220" s="661"/>
      <c r="G220" s="663"/>
    </row>
    <row r="221" spans="2:7">
      <c r="B221" s="660"/>
      <c r="C221" s="661"/>
      <c r="D221" s="661"/>
      <c r="E221" s="661"/>
      <c r="F221" s="661"/>
      <c r="G221" s="663"/>
    </row>
    <row r="222" spans="2:7">
      <c r="B222" s="54"/>
      <c r="C222" s="55"/>
      <c r="D222" s="55"/>
      <c r="E222" s="55"/>
      <c r="F222" s="55"/>
      <c r="G222" s="56"/>
    </row>
    <row r="223" spans="2:7">
      <c r="B223" s="57"/>
      <c r="C223" s="58"/>
      <c r="D223" s="58"/>
      <c r="E223" s="58"/>
      <c r="F223" s="58"/>
      <c r="G223" s="59"/>
    </row>
    <row r="224" spans="2:7" ht="15.75">
      <c r="B224" s="664" t="s">
        <v>216</v>
      </c>
      <c r="C224" s="665"/>
      <c r="D224" s="665"/>
      <c r="E224" s="665"/>
      <c r="F224" s="665"/>
      <c r="G224" s="666"/>
    </row>
    <row r="225" spans="2:7">
      <c r="B225" s="667" t="s">
        <v>217</v>
      </c>
      <c r="C225" s="668"/>
      <c r="D225" s="668" t="s">
        <v>218</v>
      </c>
      <c r="E225" s="668"/>
      <c r="F225" s="669" t="s">
        <v>219</v>
      </c>
      <c r="G225" s="670"/>
    </row>
    <row r="226" spans="2:7">
      <c r="B226" s="675"/>
      <c r="C226" s="676"/>
      <c r="D226" s="679"/>
      <c r="E226" s="676"/>
      <c r="F226" s="681"/>
      <c r="G226" s="682"/>
    </row>
    <row r="227" spans="2:7">
      <c r="B227" s="677"/>
      <c r="C227" s="678"/>
      <c r="D227" s="680"/>
      <c r="E227" s="678"/>
      <c r="F227" s="683"/>
      <c r="G227" s="684"/>
    </row>
    <row r="228" spans="2:7">
      <c r="B228" s="57"/>
      <c r="C228" s="58"/>
      <c r="D228" s="58"/>
      <c r="E228" s="58"/>
      <c r="F228" s="58"/>
      <c r="G228" s="59"/>
    </row>
    <row r="229" spans="2:7">
      <c r="B229" s="685" t="s">
        <v>220</v>
      </c>
      <c r="C229" s="686"/>
      <c r="D229" s="669" t="s">
        <v>221</v>
      </c>
      <c r="E229" s="686"/>
      <c r="F229" s="669" t="s">
        <v>222</v>
      </c>
      <c r="G229" s="670"/>
    </row>
    <row r="230" spans="2:7">
      <c r="B230" s="671"/>
      <c r="C230" s="672"/>
      <c r="D230" s="673"/>
      <c r="E230" s="672"/>
      <c r="F230" s="673" t="s">
        <v>230</v>
      </c>
      <c r="G230" s="674"/>
    </row>
    <row r="231" spans="2:7">
      <c r="B231" s="58"/>
      <c r="C231" s="58"/>
      <c r="D231" s="58"/>
      <c r="E231" s="58"/>
      <c r="F231" s="58"/>
      <c r="G231" s="58"/>
    </row>
    <row r="232" spans="2:7">
      <c r="B232" s="58"/>
      <c r="C232" s="58"/>
      <c r="D232" s="58"/>
      <c r="E232" s="58"/>
      <c r="F232" s="58"/>
      <c r="G232" s="58"/>
    </row>
    <row r="233" spans="2:7" ht="15.75">
      <c r="B233" s="543" t="s">
        <v>189</v>
      </c>
      <c r="C233" s="544"/>
      <c r="D233" s="544"/>
      <c r="E233" s="544"/>
      <c r="F233" s="544"/>
      <c r="G233" s="545"/>
    </row>
    <row r="234" spans="2:7" ht="15.75">
      <c r="B234" s="643" t="s">
        <v>190</v>
      </c>
      <c r="C234" s="644"/>
      <c r="D234" s="644"/>
      <c r="E234" s="644"/>
      <c r="F234" s="644"/>
      <c r="G234" s="645"/>
    </row>
    <row r="235" spans="2:7">
      <c r="B235" s="646" t="s">
        <v>191</v>
      </c>
      <c r="C235" s="647"/>
      <c r="D235" s="648" t="s">
        <v>192</v>
      </c>
      <c r="E235" s="649"/>
      <c r="F235" s="652" t="s">
        <v>193</v>
      </c>
      <c r="G235" s="44" t="s">
        <v>194</v>
      </c>
    </row>
    <row r="236" spans="2:7">
      <c r="B236" s="654" t="s">
        <v>271</v>
      </c>
      <c r="C236" s="655"/>
      <c r="D236" s="650"/>
      <c r="E236" s="651"/>
      <c r="F236" s="653"/>
      <c r="G236" s="45" t="s">
        <v>272</v>
      </c>
    </row>
    <row r="237" spans="2:7" ht="22.5">
      <c r="B237" s="618" t="s">
        <v>197</v>
      </c>
      <c r="C237" s="619"/>
      <c r="D237" s="624" t="s">
        <v>273</v>
      </c>
      <c r="E237" s="687"/>
      <c r="F237" s="630">
        <v>248</v>
      </c>
      <c r="G237" s="46" t="s">
        <v>199</v>
      </c>
    </row>
    <row r="238" spans="2:7">
      <c r="B238" s="620"/>
      <c r="C238" s="621"/>
      <c r="D238" s="626"/>
      <c r="E238" s="688"/>
      <c r="F238" s="631"/>
      <c r="G238" s="47" t="s">
        <v>200</v>
      </c>
    </row>
    <row r="239" spans="2:7">
      <c r="B239" s="622"/>
      <c r="C239" s="623"/>
      <c r="D239" s="628"/>
      <c r="E239" s="703"/>
      <c r="F239" s="632"/>
      <c r="G239" s="46" t="s">
        <v>201</v>
      </c>
    </row>
    <row r="240" spans="2:7">
      <c r="B240" s="48" t="s">
        <v>202</v>
      </c>
      <c r="C240" s="49"/>
      <c r="D240" s="49"/>
      <c r="E240" s="49"/>
      <c r="F240" s="49"/>
      <c r="G240" s="50"/>
    </row>
    <row r="241" spans="2:7">
      <c r="B241" s="51"/>
      <c r="C241" s="52" t="s">
        <v>203</v>
      </c>
      <c r="D241" s="52" t="s">
        <v>203</v>
      </c>
      <c r="E241" s="52" t="s">
        <v>203</v>
      </c>
      <c r="F241" s="52" t="s">
        <v>203</v>
      </c>
      <c r="G241" s="52" t="s">
        <v>203</v>
      </c>
    </row>
    <row r="242" spans="2:7">
      <c r="B242" s="633" t="s">
        <v>204</v>
      </c>
      <c r="C242" s="691" t="s">
        <v>264</v>
      </c>
      <c r="D242" s="636" t="s">
        <v>274</v>
      </c>
      <c r="E242" s="636" t="s">
        <v>275</v>
      </c>
      <c r="F242" s="636" t="s">
        <v>202</v>
      </c>
      <c r="G242" s="636" t="s">
        <v>202</v>
      </c>
    </row>
    <row r="243" spans="2:7">
      <c r="B243" s="634"/>
      <c r="C243" s="692"/>
      <c r="D243" s="637"/>
      <c r="E243" s="637"/>
      <c r="F243" s="637"/>
      <c r="G243" s="637"/>
    </row>
    <row r="244" spans="2:7">
      <c r="B244" s="634"/>
      <c r="C244" s="692"/>
      <c r="D244" s="637"/>
      <c r="E244" s="637"/>
      <c r="F244" s="637"/>
      <c r="G244" s="637"/>
    </row>
    <row r="245" spans="2:7">
      <c r="B245" s="635"/>
      <c r="C245" s="693"/>
      <c r="D245" s="638"/>
      <c r="E245" s="638"/>
      <c r="F245" s="638"/>
      <c r="G245" s="638"/>
    </row>
    <row r="246" spans="2:7">
      <c r="B246" s="633" t="s">
        <v>208</v>
      </c>
      <c r="C246" s="636" t="s">
        <v>276</v>
      </c>
      <c r="D246" s="636" t="s">
        <v>277</v>
      </c>
      <c r="E246" s="636" t="s">
        <v>278</v>
      </c>
      <c r="F246" s="636" t="s">
        <v>202</v>
      </c>
      <c r="G246" s="636" t="s">
        <v>202</v>
      </c>
    </row>
    <row r="247" spans="2:7">
      <c r="B247" s="634"/>
      <c r="C247" s="637"/>
      <c r="D247" s="637"/>
      <c r="E247" s="637"/>
      <c r="F247" s="637"/>
      <c r="G247" s="637"/>
    </row>
    <row r="248" spans="2:7">
      <c r="B248" s="634"/>
      <c r="C248" s="637"/>
      <c r="D248" s="637"/>
      <c r="E248" s="637"/>
      <c r="F248" s="637"/>
      <c r="G248" s="637"/>
    </row>
    <row r="249" spans="2:7">
      <c r="B249" s="635"/>
      <c r="C249" s="638"/>
      <c r="D249" s="638"/>
      <c r="E249" s="638"/>
      <c r="F249" s="638"/>
      <c r="G249" s="638"/>
    </row>
    <row r="250" spans="2:7">
      <c r="B250" s="53"/>
      <c r="C250" s="49"/>
      <c r="D250" s="49"/>
      <c r="E250" s="49"/>
      <c r="F250" s="49"/>
      <c r="G250" s="50"/>
    </row>
    <row r="251" spans="2:7">
      <c r="B251" s="656" t="s">
        <v>212</v>
      </c>
      <c r="C251" s="657"/>
      <c r="D251" s="657"/>
      <c r="E251" s="658" t="s">
        <v>213</v>
      </c>
      <c r="F251" s="658"/>
      <c r="G251" s="659"/>
    </row>
    <row r="252" spans="2:7">
      <c r="B252" s="660" t="s">
        <v>279</v>
      </c>
      <c r="C252" s="661"/>
      <c r="D252" s="661"/>
      <c r="E252" s="662" t="s">
        <v>280</v>
      </c>
      <c r="F252" s="661"/>
      <c r="G252" s="663"/>
    </row>
    <row r="253" spans="2:7">
      <c r="B253" s="660"/>
      <c r="C253" s="661"/>
      <c r="D253" s="661"/>
      <c r="E253" s="661"/>
      <c r="F253" s="661"/>
      <c r="G253" s="663"/>
    </row>
    <row r="254" spans="2:7">
      <c r="B254" s="660"/>
      <c r="C254" s="661"/>
      <c r="D254" s="661"/>
      <c r="E254" s="661"/>
      <c r="F254" s="661"/>
      <c r="G254" s="663"/>
    </row>
    <row r="255" spans="2:7">
      <c r="B255" s="660"/>
      <c r="C255" s="661"/>
      <c r="D255" s="661"/>
      <c r="E255" s="661"/>
      <c r="F255" s="661"/>
      <c r="G255" s="663"/>
    </row>
    <row r="256" spans="2:7">
      <c r="B256" s="54"/>
      <c r="C256" s="55"/>
      <c r="D256" s="55"/>
      <c r="E256" s="55"/>
      <c r="F256" s="55"/>
      <c r="G256" s="56"/>
    </row>
    <row r="257" spans="2:7">
      <c r="B257" s="57"/>
      <c r="C257" s="58"/>
      <c r="D257" s="58"/>
      <c r="E257" s="58"/>
      <c r="F257" s="58"/>
      <c r="G257" s="59"/>
    </row>
    <row r="258" spans="2:7" ht="15.75">
      <c r="B258" s="664" t="s">
        <v>216</v>
      </c>
      <c r="C258" s="665"/>
      <c r="D258" s="665"/>
      <c r="E258" s="665"/>
      <c r="F258" s="665"/>
      <c r="G258" s="666"/>
    </row>
    <row r="259" spans="2:7">
      <c r="B259" s="667" t="s">
        <v>217</v>
      </c>
      <c r="C259" s="668"/>
      <c r="D259" s="668" t="s">
        <v>218</v>
      </c>
      <c r="E259" s="668"/>
      <c r="F259" s="669" t="s">
        <v>219</v>
      </c>
      <c r="G259" s="670"/>
    </row>
    <row r="260" spans="2:7">
      <c r="B260" s="675"/>
      <c r="C260" s="676"/>
      <c r="D260" s="679"/>
      <c r="E260" s="676"/>
      <c r="F260" s="681"/>
      <c r="G260" s="682"/>
    </row>
    <row r="261" spans="2:7">
      <c r="B261" s="677"/>
      <c r="C261" s="678"/>
      <c r="D261" s="680"/>
      <c r="E261" s="678"/>
      <c r="F261" s="683"/>
      <c r="G261" s="684"/>
    </row>
    <row r="262" spans="2:7">
      <c r="B262" s="57"/>
      <c r="C262" s="58"/>
      <c r="D262" s="58"/>
      <c r="E262" s="58"/>
      <c r="F262" s="58"/>
      <c r="G262" s="59"/>
    </row>
    <row r="263" spans="2:7">
      <c r="B263" s="685" t="s">
        <v>220</v>
      </c>
      <c r="C263" s="686"/>
      <c r="D263" s="669" t="s">
        <v>221</v>
      </c>
      <c r="E263" s="686"/>
      <c r="F263" s="669" t="s">
        <v>222</v>
      </c>
      <c r="G263" s="670"/>
    </row>
    <row r="264" spans="2:7">
      <c r="B264" s="671"/>
      <c r="C264" s="672"/>
      <c r="D264" s="673"/>
      <c r="E264" s="672"/>
      <c r="F264" s="673" t="s">
        <v>230</v>
      </c>
      <c r="G264" s="674"/>
    </row>
    <row r="265" spans="2:7">
      <c r="B265" s="58"/>
      <c r="C265" s="58"/>
      <c r="D265" s="58"/>
      <c r="E265" s="58"/>
      <c r="F265" s="58"/>
      <c r="G265" s="58"/>
    </row>
    <row r="266" spans="2:7">
      <c r="B266" s="58"/>
      <c r="C266" s="58"/>
      <c r="D266" s="58"/>
      <c r="E266" s="58"/>
      <c r="F266" s="58"/>
      <c r="G266" s="58"/>
    </row>
    <row r="267" spans="2:7" ht="15.75">
      <c r="B267" s="543" t="s">
        <v>189</v>
      </c>
      <c r="C267" s="544"/>
      <c r="D267" s="544"/>
      <c r="E267" s="544"/>
      <c r="F267" s="544"/>
      <c r="G267" s="545"/>
    </row>
    <row r="268" spans="2:7" ht="15.75">
      <c r="B268" s="643" t="s">
        <v>190</v>
      </c>
      <c r="C268" s="644"/>
      <c r="D268" s="644"/>
      <c r="E268" s="644"/>
      <c r="F268" s="644"/>
      <c r="G268" s="645"/>
    </row>
    <row r="269" spans="2:7">
      <c r="B269" s="646" t="s">
        <v>191</v>
      </c>
      <c r="C269" s="647"/>
      <c r="D269" s="648" t="s">
        <v>192</v>
      </c>
      <c r="E269" s="649"/>
      <c r="F269" s="652" t="s">
        <v>193</v>
      </c>
      <c r="G269" s="44" t="s">
        <v>194</v>
      </c>
    </row>
    <row r="270" spans="2:7">
      <c r="B270" s="654" t="s">
        <v>281</v>
      </c>
      <c r="C270" s="655"/>
      <c r="D270" s="650"/>
      <c r="E270" s="651"/>
      <c r="F270" s="653"/>
      <c r="G270" s="45" t="s">
        <v>282</v>
      </c>
    </row>
    <row r="271" spans="2:7" ht="22.5">
      <c r="B271" s="618" t="s">
        <v>197</v>
      </c>
      <c r="C271" s="619"/>
      <c r="D271" s="624" t="s">
        <v>273</v>
      </c>
      <c r="E271" s="687"/>
      <c r="F271" s="630">
        <v>270</v>
      </c>
      <c r="G271" s="46" t="s">
        <v>199</v>
      </c>
    </row>
    <row r="272" spans="2:7">
      <c r="B272" s="620"/>
      <c r="C272" s="621"/>
      <c r="D272" s="626"/>
      <c r="E272" s="688"/>
      <c r="F272" s="631"/>
      <c r="G272" s="47" t="s">
        <v>200</v>
      </c>
    </row>
    <row r="273" spans="2:7">
      <c r="B273" s="622"/>
      <c r="C273" s="623"/>
      <c r="D273" s="628"/>
      <c r="E273" s="703"/>
      <c r="F273" s="632"/>
      <c r="G273" s="46" t="s">
        <v>201</v>
      </c>
    </row>
    <row r="274" spans="2:7">
      <c r="B274" s="48" t="s">
        <v>202</v>
      </c>
      <c r="C274" s="49"/>
      <c r="D274" s="49"/>
      <c r="E274" s="49"/>
      <c r="F274" s="49"/>
      <c r="G274" s="50"/>
    </row>
    <row r="275" spans="2:7">
      <c r="B275" s="51"/>
      <c r="C275" s="52" t="s">
        <v>203</v>
      </c>
      <c r="D275" s="52" t="s">
        <v>203</v>
      </c>
      <c r="E275" s="52" t="s">
        <v>203</v>
      </c>
      <c r="F275" s="52" t="s">
        <v>203</v>
      </c>
      <c r="G275" s="52" t="s">
        <v>203</v>
      </c>
    </row>
    <row r="276" spans="2:7">
      <c r="B276" s="633" t="s">
        <v>204</v>
      </c>
      <c r="C276" s="691" t="s">
        <v>264</v>
      </c>
      <c r="D276" s="636" t="s">
        <v>274</v>
      </c>
      <c r="E276" s="636" t="s">
        <v>275</v>
      </c>
      <c r="F276" s="636" t="s">
        <v>202</v>
      </c>
      <c r="G276" s="636" t="s">
        <v>202</v>
      </c>
    </row>
    <row r="277" spans="2:7">
      <c r="B277" s="634"/>
      <c r="C277" s="692"/>
      <c r="D277" s="637"/>
      <c r="E277" s="637"/>
      <c r="F277" s="637"/>
      <c r="G277" s="637"/>
    </row>
    <row r="278" spans="2:7">
      <c r="B278" s="634"/>
      <c r="C278" s="692"/>
      <c r="D278" s="637"/>
      <c r="E278" s="637"/>
      <c r="F278" s="637"/>
      <c r="G278" s="637"/>
    </row>
    <row r="279" spans="2:7">
      <c r="B279" s="635"/>
      <c r="C279" s="693"/>
      <c r="D279" s="638"/>
      <c r="E279" s="638"/>
      <c r="F279" s="638"/>
      <c r="G279" s="638"/>
    </row>
    <row r="280" spans="2:7">
      <c r="B280" s="633" t="s">
        <v>208</v>
      </c>
      <c r="C280" s="636" t="s">
        <v>276</v>
      </c>
      <c r="D280" s="636" t="s">
        <v>277</v>
      </c>
      <c r="E280" s="636" t="s">
        <v>278</v>
      </c>
      <c r="F280" s="636" t="s">
        <v>202</v>
      </c>
      <c r="G280" s="636" t="s">
        <v>202</v>
      </c>
    </row>
    <row r="281" spans="2:7">
      <c r="B281" s="634"/>
      <c r="C281" s="637"/>
      <c r="D281" s="637"/>
      <c r="E281" s="637"/>
      <c r="F281" s="637"/>
      <c r="G281" s="637"/>
    </row>
    <row r="282" spans="2:7">
      <c r="B282" s="634"/>
      <c r="C282" s="637"/>
      <c r="D282" s="637"/>
      <c r="E282" s="637"/>
      <c r="F282" s="637"/>
      <c r="G282" s="637"/>
    </row>
    <row r="283" spans="2:7">
      <c r="B283" s="635"/>
      <c r="C283" s="638"/>
      <c r="D283" s="638"/>
      <c r="E283" s="638"/>
      <c r="F283" s="638"/>
      <c r="G283" s="638"/>
    </row>
    <row r="284" spans="2:7">
      <c r="B284" s="53"/>
      <c r="C284" s="49"/>
      <c r="D284" s="49"/>
      <c r="E284" s="49"/>
      <c r="F284" s="49"/>
      <c r="G284" s="50"/>
    </row>
    <row r="285" spans="2:7">
      <c r="B285" s="656" t="s">
        <v>212</v>
      </c>
      <c r="C285" s="657"/>
      <c r="D285" s="657"/>
      <c r="E285" s="658" t="s">
        <v>213</v>
      </c>
      <c r="F285" s="658"/>
      <c r="G285" s="659"/>
    </row>
    <row r="286" spans="2:7">
      <c r="B286" s="660" t="s">
        <v>279</v>
      </c>
      <c r="C286" s="661"/>
      <c r="D286" s="661"/>
      <c r="E286" s="662" t="s">
        <v>283</v>
      </c>
      <c r="F286" s="661"/>
      <c r="G286" s="663"/>
    </row>
    <row r="287" spans="2:7">
      <c r="B287" s="660"/>
      <c r="C287" s="661"/>
      <c r="D287" s="661"/>
      <c r="E287" s="661"/>
      <c r="F287" s="661"/>
      <c r="G287" s="663"/>
    </row>
    <row r="288" spans="2:7">
      <c r="B288" s="660"/>
      <c r="C288" s="661"/>
      <c r="D288" s="661"/>
      <c r="E288" s="661"/>
      <c r="F288" s="661"/>
      <c r="G288" s="663"/>
    </row>
    <row r="289" spans="2:7">
      <c r="B289" s="660"/>
      <c r="C289" s="661"/>
      <c r="D289" s="661"/>
      <c r="E289" s="661"/>
      <c r="F289" s="661"/>
      <c r="G289" s="663"/>
    </row>
    <row r="290" spans="2:7">
      <c r="B290" s="54"/>
      <c r="C290" s="55"/>
      <c r="D290" s="55"/>
      <c r="E290" s="55"/>
      <c r="F290" s="55"/>
      <c r="G290" s="56"/>
    </row>
    <row r="291" spans="2:7">
      <c r="B291" s="57"/>
      <c r="C291" s="58"/>
      <c r="D291" s="58"/>
      <c r="E291" s="58"/>
      <c r="F291" s="58"/>
      <c r="G291" s="59"/>
    </row>
    <row r="292" spans="2:7" ht="15.75">
      <c r="B292" s="664" t="s">
        <v>216</v>
      </c>
      <c r="C292" s="665"/>
      <c r="D292" s="665"/>
      <c r="E292" s="665"/>
      <c r="F292" s="665"/>
      <c r="G292" s="666"/>
    </row>
    <row r="293" spans="2:7">
      <c r="B293" s="667" t="s">
        <v>217</v>
      </c>
      <c r="C293" s="668"/>
      <c r="D293" s="668" t="s">
        <v>218</v>
      </c>
      <c r="E293" s="668"/>
      <c r="F293" s="669" t="s">
        <v>219</v>
      </c>
      <c r="G293" s="670"/>
    </row>
    <row r="294" spans="2:7">
      <c r="B294" s="675"/>
      <c r="C294" s="676"/>
      <c r="D294" s="679"/>
      <c r="E294" s="676"/>
      <c r="F294" s="681"/>
      <c r="G294" s="682"/>
    </row>
    <row r="295" spans="2:7">
      <c r="B295" s="677"/>
      <c r="C295" s="678"/>
      <c r="D295" s="680"/>
      <c r="E295" s="678"/>
      <c r="F295" s="683"/>
      <c r="G295" s="684"/>
    </row>
    <row r="296" spans="2:7">
      <c r="B296" s="57"/>
      <c r="C296" s="58"/>
      <c r="D296" s="58"/>
      <c r="E296" s="58"/>
      <c r="F296" s="58"/>
      <c r="G296" s="59"/>
    </row>
    <row r="297" spans="2:7">
      <c r="B297" s="685" t="s">
        <v>220</v>
      </c>
      <c r="C297" s="686"/>
      <c r="D297" s="669" t="s">
        <v>221</v>
      </c>
      <c r="E297" s="686"/>
      <c r="F297" s="669" t="s">
        <v>222</v>
      </c>
      <c r="G297" s="670"/>
    </row>
    <row r="298" spans="2:7">
      <c r="B298" s="671"/>
      <c r="C298" s="672"/>
      <c r="D298" s="673"/>
      <c r="E298" s="672"/>
      <c r="F298" s="673" t="s">
        <v>230</v>
      </c>
      <c r="G298" s="674"/>
    </row>
    <row r="299" spans="2:7">
      <c r="B299" s="58"/>
      <c r="C299" s="58"/>
      <c r="D299" s="58"/>
      <c r="E299" s="58"/>
      <c r="F299" s="58"/>
      <c r="G299" s="58"/>
    </row>
    <row r="300" spans="2:7">
      <c r="B300" s="58"/>
      <c r="C300" s="58"/>
      <c r="D300" s="58"/>
      <c r="E300" s="58"/>
      <c r="F300" s="58"/>
      <c r="G300" s="58"/>
    </row>
    <row r="301" spans="2:7" ht="15.75">
      <c r="B301" s="543" t="s">
        <v>189</v>
      </c>
      <c r="C301" s="544"/>
      <c r="D301" s="544"/>
      <c r="E301" s="544"/>
      <c r="F301" s="544"/>
      <c r="G301" s="545"/>
    </row>
    <row r="302" spans="2:7" ht="15.75">
      <c r="B302" s="643" t="s">
        <v>190</v>
      </c>
      <c r="C302" s="644"/>
      <c r="D302" s="644"/>
      <c r="E302" s="644"/>
      <c r="F302" s="644"/>
      <c r="G302" s="645"/>
    </row>
    <row r="303" spans="2:7">
      <c r="B303" s="646" t="s">
        <v>191</v>
      </c>
      <c r="C303" s="647"/>
      <c r="D303" s="648" t="s">
        <v>192</v>
      </c>
      <c r="E303" s="649"/>
      <c r="F303" s="652" t="s">
        <v>193</v>
      </c>
      <c r="G303" s="44" t="s">
        <v>194</v>
      </c>
    </row>
    <row r="304" spans="2:7">
      <c r="B304" s="654" t="s">
        <v>281</v>
      </c>
      <c r="C304" s="655"/>
      <c r="D304" s="650"/>
      <c r="E304" s="651"/>
      <c r="F304" s="653"/>
      <c r="G304" s="45" t="s">
        <v>282</v>
      </c>
    </row>
    <row r="305" spans="2:7" ht="22.5">
      <c r="B305" s="618" t="s">
        <v>197</v>
      </c>
      <c r="C305" s="619"/>
      <c r="D305" s="624" t="s">
        <v>273</v>
      </c>
      <c r="E305" s="687"/>
      <c r="F305" s="630">
        <v>90</v>
      </c>
      <c r="G305" s="46" t="s">
        <v>199</v>
      </c>
    </row>
    <row r="306" spans="2:7">
      <c r="B306" s="620"/>
      <c r="C306" s="621"/>
      <c r="D306" s="626"/>
      <c r="E306" s="688"/>
      <c r="F306" s="631"/>
      <c r="G306" s="47" t="s">
        <v>200</v>
      </c>
    </row>
    <row r="307" spans="2:7">
      <c r="B307" s="622"/>
      <c r="C307" s="623"/>
      <c r="D307" s="628"/>
      <c r="E307" s="703"/>
      <c r="F307" s="632"/>
      <c r="G307" s="46" t="s">
        <v>201</v>
      </c>
    </row>
    <row r="308" spans="2:7">
      <c r="B308" s="48" t="s">
        <v>202</v>
      </c>
      <c r="C308" s="49"/>
      <c r="D308" s="49"/>
      <c r="E308" s="49"/>
      <c r="F308" s="49"/>
      <c r="G308" s="50"/>
    </row>
    <row r="309" spans="2:7">
      <c r="B309" s="51"/>
      <c r="C309" s="52" t="s">
        <v>203</v>
      </c>
      <c r="D309" s="52" t="s">
        <v>203</v>
      </c>
      <c r="E309" s="52" t="s">
        <v>203</v>
      </c>
      <c r="F309" s="52" t="s">
        <v>203</v>
      </c>
      <c r="G309" s="52" t="s">
        <v>203</v>
      </c>
    </row>
    <row r="310" spans="2:7">
      <c r="B310" s="633" t="s">
        <v>204</v>
      </c>
      <c r="C310" s="691" t="s">
        <v>264</v>
      </c>
      <c r="D310" s="636" t="s">
        <v>274</v>
      </c>
      <c r="E310" s="636" t="s">
        <v>275</v>
      </c>
      <c r="F310" s="636" t="s">
        <v>202</v>
      </c>
      <c r="G310" s="636" t="s">
        <v>202</v>
      </c>
    </row>
    <row r="311" spans="2:7">
      <c r="B311" s="634"/>
      <c r="C311" s="692"/>
      <c r="D311" s="637"/>
      <c r="E311" s="637"/>
      <c r="F311" s="637"/>
      <c r="G311" s="637"/>
    </row>
    <row r="312" spans="2:7">
      <c r="B312" s="634"/>
      <c r="C312" s="692"/>
      <c r="D312" s="637"/>
      <c r="E312" s="637"/>
      <c r="F312" s="637"/>
      <c r="G312" s="637"/>
    </row>
    <row r="313" spans="2:7">
      <c r="B313" s="635"/>
      <c r="C313" s="693"/>
      <c r="D313" s="638"/>
      <c r="E313" s="638"/>
      <c r="F313" s="638"/>
      <c r="G313" s="638"/>
    </row>
    <row r="314" spans="2:7">
      <c r="B314" s="633" t="s">
        <v>208</v>
      </c>
      <c r="C314" s="636" t="s">
        <v>276</v>
      </c>
      <c r="D314" s="636" t="s">
        <v>277</v>
      </c>
      <c r="E314" s="636" t="s">
        <v>278</v>
      </c>
      <c r="F314" s="636" t="s">
        <v>202</v>
      </c>
      <c r="G314" s="636" t="s">
        <v>202</v>
      </c>
    </row>
    <row r="315" spans="2:7">
      <c r="B315" s="634"/>
      <c r="C315" s="637"/>
      <c r="D315" s="637"/>
      <c r="E315" s="637"/>
      <c r="F315" s="637"/>
      <c r="G315" s="637"/>
    </row>
    <row r="316" spans="2:7">
      <c r="B316" s="634"/>
      <c r="C316" s="637"/>
      <c r="D316" s="637"/>
      <c r="E316" s="637"/>
      <c r="F316" s="637"/>
      <c r="G316" s="637"/>
    </row>
    <row r="317" spans="2:7">
      <c r="B317" s="635"/>
      <c r="C317" s="638"/>
      <c r="D317" s="638"/>
      <c r="E317" s="638"/>
      <c r="F317" s="638"/>
      <c r="G317" s="638"/>
    </row>
    <row r="318" spans="2:7">
      <c r="B318" s="53"/>
      <c r="C318" s="49"/>
      <c r="D318" s="49"/>
      <c r="E318" s="49"/>
      <c r="F318" s="49"/>
      <c r="G318" s="50"/>
    </row>
    <row r="319" spans="2:7">
      <c r="B319" s="656" t="s">
        <v>212</v>
      </c>
      <c r="C319" s="657"/>
      <c r="D319" s="657"/>
      <c r="E319" s="658" t="s">
        <v>213</v>
      </c>
      <c r="F319" s="658"/>
      <c r="G319" s="659"/>
    </row>
    <row r="320" spans="2:7">
      <c r="B320" s="660" t="s">
        <v>279</v>
      </c>
      <c r="C320" s="661"/>
      <c r="D320" s="661"/>
      <c r="E320" s="662" t="s">
        <v>284</v>
      </c>
      <c r="F320" s="661"/>
      <c r="G320" s="663"/>
    </row>
    <row r="321" spans="2:7">
      <c r="B321" s="660"/>
      <c r="C321" s="661"/>
      <c r="D321" s="661"/>
      <c r="E321" s="661"/>
      <c r="F321" s="661"/>
      <c r="G321" s="663"/>
    </row>
    <row r="322" spans="2:7">
      <c r="B322" s="660"/>
      <c r="C322" s="661"/>
      <c r="D322" s="661"/>
      <c r="E322" s="661"/>
      <c r="F322" s="661"/>
      <c r="G322" s="663"/>
    </row>
    <row r="323" spans="2:7">
      <c r="B323" s="660"/>
      <c r="C323" s="661"/>
      <c r="D323" s="661"/>
      <c r="E323" s="661"/>
      <c r="F323" s="661"/>
      <c r="G323" s="663"/>
    </row>
    <row r="324" spans="2:7">
      <c r="B324" s="54"/>
      <c r="C324" s="55"/>
      <c r="D324" s="55"/>
      <c r="E324" s="55"/>
      <c r="F324" s="55"/>
      <c r="G324" s="56"/>
    </row>
    <row r="325" spans="2:7">
      <c r="B325" s="57"/>
      <c r="C325" s="58"/>
      <c r="D325" s="58"/>
      <c r="E325" s="58"/>
      <c r="F325" s="58"/>
      <c r="G325" s="59"/>
    </row>
    <row r="326" spans="2:7" ht="15.75">
      <c r="B326" s="664" t="s">
        <v>216</v>
      </c>
      <c r="C326" s="665"/>
      <c r="D326" s="665"/>
      <c r="E326" s="665"/>
      <c r="F326" s="665"/>
      <c r="G326" s="666"/>
    </row>
    <row r="327" spans="2:7">
      <c r="B327" s="667" t="s">
        <v>217</v>
      </c>
      <c r="C327" s="668"/>
      <c r="D327" s="668" t="s">
        <v>218</v>
      </c>
      <c r="E327" s="668"/>
      <c r="F327" s="669" t="s">
        <v>219</v>
      </c>
      <c r="G327" s="670"/>
    </row>
    <row r="328" spans="2:7">
      <c r="B328" s="675"/>
      <c r="C328" s="676"/>
      <c r="D328" s="679"/>
      <c r="E328" s="676"/>
      <c r="F328" s="681"/>
      <c r="G328" s="682"/>
    </row>
    <row r="329" spans="2:7">
      <c r="B329" s="677"/>
      <c r="C329" s="678"/>
      <c r="D329" s="680"/>
      <c r="E329" s="678"/>
      <c r="F329" s="683"/>
      <c r="G329" s="684"/>
    </row>
    <row r="330" spans="2:7">
      <c r="B330" s="57"/>
      <c r="C330" s="58"/>
      <c r="D330" s="58"/>
      <c r="E330" s="58"/>
      <c r="F330" s="58"/>
      <c r="G330" s="59"/>
    </row>
    <row r="331" spans="2:7">
      <c r="B331" s="685" t="s">
        <v>220</v>
      </c>
      <c r="C331" s="686"/>
      <c r="D331" s="669" t="s">
        <v>221</v>
      </c>
      <c r="E331" s="686"/>
      <c r="F331" s="669" t="s">
        <v>222</v>
      </c>
      <c r="G331" s="670"/>
    </row>
    <row r="332" spans="2:7">
      <c r="B332" s="671"/>
      <c r="C332" s="672"/>
      <c r="D332" s="673"/>
      <c r="E332" s="672"/>
      <c r="F332" s="673" t="s">
        <v>230</v>
      </c>
      <c r="G332" s="674"/>
    </row>
    <row r="333" spans="2:7">
      <c r="B333" s="58"/>
      <c r="C333" s="58"/>
      <c r="D333" s="58"/>
      <c r="E333" s="58"/>
      <c r="F333" s="58"/>
      <c r="G333" s="58"/>
    </row>
    <row r="334" spans="2:7">
      <c r="B334" s="58"/>
      <c r="C334" s="58"/>
      <c r="D334" s="58"/>
      <c r="E334" s="58"/>
      <c r="F334" s="58"/>
      <c r="G334" s="58"/>
    </row>
    <row r="335" spans="2:7" ht="15.75">
      <c r="B335" s="543" t="s">
        <v>189</v>
      </c>
      <c r="C335" s="544"/>
      <c r="D335" s="544"/>
      <c r="E335" s="544"/>
      <c r="F335" s="544"/>
      <c r="G335" s="545"/>
    </row>
    <row r="336" spans="2:7" ht="15.75">
      <c r="B336" s="643" t="s">
        <v>190</v>
      </c>
      <c r="C336" s="644"/>
      <c r="D336" s="644"/>
      <c r="E336" s="644"/>
      <c r="F336" s="644"/>
      <c r="G336" s="645"/>
    </row>
    <row r="337" spans="2:7">
      <c r="B337" s="646" t="s">
        <v>191</v>
      </c>
      <c r="C337" s="647"/>
      <c r="D337" s="648" t="s">
        <v>192</v>
      </c>
      <c r="E337" s="649"/>
      <c r="F337" s="652" t="s">
        <v>193</v>
      </c>
      <c r="G337" s="44" t="s">
        <v>194</v>
      </c>
    </row>
    <row r="338" spans="2:7">
      <c r="B338" s="654" t="s">
        <v>281</v>
      </c>
      <c r="C338" s="655"/>
      <c r="D338" s="650"/>
      <c r="E338" s="651"/>
      <c r="F338" s="653"/>
      <c r="G338" s="45" t="s">
        <v>285</v>
      </c>
    </row>
    <row r="339" spans="2:7" ht="22.5">
      <c r="B339" s="618" t="s">
        <v>197</v>
      </c>
      <c r="C339" s="619"/>
      <c r="D339" s="624" t="s">
        <v>273</v>
      </c>
      <c r="E339" s="687"/>
      <c r="F339" s="630">
        <v>140</v>
      </c>
      <c r="G339" s="46" t="s">
        <v>199</v>
      </c>
    </row>
    <row r="340" spans="2:7">
      <c r="B340" s="620"/>
      <c r="C340" s="621"/>
      <c r="D340" s="626"/>
      <c r="E340" s="688"/>
      <c r="F340" s="631"/>
      <c r="G340" s="47" t="s">
        <v>200</v>
      </c>
    </row>
    <row r="341" spans="2:7">
      <c r="B341" s="622"/>
      <c r="C341" s="623"/>
      <c r="D341" s="628"/>
      <c r="E341" s="703"/>
      <c r="F341" s="632"/>
      <c r="G341" s="46" t="s">
        <v>201</v>
      </c>
    </row>
    <row r="342" spans="2:7">
      <c r="B342" s="48" t="s">
        <v>202</v>
      </c>
      <c r="C342" s="49"/>
      <c r="D342" s="49"/>
      <c r="E342" s="49"/>
      <c r="F342" s="49"/>
      <c r="G342" s="50"/>
    </row>
    <row r="343" spans="2:7">
      <c r="B343" s="51"/>
      <c r="C343" s="52" t="s">
        <v>203</v>
      </c>
      <c r="D343" s="52" t="s">
        <v>203</v>
      </c>
      <c r="E343" s="52" t="s">
        <v>203</v>
      </c>
      <c r="F343" s="52" t="s">
        <v>203</v>
      </c>
      <c r="G343" s="52" t="s">
        <v>203</v>
      </c>
    </row>
    <row r="344" spans="2:7">
      <c r="B344" s="633" t="s">
        <v>204</v>
      </c>
      <c r="C344" s="691" t="s">
        <v>264</v>
      </c>
      <c r="D344" s="636" t="s">
        <v>274</v>
      </c>
      <c r="E344" s="636" t="s">
        <v>275</v>
      </c>
      <c r="F344" s="636" t="s">
        <v>202</v>
      </c>
      <c r="G344" s="636" t="s">
        <v>202</v>
      </c>
    </row>
    <row r="345" spans="2:7">
      <c r="B345" s="634"/>
      <c r="C345" s="692"/>
      <c r="D345" s="637"/>
      <c r="E345" s="637"/>
      <c r="F345" s="637"/>
      <c r="G345" s="637"/>
    </row>
    <row r="346" spans="2:7">
      <c r="B346" s="634"/>
      <c r="C346" s="692"/>
      <c r="D346" s="637"/>
      <c r="E346" s="637"/>
      <c r="F346" s="637"/>
      <c r="G346" s="637"/>
    </row>
    <row r="347" spans="2:7">
      <c r="B347" s="635"/>
      <c r="C347" s="693"/>
      <c r="D347" s="638"/>
      <c r="E347" s="638"/>
      <c r="F347" s="638"/>
      <c r="G347" s="638"/>
    </row>
    <row r="348" spans="2:7">
      <c r="B348" s="633" t="s">
        <v>208</v>
      </c>
      <c r="C348" s="636" t="s">
        <v>276</v>
      </c>
      <c r="D348" s="636" t="s">
        <v>277</v>
      </c>
      <c r="E348" s="636" t="s">
        <v>286</v>
      </c>
      <c r="F348" s="636" t="s">
        <v>202</v>
      </c>
      <c r="G348" s="636" t="s">
        <v>202</v>
      </c>
    </row>
    <row r="349" spans="2:7">
      <c r="B349" s="634"/>
      <c r="C349" s="637"/>
      <c r="D349" s="637"/>
      <c r="E349" s="637"/>
      <c r="F349" s="637"/>
      <c r="G349" s="637"/>
    </row>
    <row r="350" spans="2:7">
      <c r="B350" s="634"/>
      <c r="C350" s="637"/>
      <c r="D350" s="637"/>
      <c r="E350" s="637"/>
      <c r="F350" s="637"/>
      <c r="G350" s="637"/>
    </row>
    <row r="351" spans="2:7">
      <c r="B351" s="635"/>
      <c r="C351" s="638"/>
      <c r="D351" s="638"/>
      <c r="E351" s="638"/>
      <c r="F351" s="638"/>
      <c r="G351" s="638"/>
    </row>
    <row r="352" spans="2:7">
      <c r="B352" s="53"/>
      <c r="C352" s="49"/>
      <c r="D352" s="49"/>
      <c r="E352" s="49"/>
      <c r="F352" s="49"/>
      <c r="G352" s="50"/>
    </row>
    <row r="353" spans="2:7">
      <c r="B353" s="656" t="s">
        <v>212</v>
      </c>
      <c r="C353" s="657"/>
      <c r="D353" s="657"/>
      <c r="E353" s="658" t="s">
        <v>213</v>
      </c>
      <c r="F353" s="658"/>
      <c r="G353" s="659"/>
    </row>
    <row r="354" spans="2:7">
      <c r="B354" s="660" t="s">
        <v>279</v>
      </c>
      <c r="C354" s="661"/>
      <c r="D354" s="661"/>
      <c r="E354" s="662" t="s">
        <v>287</v>
      </c>
      <c r="F354" s="661"/>
      <c r="G354" s="663"/>
    </row>
    <row r="355" spans="2:7">
      <c r="B355" s="660"/>
      <c r="C355" s="661"/>
      <c r="D355" s="661"/>
      <c r="E355" s="661"/>
      <c r="F355" s="661"/>
      <c r="G355" s="663"/>
    </row>
    <row r="356" spans="2:7">
      <c r="B356" s="660"/>
      <c r="C356" s="661"/>
      <c r="D356" s="661"/>
      <c r="E356" s="661"/>
      <c r="F356" s="661"/>
      <c r="G356" s="663"/>
    </row>
    <row r="357" spans="2:7" ht="41.25" customHeight="1">
      <c r="B357" s="660"/>
      <c r="C357" s="661"/>
      <c r="D357" s="661"/>
      <c r="E357" s="661"/>
      <c r="F357" s="661"/>
      <c r="G357" s="663"/>
    </row>
    <row r="358" spans="2:7">
      <c r="B358" s="54"/>
      <c r="C358" s="55"/>
      <c r="D358" s="55"/>
      <c r="E358" s="55"/>
      <c r="F358" s="55"/>
      <c r="G358" s="56"/>
    </row>
    <row r="359" spans="2:7">
      <c r="B359" s="57"/>
      <c r="C359" s="58"/>
      <c r="D359" s="58"/>
      <c r="E359" s="58"/>
      <c r="F359" s="58"/>
      <c r="G359" s="59"/>
    </row>
    <row r="360" spans="2:7" ht="15.75">
      <c r="B360" s="664" t="s">
        <v>216</v>
      </c>
      <c r="C360" s="665"/>
      <c r="D360" s="665"/>
      <c r="E360" s="665"/>
      <c r="F360" s="665"/>
      <c r="G360" s="666"/>
    </row>
    <row r="361" spans="2:7">
      <c r="B361" s="667" t="s">
        <v>217</v>
      </c>
      <c r="C361" s="668"/>
      <c r="D361" s="668" t="s">
        <v>218</v>
      </c>
      <c r="E361" s="668"/>
      <c r="F361" s="669" t="s">
        <v>219</v>
      </c>
      <c r="G361" s="670"/>
    </row>
    <row r="362" spans="2:7">
      <c r="B362" s="675"/>
      <c r="C362" s="676"/>
      <c r="D362" s="679"/>
      <c r="E362" s="676"/>
      <c r="F362" s="681"/>
      <c r="G362" s="682"/>
    </row>
    <row r="363" spans="2:7">
      <c r="B363" s="677"/>
      <c r="C363" s="678"/>
      <c r="D363" s="680"/>
      <c r="E363" s="678"/>
      <c r="F363" s="683"/>
      <c r="G363" s="684"/>
    </row>
    <row r="364" spans="2:7">
      <c r="B364" s="57"/>
      <c r="C364" s="58"/>
      <c r="D364" s="58"/>
      <c r="E364" s="58"/>
      <c r="F364" s="58"/>
      <c r="G364" s="59"/>
    </row>
    <row r="365" spans="2:7">
      <c r="B365" s="685" t="s">
        <v>220</v>
      </c>
      <c r="C365" s="686"/>
      <c r="D365" s="669" t="s">
        <v>221</v>
      </c>
      <c r="E365" s="686"/>
      <c r="F365" s="669" t="s">
        <v>222</v>
      </c>
      <c r="G365" s="670"/>
    </row>
    <row r="366" spans="2:7">
      <c r="B366" s="671"/>
      <c r="C366" s="672"/>
      <c r="D366" s="673"/>
      <c r="E366" s="672"/>
      <c r="F366" s="673" t="s">
        <v>230</v>
      </c>
      <c r="G366" s="674"/>
    </row>
    <row r="367" spans="2:7">
      <c r="B367" s="58"/>
      <c r="C367" s="58"/>
      <c r="D367" s="58"/>
      <c r="E367" s="58"/>
      <c r="F367" s="58"/>
      <c r="G367" s="58"/>
    </row>
    <row r="368" spans="2:7">
      <c r="B368" s="58"/>
      <c r="C368" s="58"/>
      <c r="D368" s="58"/>
      <c r="E368" s="58"/>
      <c r="F368" s="58"/>
      <c r="G368" s="58"/>
    </row>
    <row r="369" spans="2:7" ht="15.75">
      <c r="B369" s="543" t="s">
        <v>189</v>
      </c>
      <c r="C369" s="544"/>
      <c r="D369" s="544"/>
      <c r="E369" s="544"/>
      <c r="F369" s="544"/>
      <c r="G369" s="545"/>
    </row>
    <row r="370" spans="2:7" ht="15.75">
      <c r="B370" s="643" t="s">
        <v>190</v>
      </c>
      <c r="C370" s="644"/>
      <c r="D370" s="644"/>
      <c r="E370" s="644"/>
      <c r="F370" s="644"/>
      <c r="G370" s="645"/>
    </row>
    <row r="371" spans="2:7">
      <c r="B371" s="646" t="s">
        <v>191</v>
      </c>
      <c r="C371" s="647"/>
      <c r="D371" s="648" t="s">
        <v>192</v>
      </c>
      <c r="E371" s="649"/>
      <c r="F371" s="652" t="s">
        <v>193</v>
      </c>
      <c r="G371" s="44" t="s">
        <v>194</v>
      </c>
    </row>
    <row r="372" spans="2:7">
      <c r="B372" s="654" t="s">
        <v>281</v>
      </c>
      <c r="C372" s="655"/>
      <c r="D372" s="650"/>
      <c r="E372" s="651"/>
      <c r="F372" s="653"/>
      <c r="G372" s="45" t="s">
        <v>288</v>
      </c>
    </row>
    <row r="373" spans="2:7" ht="22.5">
      <c r="B373" s="618" t="s">
        <v>197</v>
      </c>
      <c r="C373" s="619"/>
      <c r="D373" s="624" t="s">
        <v>289</v>
      </c>
      <c r="E373" s="687"/>
      <c r="F373" s="630">
        <v>75</v>
      </c>
      <c r="G373" s="46" t="s">
        <v>199</v>
      </c>
    </row>
    <row r="374" spans="2:7">
      <c r="B374" s="620"/>
      <c r="C374" s="621"/>
      <c r="D374" s="626"/>
      <c r="E374" s="688"/>
      <c r="F374" s="631"/>
      <c r="G374" s="47" t="s">
        <v>200</v>
      </c>
    </row>
    <row r="375" spans="2:7">
      <c r="B375" s="622"/>
      <c r="C375" s="623"/>
      <c r="D375" s="628"/>
      <c r="E375" s="703"/>
      <c r="F375" s="632"/>
      <c r="G375" s="46" t="s">
        <v>201</v>
      </c>
    </row>
    <row r="376" spans="2:7">
      <c r="B376" s="48" t="s">
        <v>202</v>
      </c>
      <c r="C376" s="49"/>
      <c r="D376" s="49"/>
      <c r="E376" s="49"/>
      <c r="F376" s="49"/>
      <c r="G376" s="50"/>
    </row>
    <row r="377" spans="2:7">
      <c r="B377" s="51"/>
      <c r="C377" s="52" t="s">
        <v>203</v>
      </c>
      <c r="D377" s="52" t="s">
        <v>203</v>
      </c>
      <c r="E377" s="52" t="s">
        <v>203</v>
      </c>
      <c r="F377" s="52" t="s">
        <v>203</v>
      </c>
      <c r="G377" s="52" t="s">
        <v>203</v>
      </c>
    </row>
    <row r="378" spans="2:7">
      <c r="B378" s="633" t="s">
        <v>204</v>
      </c>
      <c r="C378" s="691" t="s">
        <v>290</v>
      </c>
      <c r="D378" s="636" t="s">
        <v>291</v>
      </c>
      <c r="E378" s="636" t="s">
        <v>292</v>
      </c>
      <c r="F378" s="636" t="s">
        <v>293</v>
      </c>
      <c r="G378" s="636" t="s">
        <v>294</v>
      </c>
    </row>
    <row r="379" spans="2:7">
      <c r="B379" s="634"/>
      <c r="C379" s="692"/>
      <c r="D379" s="637"/>
      <c r="E379" s="637"/>
      <c r="F379" s="637"/>
      <c r="G379" s="637"/>
    </row>
    <row r="380" spans="2:7">
      <c r="B380" s="634"/>
      <c r="C380" s="692"/>
      <c r="D380" s="637"/>
      <c r="E380" s="637"/>
      <c r="F380" s="637"/>
      <c r="G380" s="637"/>
    </row>
    <row r="381" spans="2:7">
      <c r="B381" s="635"/>
      <c r="C381" s="693"/>
      <c r="D381" s="638"/>
      <c r="E381" s="638"/>
      <c r="F381" s="638"/>
      <c r="G381" s="638"/>
    </row>
    <row r="382" spans="2:7">
      <c r="B382" s="633" t="s">
        <v>208</v>
      </c>
      <c r="C382" s="636" t="s">
        <v>295</v>
      </c>
      <c r="D382" s="636" t="s">
        <v>296</v>
      </c>
      <c r="E382" s="636" t="s">
        <v>297</v>
      </c>
      <c r="F382" s="636" t="s">
        <v>298</v>
      </c>
      <c r="G382" s="636" t="s">
        <v>299</v>
      </c>
    </row>
    <row r="383" spans="2:7">
      <c r="B383" s="634"/>
      <c r="C383" s="637"/>
      <c r="D383" s="637"/>
      <c r="E383" s="637"/>
      <c r="F383" s="637"/>
      <c r="G383" s="637"/>
    </row>
    <row r="384" spans="2:7">
      <c r="B384" s="634"/>
      <c r="C384" s="637"/>
      <c r="D384" s="637"/>
      <c r="E384" s="637"/>
      <c r="F384" s="637"/>
      <c r="G384" s="637"/>
    </row>
    <row r="385" spans="2:7">
      <c r="B385" s="635"/>
      <c r="C385" s="638"/>
      <c r="D385" s="638"/>
      <c r="E385" s="638"/>
      <c r="F385" s="638"/>
      <c r="G385" s="638"/>
    </row>
    <row r="386" spans="2:7">
      <c r="B386" s="53"/>
      <c r="C386" s="49"/>
      <c r="D386" s="49"/>
      <c r="E386" s="49"/>
      <c r="F386" s="49"/>
      <c r="G386" s="50"/>
    </row>
    <row r="387" spans="2:7">
      <c r="B387" s="656" t="s">
        <v>212</v>
      </c>
      <c r="C387" s="657"/>
      <c r="D387" s="657"/>
      <c r="E387" s="658" t="s">
        <v>213</v>
      </c>
      <c r="F387" s="658"/>
      <c r="G387" s="659"/>
    </row>
    <row r="388" spans="2:7">
      <c r="B388" s="660" t="s">
        <v>297</v>
      </c>
      <c r="C388" s="661"/>
      <c r="D388" s="661"/>
      <c r="E388" s="662" t="s">
        <v>300</v>
      </c>
      <c r="F388" s="661"/>
      <c r="G388" s="663"/>
    </row>
    <row r="389" spans="2:7">
      <c r="B389" s="660"/>
      <c r="C389" s="661"/>
      <c r="D389" s="661"/>
      <c r="E389" s="661"/>
      <c r="F389" s="661"/>
      <c r="G389" s="663"/>
    </row>
    <row r="390" spans="2:7">
      <c r="B390" s="660"/>
      <c r="C390" s="661"/>
      <c r="D390" s="661"/>
      <c r="E390" s="661"/>
      <c r="F390" s="661"/>
      <c r="G390" s="663"/>
    </row>
    <row r="391" spans="2:7">
      <c r="B391" s="660"/>
      <c r="C391" s="661"/>
      <c r="D391" s="661"/>
      <c r="E391" s="661"/>
      <c r="F391" s="661"/>
      <c r="G391" s="663"/>
    </row>
    <row r="392" spans="2:7">
      <c r="B392" s="54"/>
      <c r="C392" s="55"/>
      <c r="D392" s="55"/>
      <c r="E392" s="55"/>
      <c r="F392" s="55"/>
      <c r="G392" s="56"/>
    </row>
    <row r="393" spans="2:7">
      <c r="B393" s="57"/>
      <c r="C393" s="58"/>
      <c r="D393" s="58"/>
      <c r="E393" s="58"/>
      <c r="F393" s="58"/>
      <c r="G393" s="59"/>
    </row>
    <row r="394" spans="2:7" ht="15.75">
      <c r="B394" s="664" t="s">
        <v>216</v>
      </c>
      <c r="C394" s="665"/>
      <c r="D394" s="665"/>
      <c r="E394" s="665"/>
      <c r="F394" s="665"/>
      <c r="G394" s="666"/>
    </row>
    <row r="395" spans="2:7">
      <c r="B395" s="667" t="s">
        <v>217</v>
      </c>
      <c r="C395" s="668"/>
      <c r="D395" s="668" t="s">
        <v>218</v>
      </c>
      <c r="E395" s="668"/>
      <c r="F395" s="669" t="s">
        <v>219</v>
      </c>
      <c r="G395" s="670"/>
    </row>
    <row r="396" spans="2:7">
      <c r="B396" s="675"/>
      <c r="C396" s="676"/>
      <c r="D396" s="679"/>
      <c r="E396" s="676"/>
      <c r="F396" s="681"/>
      <c r="G396" s="682"/>
    </row>
    <row r="397" spans="2:7">
      <c r="B397" s="677"/>
      <c r="C397" s="678"/>
      <c r="D397" s="680"/>
      <c r="E397" s="678"/>
      <c r="F397" s="683"/>
      <c r="G397" s="684"/>
    </row>
    <row r="398" spans="2:7">
      <c r="B398" s="57"/>
      <c r="C398" s="58"/>
      <c r="D398" s="58"/>
      <c r="E398" s="58"/>
      <c r="F398" s="58"/>
      <c r="G398" s="59"/>
    </row>
    <row r="399" spans="2:7">
      <c r="B399" s="685" t="s">
        <v>220</v>
      </c>
      <c r="C399" s="686"/>
      <c r="D399" s="669" t="s">
        <v>221</v>
      </c>
      <c r="E399" s="686"/>
      <c r="F399" s="669" t="s">
        <v>222</v>
      </c>
      <c r="G399" s="670"/>
    </row>
    <row r="400" spans="2:7">
      <c r="B400" s="671"/>
      <c r="C400" s="672"/>
      <c r="D400" s="673"/>
      <c r="E400" s="672"/>
      <c r="F400" s="673" t="s">
        <v>230</v>
      </c>
      <c r="G400" s="674"/>
    </row>
    <row r="401" spans="2:7">
      <c r="B401" s="58"/>
      <c r="C401" s="58"/>
      <c r="D401" s="58"/>
      <c r="E401" s="58"/>
      <c r="F401" s="58"/>
      <c r="G401" s="58"/>
    </row>
    <row r="402" spans="2:7">
      <c r="B402" s="58"/>
      <c r="C402" s="58"/>
      <c r="D402" s="58"/>
      <c r="E402" s="58"/>
      <c r="F402" s="58"/>
      <c r="G402" s="58"/>
    </row>
    <row r="403" spans="2:7" ht="15.75">
      <c r="B403" s="543" t="s">
        <v>189</v>
      </c>
      <c r="C403" s="544"/>
      <c r="D403" s="544"/>
      <c r="E403" s="544"/>
      <c r="F403" s="544"/>
      <c r="G403" s="545"/>
    </row>
    <row r="404" spans="2:7" ht="15.75">
      <c r="B404" s="643" t="s">
        <v>190</v>
      </c>
      <c r="C404" s="644"/>
      <c r="D404" s="644"/>
      <c r="E404" s="644"/>
      <c r="F404" s="644"/>
      <c r="G404" s="645"/>
    </row>
    <row r="405" spans="2:7">
      <c r="B405" s="646" t="s">
        <v>191</v>
      </c>
      <c r="C405" s="647"/>
      <c r="D405" s="648" t="s">
        <v>192</v>
      </c>
      <c r="E405" s="649"/>
      <c r="F405" s="652" t="s">
        <v>193</v>
      </c>
      <c r="G405" s="44" t="s">
        <v>194</v>
      </c>
    </row>
    <row r="406" spans="2:7">
      <c r="B406" s="654" t="s">
        <v>281</v>
      </c>
      <c r="C406" s="655"/>
      <c r="D406" s="650"/>
      <c r="E406" s="651"/>
      <c r="F406" s="653"/>
      <c r="G406" s="45" t="s">
        <v>301</v>
      </c>
    </row>
    <row r="407" spans="2:7" ht="22.5">
      <c r="B407" s="618" t="s">
        <v>197</v>
      </c>
      <c r="C407" s="619"/>
      <c r="D407" s="624" t="s">
        <v>273</v>
      </c>
      <c r="E407" s="687"/>
      <c r="F407" s="630">
        <v>102</v>
      </c>
      <c r="G407" s="46" t="s">
        <v>199</v>
      </c>
    </row>
    <row r="408" spans="2:7">
      <c r="B408" s="620"/>
      <c r="C408" s="621"/>
      <c r="D408" s="626"/>
      <c r="E408" s="688"/>
      <c r="F408" s="631"/>
      <c r="G408" s="47" t="s">
        <v>200</v>
      </c>
    </row>
    <row r="409" spans="2:7">
      <c r="B409" s="622"/>
      <c r="C409" s="623"/>
      <c r="D409" s="628"/>
      <c r="E409" s="703"/>
      <c r="F409" s="632"/>
      <c r="G409" s="46" t="s">
        <v>201</v>
      </c>
    </row>
    <row r="410" spans="2:7">
      <c r="B410" s="48" t="s">
        <v>202</v>
      </c>
      <c r="C410" s="49"/>
      <c r="D410" s="49"/>
      <c r="E410" s="49"/>
      <c r="F410" s="49"/>
      <c r="G410" s="50"/>
    </row>
    <row r="411" spans="2:7">
      <c r="B411" s="51"/>
      <c r="C411" s="52" t="s">
        <v>203</v>
      </c>
      <c r="D411" s="52" t="s">
        <v>203</v>
      </c>
      <c r="E411" s="52" t="s">
        <v>203</v>
      </c>
      <c r="F411" s="52" t="s">
        <v>203</v>
      </c>
      <c r="G411" s="52" t="s">
        <v>203</v>
      </c>
    </row>
    <row r="412" spans="2:7">
      <c r="B412" s="633" t="s">
        <v>204</v>
      </c>
      <c r="C412" s="691" t="s">
        <v>264</v>
      </c>
      <c r="D412" s="636" t="s">
        <v>274</v>
      </c>
      <c r="E412" s="636" t="s">
        <v>275</v>
      </c>
      <c r="F412" s="636" t="s">
        <v>202</v>
      </c>
      <c r="G412" s="636" t="s">
        <v>202</v>
      </c>
    </row>
    <row r="413" spans="2:7">
      <c r="B413" s="634"/>
      <c r="C413" s="692"/>
      <c r="D413" s="637"/>
      <c r="E413" s="637"/>
      <c r="F413" s="637"/>
      <c r="G413" s="637"/>
    </row>
    <row r="414" spans="2:7">
      <c r="B414" s="634"/>
      <c r="C414" s="692"/>
      <c r="D414" s="637"/>
      <c r="E414" s="637"/>
      <c r="F414" s="637"/>
      <c r="G414" s="637"/>
    </row>
    <row r="415" spans="2:7">
      <c r="B415" s="635"/>
      <c r="C415" s="693"/>
      <c r="D415" s="638"/>
      <c r="E415" s="638"/>
      <c r="F415" s="638"/>
      <c r="G415" s="638"/>
    </row>
    <row r="416" spans="2:7">
      <c r="B416" s="633" t="s">
        <v>208</v>
      </c>
      <c r="C416" s="636" t="s">
        <v>276</v>
      </c>
      <c r="D416" s="636" t="s">
        <v>302</v>
      </c>
      <c r="E416" s="636" t="s">
        <v>303</v>
      </c>
      <c r="F416" s="636" t="s">
        <v>202</v>
      </c>
      <c r="G416" s="636" t="s">
        <v>202</v>
      </c>
    </row>
    <row r="417" spans="2:7">
      <c r="B417" s="634"/>
      <c r="C417" s="637"/>
      <c r="D417" s="637"/>
      <c r="E417" s="637"/>
      <c r="F417" s="637"/>
      <c r="G417" s="637"/>
    </row>
    <row r="418" spans="2:7">
      <c r="B418" s="634"/>
      <c r="C418" s="637"/>
      <c r="D418" s="637"/>
      <c r="E418" s="637"/>
      <c r="F418" s="637"/>
      <c r="G418" s="637"/>
    </row>
    <row r="419" spans="2:7">
      <c r="B419" s="635"/>
      <c r="C419" s="638"/>
      <c r="D419" s="638"/>
      <c r="E419" s="638"/>
      <c r="F419" s="638"/>
      <c r="G419" s="638"/>
    </row>
    <row r="420" spans="2:7">
      <c r="B420" s="53"/>
      <c r="C420" s="49"/>
      <c r="D420" s="49"/>
      <c r="E420" s="49"/>
      <c r="F420" s="49"/>
      <c r="G420" s="50"/>
    </row>
    <row r="421" spans="2:7">
      <c r="B421" s="656" t="s">
        <v>212</v>
      </c>
      <c r="C421" s="657"/>
      <c r="D421" s="657"/>
      <c r="E421" s="658" t="s">
        <v>213</v>
      </c>
      <c r="F421" s="658"/>
      <c r="G421" s="659"/>
    </row>
    <row r="422" spans="2:7">
      <c r="B422" s="660" t="s">
        <v>279</v>
      </c>
      <c r="C422" s="661"/>
      <c r="D422" s="661"/>
      <c r="E422" s="662" t="s">
        <v>304</v>
      </c>
      <c r="F422" s="661"/>
      <c r="G422" s="663"/>
    </row>
    <row r="423" spans="2:7">
      <c r="B423" s="660"/>
      <c r="C423" s="661"/>
      <c r="D423" s="661"/>
      <c r="E423" s="661"/>
      <c r="F423" s="661"/>
      <c r="G423" s="663"/>
    </row>
    <row r="424" spans="2:7">
      <c r="B424" s="660"/>
      <c r="C424" s="661"/>
      <c r="D424" s="661"/>
      <c r="E424" s="661"/>
      <c r="F424" s="661"/>
      <c r="G424" s="663"/>
    </row>
    <row r="425" spans="2:7">
      <c r="B425" s="660"/>
      <c r="C425" s="661"/>
      <c r="D425" s="661"/>
      <c r="E425" s="661"/>
      <c r="F425" s="661"/>
      <c r="G425" s="663"/>
    </row>
    <row r="426" spans="2:7">
      <c r="B426" s="54"/>
      <c r="C426" s="55"/>
      <c r="D426" s="55"/>
      <c r="E426" s="55"/>
      <c r="F426" s="55"/>
      <c r="G426" s="56"/>
    </row>
    <row r="427" spans="2:7">
      <c r="B427" s="57"/>
      <c r="C427" s="58"/>
      <c r="D427" s="58"/>
      <c r="E427" s="58"/>
      <c r="F427" s="58"/>
      <c r="G427" s="59"/>
    </row>
    <row r="428" spans="2:7" ht="15.75">
      <c r="B428" s="664" t="s">
        <v>216</v>
      </c>
      <c r="C428" s="665"/>
      <c r="D428" s="665"/>
      <c r="E428" s="665"/>
      <c r="F428" s="665"/>
      <c r="G428" s="666"/>
    </row>
    <row r="429" spans="2:7">
      <c r="B429" s="667" t="s">
        <v>217</v>
      </c>
      <c r="C429" s="668"/>
      <c r="D429" s="668" t="s">
        <v>218</v>
      </c>
      <c r="E429" s="668"/>
      <c r="F429" s="669" t="s">
        <v>219</v>
      </c>
      <c r="G429" s="670"/>
    </row>
    <row r="430" spans="2:7">
      <c r="B430" s="675"/>
      <c r="C430" s="676"/>
      <c r="D430" s="679"/>
      <c r="E430" s="676"/>
      <c r="F430" s="681"/>
      <c r="G430" s="682"/>
    </row>
    <row r="431" spans="2:7">
      <c r="B431" s="677"/>
      <c r="C431" s="678"/>
      <c r="D431" s="680"/>
      <c r="E431" s="678"/>
      <c r="F431" s="683"/>
      <c r="G431" s="684"/>
    </row>
    <row r="432" spans="2:7">
      <c r="B432" s="57"/>
      <c r="C432" s="58"/>
      <c r="D432" s="58"/>
      <c r="E432" s="58"/>
      <c r="F432" s="58"/>
      <c r="G432" s="59"/>
    </row>
    <row r="433" spans="2:7">
      <c r="B433" s="685" t="s">
        <v>220</v>
      </c>
      <c r="C433" s="686"/>
      <c r="D433" s="669" t="s">
        <v>221</v>
      </c>
      <c r="E433" s="686"/>
      <c r="F433" s="669" t="s">
        <v>222</v>
      </c>
      <c r="G433" s="670"/>
    </row>
    <row r="434" spans="2:7">
      <c r="B434" s="671"/>
      <c r="C434" s="672"/>
      <c r="D434" s="673"/>
      <c r="E434" s="672"/>
      <c r="F434" s="673" t="s">
        <v>305</v>
      </c>
      <c r="G434" s="674"/>
    </row>
    <row r="435" spans="2:7">
      <c r="B435" s="58"/>
      <c r="C435" s="58"/>
      <c r="D435" s="58"/>
      <c r="E435" s="58"/>
      <c r="F435" s="58"/>
      <c r="G435" s="58"/>
    </row>
    <row r="436" spans="2:7">
      <c r="B436" s="58"/>
      <c r="C436" s="58"/>
      <c r="D436" s="58"/>
      <c r="E436" s="58"/>
      <c r="F436" s="58"/>
      <c r="G436" s="58"/>
    </row>
    <row r="437" spans="2:7" ht="15.75">
      <c r="B437" s="543" t="s">
        <v>189</v>
      </c>
      <c r="C437" s="544"/>
      <c r="D437" s="544"/>
      <c r="E437" s="544"/>
      <c r="F437" s="544"/>
      <c r="G437" s="545"/>
    </row>
    <row r="438" spans="2:7" ht="15.75">
      <c r="B438" s="643" t="s">
        <v>190</v>
      </c>
      <c r="C438" s="644"/>
      <c r="D438" s="644"/>
      <c r="E438" s="644"/>
      <c r="F438" s="644"/>
      <c r="G438" s="645"/>
    </row>
    <row r="439" spans="2:7">
      <c r="B439" s="646" t="s">
        <v>191</v>
      </c>
      <c r="C439" s="647"/>
      <c r="D439" s="648" t="s">
        <v>192</v>
      </c>
      <c r="E439" s="649"/>
      <c r="F439" s="652" t="s">
        <v>193</v>
      </c>
      <c r="G439" s="44" t="s">
        <v>194</v>
      </c>
    </row>
    <row r="440" spans="2:7">
      <c r="B440" s="654" t="s">
        <v>281</v>
      </c>
      <c r="C440" s="655"/>
      <c r="D440" s="650"/>
      <c r="E440" s="651"/>
      <c r="F440" s="653"/>
      <c r="G440" s="45" t="s">
        <v>306</v>
      </c>
    </row>
    <row r="441" spans="2:7" ht="21" customHeight="1">
      <c r="B441" s="618" t="s">
        <v>197</v>
      </c>
      <c r="C441" s="619"/>
      <c r="D441" s="704" t="s">
        <v>307</v>
      </c>
      <c r="E441" s="705"/>
      <c r="F441" s="706">
        <v>152</v>
      </c>
      <c r="G441" s="60" t="s">
        <v>308</v>
      </c>
    </row>
    <row r="442" spans="2:7">
      <c r="B442" s="620"/>
      <c r="C442" s="621"/>
      <c r="D442" s="626"/>
      <c r="E442" s="688"/>
      <c r="F442" s="631"/>
      <c r="G442" s="47" t="s">
        <v>200</v>
      </c>
    </row>
    <row r="443" spans="2:7">
      <c r="B443" s="622"/>
      <c r="C443" s="623"/>
      <c r="D443" s="628"/>
      <c r="E443" s="703"/>
      <c r="F443" s="632"/>
      <c r="G443" s="46" t="s">
        <v>201</v>
      </c>
    </row>
    <row r="444" spans="2:7">
      <c r="B444" s="48" t="s">
        <v>202</v>
      </c>
      <c r="C444" s="49"/>
      <c r="D444" s="49"/>
      <c r="E444" s="49"/>
      <c r="F444" s="49"/>
      <c r="G444" s="50"/>
    </row>
    <row r="445" spans="2:7">
      <c r="B445" s="51"/>
      <c r="C445" s="52" t="s">
        <v>203</v>
      </c>
      <c r="D445" s="52" t="s">
        <v>203</v>
      </c>
      <c r="E445" s="52" t="s">
        <v>203</v>
      </c>
      <c r="F445" s="52" t="s">
        <v>203</v>
      </c>
      <c r="G445" s="52" t="s">
        <v>203</v>
      </c>
    </row>
    <row r="446" spans="2:7">
      <c r="B446" s="633" t="s">
        <v>204</v>
      </c>
      <c r="C446" s="691" t="s">
        <v>309</v>
      </c>
      <c r="D446" s="636" t="s">
        <v>310</v>
      </c>
      <c r="E446" s="636" t="s">
        <v>311</v>
      </c>
      <c r="F446" s="636" t="s">
        <v>202</v>
      </c>
      <c r="G446" s="636" t="s">
        <v>202</v>
      </c>
    </row>
    <row r="447" spans="2:7">
      <c r="B447" s="634"/>
      <c r="C447" s="692"/>
      <c r="D447" s="637"/>
      <c r="E447" s="637"/>
      <c r="F447" s="637"/>
      <c r="G447" s="637"/>
    </row>
    <row r="448" spans="2:7">
      <c r="B448" s="634"/>
      <c r="C448" s="692"/>
      <c r="D448" s="637"/>
      <c r="E448" s="637"/>
      <c r="F448" s="637"/>
      <c r="G448" s="637"/>
    </row>
    <row r="449" spans="2:7">
      <c r="B449" s="635"/>
      <c r="C449" s="693"/>
      <c r="D449" s="638"/>
      <c r="E449" s="638"/>
      <c r="F449" s="638"/>
      <c r="G449" s="638"/>
    </row>
    <row r="450" spans="2:7">
      <c r="B450" s="633" t="s">
        <v>208</v>
      </c>
      <c r="C450" s="636" t="s">
        <v>312</v>
      </c>
      <c r="D450" s="636" t="s">
        <v>313</v>
      </c>
      <c r="E450" s="636" t="s">
        <v>314</v>
      </c>
      <c r="F450" s="636" t="s">
        <v>202</v>
      </c>
      <c r="G450" s="636" t="s">
        <v>202</v>
      </c>
    </row>
    <row r="451" spans="2:7">
      <c r="B451" s="634"/>
      <c r="C451" s="637"/>
      <c r="D451" s="637"/>
      <c r="E451" s="637"/>
      <c r="F451" s="637"/>
      <c r="G451" s="637"/>
    </row>
    <row r="452" spans="2:7">
      <c r="B452" s="634"/>
      <c r="C452" s="637"/>
      <c r="D452" s="637"/>
      <c r="E452" s="637"/>
      <c r="F452" s="637"/>
      <c r="G452" s="637"/>
    </row>
    <row r="453" spans="2:7">
      <c r="B453" s="635"/>
      <c r="C453" s="638"/>
      <c r="D453" s="638"/>
      <c r="E453" s="638"/>
      <c r="F453" s="638"/>
      <c r="G453" s="638"/>
    </row>
    <row r="454" spans="2:7">
      <c r="B454" s="53"/>
      <c r="C454" s="49"/>
      <c r="D454" s="49"/>
      <c r="E454" s="49"/>
      <c r="F454" s="49"/>
      <c r="G454" s="50"/>
    </row>
    <row r="455" spans="2:7">
      <c r="B455" s="656" t="s">
        <v>212</v>
      </c>
      <c r="C455" s="657"/>
      <c r="D455" s="657"/>
      <c r="E455" s="658" t="s">
        <v>213</v>
      </c>
      <c r="F455" s="658"/>
      <c r="G455" s="659"/>
    </row>
    <row r="456" spans="2:7">
      <c r="B456" s="660" t="s">
        <v>314</v>
      </c>
      <c r="C456" s="661"/>
      <c r="D456" s="661"/>
      <c r="E456" s="662" t="s">
        <v>315</v>
      </c>
      <c r="F456" s="661"/>
      <c r="G456" s="663"/>
    </row>
    <row r="457" spans="2:7">
      <c r="B457" s="660"/>
      <c r="C457" s="661"/>
      <c r="D457" s="661"/>
      <c r="E457" s="661"/>
      <c r="F457" s="661"/>
      <c r="G457" s="663"/>
    </row>
    <row r="458" spans="2:7">
      <c r="B458" s="660"/>
      <c r="C458" s="661"/>
      <c r="D458" s="661"/>
      <c r="E458" s="661"/>
      <c r="F458" s="661"/>
      <c r="G458" s="663"/>
    </row>
    <row r="459" spans="2:7">
      <c r="B459" s="660"/>
      <c r="C459" s="661"/>
      <c r="D459" s="661"/>
      <c r="E459" s="661"/>
      <c r="F459" s="661"/>
      <c r="G459" s="663"/>
    </row>
    <row r="460" spans="2:7">
      <c r="B460" s="54"/>
      <c r="C460" s="55"/>
      <c r="D460" s="55"/>
      <c r="E460" s="55"/>
      <c r="F460" s="55"/>
      <c r="G460" s="56"/>
    </row>
    <row r="461" spans="2:7">
      <c r="B461" s="57"/>
      <c r="C461" s="58"/>
      <c r="D461" s="58"/>
      <c r="E461" s="58"/>
      <c r="F461" s="58"/>
      <c r="G461" s="59"/>
    </row>
    <row r="462" spans="2:7" ht="15.75">
      <c r="B462" s="664" t="s">
        <v>216</v>
      </c>
      <c r="C462" s="665"/>
      <c r="D462" s="665"/>
      <c r="E462" s="665"/>
      <c r="F462" s="665"/>
      <c r="G462" s="666"/>
    </row>
    <row r="463" spans="2:7">
      <c r="B463" s="667" t="s">
        <v>217</v>
      </c>
      <c r="C463" s="668"/>
      <c r="D463" s="668" t="s">
        <v>218</v>
      </c>
      <c r="E463" s="668"/>
      <c r="F463" s="669" t="s">
        <v>219</v>
      </c>
      <c r="G463" s="670"/>
    </row>
    <row r="464" spans="2:7">
      <c r="B464" s="675"/>
      <c r="C464" s="676"/>
      <c r="D464" s="679"/>
      <c r="E464" s="676"/>
      <c r="F464" s="681"/>
      <c r="G464" s="682"/>
    </row>
    <row r="465" spans="2:7">
      <c r="B465" s="677"/>
      <c r="C465" s="678"/>
      <c r="D465" s="680"/>
      <c r="E465" s="678"/>
      <c r="F465" s="683"/>
      <c r="G465" s="684"/>
    </row>
    <row r="466" spans="2:7">
      <c r="B466" s="57"/>
      <c r="C466" s="58"/>
      <c r="D466" s="58"/>
      <c r="E466" s="58"/>
      <c r="F466" s="58"/>
      <c r="G466" s="59"/>
    </row>
    <row r="467" spans="2:7">
      <c r="B467" s="685" t="s">
        <v>220</v>
      </c>
      <c r="C467" s="686"/>
      <c r="D467" s="669" t="s">
        <v>221</v>
      </c>
      <c r="E467" s="686"/>
      <c r="F467" s="669" t="s">
        <v>222</v>
      </c>
      <c r="G467" s="670"/>
    </row>
    <row r="468" spans="2:7">
      <c r="B468" s="671"/>
      <c r="C468" s="672"/>
      <c r="D468" s="673"/>
      <c r="E468" s="672"/>
      <c r="F468" s="673" t="s">
        <v>316</v>
      </c>
      <c r="G468" s="674"/>
    </row>
    <row r="469" spans="2:7">
      <c r="B469" s="58"/>
      <c r="C469" s="58"/>
      <c r="D469" s="58"/>
      <c r="E469" s="58"/>
      <c r="F469" s="58"/>
      <c r="G469" s="58"/>
    </row>
    <row r="470" spans="2:7">
      <c r="B470" s="58"/>
      <c r="C470" s="58"/>
      <c r="D470" s="58"/>
      <c r="E470" s="58"/>
      <c r="F470" s="58"/>
      <c r="G470" s="58"/>
    </row>
    <row r="471" spans="2:7" ht="15.75">
      <c r="B471" s="543" t="s">
        <v>189</v>
      </c>
      <c r="C471" s="544"/>
      <c r="D471" s="544"/>
      <c r="E471" s="544"/>
      <c r="F471" s="544"/>
      <c r="G471" s="545"/>
    </row>
    <row r="472" spans="2:7" ht="15.75">
      <c r="B472" s="643" t="s">
        <v>190</v>
      </c>
      <c r="C472" s="644"/>
      <c r="D472" s="644"/>
      <c r="E472" s="644"/>
      <c r="F472" s="644"/>
      <c r="G472" s="645"/>
    </row>
    <row r="473" spans="2:7">
      <c r="B473" s="646" t="s">
        <v>191</v>
      </c>
      <c r="C473" s="647"/>
      <c r="D473" s="648" t="s">
        <v>192</v>
      </c>
      <c r="E473" s="649"/>
      <c r="F473" s="652" t="s">
        <v>193</v>
      </c>
      <c r="G473" s="44" t="s">
        <v>194</v>
      </c>
    </row>
    <row r="474" spans="2:7">
      <c r="B474" s="654" t="s">
        <v>281</v>
      </c>
      <c r="C474" s="655"/>
      <c r="D474" s="650"/>
      <c r="E474" s="651"/>
      <c r="F474" s="653"/>
      <c r="G474" s="45" t="s">
        <v>317</v>
      </c>
    </row>
    <row r="475" spans="2:7" ht="22.5">
      <c r="B475" s="618" t="s">
        <v>197</v>
      </c>
      <c r="C475" s="619"/>
      <c r="D475" s="624" t="s">
        <v>318</v>
      </c>
      <c r="E475" s="687"/>
      <c r="F475" s="630">
        <v>105</v>
      </c>
      <c r="G475" s="46" t="s">
        <v>319</v>
      </c>
    </row>
    <row r="476" spans="2:7">
      <c r="B476" s="620"/>
      <c r="C476" s="621"/>
      <c r="D476" s="626"/>
      <c r="E476" s="688"/>
      <c r="F476" s="631"/>
      <c r="G476" s="47" t="s">
        <v>200</v>
      </c>
    </row>
    <row r="477" spans="2:7">
      <c r="B477" s="622"/>
      <c r="C477" s="623"/>
      <c r="D477" s="628"/>
      <c r="E477" s="703"/>
      <c r="F477" s="632"/>
      <c r="G477" s="46" t="s">
        <v>201</v>
      </c>
    </row>
    <row r="478" spans="2:7">
      <c r="B478" s="48" t="s">
        <v>202</v>
      </c>
      <c r="C478" s="49"/>
      <c r="D478" s="49"/>
      <c r="E478" s="49"/>
      <c r="F478" s="49"/>
      <c r="G478" s="50"/>
    </row>
    <row r="479" spans="2:7">
      <c r="B479" s="51"/>
      <c r="C479" s="52" t="s">
        <v>203</v>
      </c>
      <c r="D479" s="52" t="s">
        <v>203</v>
      </c>
      <c r="E479" s="52" t="s">
        <v>203</v>
      </c>
      <c r="F479" s="52" t="s">
        <v>203</v>
      </c>
      <c r="G479" s="52" t="s">
        <v>203</v>
      </c>
    </row>
    <row r="480" spans="2:7">
      <c r="B480" s="633" t="s">
        <v>204</v>
      </c>
      <c r="C480" s="691" t="s">
        <v>264</v>
      </c>
      <c r="D480" s="636" t="s">
        <v>320</v>
      </c>
      <c r="E480" s="636" t="s">
        <v>202</v>
      </c>
      <c r="F480" s="636" t="s">
        <v>202</v>
      </c>
      <c r="G480" s="636" t="s">
        <v>202</v>
      </c>
    </row>
    <row r="481" spans="2:7">
      <c r="B481" s="634"/>
      <c r="C481" s="692"/>
      <c r="D481" s="637"/>
      <c r="E481" s="637"/>
      <c r="F481" s="637"/>
      <c r="G481" s="637"/>
    </row>
    <row r="482" spans="2:7">
      <c r="B482" s="634"/>
      <c r="C482" s="692"/>
      <c r="D482" s="637"/>
      <c r="E482" s="637"/>
      <c r="F482" s="637"/>
      <c r="G482" s="637"/>
    </row>
    <row r="483" spans="2:7">
      <c r="B483" s="635"/>
      <c r="C483" s="693"/>
      <c r="D483" s="638"/>
      <c r="E483" s="638"/>
      <c r="F483" s="638"/>
      <c r="G483" s="638"/>
    </row>
    <row r="484" spans="2:7">
      <c r="B484" s="633" t="s">
        <v>208</v>
      </c>
      <c r="C484" s="636" t="s">
        <v>321</v>
      </c>
      <c r="D484" s="636" t="s">
        <v>322</v>
      </c>
      <c r="E484" s="636" t="s">
        <v>202</v>
      </c>
      <c r="F484" s="636" t="s">
        <v>202</v>
      </c>
      <c r="G484" s="636" t="s">
        <v>202</v>
      </c>
    </row>
    <row r="485" spans="2:7">
      <c r="B485" s="634"/>
      <c r="C485" s="637"/>
      <c r="D485" s="637"/>
      <c r="E485" s="637"/>
      <c r="F485" s="637"/>
      <c r="G485" s="637"/>
    </row>
    <row r="486" spans="2:7">
      <c r="B486" s="634"/>
      <c r="C486" s="637"/>
      <c r="D486" s="637"/>
      <c r="E486" s="637"/>
      <c r="F486" s="637"/>
      <c r="G486" s="637"/>
    </row>
    <row r="487" spans="2:7">
      <c r="B487" s="635"/>
      <c r="C487" s="638"/>
      <c r="D487" s="638"/>
      <c r="E487" s="638"/>
      <c r="F487" s="638"/>
      <c r="G487" s="638"/>
    </row>
    <row r="488" spans="2:7">
      <c r="B488" s="53"/>
      <c r="C488" s="49"/>
      <c r="D488" s="49"/>
      <c r="E488" s="49"/>
      <c r="F488" s="49"/>
      <c r="G488" s="50"/>
    </row>
    <row r="489" spans="2:7">
      <c r="B489" s="656" t="s">
        <v>212</v>
      </c>
      <c r="C489" s="657"/>
      <c r="D489" s="657"/>
      <c r="E489" s="658" t="s">
        <v>213</v>
      </c>
      <c r="F489" s="658"/>
      <c r="G489" s="659"/>
    </row>
    <row r="490" spans="2:7">
      <c r="B490" s="660" t="s">
        <v>323</v>
      </c>
      <c r="C490" s="661"/>
      <c r="D490" s="661"/>
      <c r="E490" s="662" t="s">
        <v>324</v>
      </c>
      <c r="F490" s="661"/>
      <c r="G490" s="663"/>
    </row>
    <row r="491" spans="2:7">
      <c r="B491" s="660"/>
      <c r="C491" s="661"/>
      <c r="D491" s="661"/>
      <c r="E491" s="661"/>
      <c r="F491" s="661"/>
      <c r="G491" s="663"/>
    </row>
    <row r="492" spans="2:7">
      <c r="B492" s="660"/>
      <c r="C492" s="661"/>
      <c r="D492" s="661"/>
      <c r="E492" s="661"/>
      <c r="F492" s="661"/>
      <c r="G492" s="663"/>
    </row>
    <row r="493" spans="2:7">
      <c r="B493" s="660"/>
      <c r="C493" s="661"/>
      <c r="D493" s="661"/>
      <c r="E493" s="661"/>
      <c r="F493" s="661"/>
      <c r="G493" s="663"/>
    </row>
    <row r="494" spans="2:7">
      <c r="B494" s="54"/>
      <c r="C494" s="55"/>
      <c r="D494" s="55"/>
      <c r="E494" s="55"/>
      <c r="F494" s="55"/>
      <c r="G494" s="56"/>
    </row>
    <row r="495" spans="2:7">
      <c r="B495" s="57"/>
      <c r="C495" s="58"/>
      <c r="D495" s="58"/>
      <c r="E495" s="58"/>
      <c r="F495" s="58"/>
      <c r="G495" s="59"/>
    </row>
    <row r="496" spans="2:7" ht="15.75">
      <c r="B496" s="664" t="s">
        <v>216</v>
      </c>
      <c r="C496" s="665"/>
      <c r="D496" s="665"/>
      <c r="E496" s="665"/>
      <c r="F496" s="665"/>
      <c r="G496" s="666"/>
    </row>
    <row r="497" spans="2:7">
      <c r="B497" s="667" t="s">
        <v>217</v>
      </c>
      <c r="C497" s="668"/>
      <c r="D497" s="668" t="s">
        <v>218</v>
      </c>
      <c r="E497" s="668"/>
      <c r="F497" s="669" t="s">
        <v>219</v>
      </c>
      <c r="G497" s="670"/>
    </row>
    <row r="498" spans="2:7">
      <c r="B498" s="675"/>
      <c r="C498" s="676"/>
      <c r="D498" s="679"/>
      <c r="E498" s="676"/>
      <c r="F498" s="681"/>
      <c r="G498" s="682"/>
    </row>
    <row r="499" spans="2:7">
      <c r="B499" s="677"/>
      <c r="C499" s="678"/>
      <c r="D499" s="680"/>
      <c r="E499" s="678"/>
      <c r="F499" s="683"/>
      <c r="G499" s="684"/>
    </row>
    <row r="500" spans="2:7">
      <c r="B500" s="57"/>
      <c r="C500" s="58"/>
      <c r="D500" s="58"/>
      <c r="E500" s="58"/>
      <c r="F500" s="58"/>
      <c r="G500" s="59"/>
    </row>
    <row r="501" spans="2:7">
      <c r="B501" s="685" t="s">
        <v>220</v>
      </c>
      <c r="C501" s="686"/>
      <c r="D501" s="669" t="s">
        <v>221</v>
      </c>
      <c r="E501" s="686"/>
      <c r="F501" s="669" t="s">
        <v>222</v>
      </c>
      <c r="G501" s="670"/>
    </row>
    <row r="502" spans="2:7">
      <c r="B502" s="671"/>
      <c r="C502" s="672"/>
      <c r="D502" s="673"/>
      <c r="E502" s="672"/>
      <c r="F502" s="673" t="s">
        <v>325</v>
      </c>
      <c r="G502" s="674"/>
    </row>
    <row r="503" spans="2:7">
      <c r="B503" s="58"/>
      <c r="C503" s="58"/>
      <c r="D503" s="58"/>
      <c r="E503" s="58"/>
      <c r="F503" s="58"/>
      <c r="G503" s="58"/>
    </row>
    <row r="504" spans="2:7">
      <c r="B504" s="58"/>
      <c r="C504" s="58"/>
      <c r="D504" s="58"/>
      <c r="E504" s="58"/>
      <c r="F504" s="58"/>
      <c r="G504" s="58"/>
    </row>
    <row r="505" spans="2:7">
      <c r="B505" s="58"/>
      <c r="C505" s="58"/>
      <c r="D505" s="58"/>
      <c r="E505" s="58"/>
      <c r="F505" s="58"/>
      <c r="G505" s="58"/>
    </row>
    <row r="506" spans="2:7">
      <c r="B506" s="58"/>
      <c r="C506" s="58"/>
      <c r="D506" s="58"/>
      <c r="E506" s="58"/>
      <c r="F506" s="58"/>
      <c r="G506" s="58"/>
    </row>
    <row r="507" spans="2:7">
      <c r="B507" s="58"/>
      <c r="C507" s="58"/>
      <c r="D507" s="58"/>
      <c r="E507" s="58"/>
      <c r="F507" s="58"/>
      <c r="G507" s="58"/>
    </row>
    <row r="508" spans="2:7">
      <c r="B508" s="58"/>
      <c r="C508" s="58"/>
      <c r="D508" s="58"/>
      <c r="E508" s="58"/>
      <c r="F508" s="58"/>
      <c r="G508" s="58"/>
    </row>
    <row r="509" spans="2:7">
      <c r="B509" s="58"/>
      <c r="C509" s="58"/>
      <c r="D509" s="58"/>
      <c r="E509" s="58"/>
      <c r="F509" s="58"/>
      <c r="G509" s="58"/>
    </row>
    <row r="510" spans="2:7">
      <c r="B510" s="58"/>
      <c r="C510" s="58"/>
      <c r="D510" s="58"/>
      <c r="E510" s="58"/>
      <c r="F510" s="58"/>
      <c r="G510" s="58"/>
    </row>
    <row r="511" spans="2:7">
      <c r="B511" s="58"/>
      <c r="C511" s="58"/>
      <c r="D511" s="58"/>
      <c r="E511" s="58"/>
      <c r="F511" s="58"/>
      <c r="G511" s="58"/>
    </row>
    <row r="512" spans="2:7">
      <c r="B512" s="58"/>
      <c r="C512" s="58"/>
      <c r="D512" s="58"/>
      <c r="E512" s="58"/>
      <c r="F512" s="58"/>
      <c r="G512" s="58"/>
    </row>
    <row r="513" spans="2:7">
      <c r="B513" s="58"/>
      <c r="C513" s="58"/>
      <c r="D513" s="58"/>
      <c r="E513" s="58"/>
      <c r="F513" s="58"/>
      <c r="G513" s="58"/>
    </row>
    <row r="514" spans="2:7">
      <c r="B514" s="58"/>
      <c r="C514" s="58"/>
      <c r="D514" s="58"/>
      <c r="E514" s="58"/>
      <c r="F514" s="58"/>
      <c r="G514" s="58"/>
    </row>
    <row r="515" spans="2:7">
      <c r="B515" s="58"/>
      <c r="C515" s="58"/>
      <c r="D515" s="58"/>
      <c r="E515" s="58"/>
      <c r="F515" s="58"/>
      <c r="G515" s="58"/>
    </row>
    <row r="516" spans="2:7">
      <c r="B516" s="58"/>
      <c r="C516" s="58"/>
      <c r="D516" s="58"/>
      <c r="E516" s="58"/>
      <c r="F516" s="58"/>
      <c r="G516" s="58"/>
    </row>
    <row r="517" spans="2:7">
      <c r="B517" s="58"/>
      <c r="C517" s="58"/>
      <c r="D517" s="58"/>
      <c r="E517" s="58"/>
      <c r="F517" s="58"/>
      <c r="G517" s="58"/>
    </row>
    <row r="518" spans="2:7">
      <c r="B518" s="58"/>
      <c r="C518" s="58"/>
      <c r="D518" s="58"/>
      <c r="E518" s="58"/>
      <c r="F518" s="58"/>
      <c r="G518" s="58"/>
    </row>
  </sheetData>
  <autoFilter ref="B2:K23" xr:uid="{7E3221BD-3E6C-4BA8-BFAD-98351ACD7F09}">
    <filterColumn colId="1" showButton="0"/>
    <filterColumn colId="7">
      <filters>
        <filter val="Yes"/>
      </filters>
    </filterColumn>
  </autoFilter>
  <mergeCells count="545">
    <mergeCell ref="B502:C502"/>
    <mergeCell ref="D502:E502"/>
    <mergeCell ref="F502:G502"/>
    <mergeCell ref="B496:G496"/>
    <mergeCell ref="B497:C497"/>
    <mergeCell ref="D497:E497"/>
    <mergeCell ref="F497:G497"/>
    <mergeCell ref="B498:C499"/>
    <mergeCell ref="D498:E499"/>
    <mergeCell ref="F498:G499"/>
    <mergeCell ref="B501:C501"/>
    <mergeCell ref="D501:E501"/>
    <mergeCell ref="F501:G501"/>
    <mergeCell ref="B484:B487"/>
    <mergeCell ref="C484:C487"/>
    <mergeCell ref="D484:D487"/>
    <mergeCell ref="E484:E487"/>
    <mergeCell ref="F484:F487"/>
    <mergeCell ref="G484:G487"/>
    <mergeCell ref="B489:D489"/>
    <mergeCell ref="E489:G489"/>
    <mergeCell ref="B490:D493"/>
    <mergeCell ref="E490:G493"/>
    <mergeCell ref="B475:C477"/>
    <mergeCell ref="D475:E477"/>
    <mergeCell ref="F475:F477"/>
    <mergeCell ref="B480:B483"/>
    <mergeCell ref="C480:C483"/>
    <mergeCell ref="D480:D483"/>
    <mergeCell ref="E480:E483"/>
    <mergeCell ref="F480:F483"/>
    <mergeCell ref="G480:G483"/>
    <mergeCell ref="B468:C468"/>
    <mergeCell ref="D468:E468"/>
    <mergeCell ref="F468:G468"/>
    <mergeCell ref="B471:G471"/>
    <mergeCell ref="B472:G472"/>
    <mergeCell ref="B473:C473"/>
    <mergeCell ref="D473:E474"/>
    <mergeCell ref="F473:F474"/>
    <mergeCell ref="B474:C474"/>
    <mergeCell ref="B462:G462"/>
    <mergeCell ref="B463:C463"/>
    <mergeCell ref="D463:E463"/>
    <mergeCell ref="F463:G463"/>
    <mergeCell ref="B464:C465"/>
    <mergeCell ref="D464:E465"/>
    <mergeCell ref="F464:G465"/>
    <mergeCell ref="B467:C467"/>
    <mergeCell ref="D467:E467"/>
    <mergeCell ref="F467:G467"/>
    <mergeCell ref="B450:B453"/>
    <mergeCell ref="C450:C453"/>
    <mergeCell ref="D450:D453"/>
    <mergeCell ref="E450:E453"/>
    <mergeCell ref="F450:F453"/>
    <mergeCell ref="G450:G453"/>
    <mergeCell ref="B455:D455"/>
    <mergeCell ref="E455:G455"/>
    <mergeCell ref="B456:D459"/>
    <mergeCell ref="E456:G459"/>
    <mergeCell ref="B441:C443"/>
    <mergeCell ref="D441:E443"/>
    <mergeCell ref="F441:F443"/>
    <mergeCell ref="B446:B449"/>
    <mergeCell ref="C446:C449"/>
    <mergeCell ref="D446:D449"/>
    <mergeCell ref="E446:E449"/>
    <mergeCell ref="F446:F449"/>
    <mergeCell ref="G446:G449"/>
    <mergeCell ref="B434:C434"/>
    <mergeCell ref="D434:E434"/>
    <mergeCell ref="F434:G434"/>
    <mergeCell ref="B437:G437"/>
    <mergeCell ref="B438:G438"/>
    <mergeCell ref="B439:C439"/>
    <mergeCell ref="D439:E440"/>
    <mergeCell ref="F439:F440"/>
    <mergeCell ref="B440:C440"/>
    <mergeCell ref="B428:G428"/>
    <mergeCell ref="B429:C429"/>
    <mergeCell ref="D429:E429"/>
    <mergeCell ref="F429:G429"/>
    <mergeCell ref="B430:C431"/>
    <mergeCell ref="D430:E431"/>
    <mergeCell ref="F430:G431"/>
    <mergeCell ref="B433:C433"/>
    <mergeCell ref="D433:E433"/>
    <mergeCell ref="F433:G433"/>
    <mergeCell ref="B416:B419"/>
    <mergeCell ref="C416:C419"/>
    <mergeCell ref="D416:D419"/>
    <mergeCell ref="E416:E419"/>
    <mergeCell ref="F416:F419"/>
    <mergeCell ref="G416:G419"/>
    <mergeCell ref="B421:D421"/>
    <mergeCell ref="E421:G421"/>
    <mergeCell ref="B422:D425"/>
    <mergeCell ref="E422:G425"/>
    <mergeCell ref="B407:C409"/>
    <mergeCell ref="D407:E409"/>
    <mergeCell ref="F407:F409"/>
    <mergeCell ref="B412:B415"/>
    <mergeCell ref="C412:C415"/>
    <mergeCell ref="D412:D415"/>
    <mergeCell ref="E412:E415"/>
    <mergeCell ref="F412:F415"/>
    <mergeCell ref="G412:G415"/>
    <mergeCell ref="B400:C400"/>
    <mergeCell ref="D400:E400"/>
    <mergeCell ref="F400:G400"/>
    <mergeCell ref="B403:G403"/>
    <mergeCell ref="B404:G404"/>
    <mergeCell ref="B405:C405"/>
    <mergeCell ref="D405:E406"/>
    <mergeCell ref="F405:F406"/>
    <mergeCell ref="B406:C406"/>
    <mergeCell ref="B394:G394"/>
    <mergeCell ref="B395:C395"/>
    <mergeCell ref="D395:E395"/>
    <mergeCell ref="F395:G395"/>
    <mergeCell ref="B396:C397"/>
    <mergeCell ref="D396:E397"/>
    <mergeCell ref="F396:G397"/>
    <mergeCell ref="B399:C399"/>
    <mergeCell ref="D399:E399"/>
    <mergeCell ref="F399:G399"/>
    <mergeCell ref="B382:B385"/>
    <mergeCell ref="C382:C385"/>
    <mergeCell ref="D382:D385"/>
    <mergeCell ref="E382:E385"/>
    <mergeCell ref="F382:F385"/>
    <mergeCell ref="G382:G385"/>
    <mergeCell ref="B387:D387"/>
    <mergeCell ref="E387:G387"/>
    <mergeCell ref="B388:D391"/>
    <mergeCell ref="E388:G391"/>
    <mergeCell ref="B373:C375"/>
    <mergeCell ref="D373:E375"/>
    <mergeCell ref="F373:F375"/>
    <mergeCell ref="B378:B381"/>
    <mergeCell ref="C378:C381"/>
    <mergeCell ref="D378:D381"/>
    <mergeCell ref="E378:E381"/>
    <mergeCell ref="F378:F381"/>
    <mergeCell ref="G378:G381"/>
    <mergeCell ref="B366:C366"/>
    <mergeCell ref="D366:E366"/>
    <mergeCell ref="F366:G366"/>
    <mergeCell ref="B369:G369"/>
    <mergeCell ref="B370:G370"/>
    <mergeCell ref="B371:C371"/>
    <mergeCell ref="D371:E372"/>
    <mergeCell ref="F371:F372"/>
    <mergeCell ref="B372:C372"/>
    <mergeCell ref="B360:G360"/>
    <mergeCell ref="B361:C361"/>
    <mergeCell ref="D361:E361"/>
    <mergeCell ref="F361:G361"/>
    <mergeCell ref="B362:C363"/>
    <mergeCell ref="D362:E363"/>
    <mergeCell ref="F362:G363"/>
    <mergeCell ref="B365:C365"/>
    <mergeCell ref="D365:E365"/>
    <mergeCell ref="F365:G365"/>
    <mergeCell ref="B348:B351"/>
    <mergeCell ref="C348:C351"/>
    <mergeCell ref="D348:D351"/>
    <mergeCell ref="E348:E351"/>
    <mergeCell ref="F348:F351"/>
    <mergeCell ref="G348:G351"/>
    <mergeCell ref="B353:D353"/>
    <mergeCell ref="E353:G353"/>
    <mergeCell ref="B354:D357"/>
    <mergeCell ref="E354:G357"/>
    <mergeCell ref="B339:C341"/>
    <mergeCell ref="D339:E341"/>
    <mergeCell ref="F339:F341"/>
    <mergeCell ref="B344:B347"/>
    <mergeCell ref="C344:C347"/>
    <mergeCell ref="D344:D347"/>
    <mergeCell ref="E344:E347"/>
    <mergeCell ref="F344:F347"/>
    <mergeCell ref="G344:G347"/>
    <mergeCell ref="B332:C332"/>
    <mergeCell ref="D332:E332"/>
    <mergeCell ref="F332:G332"/>
    <mergeCell ref="B335:G335"/>
    <mergeCell ref="B336:G336"/>
    <mergeCell ref="B337:C337"/>
    <mergeCell ref="D337:E338"/>
    <mergeCell ref="F337:F338"/>
    <mergeCell ref="B338:C338"/>
    <mergeCell ref="B326:G326"/>
    <mergeCell ref="B327:C327"/>
    <mergeCell ref="D327:E327"/>
    <mergeCell ref="F327:G327"/>
    <mergeCell ref="B328:C329"/>
    <mergeCell ref="D328:E329"/>
    <mergeCell ref="F328:G329"/>
    <mergeCell ref="B331:C331"/>
    <mergeCell ref="D331:E331"/>
    <mergeCell ref="F331:G331"/>
    <mergeCell ref="B314:B317"/>
    <mergeCell ref="C314:C317"/>
    <mergeCell ref="D314:D317"/>
    <mergeCell ref="E314:E317"/>
    <mergeCell ref="F314:F317"/>
    <mergeCell ref="G314:G317"/>
    <mergeCell ref="B319:D319"/>
    <mergeCell ref="E319:G319"/>
    <mergeCell ref="B320:D323"/>
    <mergeCell ref="E320:G323"/>
    <mergeCell ref="B305:C307"/>
    <mergeCell ref="D305:E307"/>
    <mergeCell ref="F305:F307"/>
    <mergeCell ref="B310:B313"/>
    <mergeCell ref="C310:C313"/>
    <mergeCell ref="D310:D313"/>
    <mergeCell ref="E310:E313"/>
    <mergeCell ref="F310:F313"/>
    <mergeCell ref="G310:G313"/>
    <mergeCell ref="B298:C298"/>
    <mergeCell ref="D298:E298"/>
    <mergeCell ref="F298:G298"/>
    <mergeCell ref="B301:G301"/>
    <mergeCell ref="B302:G302"/>
    <mergeCell ref="B303:C303"/>
    <mergeCell ref="D303:E304"/>
    <mergeCell ref="F303:F304"/>
    <mergeCell ref="B304:C304"/>
    <mergeCell ref="B292:G292"/>
    <mergeCell ref="B293:C293"/>
    <mergeCell ref="D293:E293"/>
    <mergeCell ref="F293:G293"/>
    <mergeCell ref="B294:C295"/>
    <mergeCell ref="D294:E295"/>
    <mergeCell ref="F294:G295"/>
    <mergeCell ref="B297:C297"/>
    <mergeCell ref="D297:E297"/>
    <mergeCell ref="F297:G297"/>
    <mergeCell ref="B280:B283"/>
    <mergeCell ref="C280:C283"/>
    <mergeCell ref="D280:D283"/>
    <mergeCell ref="E280:E283"/>
    <mergeCell ref="F280:F283"/>
    <mergeCell ref="G280:G283"/>
    <mergeCell ref="B285:D285"/>
    <mergeCell ref="E285:G285"/>
    <mergeCell ref="B286:D289"/>
    <mergeCell ref="E286:G289"/>
    <mergeCell ref="B271:C273"/>
    <mergeCell ref="D271:E273"/>
    <mergeCell ref="F271:F273"/>
    <mergeCell ref="B276:B279"/>
    <mergeCell ref="C276:C279"/>
    <mergeCell ref="D276:D279"/>
    <mergeCell ref="E276:E279"/>
    <mergeCell ref="F276:F279"/>
    <mergeCell ref="G276:G279"/>
    <mergeCell ref="B264:C264"/>
    <mergeCell ref="D264:E264"/>
    <mergeCell ref="F264:G264"/>
    <mergeCell ref="B267:G267"/>
    <mergeCell ref="B268:G268"/>
    <mergeCell ref="B269:C269"/>
    <mergeCell ref="D269:E270"/>
    <mergeCell ref="F269:F270"/>
    <mergeCell ref="B270:C270"/>
    <mergeCell ref="B258:G258"/>
    <mergeCell ref="B259:C259"/>
    <mergeCell ref="D259:E259"/>
    <mergeCell ref="F259:G259"/>
    <mergeCell ref="B260:C261"/>
    <mergeCell ref="D260:E261"/>
    <mergeCell ref="F260:G261"/>
    <mergeCell ref="B263:C263"/>
    <mergeCell ref="D263:E263"/>
    <mergeCell ref="F263:G263"/>
    <mergeCell ref="B246:B249"/>
    <mergeCell ref="C246:C249"/>
    <mergeCell ref="D246:D249"/>
    <mergeCell ref="E246:E249"/>
    <mergeCell ref="F246:F249"/>
    <mergeCell ref="G246:G249"/>
    <mergeCell ref="B251:D251"/>
    <mergeCell ref="E251:G251"/>
    <mergeCell ref="B252:D255"/>
    <mergeCell ref="E252:G255"/>
    <mergeCell ref="B237:C239"/>
    <mergeCell ref="D237:E239"/>
    <mergeCell ref="F237:F239"/>
    <mergeCell ref="B242:B245"/>
    <mergeCell ref="C242:C245"/>
    <mergeCell ref="D242:D245"/>
    <mergeCell ref="E242:E245"/>
    <mergeCell ref="F242:F245"/>
    <mergeCell ref="G242:G245"/>
    <mergeCell ref="B230:C230"/>
    <mergeCell ref="D230:E230"/>
    <mergeCell ref="F230:G230"/>
    <mergeCell ref="B233:G233"/>
    <mergeCell ref="B234:G234"/>
    <mergeCell ref="B235:C235"/>
    <mergeCell ref="D235:E236"/>
    <mergeCell ref="F235:F236"/>
    <mergeCell ref="B236:C236"/>
    <mergeCell ref="B224:G224"/>
    <mergeCell ref="B225:C225"/>
    <mergeCell ref="D225:E225"/>
    <mergeCell ref="F225:G225"/>
    <mergeCell ref="B226:C227"/>
    <mergeCell ref="D226:E227"/>
    <mergeCell ref="F226:G227"/>
    <mergeCell ref="B229:C229"/>
    <mergeCell ref="D229:E229"/>
    <mergeCell ref="F229:G229"/>
    <mergeCell ref="B212:B215"/>
    <mergeCell ref="C212:C215"/>
    <mergeCell ref="D212:D215"/>
    <mergeCell ref="E212:E215"/>
    <mergeCell ref="F212:F215"/>
    <mergeCell ref="G212:G215"/>
    <mergeCell ref="B217:D217"/>
    <mergeCell ref="E217:G217"/>
    <mergeCell ref="B218:D221"/>
    <mergeCell ref="E218:G221"/>
    <mergeCell ref="B203:C205"/>
    <mergeCell ref="D203:E205"/>
    <mergeCell ref="F203:F205"/>
    <mergeCell ref="B208:B211"/>
    <mergeCell ref="C208:C211"/>
    <mergeCell ref="D208:D211"/>
    <mergeCell ref="E208:E211"/>
    <mergeCell ref="F208:F211"/>
    <mergeCell ref="G208:G211"/>
    <mergeCell ref="B196:C196"/>
    <mergeCell ref="D196:E196"/>
    <mergeCell ref="F196:G196"/>
    <mergeCell ref="B199:G199"/>
    <mergeCell ref="B200:G200"/>
    <mergeCell ref="B201:C201"/>
    <mergeCell ref="D201:E202"/>
    <mergeCell ref="F201:F202"/>
    <mergeCell ref="B202:C202"/>
    <mergeCell ref="B190:G190"/>
    <mergeCell ref="B191:C191"/>
    <mergeCell ref="D191:E191"/>
    <mergeCell ref="F191:G191"/>
    <mergeCell ref="B192:C193"/>
    <mergeCell ref="D192:E193"/>
    <mergeCell ref="F192:G193"/>
    <mergeCell ref="B195:C195"/>
    <mergeCell ref="D195:E195"/>
    <mergeCell ref="F195:G195"/>
    <mergeCell ref="B178:B181"/>
    <mergeCell ref="C178:C181"/>
    <mergeCell ref="D178:D181"/>
    <mergeCell ref="E178:E181"/>
    <mergeCell ref="F178:F181"/>
    <mergeCell ref="G178:G181"/>
    <mergeCell ref="B183:D183"/>
    <mergeCell ref="E183:G183"/>
    <mergeCell ref="B184:D187"/>
    <mergeCell ref="E184:G187"/>
    <mergeCell ref="B169:C171"/>
    <mergeCell ref="D169:E171"/>
    <mergeCell ref="F169:F171"/>
    <mergeCell ref="B174:B177"/>
    <mergeCell ref="C174:C177"/>
    <mergeCell ref="D174:D177"/>
    <mergeCell ref="E174:E177"/>
    <mergeCell ref="F174:F177"/>
    <mergeCell ref="G174:G177"/>
    <mergeCell ref="B161:C161"/>
    <mergeCell ref="D161:E161"/>
    <mergeCell ref="F161:G161"/>
    <mergeCell ref="B162:C162"/>
    <mergeCell ref="D162:E162"/>
    <mergeCell ref="F162:G162"/>
    <mergeCell ref="B165:G165"/>
    <mergeCell ref="B166:G166"/>
    <mergeCell ref="B167:C167"/>
    <mergeCell ref="D167:E168"/>
    <mergeCell ref="F167:F168"/>
    <mergeCell ref="B168:C168"/>
    <mergeCell ref="B149:D149"/>
    <mergeCell ref="E149:G149"/>
    <mergeCell ref="B150:D153"/>
    <mergeCell ref="E150:G153"/>
    <mergeCell ref="B156:G156"/>
    <mergeCell ref="B157:C157"/>
    <mergeCell ref="D157:E157"/>
    <mergeCell ref="F157:G157"/>
    <mergeCell ref="B158:C159"/>
    <mergeCell ref="D158:E159"/>
    <mergeCell ref="F158:G159"/>
    <mergeCell ref="B140:B143"/>
    <mergeCell ref="C140:C143"/>
    <mergeCell ref="D140:D143"/>
    <mergeCell ref="E140:E143"/>
    <mergeCell ref="F140:F143"/>
    <mergeCell ref="G140:G143"/>
    <mergeCell ref="B144:B147"/>
    <mergeCell ref="C144:C147"/>
    <mergeCell ref="D144:D147"/>
    <mergeCell ref="E144:E147"/>
    <mergeCell ref="F144:F147"/>
    <mergeCell ref="G144:G147"/>
    <mergeCell ref="B131:G131"/>
    <mergeCell ref="B132:G132"/>
    <mergeCell ref="B133:C133"/>
    <mergeCell ref="D133:E134"/>
    <mergeCell ref="F133:F134"/>
    <mergeCell ref="B134:C134"/>
    <mergeCell ref="B135:C137"/>
    <mergeCell ref="D135:E137"/>
    <mergeCell ref="F135:F137"/>
    <mergeCell ref="B122:G122"/>
    <mergeCell ref="B123:C123"/>
    <mergeCell ref="D123:E123"/>
    <mergeCell ref="F123:G123"/>
    <mergeCell ref="B124:C125"/>
    <mergeCell ref="D124:E125"/>
    <mergeCell ref="F124:G125"/>
    <mergeCell ref="B128:C128"/>
    <mergeCell ref="D128:E128"/>
    <mergeCell ref="F128:G128"/>
    <mergeCell ref="B127:C127"/>
    <mergeCell ref="D127:E127"/>
    <mergeCell ref="F127:G127"/>
    <mergeCell ref="B110:B113"/>
    <mergeCell ref="C110:C113"/>
    <mergeCell ref="D110:D113"/>
    <mergeCell ref="E110:E113"/>
    <mergeCell ref="F110:F113"/>
    <mergeCell ref="G110:G113"/>
    <mergeCell ref="B115:D115"/>
    <mergeCell ref="E115:G115"/>
    <mergeCell ref="B116:D119"/>
    <mergeCell ref="E116:G119"/>
    <mergeCell ref="B101:C103"/>
    <mergeCell ref="D101:E103"/>
    <mergeCell ref="F101:F103"/>
    <mergeCell ref="B106:B109"/>
    <mergeCell ref="C106:C109"/>
    <mergeCell ref="D106:D109"/>
    <mergeCell ref="E106:E109"/>
    <mergeCell ref="F106:F109"/>
    <mergeCell ref="G106:G109"/>
    <mergeCell ref="B94:C94"/>
    <mergeCell ref="D94:E94"/>
    <mergeCell ref="F94:G94"/>
    <mergeCell ref="B97:G97"/>
    <mergeCell ref="B99:C99"/>
    <mergeCell ref="B90:C91"/>
    <mergeCell ref="D90:E91"/>
    <mergeCell ref="F90:G91"/>
    <mergeCell ref="B93:C93"/>
    <mergeCell ref="D93:E93"/>
    <mergeCell ref="F93:G93"/>
    <mergeCell ref="B98:G98"/>
    <mergeCell ref="D99:E100"/>
    <mergeCell ref="F99:F100"/>
    <mergeCell ref="B100:C100"/>
    <mergeCell ref="B81:D81"/>
    <mergeCell ref="E81:G81"/>
    <mergeCell ref="B82:D85"/>
    <mergeCell ref="E82:G85"/>
    <mergeCell ref="B88:G88"/>
    <mergeCell ref="B89:C89"/>
    <mergeCell ref="D89:E89"/>
    <mergeCell ref="F89:G89"/>
    <mergeCell ref="G72:G75"/>
    <mergeCell ref="B76:B79"/>
    <mergeCell ref="C76:C79"/>
    <mergeCell ref="D76:D79"/>
    <mergeCell ref="E76:E79"/>
    <mergeCell ref="F76:F79"/>
    <mergeCell ref="G76:G79"/>
    <mergeCell ref="B67:C69"/>
    <mergeCell ref="D67:E69"/>
    <mergeCell ref="F67:F69"/>
    <mergeCell ref="B72:B75"/>
    <mergeCell ref="C72:C75"/>
    <mergeCell ref="D72:D75"/>
    <mergeCell ref="E72:E75"/>
    <mergeCell ref="F72:F75"/>
    <mergeCell ref="B60:C60"/>
    <mergeCell ref="D60:E60"/>
    <mergeCell ref="F60:G60"/>
    <mergeCell ref="B63:G63"/>
    <mergeCell ref="B64:G64"/>
    <mergeCell ref="B65:C65"/>
    <mergeCell ref="D65:E66"/>
    <mergeCell ref="F65:F66"/>
    <mergeCell ref="B66:C66"/>
    <mergeCell ref="B56:C57"/>
    <mergeCell ref="D56:E57"/>
    <mergeCell ref="F56:G57"/>
    <mergeCell ref="B59:C59"/>
    <mergeCell ref="D59:E59"/>
    <mergeCell ref="F59:G59"/>
    <mergeCell ref="B47:D47"/>
    <mergeCell ref="E47:G47"/>
    <mergeCell ref="B48:D51"/>
    <mergeCell ref="E48:G51"/>
    <mergeCell ref="B54:G54"/>
    <mergeCell ref="B55:C55"/>
    <mergeCell ref="D55:E55"/>
    <mergeCell ref="F55:G55"/>
    <mergeCell ref="B42:B45"/>
    <mergeCell ref="C42:C45"/>
    <mergeCell ref="D42:D45"/>
    <mergeCell ref="E42:E45"/>
    <mergeCell ref="F42:F45"/>
    <mergeCell ref="G42:G45"/>
    <mergeCell ref="B38:B41"/>
    <mergeCell ref="C38:C41"/>
    <mergeCell ref="D38:D41"/>
    <mergeCell ref="E38:E41"/>
    <mergeCell ref="F38:F41"/>
    <mergeCell ref="G38:G41"/>
    <mergeCell ref="B31:C31"/>
    <mergeCell ref="D31:E32"/>
    <mergeCell ref="F31:F32"/>
    <mergeCell ref="B32:C32"/>
    <mergeCell ref="B33:C35"/>
    <mergeCell ref="D33:E35"/>
    <mergeCell ref="F33:F35"/>
    <mergeCell ref="I2:I3"/>
    <mergeCell ref="J2:J3"/>
    <mergeCell ref="E23:K26"/>
    <mergeCell ref="M5:N5"/>
    <mergeCell ref="L6:M6"/>
    <mergeCell ref="K2:K3"/>
    <mergeCell ref="C25:D25"/>
    <mergeCell ref="B29:G29"/>
    <mergeCell ref="B30:G30"/>
    <mergeCell ref="B2:B3"/>
    <mergeCell ref="C2:D2"/>
    <mergeCell ref="E2:E3"/>
    <mergeCell ref="F2:F3"/>
    <mergeCell ref="G2:G3"/>
    <mergeCell ref="H2:H3"/>
  </mergeCells>
  <phoneticPr fontId="0" type="noConversion"/>
  <dataValidations count="1">
    <dataValidation operator="equal" allowBlank="1" showErrorMessage="1" sqref="H21" xr:uid="{74D3250A-13F4-4E51-A8F4-7229A5A82114}">
      <formula1>0</formula1>
      <formula2>0</formula2>
    </dataValidation>
  </dataValidations>
  <printOptions horizontalCentered="1" verticalCentered="1"/>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0C28-BB22-4A3B-9909-01A73A6CBAE3}">
  <sheetPr filterMode="1">
    <pageSetUpPr fitToPage="1"/>
  </sheetPr>
  <dimension ref="A2:N328"/>
  <sheetViews>
    <sheetView workbookViewId="0">
      <selection activeCell="K9" sqref="K9"/>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3.140625" customWidth="1"/>
    <col min="10" max="10" width="29.85546875" bestFit="1" customWidth="1"/>
    <col min="11" max="11" width="55.28515625" customWidth="1"/>
    <col min="13" max="13" width="11.28515625" customWidth="1"/>
  </cols>
  <sheetData>
    <row r="2" spans="1:14">
      <c r="B2" s="443" t="s">
        <v>0</v>
      </c>
      <c r="C2" s="445" t="s">
        <v>1</v>
      </c>
      <c r="D2" s="438"/>
      <c r="E2" s="438" t="s">
        <v>2</v>
      </c>
      <c r="F2" s="438" t="s">
        <v>3</v>
      </c>
      <c r="G2" s="438" t="s">
        <v>4</v>
      </c>
      <c r="H2" s="438" t="s">
        <v>5</v>
      </c>
      <c r="I2" s="438" t="s">
        <v>6</v>
      </c>
      <c r="J2" s="438" t="s">
        <v>7</v>
      </c>
      <c r="K2" s="440" t="s">
        <v>8</v>
      </c>
    </row>
    <row r="3" spans="1:14" hidden="1">
      <c r="B3" s="444"/>
      <c r="C3" s="41" t="s">
        <v>9</v>
      </c>
      <c r="D3" s="42" t="s">
        <v>10</v>
      </c>
      <c r="E3" s="439"/>
      <c r="F3" s="439"/>
      <c r="G3" s="439"/>
      <c r="H3" s="439"/>
      <c r="I3" s="439"/>
      <c r="J3" s="439"/>
      <c r="K3" s="441"/>
    </row>
    <row r="4" spans="1:14" s="3" customFormat="1" ht="35.25">
      <c r="B4" s="32">
        <v>1</v>
      </c>
      <c r="C4" s="37"/>
      <c r="D4" s="119">
        <v>273</v>
      </c>
      <c r="E4" s="63" t="s">
        <v>326</v>
      </c>
      <c r="F4" s="37" t="s">
        <v>131</v>
      </c>
      <c r="G4" s="37" t="s">
        <v>162</v>
      </c>
      <c r="H4" s="64" t="s">
        <v>327</v>
      </c>
      <c r="I4" s="2" t="s">
        <v>328</v>
      </c>
      <c r="J4" s="36" t="s">
        <v>329</v>
      </c>
      <c r="K4" s="65" t="s">
        <v>330</v>
      </c>
    </row>
    <row r="5" spans="1:14" s="3" customFormat="1" ht="35.25">
      <c r="B5" s="32">
        <v>2</v>
      </c>
      <c r="C5" s="37"/>
      <c r="D5" s="37">
        <v>120</v>
      </c>
      <c r="E5" s="63" t="s">
        <v>331</v>
      </c>
      <c r="F5" s="37" t="s">
        <v>131</v>
      </c>
      <c r="G5" s="37" t="s">
        <v>332</v>
      </c>
      <c r="H5" s="64" t="s">
        <v>333</v>
      </c>
      <c r="I5" s="2" t="s">
        <v>328</v>
      </c>
      <c r="J5" s="36" t="s">
        <v>334</v>
      </c>
      <c r="K5" s="65" t="s">
        <v>335</v>
      </c>
    </row>
    <row r="6" spans="1:14" s="3" customFormat="1" ht="29.25">
      <c r="B6" s="32">
        <v>3</v>
      </c>
      <c r="C6" s="37">
        <v>120</v>
      </c>
      <c r="D6" s="37"/>
      <c r="E6" s="63" t="s">
        <v>336</v>
      </c>
      <c r="F6" s="37" t="s">
        <v>131</v>
      </c>
      <c r="G6" s="37" t="s">
        <v>152</v>
      </c>
      <c r="H6" s="64" t="s">
        <v>337</v>
      </c>
      <c r="I6" s="2" t="s">
        <v>328</v>
      </c>
      <c r="J6" s="36" t="s">
        <v>338</v>
      </c>
      <c r="K6" s="65" t="s">
        <v>339</v>
      </c>
    </row>
    <row r="7" spans="1:14" s="66" customFormat="1" ht="29.25">
      <c r="B7" s="67">
        <v>4</v>
      </c>
      <c r="C7" s="68"/>
      <c r="D7" s="68">
        <v>52</v>
      </c>
      <c r="E7" s="69" t="s">
        <v>340</v>
      </c>
      <c r="F7" s="68" t="s">
        <v>159</v>
      </c>
      <c r="G7" s="68" t="s">
        <v>162</v>
      </c>
      <c r="H7" s="70" t="s">
        <v>341</v>
      </c>
      <c r="I7" s="71" t="s">
        <v>328</v>
      </c>
      <c r="J7" s="62" t="s">
        <v>329</v>
      </c>
      <c r="K7" s="72" t="s">
        <v>330</v>
      </c>
    </row>
    <row r="8" spans="1:14" s="3" customFormat="1" ht="29.25" hidden="1">
      <c r="B8" s="32">
        <v>5</v>
      </c>
      <c r="C8" s="37"/>
      <c r="D8" s="37">
        <v>168</v>
      </c>
      <c r="E8" s="63" t="s">
        <v>340</v>
      </c>
      <c r="F8" s="37" t="s">
        <v>131</v>
      </c>
      <c r="G8" s="37" t="s">
        <v>162</v>
      </c>
      <c r="H8" s="64" t="s">
        <v>342</v>
      </c>
      <c r="I8" s="186" t="s">
        <v>146</v>
      </c>
      <c r="J8" s="37"/>
      <c r="K8" s="65" t="s">
        <v>343</v>
      </c>
    </row>
    <row r="9" spans="1:14" s="3" customFormat="1" ht="43.5">
      <c r="B9" s="32">
        <v>6</v>
      </c>
      <c r="C9" s="37">
        <v>83</v>
      </c>
      <c r="D9" s="37"/>
      <c r="E9" s="63" t="s">
        <v>344</v>
      </c>
      <c r="F9" s="37" t="s">
        <v>131</v>
      </c>
      <c r="G9" s="37" t="s">
        <v>162</v>
      </c>
      <c r="H9" s="64" t="s">
        <v>345</v>
      </c>
      <c r="I9" s="2" t="s">
        <v>328</v>
      </c>
      <c r="J9" s="36" t="s">
        <v>346</v>
      </c>
      <c r="K9" s="65" t="s">
        <v>347</v>
      </c>
    </row>
    <row r="10" spans="1:14" s="3" customFormat="1" hidden="1">
      <c r="B10" s="32">
        <v>7</v>
      </c>
      <c r="C10" s="37">
        <v>10</v>
      </c>
      <c r="D10" s="37"/>
      <c r="E10" s="63" t="s">
        <v>348</v>
      </c>
      <c r="F10" s="37" t="s">
        <v>159</v>
      </c>
      <c r="G10" s="37" t="s">
        <v>174</v>
      </c>
      <c r="H10" s="64" t="s">
        <v>349</v>
      </c>
      <c r="I10" s="2" t="s">
        <v>146</v>
      </c>
      <c r="J10" s="37"/>
      <c r="K10" s="65"/>
    </row>
    <row r="11" spans="1:14" s="3" customFormat="1" ht="43.5">
      <c r="B11" s="32">
        <v>8</v>
      </c>
      <c r="C11" s="37">
        <v>15</v>
      </c>
      <c r="D11" s="37"/>
      <c r="E11" s="63" t="s">
        <v>350</v>
      </c>
      <c r="F11" s="37" t="s">
        <v>124</v>
      </c>
      <c r="G11" s="37" t="s">
        <v>140</v>
      </c>
      <c r="H11" s="64" t="s">
        <v>351</v>
      </c>
      <c r="I11" s="2" t="s">
        <v>328</v>
      </c>
      <c r="J11" s="36" t="s">
        <v>352</v>
      </c>
      <c r="K11" s="65" t="s">
        <v>353</v>
      </c>
    </row>
    <row r="12" spans="1:14" s="3" customFormat="1" ht="23.25" hidden="1">
      <c r="B12" s="32">
        <v>9</v>
      </c>
      <c r="C12" s="37">
        <v>11</v>
      </c>
      <c r="D12" s="37"/>
      <c r="E12" s="63" t="s">
        <v>354</v>
      </c>
      <c r="F12" s="37" t="s">
        <v>124</v>
      </c>
      <c r="G12" s="37" t="s">
        <v>140</v>
      </c>
      <c r="H12" s="64" t="s">
        <v>355</v>
      </c>
      <c r="I12" s="2" t="s">
        <v>146</v>
      </c>
      <c r="J12" s="37"/>
      <c r="K12" s="65" t="s">
        <v>353</v>
      </c>
    </row>
    <row r="13" spans="1:14" s="3" customFormat="1">
      <c r="B13" s="32">
        <v>10</v>
      </c>
      <c r="C13" s="37">
        <v>17</v>
      </c>
      <c r="D13" s="37"/>
      <c r="E13" s="63" t="s">
        <v>356</v>
      </c>
      <c r="F13" s="37" t="s">
        <v>124</v>
      </c>
      <c r="G13" s="37" t="s">
        <v>140</v>
      </c>
      <c r="H13" s="64" t="s">
        <v>357</v>
      </c>
      <c r="I13" s="2" t="s">
        <v>328</v>
      </c>
      <c r="J13" s="36" t="s">
        <v>358</v>
      </c>
      <c r="K13" s="65"/>
    </row>
    <row r="14" spans="1:14" s="3" customFormat="1" hidden="1">
      <c r="B14" s="32">
        <v>11</v>
      </c>
      <c r="C14" s="37"/>
      <c r="D14" s="37">
        <v>12</v>
      </c>
      <c r="E14" s="63" t="s">
        <v>359</v>
      </c>
      <c r="F14" s="37" t="s">
        <v>124</v>
      </c>
      <c r="G14" s="37" t="s">
        <v>162</v>
      </c>
      <c r="H14" s="64" t="s">
        <v>360</v>
      </c>
      <c r="I14" s="2" t="s">
        <v>146</v>
      </c>
      <c r="J14" s="37"/>
      <c r="K14" s="65"/>
    </row>
    <row r="15" spans="1:14" s="3" customFormat="1" ht="49.5" customHeight="1">
      <c r="B15" s="32">
        <v>12</v>
      </c>
      <c r="C15" s="37"/>
      <c r="D15" s="37">
        <v>156</v>
      </c>
      <c r="E15" s="63" t="s">
        <v>361</v>
      </c>
      <c r="F15" s="37" t="s">
        <v>124</v>
      </c>
      <c r="G15" s="37" t="s">
        <v>174</v>
      </c>
      <c r="H15" s="64" t="s">
        <v>362</v>
      </c>
      <c r="I15" s="2" t="s">
        <v>328</v>
      </c>
      <c r="J15" s="36" t="s">
        <v>363</v>
      </c>
      <c r="K15" s="65" t="s">
        <v>364</v>
      </c>
    </row>
    <row r="16" spans="1:14" hidden="1">
      <c r="A16" s="3"/>
      <c r="B16" s="32">
        <v>13</v>
      </c>
      <c r="C16" s="37"/>
      <c r="D16" s="37">
        <v>28</v>
      </c>
      <c r="E16" s="63" t="s">
        <v>361</v>
      </c>
      <c r="F16" s="37" t="s">
        <v>124</v>
      </c>
      <c r="G16" s="37" t="s">
        <v>174</v>
      </c>
      <c r="H16" s="64" t="s">
        <v>365</v>
      </c>
      <c r="I16" s="2" t="s">
        <v>146</v>
      </c>
      <c r="J16" s="37"/>
      <c r="K16" s="65"/>
      <c r="L16" s="3"/>
      <c r="M16" s="3"/>
      <c r="N16" s="3"/>
    </row>
    <row r="17" spans="1:14" ht="35.25">
      <c r="A17" s="3"/>
      <c r="B17" s="32">
        <v>14</v>
      </c>
      <c r="C17" s="37"/>
      <c r="D17" s="37">
        <v>178</v>
      </c>
      <c r="E17" s="63" t="s">
        <v>366</v>
      </c>
      <c r="F17" s="37" t="s">
        <v>124</v>
      </c>
      <c r="G17" s="37" t="s">
        <v>174</v>
      </c>
      <c r="H17" s="64" t="s">
        <v>367</v>
      </c>
      <c r="I17" s="2" t="s">
        <v>328</v>
      </c>
      <c r="J17" s="36" t="s">
        <v>368</v>
      </c>
      <c r="K17" s="65" t="s">
        <v>369</v>
      </c>
      <c r="L17" s="3"/>
      <c r="M17" s="3"/>
      <c r="N17" s="3"/>
    </row>
    <row r="18" spans="1:14" hidden="1">
      <c r="B18" s="6" t="s">
        <v>11</v>
      </c>
      <c r="C18" s="7">
        <f>SUM(C4:C17)</f>
        <v>256</v>
      </c>
      <c r="D18" s="7">
        <f>SUM(D4:D17)</f>
        <v>987</v>
      </c>
      <c r="E18" s="434"/>
      <c r="F18" s="435"/>
      <c r="G18" s="435"/>
      <c r="H18" s="435"/>
      <c r="I18" s="435"/>
      <c r="J18" s="435"/>
      <c r="K18" s="435"/>
    </row>
    <row r="19" spans="1:14" hidden="1">
      <c r="B19" s="9"/>
      <c r="C19" s="10">
        <f>SUM(C3:C18)</f>
        <v>512</v>
      </c>
      <c r="D19" s="11">
        <f>SUM(D3:D18)</f>
        <v>1974</v>
      </c>
      <c r="E19" s="434"/>
      <c r="F19" s="435"/>
      <c r="G19" s="435"/>
      <c r="H19" s="435"/>
      <c r="I19" s="435"/>
      <c r="J19" s="435"/>
      <c r="K19" s="435"/>
    </row>
    <row r="20" spans="1:14" hidden="1">
      <c r="B20" s="6" t="s">
        <v>12</v>
      </c>
      <c r="C20" s="432">
        <f>SUM(C19,D19)</f>
        <v>2486</v>
      </c>
      <c r="D20" s="433"/>
      <c r="E20" s="434"/>
      <c r="F20" s="435"/>
      <c r="G20" s="435"/>
      <c r="H20" s="435"/>
      <c r="I20" s="435"/>
      <c r="J20" s="435"/>
      <c r="K20" s="435"/>
    </row>
    <row r="21" spans="1:14">
      <c r="B21" s="12"/>
      <c r="C21" s="13"/>
      <c r="D21" s="14"/>
      <c r="E21" s="436"/>
      <c r="F21" s="437"/>
      <c r="G21" s="437"/>
      <c r="H21" s="437"/>
      <c r="I21" s="437"/>
      <c r="J21" s="437"/>
      <c r="K21" s="437"/>
    </row>
    <row r="24" spans="1:14" ht="15.75">
      <c r="B24" s="543" t="s">
        <v>189</v>
      </c>
      <c r="C24" s="544"/>
      <c r="D24" s="544"/>
      <c r="E24" s="544"/>
      <c r="F24" s="544"/>
      <c r="G24" s="545"/>
    </row>
    <row r="25" spans="1:14" ht="15.75">
      <c r="B25" s="546" t="s">
        <v>190</v>
      </c>
      <c r="C25" s="547"/>
      <c r="D25" s="547"/>
      <c r="E25" s="547"/>
      <c r="F25" s="547"/>
      <c r="G25" s="548"/>
    </row>
    <row r="26" spans="1:14" ht="15" customHeight="1">
      <c r="B26" s="549" t="s">
        <v>191</v>
      </c>
      <c r="C26" s="550"/>
      <c r="D26" s="551" t="s">
        <v>192</v>
      </c>
      <c r="E26" s="552"/>
      <c r="F26" s="555" t="s">
        <v>193</v>
      </c>
      <c r="G26" s="15" t="s">
        <v>194</v>
      </c>
    </row>
    <row r="27" spans="1:14" ht="15" customHeight="1">
      <c r="B27" s="557" t="s">
        <v>195</v>
      </c>
      <c r="C27" s="558"/>
      <c r="D27" s="553"/>
      <c r="E27" s="554"/>
      <c r="F27" s="556"/>
      <c r="G27" s="16" t="s">
        <v>370</v>
      </c>
    </row>
    <row r="28" spans="1:14" ht="21.75">
      <c r="B28" s="559" t="s">
        <v>197</v>
      </c>
      <c r="C28" s="560"/>
      <c r="D28" s="565" t="s">
        <v>371</v>
      </c>
      <c r="E28" s="707"/>
      <c r="F28" s="571">
        <v>120</v>
      </c>
      <c r="G28" s="17" t="s">
        <v>199</v>
      </c>
    </row>
    <row r="29" spans="1:14">
      <c r="B29" s="561"/>
      <c r="C29" s="562"/>
      <c r="D29" s="567"/>
      <c r="E29" s="708"/>
      <c r="F29" s="572"/>
      <c r="G29" s="18" t="s">
        <v>200</v>
      </c>
    </row>
    <row r="30" spans="1:14">
      <c r="B30" s="563"/>
      <c r="C30" s="564"/>
      <c r="D30" s="569"/>
      <c r="E30" s="709"/>
      <c r="F30" s="573"/>
      <c r="G30" s="17" t="s">
        <v>201</v>
      </c>
    </row>
    <row r="31" spans="1:14">
      <c r="B31" s="19" t="s">
        <v>202</v>
      </c>
      <c r="C31" s="20"/>
      <c r="D31" s="20"/>
      <c r="E31" s="20"/>
      <c r="F31" s="20"/>
      <c r="G31" s="21"/>
    </row>
    <row r="32" spans="1:14">
      <c r="B32" s="22"/>
      <c r="C32" s="23" t="s">
        <v>203</v>
      </c>
      <c r="D32" s="23" t="s">
        <v>203</v>
      </c>
      <c r="E32" s="23" t="s">
        <v>203</v>
      </c>
      <c r="F32" s="23" t="s">
        <v>203</v>
      </c>
      <c r="G32" s="23" t="s">
        <v>203</v>
      </c>
    </row>
    <row r="33" spans="2:7">
      <c r="B33" s="574" t="s">
        <v>204</v>
      </c>
      <c r="C33" s="580" t="s">
        <v>264</v>
      </c>
      <c r="D33" s="580" t="s">
        <v>372</v>
      </c>
      <c r="E33" s="580" t="s">
        <v>373</v>
      </c>
      <c r="F33" s="580" t="s">
        <v>202</v>
      </c>
      <c r="G33" s="580" t="s">
        <v>202</v>
      </c>
    </row>
    <row r="34" spans="2:7">
      <c r="B34" s="575"/>
      <c r="C34" s="581"/>
      <c r="D34" s="581"/>
      <c r="E34" s="581"/>
      <c r="F34" s="581"/>
      <c r="G34" s="581"/>
    </row>
    <row r="35" spans="2:7">
      <c r="B35" s="575"/>
      <c r="C35" s="581"/>
      <c r="D35" s="581"/>
      <c r="E35" s="581"/>
      <c r="F35" s="581"/>
      <c r="G35" s="581"/>
    </row>
    <row r="36" spans="2:7">
      <c r="B36" s="576"/>
      <c r="C36" s="582"/>
      <c r="D36" s="582"/>
      <c r="E36" s="582"/>
      <c r="F36" s="582"/>
      <c r="G36" s="582"/>
    </row>
    <row r="37" spans="2:7">
      <c r="B37" s="574" t="s">
        <v>208</v>
      </c>
      <c r="C37" s="580" t="s">
        <v>374</v>
      </c>
      <c r="D37" s="580" t="s">
        <v>375</v>
      </c>
      <c r="E37" s="580" t="s">
        <v>376</v>
      </c>
      <c r="F37" s="580" t="s">
        <v>202</v>
      </c>
      <c r="G37" s="580" t="s">
        <v>202</v>
      </c>
    </row>
    <row r="38" spans="2:7">
      <c r="B38" s="575"/>
      <c r="C38" s="581"/>
      <c r="D38" s="581"/>
      <c r="E38" s="581"/>
      <c r="F38" s="581"/>
      <c r="G38" s="581"/>
    </row>
    <row r="39" spans="2:7">
      <c r="B39" s="575"/>
      <c r="C39" s="581"/>
      <c r="D39" s="581"/>
      <c r="E39" s="581"/>
      <c r="F39" s="581"/>
      <c r="G39" s="581"/>
    </row>
    <row r="40" spans="2:7" ht="42.75" customHeight="1">
      <c r="B40" s="576"/>
      <c r="C40" s="582"/>
      <c r="D40" s="582"/>
      <c r="E40" s="582"/>
      <c r="F40" s="582"/>
      <c r="G40" s="582"/>
    </row>
    <row r="41" spans="2:7">
      <c r="B41" s="24"/>
      <c r="C41" s="20"/>
      <c r="D41" s="20"/>
      <c r="E41" s="20"/>
      <c r="F41" s="20"/>
      <c r="G41" s="21"/>
    </row>
    <row r="42" spans="2:7">
      <c r="B42" s="597" t="s">
        <v>212</v>
      </c>
      <c r="C42" s="598"/>
      <c r="D42" s="598"/>
      <c r="E42" s="599" t="s">
        <v>213</v>
      </c>
      <c r="F42" s="599"/>
      <c r="G42" s="600"/>
    </row>
    <row r="43" spans="2:7">
      <c r="B43" s="601" t="s">
        <v>377</v>
      </c>
      <c r="C43" s="602"/>
      <c r="D43" s="603"/>
      <c r="E43" s="610" t="s">
        <v>378</v>
      </c>
      <c r="F43" s="611"/>
      <c r="G43" s="612"/>
    </row>
    <row r="44" spans="2:7">
      <c r="B44" s="604"/>
      <c r="C44" s="605"/>
      <c r="D44" s="606"/>
      <c r="E44" s="611"/>
      <c r="F44" s="611"/>
      <c r="G44" s="612"/>
    </row>
    <row r="45" spans="2:7">
      <c r="B45" s="604"/>
      <c r="C45" s="605"/>
      <c r="D45" s="606"/>
      <c r="E45" s="611"/>
      <c r="F45" s="611"/>
      <c r="G45" s="612"/>
    </row>
    <row r="46" spans="2:7" ht="24.75" customHeight="1">
      <c r="B46" s="607"/>
      <c r="C46" s="608"/>
      <c r="D46" s="609"/>
      <c r="E46" s="611"/>
      <c r="F46" s="611"/>
      <c r="G46" s="612"/>
    </row>
    <row r="47" spans="2:7">
      <c r="B47" s="25"/>
      <c r="C47" s="26"/>
      <c r="D47" s="26"/>
      <c r="E47" s="26"/>
      <c r="F47" s="26"/>
      <c r="G47" s="27"/>
    </row>
    <row r="48" spans="2:7">
      <c r="B48" s="28"/>
      <c r="G48" s="29"/>
    </row>
    <row r="49" spans="2:7" ht="15.75">
      <c r="B49" s="613" t="s">
        <v>216</v>
      </c>
      <c r="C49" s="614"/>
      <c r="D49" s="614"/>
      <c r="E49" s="614"/>
      <c r="F49" s="614"/>
      <c r="G49" s="615"/>
    </row>
    <row r="50" spans="2:7">
      <c r="B50" s="616" t="s">
        <v>217</v>
      </c>
      <c r="C50" s="617"/>
      <c r="D50" s="617" t="s">
        <v>218</v>
      </c>
      <c r="E50" s="617"/>
      <c r="F50" s="595" t="s">
        <v>219</v>
      </c>
      <c r="G50" s="596"/>
    </row>
    <row r="51" spans="2:7">
      <c r="B51" s="583"/>
      <c r="C51" s="584"/>
      <c r="D51" s="587"/>
      <c r="E51" s="584"/>
      <c r="F51" s="589"/>
      <c r="G51" s="590"/>
    </row>
    <row r="52" spans="2:7">
      <c r="B52" s="585"/>
      <c r="C52" s="586"/>
      <c r="D52" s="588"/>
      <c r="E52" s="586"/>
      <c r="F52" s="591"/>
      <c r="G52" s="592"/>
    </row>
    <row r="53" spans="2:7">
      <c r="B53" s="28"/>
      <c r="G53" s="29"/>
    </row>
    <row r="54" spans="2:7">
      <c r="B54" s="593" t="s">
        <v>220</v>
      </c>
      <c r="C54" s="594"/>
      <c r="D54" s="595" t="s">
        <v>221</v>
      </c>
      <c r="E54" s="594"/>
      <c r="F54" s="595" t="s">
        <v>222</v>
      </c>
      <c r="G54" s="596"/>
    </row>
    <row r="55" spans="2:7">
      <c r="B55" s="639"/>
      <c r="C55" s="640"/>
      <c r="D55" s="641"/>
      <c r="E55" s="640"/>
      <c r="F55" s="641" t="s">
        <v>379</v>
      </c>
      <c r="G55" s="642"/>
    </row>
    <row r="56" spans="2:7">
      <c r="B56" s="43"/>
      <c r="C56" s="43"/>
      <c r="D56" s="43"/>
      <c r="E56" s="43"/>
      <c r="F56" s="43"/>
      <c r="G56" s="43"/>
    </row>
    <row r="57" spans="2:7">
      <c r="B57" s="43"/>
      <c r="C57" s="43"/>
      <c r="D57" s="43"/>
      <c r="E57" s="43"/>
      <c r="F57" s="43"/>
      <c r="G57" s="43"/>
    </row>
    <row r="58" spans="2:7" ht="15.75">
      <c r="B58" s="543" t="s">
        <v>189</v>
      </c>
      <c r="C58" s="544"/>
      <c r="D58" s="544"/>
      <c r="E58" s="544"/>
      <c r="F58" s="544"/>
      <c r="G58" s="545"/>
    </row>
    <row r="59" spans="2:7" ht="15.75">
      <c r="B59" s="546" t="s">
        <v>190</v>
      </c>
      <c r="C59" s="547"/>
      <c r="D59" s="547"/>
      <c r="E59" s="547"/>
      <c r="F59" s="547"/>
      <c r="G59" s="548"/>
    </row>
    <row r="60" spans="2:7">
      <c r="B60" s="549" t="s">
        <v>191</v>
      </c>
      <c r="C60" s="550"/>
      <c r="D60" s="551" t="s">
        <v>192</v>
      </c>
      <c r="E60" s="552"/>
      <c r="F60" s="555" t="s">
        <v>193</v>
      </c>
      <c r="G60" s="15" t="s">
        <v>194</v>
      </c>
    </row>
    <row r="61" spans="2:7">
      <c r="B61" s="557" t="s">
        <v>224</v>
      </c>
      <c r="C61" s="558"/>
      <c r="D61" s="553"/>
      <c r="E61" s="554"/>
      <c r="F61" s="556"/>
      <c r="G61" s="16" t="s">
        <v>380</v>
      </c>
    </row>
    <row r="62" spans="2:7" ht="21.75">
      <c r="B62" s="559" t="s">
        <v>197</v>
      </c>
      <c r="C62" s="560"/>
      <c r="D62" s="565" t="s">
        <v>381</v>
      </c>
      <c r="E62" s="566"/>
      <c r="F62" s="571">
        <v>83</v>
      </c>
      <c r="G62" s="17" t="s">
        <v>199</v>
      </c>
    </row>
    <row r="63" spans="2:7">
      <c r="B63" s="561"/>
      <c r="C63" s="562"/>
      <c r="D63" s="567"/>
      <c r="E63" s="568"/>
      <c r="F63" s="572"/>
      <c r="G63" s="18" t="s">
        <v>200</v>
      </c>
    </row>
    <row r="64" spans="2:7">
      <c r="B64" s="563"/>
      <c r="C64" s="564"/>
      <c r="D64" s="569"/>
      <c r="E64" s="570"/>
      <c r="F64" s="573"/>
      <c r="G64" s="17" t="s">
        <v>201</v>
      </c>
    </row>
    <row r="65" spans="2:7">
      <c r="B65" s="19" t="s">
        <v>202</v>
      </c>
      <c r="C65" s="20"/>
      <c r="D65" s="20"/>
      <c r="E65" s="20"/>
      <c r="F65" s="20"/>
      <c r="G65" s="21"/>
    </row>
    <row r="66" spans="2:7">
      <c r="B66" s="22"/>
      <c r="C66" s="23" t="s">
        <v>203</v>
      </c>
      <c r="D66" s="23" t="s">
        <v>203</v>
      </c>
      <c r="E66" s="23" t="s">
        <v>203</v>
      </c>
      <c r="F66" s="23" t="s">
        <v>203</v>
      </c>
      <c r="G66" s="23" t="s">
        <v>203</v>
      </c>
    </row>
    <row r="67" spans="2:7">
      <c r="B67" s="574" t="s">
        <v>204</v>
      </c>
      <c r="C67" s="580" t="s">
        <v>382</v>
      </c>
      <c r="D67" s="580" t="s">
        <v>383</v>
      </c>
      <c r="E67" s="580" t="s">
        <v>384</v>
      </c>
      <c r="F67" s="580" t="s">
        <v>385</v>
      </c>
      <c r="G67" s="580" t="s">
        <v>202</v>
      </c>
    </row>
    <row r="68" spans="2:7">
      <c r="B68" s="575"/>
      <c r="C68" s="581"/>
      <c r="D68" s="581"/>
      <c r="E68" s="581"/>
      <c r="F68" s="581"/>
      <c r="G68" s="581"/>
    </row>
    <row r="69" spans="2:7">
      <c r="B69" s="575"/>
      <c r="C69" s="581"/>
      <c r="D69" s="581"/>
      <c r="E69" s="581"/>
      <c r="F69" s="581"/>
      <c r="G69" s="581"/>
    </row>
    <row r="70" spans="2:7">
      <c r="B70" s="576"/>
      <c r="C70" s="582"/>
      <c r="D70" s="582"/>
      <c r="E70" s="582"/>
      <c r="F70" s="582"/>
      <c r="G70" s="582"/>
    </row>
    <row r="71" spans="2:7">
      <c r="B71" s="574" t="s">
        <v>208</v>
      </c>
      <c r="C71" s="580" t="s">
        <v>386</v>
      </c>
      <c r="D71" s="580" t="s">
        <v>387</v>
      </c>
      <c r="E71" s="580" t="s">
        <v>346</v>
      </c>
      <c r="F71" s="580" t="s">
        <v>388</v>
      </c>
      <c r="G71" s="580" t="s">
        <v>202</v>
      </c>
    </row>
    <row r="72" spans="2:7">
      <c r="B72" s="575"/>
      <c r="C72" s="581"/>
      <c r="D72" s="581"/>
      <c r="E72" s="581"/>
      <c r="F72" s="581"/>
      <c r="G72" s="581"/>
    </row>
    <row r="73" spans="2:7">
      <c r="B73" s="575"/>
      <c r="C73" s="581"/>
      <c r="D73" s="581"/>
      <c r="E73" s="581"/>
      <c r="F73" s="581"/>
      <c r="G73" s="581"/>
    </row>
    <row r="74" spans="2:7">
      <c r="B74" s="576"/>
      <c r="C74" s="582"/>
      <c r="D74" s="582"/>
      <c r="E74" s="582"/>
      <c r="F74" s="582"/>
      <c r="G74" s="582"/>
    </row>
    <row r="75" spans="2:7">
      <c r="B75" s="24"/>
      <c r="C75" s="20"/>
      <c r="D75" s="20"/>
      <c r="E75" s="20"/>
      <c r="F75" s="20"/>
      <c r="G75" s="21"/>
    </row>
    <row r="76" spans="2:7">
      <c r="B76" s="597" t="s">
        <v>212</v>
      </c>
      <c r="C76" s="598"/>
      <c r="D76" s="598"/>
      <c r="E76" s="599" t="s">
        <v>213</v>
      </c>
      <c r="F76" s="599"/>
      <c r="G76" s="600"/>
    </row>
    <row r="77" spans="2:7">
      <c r="B77" s="601" t="s">
        <v>346</v>
      </c>
      <c r="C77" s="602"/>
      <c r="D77" s="603"/>
      <c r="E77" s="610" t="s">
        <v>389</v>
      </c>
      <c r="F77" s="611"/>
      <c r="G77" s="612"/>
    </row>
    <row r="78" spans="2:7">
      <c r="B78" s="604"/>
      <c r="C78" s="605"/>
      <c r="D78" s="606"/>
      <c r="E78" s="611"/>
      <c r="F78" s="611"/>
      <c r="G78" s="612"/>
    </row>
    <row r="79" spans="2:7">
      <c r="B79" s="604"/>
      <c r="C79" s="605"/>
      <c r="D79" s="606"/>
      <c r="E79" s="611"/>
      <c r="F79" s="611"/>
      <c r="G79" s="612"/>
    </row>
    <row r="80" spans="2:7" ht="27.75" customHeight="1">
      <c r="B80" s="607"/>
      <c r="C80" s="608"/>
      <c r="D80" s="609"/>
      <c r="E80" s="611"/>
      <c r="F80" s="611"/>
      <c r="G80" s="612"/>
    </row>
    <row r="81" spans="2:7">
      <c r="B81" s="25"/>
      <c r="C81" s="26"/>
      <c r="D81" s="26"/>
      <c r="E81" s="26"/>
      <c r="F81" s="26"/>
      <c r="G81" s="27"/>
    </row>
    <row r="82" spans="2:7">
      <c r="B82" s="28"/>
      <c r="G82" s="29"/>
    </row>
    <row r="83" spans="2:7" ht="15.75">
      <c r="B83" s="613" t="s">
        <v>216</v>
      </c>
      <c r="C83" s="614"/>
      <c r="D83" s="614"/>
      <c r="E83" s="614"/>
      <c r="F83" s="614"/>
      <c r="G83" s="615"/>
    </row>
    <row r="84" spans="2:7">
      <c r="B84" s="616" t="s">
        <v>217</v>
      </c>
      <c r="C84" s="617"/>
      <c r="D84" s="617" t="s">
        <v>218</v>
      </c>
      <c r="E84" s="617"/>
      <c r="F84" s="595" t="s">
        <v>219</v>
      </c>
      <c r="G84" s="596"/>
    </row>
    <row r="85" spans="2:7">
      <c r="B85" s="583"/>
      <c r="C85" s="584"/>
      <c r="D85" s="587"/>
      <c r="E85" s="584"/>
      <c r="F85" s="589"/>
      <c r="G85" s="590"/>
    </row>
    <row r="86" spans="2:7">
      <c r="B86" s="585"/>
      <c r="C86" s="586"/>
      <c r="D86" s="588"/>
      <c r="E86" s="586"/>
      <c r="F86" s="591"/>
      <c r="G86" s="592"/>
    </row>
    <row r="87" spans="2:7">
      <c r="B87" s="28"/>
      <c r="G87" s="29"/>
    </row>
    <row r="88" spans="2:7">
      <c r="B88" s="593" t="s">
        <v>220</v>
      </c>
      <c r="C88" s="594"/>
      <c r="D88" s="595" t="s">
        <v>221</v>
      </c>
      <c r="E88" s="594"/>
      <c r="F88" s="595" t="s">
        <v>222</v>
      </c>
      <c r="G88" s="596"/>
    </row>
    <row r="89" spans="2:7">
      <c r="B89" s="639"/>
      <c r="C89" s="640"/>
      <c r="D89" s="641"/>
      <c r="E89" s="640"/>
      <c r="F89" s="641" t="s">
        <v>390</v>
      </c>
      <c r="G89" s="642"/>
    </row>
    <row r="90" spans="2:7">
      <c r="B90" s="43"/>
      <c r="C90" s="43"/>
      <c r="D90" s="43"/>
      <c r="E90" s="43"/>
      <c r="F90" s="43"/>
      <c r="G90" s="43"/>
    </row>
    <row r="92" spans="2:7" ht="15.75">
      <c r="B92" s="543" t="s">
        <v>189</v>
      </c>
      <c r="C92" s="544"/>
      <c r="D92" s="544"/>
      <c r="E92" s="544"/>
      <c r="F92" s="544"/>
      <c r="G92" s="545"/>
    </row>
    <row r="93" spans="2:7" ht="15.75">
      <c r="B93" s="546" t="s">
        <v>190</v>
      </c>
      <c r="C93" s="547"/>
      <c r="D93" s="547"/>
      <c r="E93" s="547"/>
      <c r="F93" s="547"/>
      <c r="G93" s="548"/>
    </row>
    <row r="94" spans="2:7">
      <c r="B94" s="549" t="s">
        <v>191</v>
      </c>
      <c r="C94" s="550"/>
      <c r="D94" s="551" t="s">
        <v>192</v>
      </c>
      <c r="E94" s="552"/>
      <c r="F94" s="555" t="s">
        <v>193</v>
      </c>
      <c r="G94" s="15" t="s">
        <v>194</v>
      </c>
    </row>
    <row r="95" spans="2:7">
      <c r="B95" s="557" t="s">
        <v>231</v>
      </c>
      <c r="C95" s="558"/>
      <c r="D95" s="553"/>
      <c r="E95" s="554"/>
      <c r="F95" s="556"/>
      <c r="G95" s="16" t="s">
        <v>391</v>
      </c>
    </row>
    <row r="96" spans="2:7" ht="21.75">
      <c r="B96" s="559" t="s">
        <v>197</v>
      </c>
      <c r="C96" s="560"/>
      <c r="D96" s="565" t="s">
        <v>392</v>
      </c>
      <c r="E96" s="566"/>
      <c r="F96" s="571">
        <v>15</v>
      </c>
      <c r="G96" s="17" t="s">
        <v>199</v>
      </c>
    </row>
    <row r="97" spans="2:7">
      <c r="B97" s="561"/>
      <c r="C97" s="562"/>
      <c r="D97" s="567"/>
      <c r="E97" s="568"/>
      <c r="F97" s="572"/>
      <c r="G97" s="18" t="s">
        <v>200</v>
      </c>
    </row>
    <row r="98" spans="2:7">
      <c r="B98" s="563"/>
      <c r="C98" s="564"/>
      <c r="D98" s="569"/>
      <c r="E98" s="570"/>
      <c r="F98" s="573"/>
      <c r="G98" s="17" t="s">
        <v>201</v>
      </c>
    </row>
    <row r="99" spans="2:7">
      <c r="B99" s="19" t="s">
        <v>202</v>
      </c>
      <c r="C99" s="20"/>
      <c r="D99" s="20"/>
      <c r="E99" s="20"/>
      <c r="F99" s="20"/>
      <c r="G99" s="21"/>
    </row>
    <row r="100" spans="2:7">
      <c r="B100" s="22"/>
      <c r="C100" s="23" t="s">
        <v>203</v>
      </c>
      <c r="D100" s="23" t="s">
        <v>203</v>
      </c>
      <c r="E100" s="23" t="s">
        <v>203</v>
      </c>
      <c r="F100" s="23" t="s">
        <v>203</v>
      </c>
      <c r="G100" s="23" t="s">
        <v>203</v>
      </c>
    </row>
    <row r="101" spans="2:7">
      <c r="B101" s="574" t="s">
        <v>204</v>
      </c>
      <c r="C101" s="580" t="s">
        <v>393</v>
      </c>
      <c r="D101" s="580" t="s">
        <v>394</v>
      </c>
      <c r="E101" s="580" t="s">
        <v>395</v>
      </c>
      <c r="F101" s="580" t="s">
        <v>396</v>
      </c>
      <c r="G101" s="580" t="s">
        <v>202</v>
      </c>
    </row>
    <row r="102" spans="2:7">
      <c r="B102" s="575"/>
      <c r="C102" s="581"/>
      <c r="D102" s="581"/>
      <c r="E102" s="581"/>
      <c r="F102" s="581"/>
      <c r="G102" s="581"/>
    </row>
    <row r="103" spans="2:7">
      <c r="B103" s="575"/>
      <c r="C103" s="581"/>
      <c r="D103" s="581"/>
      <c r="E103" s="581"/>
      <c r="F103" s="581"/>
      <c r="G103" s="581"/>
    </row>
    <row r="104" spans="2:7">
      <c r="B104" s="576"/>
      <c r="C104" s="582"/>
      <c r="D104" s="582"/>
      <c r="E104" s="582"/>
      <c r="F104" s="582"/>
      <c r="G104" s="582"/>
    </row>
    <row r="105" spans="2:7">
      <c r="B105" s="574" t="s">
        <v>208</v>
      </c>
      <c r="C105" s="580" t="s">
        <v>397</v>
      </c>
      <c r="D105" s="580" t="s">
        <v>398</v>
      </c>
      <c r="E105" s="580" t="s">
        <v>399</v>
      </c>
      <c r="F105" s="580" t="s">
        <v>400</v>
      </c>
      <c r="G105" s="580" t="s">
        <v>202</v>
      </c>
    </row>
    <row r="106" spans="2:7">
      <c r="B106" s="575"/>
      <c r="C106" s="581"/>
      <c r="D106" s="581"/>
      <c r="E106" s="581"/>
      <c r="F106" s="581"/>
      <c r="G106" s="581"/>
    </row>
    <row r="107" spans="2:7">
      <c r="B107" s="575"/>
      <c r="C107" s="581"/>
      <c r="D107" s="581"/>
      <c r="E107" s="581"/>
      <c r="F107" s="581"/>
      <c r="G107" s="581"/>
    </row>
    <row r="108" spans="2:7">
      <c r="B108" s="576"/>
      <c r="C108" s="582"/>
      <c r="D108" s="582"/>
      <c r="E108" s="582"/>
      <c r="F108" s="582"/>
      <c r="G108" s="582"/>
    </row>
    <row r="109" spans="2:7">
      <c r="B109" s="24"/>
      <c r="C109" s="20"/>
      <c r="D109" s="20"/>
      <c r="E109" s="20"/>
      <c r="F109" s="20"/>
      <c r="G109" s="21"/>
    </row>
    <row r="110" spans="2:7">
      <c r="B110" s="597" t="s">
        <v>212</v>
      </c>
      <c r="C110" s="598"/>
      <c r="D110" s="598"/>
      <c r="E110" s="599" t="s">
        <v>213</v>
      </c>
      <c r="F110" s="599"/>
      <c r="G110" s="600"/>
    </row>
    <row r="111" spans="2:7">
      <c r="B111" s="601" t="s">
        <v>352</v>
      </c>
      <c r="C111" s="602"/>
      <c r="D111" s="603"/>
      <c r="E111" s="610" t="s">
        <v>401</v>
      </c>
      <c r="F111" s="611"/>
      <c r="G111" s="612"/>
    </row>
    <row r="112" spans="2:7">
      <c r="B112" s="604"/>
      <c r="C112" s="605"/>
      <c r="D112" s="606"/>
      <c r="E112" s="611"/>
      <c r="F112" s="611"/>
      <c r="G112" s="612"/>
    </row>
    <row r="113" spans="2:7">
      <c r="B113" s="604"/>
      <c r="C113" s="605"/>
      <c r="D113" s="606"/>
      <c r="E113" s="611"/>
      <c r="F113" s="611"/>
      <c r="G113" s="612"/>
    </row>
    <row r="114" spans="2:7">
      <c r="B114" s="607"/>
      <c r="C114" s="608"/>
      <c r="D114" s="609"/>
      <c r="E114" s="611"/>
      <c r="F114" s="611"/>
      <c r="G114" s="612"/>
    </row>
    <row r="115" spans="2:7">
      <c r="B115" s="25"/>
      <c r="C115" s="26"/>
      <c r="D115" s="26"/>
      <c r="E115" s="26"/>
      <c r="F115" s="26"/>
      <c r="G115" s="27"/>
    </row>
    <row r="116" spans="2:7">
      <c r="B116" s="28"/>
      <c r="G116" s="29"/>
    </row>
    <row r="117" spans="2:7" ht="15.75">
      <c r="B117" s="613" t="s">
        <v>216</v>
      </c>
      <c r="C117" s="614"/>
      <c r="D117" s="614"/>
      <c r="E117" s="614"/>
      <c r="F117" s="614"/>
      <c r="G117" s="615"/>
    </row>
    <row r="118" spans="2:7">
      <c r="B118" s="616" t="s">
        <v>217</v>
      </c>
      <c r="C118" s="617"/>
      <c r="D118" s="617" t="s">
        <v>218</v>
      </c>
      <c r="E118" s="617"/>
      <c r="F118" s="595" t="s">
        <v>219</v>
      </c>
      <c r="G118" s="596"/>
    </row>
    <row r="119" spans="2:7">
      <c r="B119" s="583"/>
      <c r="C119" s="584"/>
      <c r="D119" s="587"/>
      <c r="E119" s="584"/>
      <c r="F119" s="589"/>
      <c r="G119" s="590"/>
    </row>
    <row r="120" spans="2:7">
      <c r="B120" s="585"/>
      <c r="C120" s="586"/>
      <c r="D120" s="588"/>
      <c r="E120" s="586"/>
      <c r="F120" s="591"/>
      <c r="G120" s="592"/>
    </row>
    <row r="121" spans="2:7">
      <c r="B121" s="28"/>
      <c r="G121" s="29"/>
    </row>
    <row r="122" spans="2:7">
      <c r="B122" s="593" t="s">
        <v>220</v>
      </c>
      <c r="C122" s="594"/>
      <c r="D122" s="595" t="s">
        <v>221</v>
      </c>
      <c r="E122" s="594"/>
      <c r="F122" s="595" t="s">
        <v>222</v>
      </c>
      <c r="G122" s="596"/>
    </row>
    <row r="123" spans="2:7">
      <c r="B123" s="639"/>
      <c r="C123" s="640"/>
      <c r="D123" s="641"/>
      <c r="E123" s="640"/>
      <c r="F123" s="641" t="s">
        <v>402</v>
      </c>
      <c r="G123" s="642"/>
    </row>
    <row r="126" spans="2:7" ht="15.75">
      <c r="B126" s="543" t="s">
        <v>189</v>
      </c>
      <c r="C126" s="544"/>
      <c r="D126" s="544"/>
      <c r="E126" s="544"/>
      <c r="F126" s="544"/>
      <c r="G126" s="545"/>
    </row>
    <row r="127" spans="2:7" ht="15" customHeight="1">
      <c r="B127" s="546" t="s">
        <v>190</v>
      </c>
      <c r="C127" s="547"/>
      <c r="D127" s="547"/>
      <c r="E127" s="547"/>
      <c r="F127" s="547"/>
      <c r="G127" s="548"/>
    </row>
    <row r="128" spans="2:7" ht="15" customHeight="1">
      <c r="B128" s="549" t="s">
        <v>191</v>
      </c>
      <c r="C128" s="550"/>
      <c r="D128" s="551" t="s">
        <v>192</v>
      </c>
      <c r="E128" s="552"/>
      <c r="F128" s="555" t="s">
        <v>193</v>
      </c>
      <c r="G128" s="15" t="s">
        <v>194</v>
      </c>
    </row>
    <row r="129" spans="2:7" ht="15" customHeight="1">
      <c r="B129" s="557" t="s">
        <v>239</v>
      </c>
      <c r="C129" s="558"/>
      <c r="D129" s="553"/>
      <c r="E129" s="554"/>
      <c r="F129" s="556"/>
      <c r="G129" s="16" t="s">
        <v>403</v>
      </c>
    </row>
    <row r="130" spans="2:7" ht="22.5" customHeight="1">
      <c r="B130" s="559" t="s">
        <v>197</v>
      </c>
      <c r="C130" s="560"/>
      <c r="D130" s="565" t="s">
        <v>404</v>
      </c>
      <c r="E130" s="707"/>
      <c r="F130" s="571">
        <v>17</v>
      </c>
      <c r="G130" s="17" t="s">
        <v>199</v>
      </c>
    </row>
    <row r="131" spans="2:7">
      <c r="B131" s="561"/>
      <c r="C131" s="562"/>
      <c r="D131" s="567"/>
      <c r="E131" s="708"/>
      <c r="F131" s="572"/>
      <c r="G131" s="18" t="s">
        <v>200</v>
      </c>
    </row>
    <row r="132" spans="2:7">
      <c r="B132" s="563"/>
      <c r="C132" s="564"/>
      <c r="D132" s="569"/>
      <c r="E132" s="709"/>
      <c r="F132" s="573"/>
      <c r="G132" s="17" t="s">
        <v>201</v>
      </c>
    </row>
    <row r="133" spans="2:7">
      <c r="B133" s="19" t="s">
        <v>202</v>
      </c>
      <c r="C133" s="20"/>
      <c r="D133" s="20"/>
      <c r="E133" s="20"/>
      <c r="F133" s="20"/>
      <c r="G133" s="21"/>
    </row>
    <row r="134" spans="2:7">
      <c r="B134" s="22"/>
      <c r="C134" s="23" t="s">
        <v>203</v>
      </c>
      <c r="D134" s="23" t="s">
        <v>203</v>
      </c>
      <c r="E134" s="23" t="s">
        <v>203</v>
      </c>
      <c r="F134" s="23" t="s">
        <v>203</v>
      </c>
      <c r="G134" s="23" t="s">
        <v>203</v>
      </c>
    </row>
    <row r="135" spans="2:7">
      <c r="B135" s="574" t="s">
        <v>204</v>
      </c>
      <c r="C135" s="580" t="s">
        <v>405</v>
      </c>
      <c r="D135" s="580" t="s">
        <v>406</v>
      </c>
      <c r="E135" s="580" t="s">
        <v>407</v>
      </c>
      <c r="F135" s="580" t="s">
        <v>202</v>
      </c>
      <c r="G135" s="580" t="s">
        <v>202</v>
      </c>
    </row>
    <row r="136" spans="2:7">
      <c r="B136" s="575"/>
      <c r="C136" s="581"/>
      <c r="D136" s="581"/>
      <c r="E136" s="581"/>
      <c r="F136" s="581"/>
      <c r="G136" s="581"/>
    </row>
    <row r="137" spans="2:7">
      <c r="B137" s="575"/>
      <c r="C137" s="581"/>
      <c r="D137" s="581"/>
      <c r="E137" s="581"/>
      <c r="F137" s="581"/>
      <c r="G137" s="581"/>
    </row>
    <row r="138" spans="2:7">
      <c r="B138" s="576"/>
      <c r="C138" s="582"/>
      <c r="D138" s="582"/>
      <c r="E138" s="582"/>
      <c r="F138" s="582"/>
      <c r="G138" s="582"/>
    </row>
    <row r="139" spans="2:7">
      <c r="B139" s="574" t="s">
        <v>208</v>
      </c>
      <c r="C139" s="580" t="s">
        <v>408</v>
      </c>
      <c r="D139" s="580" t="s">
        <v>409</v>
      </c>
      <c r="E139" s="580" t="s">
        <v>410</v>
      </c>
      <c r="F139" s="580" t="s">
        <v>202</v>
      </c>
      <c r="G139" s="580" t="s">
        <v>202</v>
      </c>
    </row>
    <row r="140" spans="2:7">
      <c r="B140" s="575"/>
      <c r="C140" s="581"/>
      <c r="D140" s="581"/>
      <c r="E140" s="581"/>
      <c r="F140" s="581"/>
      <c r="G140" s="581"/>
    </row>
    <row r="141" spans="2:7">
      <c r="B141" s="575"/>
      <c r="C141" s="581"/>
      <c r="D141" s="581"/>
      <c r="E141" s="581"/>
      <c r="F141" s="581"/>
      <c r="G141" s="581"/>
    </row>
    <row r="142" spans="2:7">
      <c r="B142" s="576"/>
      <c r="C142" s="582"/>
      <c r="D142" s="582"/>
      <c r="E142" s="582"/>
      <c r="F142" s="582"/>
      <c r="G142" s="582"/>
    </row>
    <row r="143" spans="2:7">
      <c r="B143" s="24"/>
      <c r="C143" s="20"/>
      <c r="D143" s="20"/>
      <c r="E143" s="20"/>
      <c r="F143" s="20"/>
      <c r="G143" s="21"/>
    </row>
    <row r="144" spans="2:7">
      <c r="B144" s="597" t="s">
        <v>212</v>
      </c>
      <c r="C144" s="598"/>
      <c r="D144" s="598"/>
      <c r="E144" s="599" t="s">
        <v>213</v>
      </c>
      <c r="F144" s="599"/>
      <c r="G144" s="600"/>
    </row>
    <row r="145" spans="2:7" ht="15" customHeight="1">
      <c r="B145" s="601" t="s">
        <v>358</v>
      </c>
      <c r="C145" s="602"/>
      <c r="D145" s="603"/>
      <c r="E145" s="610" t="s">
        <v>411</v>
      </c>
      <c r="F145" s="611"/>
      <c r="G145" s="612"/>
    </row>
    <row r="146" spans="2:7">
      <c r="B146" s="604"/>
      <c r="C146" s="605"/>
      <c r="D146" s="606"/>
      <c r="E146" s="611"/>
      <c r="F146" s="611"/>
      <c r="G146" s="612"/>
    </row>
    <row r="147" spans="2:7">
      <c r="B147" s="604"/>
      <c r="C147" s="605"/>
      <c r="D147" s="606"/>
      <c r="E147" s="611"/>
      <c r="F147" s="611"/>
      <c r="G147" s="612"/>
    </row>
    <row r="148" spans="2:7">
      <c r="B148" s="607"/>
      <c r="C148" s="608"/>
      <c r="D148" s="609"/>
      <c r="E148" s="611"/>
      <c r="F148" s="611"/>
      <c r="G148" s="612"/>
    </row>
    <row r="149" spans="2:7">
      <c r="B149" s="25"/>
      <c r="C149" s="26"/>
      <c r="D149" s="26"/>
      <c r="E149" s="26"/>
      <c r="F149" s="26"/>
      <c r="G149" s="27"/>
    </row>
    <row r="150" spans="2:7">
      <c r="B150" s="28"/>
      <c r="G150" s="29"/>
    </row>
    <row r="151" spans="2:7" ht="15" customHeight="1">
      <c r="B151" s="613" t="s">
        <v>216</v>
      </c>
      <c r="C151" s="614"/>
      <c r="D151" s="614"/>
      <c r="E151" s="614"/>
      <c r="F151" s="614"/>
      <c r="G151" s="615"/>
    </row>
    <row r="152" spans="2:7" ht="15" customHeight="1">
      <c r="B152" s="616" t="s">
        <v>217</v>
      </c>
      <c r="C152" s="617"/>
      <c r="D152" s="617" t="s">
        <v>218</v>
      </c>
      <c r="E152" s="617"/>
      <c r="F152" s="595" t="s">
        <v>219</v>
      </c>
      <c r="G152" s="596"/>
    </row>
    <row r="153" spans="2:7">
      <c r="B153" s="583"/>
      <c r="C153" s="584"/>
      <c r="D153" s="587"/>
      <c r="E153" s="584"/>
      <c r="F153" s="589"/>
      <c r="G153" s="590"/>
    </row>
    <row r="154" spans="2:7">
      <c r="B154" s="585"/>
      <c r="C154" s="586"/>
      <c r="D154" s="588"/>
      <c r="E154" s="586"/>
      <c r="F154" s="591"/>
      <c r="G154" s="592"/>
    </row>
    <row r="155" spans="2:7">
      <c r="B155" s="28"/>
      <c r="G155" s="29"/>
    </row>
    <row r="156" spans="2:7" ht="15" customHeight="1">
      <c r="B156" s="593" t="s">
        <v>220</v>
      </c>
      <c r="C156" s="594"/>
      <c r="D156" s="595" t="s">
        <v>221</v>
      </c>
      <c r="E156" s="594"/>
      <c r="F156" s="595" t="s">
        <v>222</v>
      </c>
      <c r="G156" s="596"/>
    </row>
    <row r="157" spans="2:7">
      <c r="B157" s="639"/>
      <c r="C157" s="640"/>
      <c r="D157" s="641"/>
      <c r="E157" s="640"/>
      <c r="F157" s="641" t="s">
        <v>412</v>
      </c>
      <c r="G157" s="642"/>
    </row>
    <row r="161" spans="2:7" ht="15.75">
      <c r="B161" s="543" t="s">
        <v>189</v>
      </c>
      <c r="C161" s="544"/>
      <c r="D161" s="544"/>
      <c r="E161" s="544"/>
      <c r="F161" s="544"/>
      <c r="G161" s="545"/>
    </row>
    <row r="162" spans="2:7" ht="15.75">
      <c r="B162" s="546" t="s">
        <v>190</v>
      </c>
      <c r="C162" s="547"/>
      <c r="D162" s="547"/>
      <c r="E162" s="547"/>
      <c r="F162" s="547"/>
      <c r="G162" s="548"/>
    </row>
    <row r="163" spans="2:7">
      <c r="B163" s="549" t="s">
        <v>191</v>
      </c>
      <c r="C163" s="550"/>
      <c r="D163" s="551" t="s">
        <v>192</v>
      </c>
      <c r="E163" s="552"/>
      <c r="F163" s="555" t="s">
        <v>193</v>
      </c>
      <c r="G163" s="15" t="s">
        <v>194</v>
      </c>
    </row>
    <row r="164" spans="2:7">
      <c r="B164" s="557" t="s">
        <v>195</v>
      </c>
      <c r="C164" s="558"/>
      <c r="D164" s="553"/>
      <c r="E164" s="554"/>
      <c r="F164" s="556"/>
      <c r="G164" s="16" t="s">
        <v>413</v>
      </c>
    </row>
    <row r="165" spans="2:7" ht="21.75">
      <c r="B165" s="559" t="s">
        <v>197</v>
      </c>
      <c r="C165" s="560"/>
      <c r="D165" s="565" t="s">
        <v>414</v>
      </c>
      <c r="E165" s="707"/>
      <c r="F165" s="571">
        <v>273</v>
      </c>
      <c r="G165" s="17" t="s">
        <v>319</v>
      </c>
    </row>
    <row r="166" spans="2:7">
      <c r="B166" s="561"/>
      <c r="C166" s="562"/>
      <c r="D166" s="567"/>
      <c r="E166" s="708"/>
      <c r="F166" s="572"/>
      <c r="G166" s="18" t="s">
        <v>200</v>
      </c>
    </row>
    <row r="167" spans="2:7">
      <c r="B167" s="563"/>
      <c r="C167" s="564"/>
      <c r="D167" s="569"/>
      <c r="E167" s="709"/>
      <c r="F167" s="573"/>
      <c r="G167" s="17" t="s">
        <v>201</v>
      </c>
    </row>
    <row r="168" spans="2:7">
      <c r="B168" s="19" t="s">
        <v>202</v>
      </c>
      <c r="C168" s="20"/>
      <c r="D168" s="20"/>
      <c r="E168" s="20"/>
      <c r="F168" s="20"/>
      <c r="G168" s="21"/>
    </row>
    <row r="169" spans="2:7">
      <c r="B169" s="22"/>
      <c r="C169" s="23" t="s">
        <v>203</v>
      </c>
      <c r="D169" s="23" t="s">
        <v>203</v>
      </c>
      <c r="E169" s="23" t="s">
        <v>203</v>
      </c>
      <c r="F169" s="23" t="s">
        <v>203</v>
      </c>
      <c r="G169" s="23" t="s">
        <v>203</v>
      </c>
    </row>
    <row r="170" spans="2:7">
      <c r="B170" s="574" t="s">
        <v>204</v>
      </c>
      <c r="C170" s="580" t="s">
        <v>415</v>
      </c>
      <c r="D170" s="580" t="s">
        <v>416</v>
      </c>
      <c r="E170" s="580" t="s">
        <v>417</v>
      </c>
      <c r="F170" s="580" t="s">
        <v>418</v>
      </c>
      <c r="G170" s="580" t="s">
        <v>202</v>
      </c>
    </row>
    <row r="171" spans="2:7">
      <c r="B171" s="575"/>
      <c r="C171" s="581"/>
      <c r="D171" s="581"/>
      <c r="E171" s="581"/>
      <c r="F171" s="581"/>
      <c r="G171" s="581"/>
    </row>
    <row r="172" spans="2:7">
      <c r="B172" s="575"/>
      <c r="C172" s="581"/>
      <c r="D172" s="581"/>
      <c r="E172" s="581"/>
      <c r="F172" s="581"/>
      <c r="G172" s="581"/>
    </row>
    <row r="173" spans="2:7">
      <c r="B173" s="576"/>
      <c r="C173" s="582"/>
      <c r="D173" s="582"/>
      <c r="E173" s="582"/>
      <c r="F173" s="582"/>
      <c r="G173" s="582"/>
    </row>
    <row r="174" spans="2:7">
      <c r="B174" s="574" t="s">
        <v>208</v>
      </c>
      <c r="C174" s="580" t="s">
        <v>419</v>
      </c>
      <c r="D174" s="580" t="s">
        <v>420</v>
      </c>
      <c r="E174" s="580" t="s">
        <v>421</v>
      </c>
      <c r="F174" s="580" t="s">
        <v>329</v>
      </c>
      <c r="G174" s="580" t="s">
        <v>202</v>
      </c>
    </row>
    <row r="175" spans="2:7">
      <c r="B175" s="575"/>
      <c r="C175" s="581"/>
      <c r="D175" s="581"/>
      <c r="E175" s="581"/>
      <c r="F175" s="581"/>
      <c r="G175" s="581"/>
    </row>
    <row r="176" spans="2:7">
      <c r="B176" s="575"/>
      <c r="C176" s="581"/>
      <c r="D176" s="581"/>
      <c r="E176" s="581"/>
      <c r="F176" s="581"/>
      <c r="G176" s="581"/>
    </row>
    <row r="177" spans="2:7">
      <c r="B177" s="576"/>
      <c r="C177" s="582"/>
      <c r="D177" s="582"/>
      <c r="E177" s="582"/>
      <c r="F177" s="582"/>
      <c r="G177" s="582"/>
    </row>
    <row r="178" spans="2:7">
      <c r="B178" s="24"/>
      <c r="C178" s="20"/>
      <c r="D178" s="20"/>
      <c r="E178" s="20"/>
      <c r="F178" s="20"/>
      <c r="G178" s="21"/>
    </row>
    <row r="179" spans="2:7">
      <c r="B179" s="597" t="s">
        <v>212</v>
      </c>
      <c r="C179" s="598"/>
      <c r="D179" s="598"/>
      <c r="E179" s="599" t="s">
        <v>213</v>
      </c>
      <c r="F179" s="599"/>
      <c r="G179" s="600"/>
    </row>
    <row r="180" spans="2:7">
      <c r="B180" s="601" t="s">
        <v>329</v>
      </c>
      <c r="C180" s="602"/>
      <c r="D180" s="603"/>
      <c r="E180" s="610" t="s">
        <v>422</v>
      </c>
      <c r="F180" s="611"/>
      <c r="G180" s="612"/>
    </row>
    <row r="181" spans="2:7">
      <c r="B181" s="604"/>
      <c r="C181" s="605"/>
      <c r="D181" s="606"/>
      <c r="E181" s="611"/>
      <c r="F181" s="611"/>
      <c r="G181" s="612"/>
    </row>
    <row r="182" spans="2:7">
      <c r="B182" s="604"/>
      <c r="C182" s="605"/>
      <c r="D182" s="606"/>
      <c r="E182" s="611"/>
      <c r="F182" s="611"/>
      <c r="G182" s="612"/>
    </row>
    <row r="183" spans="2:7">
      <c r="B183" s="607"/>
      <c r="C183" s="608"/>
      <c r="D183" s="609"/>
      <c r="E183" s="611"/>
      <c r="F183" s="611"/>
      <c r="G183" s="612"/>
    </row>
    <row r="184" spans="2:7">
      <c r="B184" s="25"/>
      <c r="C184" s="26"/>
      <c r="D184" s="26"/>
      <c r="E184" s="26"/>
      <c r="F184" s="26"/>
      <c r="G184" s="27"/>
    </row>
    <row r="185" spans="2:7">
      <c r="B185" s="28"/>
      <c r="G185" s="29"/>
    </row>
    <row r="186" spans="2:7" ht="15.75">
      <c r="B186" s="613" t="s">
        <v>216</v>
      </c>
      <c r="C186" s="614"/>
      <c r="D186" s="614"/>
      <c r="E186" s="614"/>
      <c r="F186" s="614"/>
      <c r="G186" s="615"/>
    </row>
    <row r="187" spans="2:7">
      <c r="B187" s="616" t="s">
        <v>217</v>
      </c>
      <c r="C187" s="617"/>
      <c r="D187" s="617" t="s">
        <v>218</v>
      </c>
      <c r="E187" s="617"/>
      <c r="F187" s="595" t="s">
        <v>219</v>
      </c>
      <c r="G187" s="596"/>
    </row>
    <row r="188" spans="2:7">
      <c r="B188" s="583"/>
      <c r="C188" s="584"/>
      <c r="D188" s="587"/>
      <c r="E188" s="584"/>
      <c r="F188" s="589"/>
      <c r="G188" s="590"/>
    </row>
    <row r="189" spans="2:7">
      <c r="B189" s="585"/>
      <c r="C189" s="586"/>
      <c r="D189" s="588"/>
      <c r="E189" s="586"/>
      <c r="F189" s="591"/>
      <c r="G189" s="592"/>
    </row>
    <row r="190" spans="2:7">
      <c r="B190" s="28"/>
      <c r="G190" s="29"/>
    </row>
    <row r="191" spans="2:7">
      <c r="B191" s="593" t="s">
        <v>220</v>
      </c>
      <c r="C191" s="594"/>
      <c r="D191" s="595" t="s">
        <v>221</v>
      </c>
      <c r="E191" s="594"/>
      <c r="F191" s="595" t="s">
        <v>222</v>
      </c>
      <c r="G191" s="596"/>
    </row>
    <row r="192" spans="2:7">
      <c r="B192" s="639"/>
      <c r="C192" s="640"/>
      <c r="D192" s="641"/>
      <c r="E192" s="640"/>
      <c r="F192" s="641" t="s">
        <v>423</v>
      </c>
      <c r="G192" s="642"/>
    </row>
    <row r="195" spans="2:7" ht="15.75">
      <c r="B195" s="543" t="s">
        <v>189</v>
      </c>
      <c r="C195" s="544"/>
      <c r="D195" s="544"/>
      <c r="E195" s="544"/>
      <c r="F195" s="544"/>
      <c r="G195" s="545"/>
    </row>
    <row r="196" spans="2:7" ht="15.75">
      <c r="B196" s="546" t="s">
        <v>190</v>
      </c>
      <c r="C196" s="547"/>
      <c r="D196" s="547"/>
      <c r="E196" s="547"/>
      <c r="F196" s="547"/>
      <c r="G196" s="548"/>
    </row>
    <row r="197" spans="2:7">
      <c r="B197" s="549" t="s">
        <v>191</v>
      </c>
      <c r="C197" s="550"/>
      <c r="D197" s="551" t="s">
        <v>192</v>
      </c>
      <c r="E197" s="552"/>
      <c r="F197" s="555" t="s">
        <v>193</v>
      </c>
      <c r="G197" s="15" t="s">
        <v>194</v>
      </c>
    </row>
    <row r="198" spans="2:7">
      <c r="B198" s="557" t="s">
        <v>195</v>
      </c>
      <c r="C198" s="558"/>
      <c r="D198" s="553"/>
      <c r="E198" s="554"/>
      <c r="F198" s="556"/>
      <c r="G198" s="16" t="s">
        <v>424</v>
      </c>
    </row>
    <row r="199" spans="2:7" ht="21.75">
      <c r="B199" s="559" t="s">
        <v>197</v>
      </c>
      <c r="C199" s="560"/>
      <c r="D199" s="565" t="s">
        <v>425</v>
      </c>
      <c r="E199" s="707"/>
      <c r="F199" s="571">
        <v>120</v>
      </c>
      <c r="G199" s="17" t="s">
        <v>319</v>
      </c>
    </row>
    <row r="200" spans="2:7">
      <c r="B200" s="561"/>
      <c r="C200" s="562"/>
      <c r="D200" s="567"/>
      <c r="E200" s="708"/>
      <c r="F200" s="572"/>
      <c r="G200" s="18" t="s">
        <v>200</v>
      </c>
    </row>
    <row r="201" spans="2:7">
      <c r="B201" s="563"/>
      <c r="C201" s="564"/>
      <c r="D201" s="569"/>
      <c r="E201" s="709"/>
      <c r="F201" s="573"/>
      <c r="G201" s="17" t="s">
        <v>201</v>
      </c>
    </row>
    <row r="202" spans="2:7">
      <c r="B202" s="19" t="s">
        <v>202</v>
      </c>
      <c r="C202" s="20"/>
      <c r="D202" s="20"/>
      <c r="E202" s="20"/>
      <c r="F202" s="20"/>
      <c r="G202" s="21"/>
    </row>
    <row r="203" spans="2:7">
      <c r="B203" s="22"/>
      <c r="C203" s="23" t="s">
        <v>203</v>
      </c>
      <c r="D203" s="23" t="s">
        <v>203</v>
      </c>
      <c r="E203" s="23" t="s">
        <v>203</v>
      </c>
      <c r="F203" s="23" t="s">
        <v>203</v>
      </c>
      <c r="G203" s="23" t="s">
        <v>203</v>
      </c>
    </row>
    <row r="204" spans="2:7">
      <c r="B204" s="574" t="s">
        <v>204</v>
      </c>
      <c r="C204" s="580" t="s">
        <v>415</v>
      </c>
      <c r="D204" s="580" t="s">
        <v>417</v>
      </c>
      <c r="E204" s="580" t="s">
        <v>426</v>
      </c>
      <c r="F204" s="580" t="s">
        <v>427</v>
      </c>
      <c r="G204" s="580" t="s">
        <v>202</v>
      </c>
    </row>
    <row r="205" spans="2:7">
      <c r="B205" s="575"/>
      <c r="C205" s="581"/>
      <c r="D205" s="581"/>
      <c r="E205" s="581"/>
      <c r="F205" s="581"/>
      <c r="G205" s="581"/>
    </row>
    <row r="206" spans="2:7">
      <c r="B206" s="575"/>
      <c r="C206" s="581"/>
      <c r="D206" s="581"/>
      <c r="E206" s="581"/>
      <c r="F206" s="581"/>
      <c r="G206" s="581"/>
    </row>
    <row r="207" spans="2:7">
      <c r="B207" s="576"/>
      <c r="C207" s="582"/>
      <c r="D207" s="582"/>
      <c r="E207" s="582"/>
      <c r="F207" s="582"/>
      <c r="G207" s="582"/>
    </row>
    <row r="208" spans="2:7">
      <c r="B208" s="574" t="s">
        <v>208</v>
      </c>
      <c r="C208" s="580" t="s">
        <v>420</v>
      </c>
      <c r="D208" s="580" t="s">
        <v>428</v>
      </c>
      <c r="E208" s="580" t="s">
        <v>429</v>
      </c>
      <c r="F208" s="580" t="s">
        <v>334</v>
      </c>
      <c r="G208" s="580" t="s">
        <v>202</v>
      </c>
    </row>
    <row r="209" spans="2:7">
      <c r="B209" s="575"/>
      <c r="C209" s="581"/>
      <c r="D209" s="581"/>
      <c r="E209" s="581"/>
      <c r="F209" s="581"/>
      <c r="G209" s="581"/>
    </row>
    <row r="210" spans="2:7">
      <c r="B210" s="575"/>
      <c r="C210" s="581"/>
      <c r="D210" s="581"/>
      <c r="E210" s="581"/>
      <c r="F210" s="581"/>
      <c r="G210" s="581"/>
    </row>
    <row r="211" spans="2:7">
      <c r="B211" s="576"/>
      <c r="C211" s="582"/>
      <c r="D211" s="582"/>
      <c r="E211" s="582"/>
      <c r="F211" s="582"/>
      <c r="G211" s="582"/>
    </row>
    <row r="212" spans="2:7">
      <c r="B212" s="24"/>
      <c r="C212" s="20"/>
      <c r="D212" s="20"/>
      <c r="E212" s="20"/>
      <c r="F212" s="20"/>
      <c r="G212" s="21"/>
    </row>
    <row r="213" spans="2:7">
      <c r="B213" s="597" t="s">
        <v>212</v>
      </c>
      <c r="C213" s="598"/>
      <c r="D213" s="598"/>
      <c r="E213" s="599" t="s">
        <v>213</v>
      </c>
      <c r="F213" s="599"/>
      <c r="G213" s="600"/>
    </row>
    <row r="214" spans="2:7">
      <c r="B214" s="601" t="s">
        <v>334</v>
      </c>
      <c r="C214" s="602"/>
      <c r="D214" s="603"/>
      <c r="E214" s="610" t="s">
        <v>430</v>
      </c>
      <c r="F214" s="611"/>
      <c r="G214" s="612"/>
    </row>
    <row r="215" spans="2:7">
      <c r="B215" s="604"/>
      <c r="C215" s="605"/>
      <c r="D215" s="606"/>
      <c r="E215" s="611"/>
      <c r="F215" s="611"/>
      <c r="G215" s="612"/>
    </row>
    <row r="216" spans="2:7">
      <c r="B216" s="604"/>
      <c r="C216" s="605"/>
      <c r="D216" s="606"/>
      <c r="E216" s="611"/>
      <c r="F216" s="611"/>
      <c r="G216" s="612"/>
    </row>
    <row r="217" spans="2:7">
      <c r="B217" s="607"/>
      <c r="C217" s="608"/>
      <c r="D217" s="609"/>
      <c r="E217" s="611"/>
      <c r="F217" s="611"/>
      <c r="G217" s="612"/>
    </row>
    <row r="218" spans="2:7">
      <c r="B218" s="25"/>
      <c r="C218" s="26"/>
      <c r="D218" s="26"/>
      <c r="E218" s="26"/>
      <c r="F218" s="26"/>
      <c r="G218" s="27"/>
    </row>
    <row r="219" spans="2:7">
      <c r="B219" s="28"/>
      <c r="G219" s="29"/>
    </row>
    <row r="220" spans="2:7" ht="15.75">
      <c r="B220" s="613" t="s">
        <v>216</v>
      </c>
      <c r="C220" s="614"/>
      <c r="D220" s="614"/>
      <c r="E220" s="614"/>
      <c r="F220" s="614"/>
      <c r="G220" s="615"/>
    </row>
    <row r="221" spans="2:7">
      <c r="B221" s="616" t="s">
        <v>217</v>
      </c>
      <c r="C221" s="617"/>
      <c r="D221" s="617" t="s">
        <v>218</v>
      </c>
      <c r="E221" s="617"/>
      <c r="F221" s="595" t="s">
        <v>219</v>
      </c>
      <c r="G221" s="596"/>
    </row>
    <row r="222" spans="2:7">
      <c r="B222" s="583"/>
      <c r="C222" s="584"/>
      <c r="D222" s="587"/>
      <c r="E222" s="584"/>
      <c r="F222" s="589"/>
      <c r="G222" s="590"/>
    </row>
    <row r="223" spans="2:7">
      <c r="B223" s="585"/>
      <c r="C223" s="586"/>
      <c r="D223" s="588"/>
      <c r="E223" s="586"/>
      <c r="F223" s="591"/>
      <c r="G223" s="592"/>
    </row>
    <row r="224" spans="2:7">
      <c r="B224" s="28"/>
      <c r="G224" s="29"/>
    </row>
    <row r="225" spans="2:7">
      <c r="B225" s="593" t="s">
        <v>220</v>
      </c>
      <c r="C225" s="594"/>
      <c r="D225" s="595" t="s">
        <v>221</v>
      </c>
      <c r="E225" s="594"/>
      <c r="F225" s="595" t="s">
        <v>222</v>
      </c>
      <c r="G225" s="596"/>
    </row>
    <row r="226" spans="2:7">
      <c r="B226" s="639"/>
      <c r="C226" s="640"/>
      <c r="D226" s="641"/>
      <c r="E226" s="640"/>
      <c r="F226" s="641" t="s">
        <v>431</v>
      </c>
      <c r="G226" s="642"/>
    </row>
    <row r="229" spans="2:7" ht="15.75">
      <c r="B229" s="543" t="s">
        <v>189</v>
      </c>
      <c r="C229" s="544"/>
      <c r="D229" s="544"/>
      <c r="E229" s="544"/>
      <c r="F229" s="544"/>
      <c r="G229" s="545"/>
    </row>
    <row r="230" spans="2:7" ht="15.75">
      <c r="B230" s="546" t="s">
        <v>190</v>
      </c>
      <c r="C230" s="547"/>
      <c r="D230" s="547"/>
      <c r="E230" s="547"/>
      <c r="F230" s="547"/>
      <c r="G230" s="548"/>
    </row>
    <row r="231" spans="2:7">
      <c r="B231" s="549" t="s">
        <v>191</v>
      </c>
      <c r="C231" s="550"/>
      <c r="D231" s="551" t="s">
        <v>192</v>
      </c>
      <c r="E231" s="552"/>
      <c r="F231" s="555" t="s">
        <v>193</v>
      </c>
      <c r="G231" s="15" t="s">
        <v>194</v>
      </c>
    </row>
    <row r="232" spans="2:7">
      <c r="B232" s="557" t="s">
        <v>195</v>
      </c>
      <c r="C232" s="558"/>
      <c r="D232" s="553"/>
      <c r="E232" s="554"/>
      <c r="F232" s="556"/>
      <c r="G232" s="16" t="s">
        <v>432</v>
      </c>
    </row>
    <row r="233" spans="2:7" ht="21.75">
      <c r="B233" s="559" t="s">
        <v>197</v>
      </c>
      <c r="C233" s="560"/>
      <c r="D233" s="565" t="s">
        <v>433</v>
      </c>
      <c r="E233" s="707"/>
      <c r="F233" s="571">
        <v>52</v>
      </c>
      <c r="G233" s="17" t="s">
        <v>319</v>
      </c>
    </row>
    <row r="234" spans="2:7">
      <c r="B234" s="561"/>
      <c r="C234" s="562"/>
      <c r="D234" s="567"/>
      <c r="E234" s="708"/>
      <c r="F234" s="572"/>
      <c r="G234" s="18" t="s">
        <v>200</v>
      </c>
    </row>
    <row r="235" spans="2:7">
      <c r="B235" s="563"/>
      <c r="C235" s="564"/>
      <c r="D235" s="569"/>
      <c r="E235" s="709"/>
      <c r="F235" s="573"/>
      <c r="G235" s="17" t="s">
        <v>201</v>
      </c>
    </row>
    <row r="236" spans="2:7">
      <c r="B236" s="19" t="s">
        <v>202</v>
      </c>
      <c r="C236" s="20"/>
      <c r="D236" s="20"/>
      <c r="E236" s="20"/>
      <c r="F236" s="20"/>
      <c r="G236" s="21"/>
    </row>
    <row r="237" spans="2:7">
      <c r="B237" s="22"/>
      <c r="C237" s="23" t="s">
        <v>203</v>
      </c>
      <c r="D237" s="23" t="s">
        <v>203</v>
      </c>
      <c r="E237" s="23" t="s">
        <v>203</v>
      </c>
      <c r="F237" s="23" t="s">
        <v>203</v>
      </c>
      <c r="G237" s="23" t="s">
        <v>203</v>
      </c>
    </row>
    <row r="238" spans="2:7">
      <c r="B238" s="574" t="s">
        <v>204</v>
      </c>
      <c r="C238" s="580" t="s">
        <v>415</v>
      </c>
      <c r="D238" s="580" t="s">
        <v>417</v>
      </c>
      <c r="E238" s="580" t="s">
        <v>418</v>
      </c>
      <c r="F238" s="580" t="s">
        <v>202</v>
      </c>
      <c r="G238" s="580" t="s">
        <v>202</v>
      </c>
    </row>
    <row r="239" spans="2:7">
      <c r="B239" s="575"/>
      <c r="C239" s="581"/>
      <c r="D239" s="581"/>
      <c r="E239" s="581"/>
      <c r="F239" s="581"/>
      <c r="G239" s="581"/>
    </row>
    <row r="240" spans="2:7">
      <c r="B240" s="575"/>
      <c r="C240" s="581"/>
      <c r="D240" s="581"/>
      <c r="E240" s="581"/>
      <c r="F240" s="581"/>
      <c r="G240" s="581"/>
    </row>
    <row r="241" spans="2:7">
      <c r="B241" s="576"/>
      <c r="C241" s="582"/>
      <c r="D241" s="582"/>
      <c r="E241" s="582"/>
      <c r="F241" s="582"/>
      <c r="G241" s="582"/>
    </row>
    <row r="242" spans="2:7">
      <c r="B242" s="574" t="s">
        <v>208</v>
      </c>
      <c r="C242" s="580" t="s">
        <v>420</v>
      </c>
      <c r="D242" s="580" t="s">
        <v>421</v>
      </c>
      <c r="E242" s="580" t="s">
        <v>329</v>
      </c>
      <c r="F242" s="580" t="s">
        <v>202</v>
      </c>
      <c r="G242" s="580" t="s">
        <v>202</v>
      </c>
    </row>
    <row r="243" spans="2:7">
      <c r="B243" s="575"/>
      <c r="C243" s="581"/>
      <c r="D243" s="581"/>
      <c r="E243" s="581"/>
      <c r="F243" s="581"/>
      <c r="G243" s="581"/>
    </row>
    <row r="244" spans="2:7">
      <c r="B244" s="575"/>
      <c r="C244" s="581"/>
      <c r="D244" s="581"/>
      <c r="E244" s="581"/>
      <c r="F244" s="581"/>
      <c r="G244" s="581"/>
    </row>
    <row r="245" spans="2:7">
      <c r="B245" s="576"/>
      <c r="C245" s="582"/>
      <c r="D245" s="582"/>
      <c r="E245" s="582"/>
      <c r="F245" s="582"/>
      <c r="G245" s="582"/>
    </row>
    <row r="246" spans="2:7">
      <c r="B246" s="24"/>
      <c r="C246" s="20"/>
      <c r="D246" s="20"/>
      <c r="E246" s="20"/>
      <c r="F246" s="20"/>
      <c r="G246" s="21"/>
    </row>
    <row r="247" spans="2:7">
      <c r="B247" s="597" t="s">
        <v>212</v>
      </c>
      <c r="C247" s="598"/>
      <c r="D247" s="598"/>
      <c r="E247" s="599" t="s">
        <v>213</v>
      </c>
      <c r="F247" s="599"/>
      <c r="G247" s="600"/>
    </row>
    <row r="248" spans="2:7">
      <c r="B248" s="601" t="s">
        <v>329</v>
      </c>
      <c r="C248" s="602"/>
      <c r="D248" s="603"/>
      <c r="E248" s="610" t="s">
        <v>434</v>
      </c>
      <c r="F248" s="611"/>
      <c r="G248" s="612"/>
    </row>
    <row r="249" spans="2:7">
      <c r="B249" s="604"/>
      <c r="C249" s="605"/>
      <c r="D249" s="606"/>
      <c r="E249" s="611"/>
      <c r="F249" s="611"/>
      <c r="G249" s="612"/>
    </row>
    <row r="250" spans="2:7">
      <c r="B250" s="604"/>
      <c r="C250" s="605"/>
      <c r="D250" s="606"/>
      <c r="E250" s="611"/>
      <c r="F250" s="611"/>
      <c r="G250" s="612"/>
    </row>
    <row r="251" spans="2:7" ht="31.5" customHeight="1">
      <c r="B251" s="607"/>
      <c r="C251" s="608"/>
      <c r="D251" s="609"/>
      <c r="E251" s="611"/>
      <c r="F251" s="611"/>
      <c r="G251" s="612"/>
    </row>
    <row r="252" spans="2:7">
      <c r="B252" s="25"/>
      <c r="C252" s="26"/>
      <c r="D252" s="26"/>
      <c r="E252" s="26"/>
      <c r="F252" s="26"/>
      <c r="G252" s="27"/>
    </row>
    <row r="253" spans="2:7">
      <c r="B253" s="28"/>
      <c r="G253" s="29"/>
    </row>
    <row r="254" spans="2:7" ht="15.75">
      <c r="B254" s="613" t="s">
        <v>216</v>
      </c>
      <c r="C254" s="614"/>
      <c r="D254" s="614"/>
      <c r="E254" s="614"/>
      <c r="F254" s="614"/>
      <c r="G254" s="615"/>
    </row>
    <row r="255" spans="2:7">
      <c r="B255" s="616" t="s">
        <v>217</v>
      </c>
      <c r="C255" s="617"/>
      <c r="D255" s="617" t="s">
        <v>218</v>
      </c>
      <c r="E255" s="617"/>
      <c r="F255" s="595" t="s">
        <v>219</v>
      </c>
      <c r="G255" s="596"/>
    </row>
    <row r="256" spans="2:7">
      <c r="B256" s="583"/>
      <c r="C256" s="584"/>
      <c r="D256" s="587"/>
      <c r="E256" s="584"/>
      <c r="F256" s="589"/>
      <c r="G256" s="590"/>
    </row>
    <row r="257" spans="2:7">
      <c r="B257" s="585"/>
      <c r="C257" s="586"/>
      <c r="D257" s="588"/>
      <c r="E257" s="586"/>
      <c r="F257" s="591"/>
      <c r="G257" s="592"/>
    </row>
    <row r="258" spans="2:7">
      <c r="B258" s="28"/>
      <c r="G258" s="29"/>
    </row>
    <row r="259" spans="2:7">
      <c r="B259" s="593" t="s">
        <v>220</v>
      </c>
      <c r="C259" s="594"/>
      <c r="D259" s="595" t="s">
        <v>221</v>
      </c>
      <c r="E259" s="594"/>
      <c r="F259" s="595" t="s">
        <v>222</v>
      </c>
      <c r="G259" s="596"/>
    </row>
    <row r="260" spans="2:7">
      <c r="B260" s="639"/>
      <c r="C260" s="640"/>
      <c r="D260" s="641"/>
      <c r="E260" s="640"/>
      <c r="F260" s="641" t="s">
        <v>435</v>
      </c>
      <c r="G260" s="642"/>
    </row>
    <row r="263" spans="2:7" ht="15.75">
      <c r="B263" s="543" t="s">
        <v>189</v>
      </c>
      <c r="C263" s="544"/>
      <c r="D263" s="544"/>
      <c r="E263" s="544"/>
      <c r="F263" s="544"/>
      <c r="G263" s="545"/>
    </row>
    <row r="264" spans="2:7" ht="15.75">
      <c r="B264" s="546" t="s">
        <v>190</v>
      </c>
      <c r="C264" s="547"/>
      <c r="D264" s="547"/>
      <c r="E264" s="547"/>
      <c r="F264" s="547"/>
      <c r="G264" s="548"/>
    </row>
    <row r="265" spans="2:7">
      <c r="B265" s="549" t="s">
        <v>191</v>
      </c>
      <c r="C265" s="550"/>
      <c r="D265" s="551" t="s">
        <v>192</v>
      </c>
      <c r="E265" s="552"/>
      <c r="F265" s="555" t="s">
        <v>193</v>
      </c>
      <c r="G265" s="15" t="s">
        <v>194</v>
      </c>
    </row>
    <row r="266" spans="2:7">
      <c r="B266" s="557" t="s">
        <v>195</v>
      </c>
      <c r="C266" s="558"/>
      <c r="D266" s="553"/>
      <c r="E266" s="554"/>
      <c r="F266" s="556"/>
      <c r="G266" s="16" t="s">
        <v>436</v>
      </c>
    </row>
    <row r="267" spans="2:7" ht="21.75">
      <c r="B267" s="559" t="s">
        <v>197</v>
      </c>
      <c r="C267" s="560"/>
      <c r="D267" s="565" t="s">
        <v>437</v>
      </c>
      <c r="E267" s="707"/>
      <c r="F267" s="571">
        <v>156</v>
      </c>
      <c r="G267" s="17" t="s">
        <v>319</v>
      </c>
    </row>
    <row r="268" spans="2:7">
      <c r="B268" s="561"/>
      <c r="C268" s="562"/>
      <c r="D268" s="567"/>
      <c r="E268" s="708"/>
      <c r="F268" s="572"/>
      <c r="G268" s="18" t="s">
        <v>200</v>
      </c>
    </row>
    <row r="269" spans="2:7">
      <c r="B269" s="563"/>
      <c r="C269" s="564"/>
      <c r="D269" s="569"/>
      <c r="E269" s="709"/>
      <c r="F269" s="573"/>
      <c r="G269" s="17" t="s">
        <v>201</v>
      </c>
    </row>
    <row r="270" spans="2:7">
      <c r="B270" s="19" t="s">
        <v>202</v>
      </c>
      <c r="C270" s="20"/>
      <c r="D270" s="20"/>
      <c r="E270" s="20"/>
      <c r="F270" s="20"/>
      <c r="G270" s="21"/>
    </row>
    <row r="271" spans="2:7">
      <c r="B271" s="22"/>
      <c r="C271" s="23" t="s">
        <v>203</v>
      </c>
      <c r="D271" s="23" t="s">
        <v>203</v>
      </c>
      <c r="E271" s="23" t="s">
        <v>203</v>
      </c>
      <c r="F271" s="23" t="s">
        <v>203</v>
      </c>
      <c r="G271" s="23" t="s">
        <v>203</v>
      </c>
    </row>
    <row r="272" spans="2:7">
      <c r="B272" s="574" t="s">
        <v>204</v>
      </c>
      <c r="C272" s="580" t="s">
        <v>438</v>
      </c>
      <c r="D272" s="580" t="s">
        <v>439</v>
      </c>
      <c r="E272" s="580" t="s">
        <v>440</v>
      </c>
      <c r="F272" s="580" t="s">
        <v>441</v>
      </c>
      <c r="G272" s="580" t="s">
        <v>202</v>
      </c>
    </row>
    <row r="273" spans="2:7">
      <c r="B273" s="575"/>
      <c r="C273" s="581"/>
      <c r="D273" s="581"/>
      <c r="E273" s="581"/>
      <c r="F273" s="581"/>
      <c r="G273" s="581"/>
    </row>
    <row r="274" spans="2:7">
      <c r="B274" s="575"/>
      <c r="C274" s="581"/>
      <c r="D274" s="581"/>
      <c r="E274" s="581"/>
      <c r="F274" s="581"/>
      <c r="G274" s="581"/>
    </row>
    <row r="275" spans="2:7">
      <c r="B275" s="576"/>
      <c r="C275" s="581"/>
      <c r="D275" s="581"/>
      <c r="E275" s="581"/>
      <c r="F275" s="581"/>
      <c r="G275" s="582"/>
    </row>
    <row r="276" spans="2:7">
      <c r="B276" s="710" t="s">
        <v>208</v>
      </c>
      <c r="C276" s="713" t="s">
        <v>397</v>
      </c>
      <c r="D276" s="713" t="s">
        <v>442</v>
      </c>
      <c r="E276" s="713" t="s">
        <v>443</v>
      </c>
      <c r="F276" s="713" t="s">
        <v>444</v>
      </c>
      <c r="G276" s="714" t="s">
        <v>202</v>
      </c>
    </row>
    <row r="277" spans="2:7">
      <c r="B277" s="711"/>
      <c r="C277" s="713"/>
      <c r="D277" s="713"/>
      <c r="E277" s="713"/>
      <c r="F277" s="713"/>
      <c r="G277" s="715"/>
    </row>
    <row r="278" spans="2:7">
      <c r="B278" s="711"/>
      <c r="C278" s="713"/>
      <c r="D278" s="713"/>
      <c r="E278" s="713"/>
      <c r="F278" s="713"/>
      <c r="G278" s="715"/>
    </row>
    <row r="279" spans="2:7">
      <c r="B279" s="712"/>
      <c r="C279" s="713"/>
      <c r="D279" s="713"/>
      <c r="E279" s="713"/>
      <c r="F279" s="713"/>
      <c r="G279" s="716"/>
    </row>
    <row r="280" spans="2:7">
      <c r="B280" s="24"/>
      <c r="C280" s="20"/>
      <c r="D280" s="20"/>
      <c r="E280" s="20"/>
      <c r="F280" s="20"/>
      <c r="G280" s="21"/>
    </row>
    <row r="281" spans="2:7">
      <c r="B281" s="597" t="s">
        <v>212</v>
      </c>
      <c r="C281" s="598"/>
      <c r="D281" s="598"/>
      <c r="E281" s="599" t="s">
        <v>213</v>
      </c>
      <c r="F281" s="599"/>
      <c r="G281" s="600"/>
    </row>
    <row r="282" spans="2:7">
      <c r="B282" s="601" t="s">
        <v>363</v>
      </c>
      <c r="C282" s="602"/>
      <c r="D282" s="603"/>
      <c r="E282" s="610" t="s">
        <v>445</v>
      </c>
      <c r="F282" s="611"/>
      <c r="G282" s="612"/>
    </row>
    <row r="283" spans="2:7">
      <c r="B283" s="604"/>
      <c r="C283" s="605"/>
      <c r="D283" s="606"/>
      <c r="E283" s="611"/>
      <c r="F283" s="611"/>
      <c r="G283" s="612"/>
    </row>
    <row r="284" spans="2:7">
      <c r="B284" s="604"/>
      <c r="C284" s="605"/>
      <c r="D284" s="606"/>
      <c r="E284" s="611"/>
      <c r="F284" s="611"/>
      <c r="G284" s="612"/>
    </row>
    <row r="285" spans="2:7">
      <c r="B285" s="607"/>
      <c r="C285" s="608"/>
      <c r="D285" s="609"/>
      <c r="E285" s="611"/>
      <c r="F285" s="611"/>
      <c r="G285" s="612"/>
    </row>
    <row r="286" spans="2:7">
      <c r="B286" s="25"/>
      <c r="C286" s="26"/>
      <c r="D286" s="26"/>
      <c r="E286" s="26"/>
      <c r="F286" s="26"/>
      <c r="G286" s="27"/>
    </row>
    <row r="287" spans="2:7">
      <c r="B287" s="28"/>
      <c r="G287" s="29"/>
    </row>
    <row r="288" spans="2:7" ht="15.75">
      <c r="B288" s="613" t="s">
        <v>216</v>
      </c>
      <c r="C288" s="614"/>
      <c r="D288" s="614"/>
      <c r="E288" s="614"/>
      <c r="F288" s="614"/>
      <c r="G288" s="615"/>
    </row>
    <row r="289" spans="2:7">
      <c r="B289" s="616" t="s">
        <v>217</v>
      </c>
      <c r="C289" s="617"/>
      <c r="D289" s="617" t="s">
        <v>218</v>
      </c>
      <c r="E289" s="617"/>
      <c r="F289" s="595" t="s">
        <v>219</v>
      </c>
      <c r="G289" s="596"/>
    </row>
    <row r="290" spans="2:7">
      <c r="B290" s="583"/>
      <c r="C290" s="584"/>
      <c r="D290" s="587"/>
      <c r="E290" s="584"/>
      <c r="F290" s="589"/>
      <c r="G290" s="590"/>
    </row>
    <row r="291" spans="2:7">
      <c r="B291" s="585"/>
      <c r="C291" s="586"/>
      <c r="D291" s="588"/>
      <c r="E291" s="586"/>
      <c r="F291" s="591"/>
      <c r="G291" s="592"/>
    </row>
    <row r="292" spans="2:7">
      <c r="B292" s="28"/>
      <c r="G292" s="29"/>
    </row>
    <row r="293" spans="2:7">
      <c r="B293" s="593" t="s">
        <v>220</v>
      </c>
      <c r="C293" s="594"/>
      <c r="D293" s="595" t="s">
        <v>221</v>
      </c>
      <c r="E293" s="594"/>
      <c r="F293" s="595" t="s">
        <v>222</v>
      </c>
      <c r="G293" s="596"/>
    </row>
    <row r="294" spans="2:7">
      <c r="B294" s="639"/>
      <c r="C294" s="640"/>
      <c r="D294" s="641"/>
      <c r="E294" s="640"/>
      <c r="F294" s="641" t="s">
        <v>446</v>
      </c>
      <c r="G294" s="642"/>
    </row>
    <row r="297" spans="2:7" ht="15.75">
      <c r="B297" s="543" t="s">
        <v>189</v>
      </c>
      <c r="C297" s="544"/>
      <c r="D297" s="544"/>
      <c r="E297" s="544"/>
      <c r="F297" s="544"/>
      <c r="G297" s="545"/>
    </row>
    <row r="298" spans="2:7" ht="15.75">
      <c r="B298" s="546" t="s">
        <v>190</v>
      </c>
      <c r="C298" s="547"/>
      <c r="D298" s="547"/>
      <c r="E298" s="547"/>
      <c r="F298" s="547"/>
      <c r="G298" s="548"/>
    </row>
    <row r="299" spans="2:7">
      <c r="B299" s="549" t="s">
        <v>191</v>
      </c>
      <c r="C299" s="550"/>
      <c r="D299" s="551" t="s">
        <v>192</v>
      </c>
      <c r="E299" s="552"/>
      <c r="F299" s="555" t="s">
        <v>193</v>
      </c>
      <c r="G299" s="15" t="s">
        <v>194</v>
      </c>
    </row>
    <row r="300" spans="2:7">
      <c r="B300" s="557" t="s">
        <v>195</v>
      </c>
      <c r="C300" s="558"/>
      <c r="D300" s="553"/>
      <c r="E300" s="554"/>
      <c r="F300" s="556"/>
      <c r="G300" s="16" t="s">
        <v>447</v>
      </c>
    </row>
    <row r="301" spans="2:7" ht="22.5">
      <c r="B301" s="559" t="s">
        <v>197</v>
      </c>
      <c r="C301" s="560"/>
      <c r="D301" s="565" t="s">
        <v>448</v>
      </c>
      <c r="E301" s="707"/>
      <c r="F301" s="571">
        <v>178</v>
      </c>
      <c r="G301" s="17" t="s">
        <v>319</v>
      </c>
    </row>
    <row r="302" spans="2:7">
      <c r="B302" s="561"/>
      <c r="C302" s="562"/>
      <c r="D302" s="567"/>
      <c r="E302" s="708"/>
      <c r="F302" s="572"/>
      <c r="G302" s="18" t="s">
        <v>200</v>
      </c>
    </row>
    <row r="303" spans="2:7">
      <c r="B303" s="563"/>
      <c r="C303" s="564"/>
      <c r="D303" s="569"/>
      <c r="E303" s="709"/>
      <c r="F303" s="573"/>
      <c r="G303" s="17" t="s">
        <v>201</v>
      </c>
    </row>
    <row r="304" spans="2:7">
      <c r="B304" s="19" t="s">
        <v>202</v>
      </c>
      <c r="C304" s="20"/>
      <c r="D304" s="20"/>
      <c r="E304" s="20"/>
      <c r="F304" s="20"/>
      <c r="G304" s="21"/>
    </row>
    <row r="305" spans="2:7">
      <c r="B305" s="22"/>
      <c r="C305" s="23" t="s">
        <v>203</v>
      </c>
      <c r="D305" s="23" t="s">
        <v>203</v>
      </c>
      <c r="E305" s="23" t="s">
        <v>203</v>
      </c>
      <c r="F305" s="23" t="s">
        <v>203</v>
      </c>
      <c r="G305" s="23" t="s">
        <v>203</v>
      </c>
    </row>
    <row r="306" spans="2:7">
      <c r="B306" s="574" t="s">
        <v>204</v>
      </c>
      <c r="C306" s="580" t="s">
        <v>449</v>
      </c>
      <c r="D306" s="580" t="s">
        <v>439</v>
      </c>
      <c r="E306" s="580" t="s">
        <v>450</v>
      </c>
      <c r="F306" s="580" t="s">
        <v>202</v>
      </c>
      <c r="G306" s="580" t="s">
        <v>202</v>
      </c>
    </row>
    <row r="307" spans="2:7">
      <c r="B307" s="575"/>
      <c r="C307" s="581"/>
      <c r="D307" s="581"/>
      <c r="E307" s="581"/>
      <c r="F307" s="581"/>
      <c r="G307" s="581"/>
    </row>
    <row r="308" spans="2:7">
      <c r="B308" s="575"/>
      <c r="C308" s="581"/>
      <c r="D308" s="581"/>
      <c r="E308" s="581"/>
      <c r="F308" s="581"/>
      <c r="G308" s="581"/>
    </row>
    <row r="309" spans="2:7">
      <c r="B309" s="576"/>
      <c r="C309" s="582"/>
      <c r="D309" s="582"/>
      <c r="E309" s="582"/>
      <c r="F309" s="582"/>
      <c r="G309" s="582"/>
    </row>
    <row r="310" spans="2:7" ht="15" customHeight="1">
      <c r="B310" s="574" t="s">
        <v>208</v>
      </c>
      <c r="C310" s="580" t="s">
        <v>397</v>
      </c>
      <c r="D310" s="580" t="s">
        <v>451</v>
      </c>
      <c r="E310" s="580" t="s">
        <v>368</v>
      </c>
      <c r="F310" s="580" t="s">
        <v>202</v>
      </c>
      <c r="G310" s="580" t="s">
        <v>202</v>
      </c>
    </row>
    <row r="311" spans="2:7" ht="15" customHeight="1">
      <c r="B311" s="575"/>
      <c r="C311" s="581"/>
      <c r="D311" s="581"/>
      <c r="E311" s="581"/>
      <c r="F311" s="581"/>
      <c r="G311" s="581"/>
    </row>
    <row r="312" spans="2:7" ht="15" customHeight="1">
      <c r="B312" s="575"/>
      <c r="C312" s="581"/>
      <c r="D312" s="581"/>
      <c r="E312" s="581"/>
      <c r="F312" s="581"/>
      <c r="G312" s="581"/>
    </row>
    <row r="313" spans="2:7" ht="15" customHeight="1">
      <c r="B313" s="576"/>
      <c r="C313" s="582"/>
      <c r="D313" s="582"/>
      <c r="E313" s="582"/>
      <c r="F313" s="582"/>
      <c r="G313" s="582"/>
    </row>
    <row r="314" spans="2:7">
      <c r="B314" s="24"/>
      <c r="C314" s="20"/>
      <c r="D314" s="20"/>
      <c r="E314" s="20"/>
      <c r="F314" s="20"/>
      <c r="G314" s="21"/>
    </row>
    <row r="315" spans="2:7">
      <c r="B315" s="597" t="s">
        <v>212</v>
      </c>
      <c r="C315" s="598"/>
      <c r="D315" s="598"/>
      <c r="E315" s="599" t="s">
        <v>213</v>
      </c>
      <c r="F315" s="599"/>
      <c r="G315" s="600"/>
    </row>
    <row r="316" spans="2:7">
      <c r="B316" s="601" t="s">
        <v>368</v>
      </c>
      <c r="C316" s="602"/>
      <c r="D316" s="603"/>
      <c r="E316" s="610" t="s">
        <v>452</v>
      </c>
      <c r="F316" s="611"/>
      <c r="G316" s="612"/>
    </row>
    <row r="317" spans="2:7">
      <c r="B317" s="604"/>
      <c r="C317" s="605"/>
      <c r="D317" s="606"/>
      <c r="E317" s="611"/>
      <c r="F317" s="611"/>
      <c r="G317" s="612"/>
    </row>
    <row r="318" spans="2:7">
      <c r="B318" s="604"/>
      <c r="C318" s="605"/>
      <c r="D318" s="606"/>
      <c r="E318" s="611"/>
      <c r="F318" s="611"/>
      <c r="G318" s="612"/>
    </row>
    <row r="319" spans="2:7">
      <c r="B319" s="607"/>
      <c r="C319" s="608"/>
      <c r="D319" s="609"/>
      <c r="E319" s="611"/>
      <c r="F319" s="611"/>
      <c r="G319" s="612"/>
    </row>
    <row r="320" spans="2:7">
      <c r="B320" s="25"/>
      <c r="C320" s="26"/>
      <c r="D320" s="26"/>
      <c r="E320" s="26"/>
      <c r="F320" s="26"/>
      <c r="G320" s="27"/>
    </row>
    <row r="321" spans="2:7">
      <c r="B321" s="28"/>
      <c r="G321" s="29"/>
    </row>
    <row r="322" spans="2:7" ht="15.75">
      <c r="B322" s="613" t="s">
        <v>216</v>
      </c>
      <c r="C322" s="614"/>
      <c r="D322" s="614"/>
      <c r="E322" s="614"/>
      <c r="F322" s="614"/>
      <c r="G322" s="615"/>
    </row>
    <row r="323" spans="2:7">
      <c r="B323" s="616" t="s">
        <v>217</v>
      </c>
      <c r="C323" s="617"/>
      <c r="D323" s="617" t="s">
        <v>218</v>
      </c>
      <c r="E323" s="617"/>
      <c r="F323" s="595" t="s">
        <v>219</v>
      </c>
      <c r="G323" s="596"/>
    </row>
    <row r="324" spans="2:7">
      <c r="B324" s="583"/>
      <c r="C324" s="584"/>
      <c r="D324" s="587"/>
      <c r="E324" s="584"/>
      <c r="F324" s="589"/>
      <c r="G324" s="590"/>
    </row>
    <row r="325" spans="2:7">
      <c r="B325" s="585"/>
      <c r="C325" s="586"/>
      <c r="D325" s="588"/>
      <c r="E325" s="586"/>
      <c r="F325" s="591"/>
      <c r="G325" s="592"/>
    </row>
    <row r="326" spans="2:7">
      <c r="B326" s="28"/>
      <c r="G326" s="29"/>
    </row>
    <row r="327" spans="2:7">
      <c r="B327" s="593" t="s">
        <v>220</v>
      </c>
      <c r="C327" s="594"/>
      <c r="D327" s="595" t="s">
        <v>221</v>
      </c>
      <c r="E327" s="594"/>
      <c r="F327" s="595" t="s">
        <v>222</v>
      </c>
      <c r="G327" s="596"/>
    </row>
    <row r="328" spans="2:7">
      <c r="B328" s="639"/>
      <c r="C328" s="640"/>
      <c r="D328" s="641"/>
      <c r="E328" s="640"/>
      <c r="F328" s="641" t="s">
        <v>453</v>
      </c>
      <c r="G328" s="642"/>
    </row>
  </sheetData>
  <autoFilter ref="B2:K20" xr:uid="{7E3221BD-3E6C-4BA8-BFAD-98351ACD7F09}">
    <filterColumn colId="1" showButton="0"/>
    <filterColumn colId="7">
      <filters>
        <filter val="yes"/>
      </filters>
    </filterColumn>
  </autoFilter>
  <mergeCells count="353">
    <mergeCell ref="B328:C328"/>
    <mergeCell ref="D328:E328"/>
    <mergeCell ref="F328:G328"/>
    <mergeCell ref="B322:G322"/>
    <mergeCell ref="B323:C323"/>
    <mergeCell ref="D323:E323"/>
    <mergeCell ref="F323:G323"/>
    <mergeCell ref="B324:C325"/>
    <mergeCell ref="D324:E325"/>
    <mergeCell ref="F324:G325"/>
    <mergeCell ref="B327:C327"/>
    <mergeCell ref="D327:E327"/>
    <mergeCell ref="F327:G327"/>
    <mergeCell ref="B310:B313"/>
    <mergeCell ref="C310:C313"/>
    <mergeCell ref="D310:D313"/>
    <mergeCell ref="E310:E313"/>
    <mergeCell ref="F310:F313"/>
    <mergeCell ref="G310:G313"/>
    <mergeCell ref="B315:D315"/>
    <mergeCell ref="E315:G315"/>
    <mergeCell ref="B316:D319"/>
    <mergeCell ref="E316:G319"/>
    <mergeCell ref="B301:C303"/>
    <mergeCell ref="D301:E303"/>
    <mergeCell ref="F301:F303"/>
    <mergeCell ref="B306:B309"/>
    <mergeCell ref="C306:C309"/>
    <mergeCell ref="D306:D309"/>
    <mergeCell ref="E306:E309"/>
    <mergeCell ref="F306:F309"/>
    <mergeCell ref="G306:G309"/>
    <mergeCell ref="B294:C294"/>
    <mergeCell ref="D294:E294"/>
    <mergeCell ref="F294:G294"/>
    <mergeCell ref="B297:G297"/>
    <mergeCell ref="B298:G298"/>
    <mergeCell ref="B299:C299"/>
    <mergeCell ref="D299:E300"/>
    <mergeCell ref="F299:F300"/>
    <mergeCell ref="B300:C300"/>
    <mergeCell ref="B288:G288"/>
    <mergeCell ref="B289:C289"/>
    <mergeCell ref="D289:E289"/>
    <mergeCell ref="F289:G289"/>
    <mergeCell ref="B290:C291"/>
    <mergeCell ref="D290:E291"/>
    <mergeCell ref="F290:G291"/>
    <mergeCell ref="B293:C293"/>
    <mergeCell ref="D293:E293"/>
    <mergeCell ref="F293:G293"/>
    <mergeCell ref="B276:B279"/>
    <mergeCell ref="C276:C279"/>
    <mergeCell ref="D276:D279"/>
    <mergeCell ref="E276:E279"/>
    <mergeCell ref="F276:F279"/>
    <mergeCell ref="G276:G279"/>
    <mergeCell ref="B281:D281"/>
    <mergeCell ref="E281:G281"/>
    <mergeCell ref="B282:D285"/>
    <mergeCell ref="E282:G285"/>
    <mergeCell ref="B267:C269"/>
    <mergeCell ref="D267:E269"/>
    <mergeCell ref="F267:F269"/>
    <mergeCell ref="B272:B275"/>
    <mergeCell ref="C272:C275"/>
    <mergeCell ref="D272:D275"/>
    <mergeCell ref="E272:E275"/>
    <mergeCell ref="F272:F275"/>
    <mergeCell ref="G272:G275"/>
    <mergeCell ref="B260:C260"/>
    <mergeCell ref="D260:E260"/>
    <mergeCell ref="F260:G260"/>
    <mergeCell ref="B263:G263"/>
    <mergeCell ref="B264:G264"/>
    <mergeCell ref="B265:C265"/>
    <mergeCell ref="D265:E266"/>
    <mergeCell ref="F265:F266"/>
    <mergeCell ref="B266:C266"/>
    <mergeCell ref="B254:G254"/>
    <mergeCell ref="B255:C255"/>
    <mergeCell ref="D255:E255"/>
    <mergeCell ref="F255:G255"/>
    <mergeCell ref="B256:C257"/>
    <mergeCell ref="D256:E257"/>
    <mergeCell ref="F256:G257"/>
    <mergeCell ref="B259:C259"/>
    <mergeCell ref="D259:E259"/>
    <mergeCell ref="F259:G259"/>
    <mergeCell ref="B242:B245"/>
    <mergeCell ref="C242:C245"/>
    <mergeCell ref="D242:D245"/>
    <mergeCell ref="E242:E245"/>
    <mergeCell ref="F242:F245"/>
    <mergeCell ref="G242:G245"/>
    <mergeCell ref="B247:D247"/>
    <mergeCell ref="E247:G247"/>
    <mergeCell ref="B248:D251"/>
    <mergeCell ref="E248:G251"/>
    <mergeCell ref="B233:C235"/>
    <mergeCell ref="D233:E235"/>
    <mergeCell ref="F233:F235"/>
    <mergeCell ref="B238:B241"/>
    <mergeCell ref="C238:C241"/>
    <mergeCell ref="D238:D241"/>
    <mergeCell ref="E238:E241"/>
    <mergeCell ref="F238:F241"/>
    <mergeCell ref="G238:G241"/>
    <mergeCell ref="B226:C226"/>
    <mergeCell ref="D226:E226"/>
    <mergeCell ref="F226:G226"/>
    <mergeCell ref="B229:G229"/>
    <mergeCell ref="B230:G230"/>
    <mergeCell ref="B231:C231"/>
    <mergeCell ref="D231:E232"/>
    <mergeCell ref="F231:F232"/>
    <mergeCell ref="B232:C232"/>
    <mergeCell ref="B220:G220"/>
    <mergeCell ref="B221:C221"/>
    <mergeCell ref="D221:E221"/>
    <mergeCell ref="F221:G221"/>
    <mergeCell ref="B222:C223"/>
    <mergeCell ref="D222:E223"/>
    <mergeCell ref="F222:G223"/>
    <mergeCell ref="B225:C225"/>
    <mergeCell ref="D225:E225"/>
    <mergeCell ref="F225:G225"/>
    <mergeCell ref="B208:B211"/>
    <mergeCell ref="C208:C211"/>
    <mergeCell ref="D208:D211"/>
    <mergeCell ref="E208:E211"/>
    <mergeCell ref="F208:F211"/>
    <mergeCell ref="G208:G211"/>
    <mergeCell ref="B213:D213"/>
    <mergeCell ref="E213:G213"/>
    <mergeCell ref="B214:D217"/>
    <mergeCell ref="E214:G217"/>
    <mergeCell ref="B199:C201"/>
    <mergeCell ref="D199:E201"/>
    <mergeCell ref="F199:F201"/>
    <mergeCell ref="B204:B207"/>
    <mergeCell ref="C204:C207"/>
    <mergeCell ref="D204:D207"/>
    <mergeCell ref="E204:E207"/>
    <mergeCell ref="F204:F207"/>
    <mergeCell ref="G204:G207"/>
    <mergeCell ref="B191:C191"/>
    <mergeCell ref="D191:E191"/>
    <mergeCell ref="F191:G191"/>
    <mergeCell ref="B192:C192"/>
    <mergeCell ref="D192:E192"/>
    <mergeCell ref="F192:G192"/>
    <mergeCell ref="B195:G195"/>
    <mergeCell ref="B196:G196"/>
    <mergeCell ref="B197:C197"/>
    <mergeCell ref="D197:E198"/>
    <mergeCell ref="F197:F198"/>
    <mergeCell ref="B198:C198"/>
    <mergeCell ref="B179:D179"/>
    <mergeCell ref="E179:G179"/>
    <mergeCell ref="B180:D183"/>
    <mergeCell ref="E180:G183"/>
    <mergeCell ref="B186:G186"/>
    <mergeCell ref="B187:C187"/>
    <mergeCell ref="D187:E187"/>
    <mergeCell ref="F187:G187"/>
    <mergeCell ref="B188:C189"/>
    <mergeCell ref="D188:E189"/>
    <mergeCell ref="F188:G189"/>
    <mergeCell ref="B170:B173"/>
    <mergeCell ref="C170:C173"/>
    <mergeCell ref="D170:D173"/>
    <mergeCell ref="E170:E173"/>
    <mergeCell ref="F170:F173"/>
    <mergeCell ref="G170:G173"/>
    <mergeCell ref="B174:B177"/>
    <mergeCell ref="C174:C177"/>
    <mergeCell ref="D174:D177"/>
    <mergeCell ref="E174:E177"/>
    <mergeCell ref="F174:F177"/>
    <mergeCell ref="G174:G177"/>
    <mergeCell ref="B161:G161"/>
    <mergeCell ref="B162:G162"/>
    <mergeCell ref="B163:C163"/>
    <mergeCell ref="D163:E164"/>
    <mergeCell ref="F163:F164"/>
    <mergeCell ref="B164:C164"/>
    <mergeCell ref="B165:C167"/>
    <mergeCell ref="D165:E167"/>
    <mergeCell ref="F165:F167"/>
    <mergeCell ref="K2:K3"/>
    <mergeCell ref="E18:K21"/>
    <mergeCell ref="B2:B3"/>
    <mergeCell ref="C2:D2"/>
    <mergeCell ref="E2:E3"/>
    <mergeCell ref="F2:F3"/>
    <mergeCell ref="G2:G3"/>
    <mergeCell ref="H2:H3"/>
    <mergeCell ref="C20:D20"/>
    <mergeCell ref="B24:G24"/>
    <mergeCell ref="B25:G25"/>
    <mergeCell ref="B26:C26"/>
    <mergeCell ref="D26:E27"/>
    <mergeCell ref="F26:F27"/>
    <mergeCell ref="B27:C27"/>
    <mergeCell ref="I2:I3"/>
    <mergeCell ref="J2:J3"/>
    <mergeCell ref="G33:G36"/>
    <mergeCell ref="B37:B40"/>
    <mergeCell ref="C37:C40"/>
    <mergeCell ref="D37:D40"/>
    <mergeCell ref="E37:E40"/>
    <mergeCell ref="F37:F40"/>
    <mergeCell ref="G37:G40"/>
    <mergeCell ref="B28:C30"/>
    <mergeCell ref="D28:E30"/>
    <mergeCell ref="F28:F30"/>
    <mergeCell ref="B33:B36"/>
    <mergeCell ref="C33:C36"/>
    <mergeCell ref="D33:D36"/>
    <mergeCell ref="E33:E36"/>
    <mergeCell ref="F33:F36"/>
    <mergeCell ref="B51:C52"/>
    <mergeCell ref="D51:E52"/>
    <mergeCell ref="F51:G52"/>
    <mergeCell ref="B54:C54"/>
    <mergeCell ref="D54:E54"/>
    <mergeCell ref="F54:G54"/>
    <mergeCell ref="B42:D42"/>
    <mergeCell ref="E42:G42"/>
    <mergeCell ref="B43:D46"/>
    <mergeCell ref="E43:G46"/>
    <mergeCell ref="B49:G49"/>
    <mergeCell ref="B50:C50"/>
    <mergeCell ref="D50:E50"/>
    <mergeCell ref="F50:G50"/>
    <mergeCell ref="B55:C55"/>
    <mergeCell ref="D55:E55"/>
    <mergeCell ref="F55:G55"/>
    <mergeCell ref="B58:G58"/>
    <mergeCell ref="B59:G59"/>
    <mergeCell ref="B60:C60"/>
    <mergeCell ref="D60:E61"/>
    <mergeCell ref="F60:F61"/>
    <mergeCell ref="B61:C61"/>
    <mergeCell ref="G67:G70"/>
    <mergeCell ref="B71:B74"/>
    <mergeCell ref="C71:C74"/>
    <mergeCell ref="D71:D74"/>
    <mergeCell ref="E71:E74"/>
    <mergeCell ref="F71:F74"/>
    <mergeCell ref="G71:G74"/>
    <mergeCell ref="B62:C64"/>
    <mergeCell ref="D62:E64"/>
    <mergeCell ref="F62:F64"/>
    <mergeCell ref="B67:B70"/>
    <mergeCell ref="C67:C70"/>
    <mergeCell ref="D67:D70"/>
    <mergeCell ref="E67:E70"/>
    <mergeCell ref="F67:F70"/>
    <mergeCell ref="B85:C86"/>
    <mergeCell ref="D85:E86"/>
    <mergeCell ref="F85:G86"/>
    <mergeCell ref="B88:C88"/>
    <mergeCell ref="D88:E88"/>
    <mergeCell ref="F88:G88"/>
    <mergeCell ref="B76:D76"/>
    <mergeCell ref="E76:G76"/>
    <mergeCell ref="B77:D80"/>
    <mergeCell ref="E77:G80"/>
    <mergeCell ref="B83:G83"/>
    <mergeCell ref="B84:C84"/>
    <mergeCell ref="D84:E84"/>
    <mergeCell ref="F84:G84"/>
    <mergeCell ref="B92:G92"/>
    <mergeCell ref="B93:G93"/>
    <mergeCell ref="B94:C94"/>
    <mergeCell ref="D94:E95"/>
    <mergeCell ref="F94:F95"/>
    <mergeCell ref="B95:C95"/>
    <mergeCell ref="B89:C89"/>
    <mergeCell ref="D89:E89"/>
    <mergeCell ref="F89:G89"/>
    <mergeCell ref="G101:G104"/>
    <mergeCell ref="B105:B108"/>
    <mergeCell ref="C105:C108"/>
    <mergeCell ref="D105:D108"/>
    <mergeCell ref="E105:E108"/>
    <mergeCell ref="F105:F108"/>
    <mergeCell ref="G105:G108"/>
    <mergeCell ref="B96:C98"/>
    <mergeCell ref="D96:E98"/>
    <mergeCell ref="F96:F98"/>
    <mergeCell ref="B101:B104"/>
    <mergeCell ref="C101:C104"/>
    <mergeCell ref="D101:D104"/>
    <mergeCell ref="E101:E104"/>
    <mergeCell ref="F101:F104"/>
    <mergeCell ref="B119:C120"/>
    <mergeCell ref="D119:E120"/>
    <mergeCell ref="F119:G120"/>
    <mergeCell ref="B122:C122"/>
    <mergeCell ref="D122:E122"/>
    <mergeCell ref="F122:G122"/>
    <mergeCell ref="B110:D110"/>
    <mergeCell ref="E110:G110"/>
    <mergeCell ref="B111:D114"/>
    <mergeCell ref="E111:G114"/>
    <mergeCell ref="B117:G117"/>
    <mergeCell ref="B118:C118"/>
    <mergeCell ref="D118:E118"/>
    <mergeCell ref="F118:G118"/>
    <mergeCell ref="B130:C132"/>
    <mergeCell ref="D130:E132"/>
    <mergeCell ref="F130:F132"/>
    <mergeCell ref="B135:B138"/>
    <mergeCell ref="C135:C138"/>
    <mergeCell ref="D135:D138"/>
    <mergeCell ref="E135:E138"/>
    <mergeCell ref="F135:F138"/>
    <mergeCell ref="B123:C123"/>
    <mergeCell ref="D123:E123"/>
    <mergeCell ref="F123:G123"/>
    <mergeCell ref="B126:G126"/>
    <mergeCell ref="B127:G127"/>
    <mergeCell ref="B128:C128"/>
    <mergeCell ref="D128:E129"/>
    <mergeCell ref="F128:F129"/>
    <mergeCell ref="B129:C129"/>
    <mergeCell ref="B144:D144"/>
    <mergeCell ref="E144:G144"/>
    <mergeCell ref="B145:D148"/>
    <mergeCell ref="E145:G148"/>
    <mergeCell ref="B151:G151"/>
    <mergeCell ref="B152:C152"/>
    <mergeCell ref="D152:E152"/>
    <mergeCell ref="F152:G152"/>
    <mergeCell ref="G135:G138"/>
    <mergeCell ref="B139:B142"/>
    <mergeCell ref="C139:C142"/>
    <mergeCell ref="D139:D142"/>
    <mergeCell ref="E139:E142"/>
    <mergeCell ref="F139:F142"/>
    <mergeCell ref="G139:G142"/>
    <mergeCell ref="B157:C157"/>
    <mergeCell ref="D157:E157"/>
    <mergeCell ref="F157:G157"/>
    <mergeCell ref="B153:C154"/>
    <mergeCell ref="D153:E154"/>
    <mergeCell ref="F153:G154"/>
    <mergeCell ref="B156:C156"/>
    <mergeCell ref="D156:E156"/>
    <mergeCell ref="F156:G156"/>
  </mergeCells>
  <phoneticPr fontId="0" type="noConversion"/>
  <printOptions horizontalCentered="1" verticalCentered="1"/>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92EF0-E064-4FE2-B8BC-0E4C05A5088C}">
  <sheetPr filterMode="1">
    <pageSetUpPr fitToPage="1"/>
  </sheetPr>
  <dimension ref="B2:N224"/>
  <sheetViews>
    <sheetView workbookViewId="0">
      <selection activeCell="I22" sqref="I22"/>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3.140625" customWidth="1"/>
    <col min="10" max="10" width="29.85546875" bestFit="1" customWidth="1"/>
    <col min="11" max="11" width="55.28515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hidden="1">
      <c r="B3" s="444"/>
      <c r="C3" s="41" t="s">
        <v>9</v>
      </c>
      <c r="D3" s="42" t="s">
        <v>10</v>
      </c>
      <c r="E3" s="439"/>
      <c r="F3" s="439"/>
      <c r="G3" s="439"/>
      <c r="H3" s="439"/>
      <c r="I3" s="439"/>
      <c r="J3" s="439"/>
      <c r="K3" s="441"/>
    </row>
    <row r="4" spans="2:14" s="3" customFormat="1" ht="29.25">
      <c r="B4" s="32">
        <v>1</v>
      </c>
      <c r="C4" s="68">
        <v>150</v>
      </c>
      <c r="D4" s="37"/>
      <c r="E4" s="73" t="s">
        <v>454</v>
      </c>
      <c r="F4" s="37" t="s">
        <v>124</v>
      </c>
      <c r="G4" s="37" t="s">
        <v>125</v>
      </c>
      <c r="H4" s="36" t="s">
        <v>455</v>
      </c>
      <c r="I4" s="2" t="s">
        <v>328</v>
      </c>
      <c r="J4" s="37" t="s">
        <v>456</v>
      </c>
      <c r="K4" s="36" t="s">
        <v>457</v>
      </c>
    </row>
    <row r="5" spans="2:14" s="3" customFormat="1" ht="29.25">
      <c r="B5" s="32">
        <v>2</v>
      </c>
      <c r="C5" s="68">
        <v>99</v>
      </c>
      <c r="D5" s="37"/>
      <c r="E5" s="73" t="s">
        <v>454</v>
      </c>
      <c r="F5" s="37" t="s">
        <v>131</v>
      </c>
      <c r="G5" s="37" t="s">
        <v>162</v>
      </c>
      <c r="H5" s="36" t="s">
        <v>458</v>
      </c>
      <c r="I5" s="2" t="s">
        <v>328</v>
      </c>
      <c r="J5" s="37" t="s">
        <v>459</v>
      </c>
      <c r="K5" s="36" t="s">
        <v>460</v>
      </c>
      <c r="M5" s="442"/>
      <c r="N5" s="442"/>
    </row>
    <row r="6" spans="2:14" s="3" customFormat="1">
      <c r="B6" s="32">
        <v>3</v>
      </c>
      <c r="C6" s="68">
        <v>120</v>
      </c>
      <c r="D6" s="37"/>
      <c r="E6" s="73" t="s">
        <v>454</v>
      </c>
      <c r="F6" s="37" t="s">
        <v>131</v>
      </c>
      <c r="G6" s="37" t="s">
        <v>162</v>
      </c>
      <c r="H6" s="36" t="s">
        <v>461</v>
      </c>
      <c r="I6" s="2" t="s">
        <v>328</v>
      </c>
      <c r="J6" s="37" t="s">
        <v>462</v>
      </c>
      <c r="K6" s="37" t="s">
        <v>463</v>
      </c>
      <c r="L6" s="442"/>
      <c r="M6" s="442"/>
    </row>
    <row r="7" spans="2:14" s="3" customFormat="1">
      <c r="B7" s="32">
        <v>4</v>
      </c>
      <c r="C7" s="119">
        <v>238</v>
      </c>
      <c r="D7" s="37"/>
      <c r="E7" s="73" t="s">
        <v>454</v>
      </c>
      <c r="F7" s="37" t="s">
        <v>131</v>
      </c>
      <c r="G7" s="37" t="s">
        <v>162</v>
      </c>
      <c r="H7" s="36" t="s">
        <v>464</v>
      </c>
      <c r="I7" s="2" t="s">
        <v>328</v>
      </c>
      <c r="J7" s="37" t="s">
        <v>462</v>
      </c>
      <c r="K7" s="37" t="s">
        <v>463</v>
      </c>
    </row>
    <row r="8" spans="2:14" s="3" customFormat="1" hidden="1">
      <c r="B8" s="32">
        <v>5</v>
      </c>
      <c r="C8" s="68">
        <v>18</v>
      </c>
      <c r="D8" s="37"/>
      <c r="E8" s="73" t="s">
        <v>465</v>
      </c>
      <c r="F8" s="37" t="s">
        <v>124</v>
      </c>
      <c r="G8" s="37" t="s">
        <v>125</v>
      </c>
      <c r="H8" s="36" t="s">
        <v>464</v>
      </c>
      <c r="I8" s="2" t="s">
        <v>146</v>
      </c>
      <c r="J8" s="37"/>
      <c r="K8" s="65" t="s">
        <v>466</v>
      </c>
    </row>
    <row r="9" spans="2:14" s="3" customFormat="1" hidden="1">
      <c r="B9" s="32">
        <v>6</v>
      </c>
      <c r="C9" s="68"/>
      <c r="D9" s="37">
        <v>30</v>
      </c>
      <c r="E9" s="73" t="s">
        <v>467</v>
      </c>
      <c r="F9" s="37" t="s">
        <v>124</v>
      </c>
      <c r="G9" s="37" t="s">
        <v>125</v>
      </c>
      <c r="H9" s="77" t="s">
        <v>468</v>
      </c>
      <c r="I9" s="186" t="s">
        <v>146</v>
      </c>
      <c r="J9" s="37"/>
      <c r="K9" s="37"/>
    </row>
    <row r="10" spans="2:14" s="3" customFormat="1" hidden="1">
      <c r="B10" s="32">
        <v>7</v>
      </c>
      <c r="C10" s="68"/>
      <c r="D10" s="37">
        <v>22</v>
      </c>
      <c r="E10" s="73" t="s">
        <v>467</v>
      </c>
      <c r="F10" s="37" t="s">
        <v>124</v>
      </c>
      <c r="G10" s="37" t="s">
        <v>125</v>
      </c>
      <c r="H10" s="77" t="s">
        <v>469</v>
      </c>
      <c r="I10" s="2" t="s">
        <v>146</v>
      </c>
      <c r="J10" s="37"/>
      <c r="K10" s="74"/>
    </row>
    <row r="11" spans="2:14" s="3" customFormat="1" ht="35.25">
      <c r="B11" s="32">
        <v>8</v>
      </c>
      <c r="C11" s="68"/>
      <c r="D11" s="68">
        <v>120</v>
      </c>
      <c r="E11" s="73" t="s">
        <v>470</v>
      </c>
      <c r="F11" s="37" t="s">
        <v>124</v>
      </c>
      <c r="G11" s="37" t="s">
        <v>140</v>
      </c>
      <c r="H11" s="77" t="s">
        <v>471</v>
      </c>
      <c r="I11" s="2" t="s">
        <v>328</v>
      </c>
      <c r="J11" s="76"/>
      <c r="K11" s="36" t="s">
        <v>472</v>
      </c>
      <c r="L11" s="78"/>
    </row>
    <row r="12" spans="2:14" s="3" customFormat="1" hidden="1">
      <c r="B12" s="32">
        <v>9</v>
      </c>
      <c r="C12" s="68"/>
      <c r="D12" s="37">
        <v>20</v>
      </c>
      <c r="E12" s="73" t="s">
        <v>470</v>
      </c>
      <c r="F12" s="37" t="s">
        <v>159</v>
      </c>
      <c r="G12" s="37" t="s">
        <v>174</v>
      </c>
      <c r="H12" s="77" t="s">
        <v>473</v>
      </c>
      <c r="I12" s="2" t="s">
        <v>146</v>
      </c>
      <c r="J12" s="37"/>
      <c r="K12" s="75"/>
    </row>
    <row r="13" spans="2:14" s="3" customFormat="1" hidden="1">
      <c r="B13" s="32">
        <v>10</v>
      </c>
      <c r="C13" s="68">
        <v>90</v>
      </c>
      <c r="D13" s="37"/>
      <c r="E13" s="73" t="s">
        <v>474</v>
      </c>
      <c r="F13" s="37" t="s">
        <v>131</v>
      </c>
      <c r="G13" s="37" t="s">
        <v>125</v>
      </c>
      <c r="H13" s="36" t="s">
        <v>475</v>
      </c>
      <c r="I13" s="186" t="s">
        <v>146</v>
      </c>
      <c r="J13" s="37"/>
      <c r="K13" s="37"/>
    </row>
    <row r="14" spans="2:14" s="3" customFormat="1" ht="42" customHeight="1">
      <c r="B14" s="32">
        <v>11</v>
      </c>
      <c r="C14" s="68">
        <v>119</v>
      </c>
      <c r="D14" s="37"/>
      <c r="E14" s="73" t="s">
        <v>476</v>
      </c>
      <c r="F14" s="37" t="s">
        <v>159</v>
      </c>
      <c r="G14" s="37" t="s">
        <v>140</v>
      </c>
      <c r="H14" s="36" t="s">
        <v>477</v>
      </c>
      <c r="I14" s="2" t="s">
        <v>328</v>
      </c>
      <c r="J14" s="37" t="s">
        <v>478</v>
      </c>
      <c r="K14" s="37" t="s">
        <v>479</v>
      </c>
    </row>
    <row r="15" spans="2:14" s="3" customFormat="1" hidden="1">
      <c r="B15" s="32">
        <v>12</v>
      </c>
      <c r="C15" s="37">
        <v>90</v>
      </c>
      <c r="D15" s="37"/>
      <c r="E15" s="73" t="s">
        <v>480</v>
      </c>
      <c r="F15" s="37" t="s">
        <v>131</v>
      </c>
      <c r="G15" s="37" t="s">
        <v>162</v>
      </c>
      <c r="H15" s="36" t="s">
        <v>481</v>
      </c>
      <c r="I15" s="186" t="s">
        <v>146</v>
      </c>
      <c r="J15" s="37" t="s">
        <v>482</v>
      </c>
      <c r="K15" s="37" t="s">
        <v>483</v>
      </c>
    </row>
    <row r="16" spans="2:14" ht="29.25" hidden="1">
      <c r="B16" s="32">
        <v>13</v>
      </c>
      <c r="C16" s="37">
        <v>22</v>
      </c>
      <c r="D16" s="37"/>
      <c r="E16" s="73" t="s">
        <v>484</v>
      </c>
      <c r="F16" s="37" t="s">
        <v>131</v>
      </c>
      <c r="G16" s="37" t="s">
        <v>162</v>
      </c>
      <c r="H16" s="36" t="s">
        <v>481</v>
      </c>
      <c r="I16" s="2" t="s">
        <v>146</v>
      </c>
      <c r="J16" s="37" t="s">
        <v>485</v>
      </c>
      <c r="K16" s="36" t="s">
        <v>486</v>
      </c>
    </row>
    <row r="17" spans="2:11" hidden="1">
      <c r="B17" s="6" t="s">
        <v>11</v>
      </c>
      <c r="C17" s="7">
        <f>SUM(C4:C16)</f>
        <v>946</v>
      </c>
      <c r="D17" s="7">
        <f>SUM(D4:D16)</f>
        <v>192</v>
      </c>
      <c r="E17" s="434"/>
      <c r="F17" s="435"/>
      <c r="G17" s="435"/>
      <c r="H17" s="435"/>
      <c r="I17" s="435"/>
      <c r="J17" s="435"/>
      <c r="K17" s="435"/>
    </row>
    <row r="18" spans="2:11">
      <c r="B18" s="9"/>
      <c r="C18" s="10"/>
      <c r="D18" s="11"/>
      <c r="E18" s="434"/>
      <c r="F18" s="435"/>
      <c r="G18" s="435"/>
      <c r="H18" s="435"/>
      <c r="I18" s="435"/>
      <c r="J18" s="435"/>
      <c r="K18" s="435"/>
    </row>
    <row r="19" spans="2:11">
      <c r="B19" s="6" t="s">
        <v>12</v>
      </c>
      <c r="C19" s="432">
        <f>SUM(C17,D17)</f>
        <v>1138</v>
      </c>
      <c r="D19" s="433"/>
      <c r="E19" s="434"/>
      <c r="F19" s="435"/>
      <c r="G19" s="435"/>
      <c r="H19" s="435"/>
      <c r="I19" s="435"/>
      <c r="J19" s="435"/>
      <c r="K19" s="435"/>
    </row>
    <row r="20" spans="2:11">
      <c r="B20" s="12"/>
      <c r="C20" s="13"/>
      <c r="D20" s="14"/>
      <c r="E20" s="436"/>
      <c r="F20" s="437"/>
      <c r="G20" s="437"/>
      <c r="H20" s="437"/>
      <c r="I20" s="437"/>
      <c r="J20" s="437"/>
      <c r="K20" s="437"/>
    </row>
    <row r="23" spans="2:11" ht="15.75">
      <c r="B23" s="543" t="s">
        <v>189</v>
      </c>
      <c r="C23" s="544"/>
      <c r="D23" s="544"/>
      <c r="E23" s="544"/>
      <c r="F23" s="544"/>
      <c r="G23" s="545"/>
    </row>
    <row r="24" spans="2:11" ht="15.75">
      <c r="B24" s="546" t="s">
        <v>190</v>
      </c>
      <c r="C24" s="547"/>
      <c r="D24" s="547"/>
      <c r="E24" s="547"/>
      <c r="F24" s="547"/>
      <c r="G24" s="548"/>
    </row>
    <row r="25" spans="2:11" ht="15" customHeight="1">
      <c r="B25" s="549" t="s">
        <v>191</v>
      </c>
      <c r="C25" s="550"/>
      <c r="D25" s="551" t="s">
        <v>192</v>
      </c>
      <c r="E25" s="552"/>
      <c r="F25" s="555" t="s">
        <v>193</v>
      </c>
      <c r="G25" s="15" t="s">
        <v>194</v>
      </c>
    </row>
    <row r="26" spans="2:11" ht="15" customHeight="1">
      <c r="B26" s="557" t="s">
        <v>195</v>
      </c>
      <c r="C26" s="558"/>
      <c r="D26" s="553"/>
      <c r="E26" s="554"/>
      <c r="F26" s="556"/>
      <c r="G26" s="16" t="s">
        <v>487</v>
      </c>
    </row>
    <row r="27" spans="2:11" ht="21.75">
      <c r="B27" s="559" t="s">
        <v>197</v>
      </c>
      <c r="C27" s="560"/>
      <c r="D27" s="565" t="s">
        <v>488</v>
      </c>
      <c r="E27" s="566"/>
      <c r="F27" s="571">
        <v>150</v>
      </c>
      <c r="G27" s="17" t="s">
        <v>199</v>
      </c>
    </row>
    <row r="28" spans="2:11">
      <c r="B28" s="561"/>
      <c r="C28" s="562"/>
      <c r="D28" s="567"/>
      <c r="E28" s="568"/>
      <c r="F28" s="572"/>
      <c r="G28" s="18" t="s">
        <v>200</v>
      </c>
    </row>
    <row r="29" spans="2:11">
      <c r="B29" s="563"/>
      <c r="C29" s="564"/>
      <c r="D29" s="569"/>
      <c r="E29" s="570"/>
      <c r="F29" s="573"/>
      <c r="G29" s="17" t="s">
        <v>201</v>
      </c>
    </row>
    <row r="30" spans="2:11">
      <c r="B30" s="19" t="s">
        <v>202</v>
      </c>
      <c r="C30" s="20"/>
      <c r="D30" s="20"/>
      <c r="E30" s="20"/>
      <c r="F30" s="20"/>
      <c r="G30" s="21"/>
    </row>
    <row r="31" spans="2:11">
      <c r="B31" s="22"/>
      <c r="C31" s="23" t="s">
        <v>203</v>
      </c>
      <c r="D31" s="23" t="s">
        <v>203</v>
      </c>
      <c r="E31" s="23" t="s">
        <v>203</v>
      </c>
      <c r="F31" s="23" t="s">
        <v>203</v>
      </c>
      <c r="G31" s="23" t="s">
        <v>203</v>
      </c>
    </row>
    <row r="32" spans="2:11">
      <c r="B32" s="574" t="s">
        <v>204</v>
      </c>
      <c r="C32" s="580" t="s">
        <v>489</v>
      </c>
      <c r="D32" s="580" t="s">
        <v>490</v>
      </c>
      <c r="E32" s="580" t="s">
        <v>491</v>
      </c>
      <c r="F32" s="580" t="s">
        <v>492</v>
      </c>
      <c r="G32" s="580" t="s">
        <v>493</v>
      </c>
    </row>
    <row r="33" spans="2:7">
      <c r="B33" s="575"/>
      <c r="C33" s="581"/>
      <c r="D33" s="581"/>
      <c r="E33" s="581"/>
      <c r="F33" s="581"/>
      <c r="G33" s="581"/>
    </row>
    <row r="34" spans="2:7">
      <c r="B34" s="575"/>
      <c r="C34" s="581"/>
      <c r="D34" s="581"/>
      <c r="E34" s="581"/>
      <c r="F34" s="581"/>
      <c r="G34" s="581"/>
    </row>
    <row r="35" spans="2:7">
      <c r="B35" s="576"/>
      <c r="C35" s="582"/>
      <c r="D35" s="582"/>
      <c r="E35" s="582"/>
      <c r="F35" s="582"/>
      <c r="G35" s="582"/>
    </row>
    <row r="36" spans="2:7">
      <c r="B36" s="574" t="s">
        <v>208</v>
      </c>
      <c r="C36" s="580" t="s">
        <v>494</v>
      </c>
      <c r="D36" s="580" t="s">
        <v>495</v>
      </c>
      <c r="E36" s="580" t="s">
        <v>496</v>
      </c>
      <c r="F36" s="580" t="s">
        <v>497</v>
      </c>
      <c r="G36" s="580" t="s">
        <v>456</v>
      </c>
    </row>
    <row r="37" spans="2:7">
      <c r="B37" s="575"/>
      <c r="C37" s="581"/>
      <c r="D37" s="581"/>
      <c r="E37" s="581"/>
      <c r="F37" s="581"/>
      <c r="G37" s="581"/>
    </row>
    <row r="38" spans="2:7">
      <c r="B38" s="575"/>
      <c r="C38" s="581"/>
      <c r="D38" s="581"/>
      <c r="E38" s="581"/>
      <c r="F38" s="581"/>
      <c r="G38" s="581"/>
    </row>
    <row r="39" spans="2:7" ht="42.75" customHeight="1">
      <c r="B39" s="576"/>
      <c r="C39" s="582"/>
      <c r="D39" s="582"/>
      <c r="E39" s="582"/>
      <c r="F39" s="582"/>
      <c r="G39" s="582"/>
    </row>
    <row r="40" spans="2:7">
      <c r="B40" s="24"/>
      <c r="C40" s="20"/>
      <c r="D40" s="20"/>
      <c r="E40" s="20"/>
      <c r="F40" s="20"/>
      <c r="G40" s="21"/>
    </row>
    <row r="41" spans="2:7">
      <c r="B41" s="597" t="s">
        <v>212</v>
      </c>
      <c r="C41" s="598"/>
      <c r="D41" s="598"/>
      <c r="E41" s="599" t="s">
        <v>213</v>
      </c>
      <c r="F41" s="599"/>
      <c r="G41" s="600"/>
    </row>
    <row r="42" spans="2:7">
      <c r="B42" s="601" t="s">
        <v>456</v>
      </c>
      <c r="C42" s="602"/>
      <c r="D42" s="603"/>
      <c r="E42" s="610" t="s">
        <v>498</v>
      </c>
      <c r="F42" s="611"/>
      <c r="G42" s="612"/>
    </row>
    <row r="43" spans="2:7">
      <c r="B43" s="604"/>
      <c r="C43" s="605"/>
      <c r="D43" s="606"/>
      <c r="E43" s="611"/>
      <c r="F43" s="611"/>
      <c r="G43" s="612"/>
    </row>
    <row r="44" spans="2:7">
      <c r="B44" s="604"/>
      <c r="C44" s="605"/>
      <c r="D44" s="606"/>
      <c r="E44" s="611"/>
      <c r="F44" s="611"/>
      <c r="G44" s="612"/>
    </row>
    <row r="45" spans="2:7" ht="24.75" customHeight="1">
      <c r="B45" s="607"/>
      <c r="C45" s="608"/>
      <c r="D45" s="609"/>
      <c r="E45" s="611"/>
      <c r="F45" s="611"/>
      <c r="G45" s="612"/>
    </row>
    <row r="46" spans="2:7">
      <c r="B46" s="25"/>
      <c r="C46" s="26"/>
      <c r="D46" s="26"/>
      <c r="E46" s="26"/>
      <c r="F46" s="26"/>
      <c r="G46" s="27"/>
    </row>
    <row r="47" spans="2:7">
      <c r="B47" s="28"/>
      <c r="G47" s="29"/>
    </row>
    <row r="48" spans="2:7" ht="15.75">
      <c r="B48" s="613" t="s">
        <v>216</v>
      </c>
      <c r="C48" s="614"/>
      <c r="D48" s="614"/>
      <c r="E48" s="614"/>
      <c r="F48" s="614"/>
      <c r="G48" s="615"/>
    </row>
    <row r="49" spans="2:14">
      <c r="B49" s="616" t="s">
        <v>217</v>
      </c>
      <c r="C49" s="617"/>
      <c r="D49" s="617" t="s">
        <v>218</v>
      </c>
      <c r="E49" s="617"/>
      <c r="F49" s="595" t="s">
        <v>219</v>
      </c>
      <c r="G49" s="596"/>
    </row>
    <row r="50" spans="2:14">
      <c r="B50" s="583"/>
      <c r="C50" s="584"/>
      <c r="D50" s="587"/>
      <c r="E50" s="584"/>
      <c r="F50" s="589"/>
      <c r="G50" s="590"/>
    </row>
    <row r="51" spans="2:14">
      <c r="B51" s="585"/>
      <c r="C51" s="586"/>
      <c r="D51" s="588"/>
      <c r="E51" s="586"/>
      <c r="F51" s="591"/>
      <c r="G51" s="592"/>
    </row>
    <row r="52" spans="2:14">
      <c r="B52" s="28"/>
      <c r="G52" s="29"/>
    </row>
    <row r="53" spans="2:14">
      <c r="B53" s="593" t="s">
        <v>220</v>
      </c>
      <c r="C53" s="594"/>
      <c r="D53" s="595" t="s">
        <v>221</v>
      </c>
      <c r="E53" s="594"/>
      <c r="F53" s="595" t="s">
        <v>222</v>
      </c>
      <c r="G53" s="596"/>
    </row>
    <row r="54" spans="2:14">
      <c r="B54" s="639"/>
      <c r="C54" s="640"/>
      <c r="D54" s="641"/>
      <c r="E54" s="640"/>
      <c r="F54" s="641" t="s">
        <v>423</v>
      </c>
      <c r="G54" s="642"/>
    </row>
    <row r="55" spans="2:14">
      <c r="B55" s="43"/>
      <c r="C55" s="43"/>
      <c r="D55" s="43"/>
      <c r="E55" s="43"/>
      <c r="F55" s="43"/>
      <c r="G55" s="43"/>
    </row>
    <row r="56" spans="2:14">
      <c r="B56" s="43"/>
      <c r="C56" s="43"/>
      <c r="D56" s="43"/>
      <c r="E56" s="43"/>
      <c r="F56" s="43"/>
      <c r="G56" s="43"/>
    </row>
    <row r="57" spans="2:14" ht="15.75">
      <c r="B57" s="543" t="s">
        <v>189</v>
      </c>
      <c r="C57" s="544"/>
      <c r="D57" s="544"/>
      <c r="E57" s="544"/>
      <c r="F57" s="544"/>
      <c r="G57" s="545"/>
      <c r="I57" s="725"/>
      <c r="J57" s="725"/>
      <c r="K57" s="725"/>
      <c r="L57" s="725"/>
      <c r="M57" s="725"/>
      <c r="N57" s="725"/>
    </row>
    <row r="58" spans="2:14" ht="15.75">
      <c r="B58" s="546" t="s">
        <v>190</v>
      </c>
      <c r="C58" s="547"/>
      <c r="D58" s="547"/>
      <c r="E58" s="547"/>
      <c r="F58" s="547"/>
      <c r="G58" s="548"/>
      <c r="I58" s="726"/>
      <c r="J58" s="726"/>
      <c r="K58" s="726"/>
      <c r="L58" s="726"/>
      <c r="M58" s="726"/>
      <c r="N58" s="726"/>
    </row>
    <row r="59" spans="2:14" ht="15" customHeight="1">
      <c r="B59" s="549" t="s">
        <v>191</v>
      </c>
      <c r="C59" s="550"/>
      <c r="D59" s="551" t="s">
        <v>192</v>
      </c>
      <c r="E59" s="729"/>
      <c r="F59" s="555" t="s">
        <v>193</v>
      </c>
      <c r="G59" s="15" t="s">
        <v>194</v>
      </c>
      <c r="I59" s="727"/>
      <c r="J59" s="727"/>
      <c r="K59" s="728"/>
      <c r="L59" s="728"/>
      <c r="M59" s="728"/>
      <c r="N59" s="81"/>
    </row>
    <row r="60" spans="2:14" ht="15" customHeight="1">
      <c r="B60" s="557" t="s">
        <v>224</v>
      </c>
      <c r="C60" s="558"/>
      <c r="D60" s="553"/>
      <c r="E60" s="730"/>
      <c r="F60" s="556"/>
      <c r="G60" s="16" t="s">
        <v>487</v>
      </c>
      <c r="I60" s="727"/>
      <c r="J60" s="727"/>
      <c r="K60" s="728"/>
      <c r="L60" s="728"/>
      <c r="M60" s="728"/>
      <c r="N60" s="81"/>
    </row>
    <row r="61" spans="2:14" ht="22.5">
      <c r="B61" s="559" t="s">
        <v>197</v>
      </c>
      <c r="C61" s="560"/>
      <c r="D61" s="565" t="s">
        <v>499</v>
      </c>
      <c r="E61" s="707"/>
      <c r="F61" s="571">
        <v>99</v>
      </c>
      <c r="G61" s="17" t="s">
        <v>199</v>
      </c>
      <c r="I61" s="724"/>
      <c r="J61" s="724"/>
      <c r="K61" s="568"/>
      <c r="L61" s="568"/>
      <c r="M61" s="568"/>
      <c r="N61" s="82"/>
    </row>
    <row r="62" spans="2:14">
      <c r="B62" s="561"/>
      <c r="C62" s="562"/>
      <c r="D62" s="567"/>
      <c r="E62" s="708"/>
      <c r="F62" s="572"/>
      <c r="G62" s="18" t="s">
        <v>200</v>
      </c>
      <c r="I62" s="724"/>
      <c r="J62" s="724"/>
      <c r="K62" s="568"/>
      <c r="L62" s="568"/>
      <c r="M62" s="568"/>
      <c r="N62" s="83"/>
    </row>
    <row r="63" spans="2:14">
      <c r="B63" s="563"/>
      <c r="C63" s="564"/>
      <c r="D63" s="569"/>
      <c r="E63" s="709"/>
      <c r="F63" s="573"/>
      <c r="G63" s="17" t="s">
        <v>201</v>
      </c>
      <c r="I63" s="724"/>
      <c r="J63" s="724"/>
      <c r="K63" s="568"/>
      <c r="L63" s="568"/>
      <c r="M63" s="568"/>
      <c r="N63" s="82"/>
    </row>
    <row r="64" spans="2:14">
      <c r="B64" s="19" t="s">
        <v>202</v>
      </c>
      <c r="C64" s="20"/>
      <c r="D64" s="20"/>
      <c r="E64" s="20"/>
      <c r="F64" s="20"/>
      <c r="G64" s="21"/>
      <c r="I64" s="84"/>
      <c r="J64" s="20"/>
      <c r="K64" s="20"/>
      <c r="L64" s="20"/>
      <c r="M64" s="20"/>
      <c r="N64" s="20"/>
    </row>
    <row r="65" spans="2:14">
      <c r="B65" s="22"/>
      <c r="C65" s="23" t="s">
        <v>203</v>
      </c>
      <c r="D65" s="23" t="s">
        <v>203</v>
      </c>
      <c r="E65" s="23" t="s">
        <v>203</v>
      </c>
      <c r="F65" s="23" t="s">
        <v>203</v>
      </c>
      <c r="G65" s="23" t="s">
        <v>203</v>
      </c>
      <c r="I65" s="85"/>
      <c r="J65" s="85"/>
      <c r="K65" s="85"/>
      <c r="L65" s="85"/>
      <c r="M65" s="85"/>
      <c r="N65" s="85"/>
    </row>
    <row r="66" spans="2:14">
      <c r="B66" s="574" t="s">
        <v>204</v>
      </c>
      <c r="C66" s="580" t="s">
        <v>415</v>
      </c>
      <c r="D66" s="580" t="s">
        <v>500</v>
      </c>
      <c r="E66" s="580" t="s">
        <v>501</v>
      </c>
      <c r="F66" s="580" t="s">
        <v>502</v>
      </c>
      <c r="G66" s="580" t="s">
        <v>202</v>
      </c>
      <c r="I66" s="723"/>
      <c r="J66" s="722"/>
      <c r="K66" s="722"/>
      <c r="L66" s="722"/>
      <c r="M66" s="722"/>
      <c r="N66" s="722"/>
    </row>
    <row r="67" spans="2:14">
      <c r="B67" s="575"/>
      <c r="C67" s="581"/>
      <c r="D67" s="581"/>
      <c r="E67" s="581"/>
      <c r="F67" s="581"/>
      <c r="G67" s="581"/>
      <c r="I67" s="723"/>
      <c r="J67" s="722"/>
      <c r="K67" s="722"/>
      <c r="L67" s="722"/>
      <c r="M67" s="722"/>
      <c r="N67" s="722"/>
    </row>
    <row r="68" spans="2:14">
      <c r="B68" s="575"/>
      <c r="C68" s="581"/>
      <c r="D68" s="581"/>
      <c r="E68" s="581"/>
      <c r="F68" s="581"/>
      <c r="G68" s="581"/>
      <c r="I68" s="723"/>
      <c r="J68" s="722"/>
      <c r="K68" s="722"/>
      <c r="L68" s="722"/>
      <c r="M68" s="722"/>
      <c r="N68" s="722"/>
    </row>
    <row r="69" spans="2:14">
      <c r="B69" s="576"/>
      <c r="C69" s="582"/>
      <c r="D69" s="582"/>
      <c r="E69" s="582"/>
      <c r="F69" s="582"/>
      <c r="G69" s="582"/>
      <c r="I69" s="723"/>
      <c r="J69" s="722"/>
      <c r="K69" s="722"/>
      <c r="L69" s="722"/>
      <c r="M69" s="722"/>
      <c r="N69" s="722"/>
    </row>
    <row r="70" spans="2:14" ht="15" customHeight="1">
      <c r="B70" s="574" t="s">
        <v>208</v>
      </c>
      <c r="C70" s="580" t="s">
        <v>503</v>
      </c>
      <c r="D70" s="580" t="s">
        <v>504</v>
      </c>
      <c r="E70" s="580" t="s">
        <v>505</v>
      </c>
      <c r="F70" s="580" t="s">
        <v>459</v>
      </c>
      <c r="G70" s="580" t="s">
        <v>202</v>
      </c>
      <c r="I70" s="723"/>
      <c r="J70" s="722"/>
      <c r="K70" s="722"/>
      <c r="L70" s="722"/>
      <c r="M70" s="722"/>
      <c r="N70" s="722"/>
    </row>
    <row r="71" spans="2:14">
      <c r="B71" s="575"/>
      <c r="C71" s="581"/>
      <c r="D71" s="581"/>
      <c r="E71" s="581"/>
      <c r="F71" s="581"/>
      <c r="G71" s="581"/>
      <c r="I71" s="723"/>
      <c r="J71" s="722"/>
      <c r="K71" s="722"/>
      <c r="L71" s="722"/>
      <c r="M71" s="722"/>
      <c r="N71" s="722"/>
    </row>
    <row r="72" spans="2:14">
      <c r="B72" s="575"/>
      <c r="C72" s="581"/>
      <c r="D72" s="581"/>
      <c r="E72" s="581"/>
      <c r="F72" s="581"/>
      <c r="G72" s="581"/>
      <c r="I72" s="723"/>
      <c r="J72" s="722"/>
      <c r="K72" s="722"/>
      <c r="L72" s="722"/>
      <c r="M72" s="722"/>
      <c r="N72" s="722"/>
    </row>
    <row r="73" spans="2:14">
      <c r="B73" s="576"/>
      <c r="C73" s="582"/>
      <c r="D73" s="582"/>
      <c r="E73" s="582"/>
      <c r="F73" s="582"/>
      <c r="G73" s="582"/>
      <c r="I73" s="723"/>
      <c r="J73" s="722"/>
      <c r="K73" s="722"/>
      <c r="L73" s="722"/>
      <c r="M73" s="722"/>
      <c r="N73" s="722"/>
    </row>
    <row r="74" spans="2:14">
      <c r="B74" s="24"/>
      <c r="C74" s="20"/>
      <c r="D74" s="20"/>
      <c r="E74" s="20"/>
      <c r="F74" s="20"/>
      <c r="G74" s="21"/>
      <c r="I74" s="86"/>
      <c r="J74" s="20"/>
      <c r="K74" s="20"/>
      <c r="L74" s="20"/>
      <c r="M74" s="20"/>
      <c r="N74" s="20"/>
    </row>
    <row r="75" spans="2:14">
      <c r="B75" s="731" t="s">
        <v>212</v>
      </c>
      <c r="C75" s="732"/>
      <c r="D75" s="733"/>
      <c r="E75" s="734" t="s">
        <v>213</v>
      </c>
      <c r="F75" s="735"/>
      <c r="G75" s="736"/>
      <c r="I75" s="718"/>
      <c r="J75" s="718"/>
      <c r="K75" s="718"/>
      <c r="L75" s="719"/>
      <c r="M75" s="719"/>
      <c r="N75" s="719"/>
    </row>
    <row r="76" spans="2:14" ht="15" customHeight="1">
      <c r="B76" s="601" t="s">
        <v>506</v>
      </c>
      <c r="C76" s="602"/>
      <c r="D76" s="603"/>
      <c r="E76" s="737" t="s">
        <v>507</v>
      </c>
      <c r="F76" s="738"/>
      <c r="G76" s="739"/>
      <c r="I76" s="605"/>
      <c r="J76" s="605"/>
      <c r="K76" s="605"/>
      <c r="L76" s="720"/>
      <c r="M76" s="605"/>
      <c r="N76" s="605"/>
    </row>
    <row r="77" spans="2:14">
      <c r="B77" s="604"/>
      <c r="C77" s="605"/>
      <c r="D77" s="606"/>
      <c r="E77" s="740"/>
      <c r="F77" s="720"/>
      <c r="G77" s="741"/>
      <c r="I77" s="605"/>
      <c r="J77" s="605"/>
      <c r="K77" s="605"/>
      <c r="L77" s="605"/>
      <c r="M77" s="605"/>
      <c r="N77" s="605"/>
    </row>
    <row r="78" spans="2:14">
      <c r="B78" s="604"/>
      <c r="C78" s="605"/>
      <c r="D78" s="606"/>
      <c r="E78" s="740"/>
      <c r="F78" s="720"/>
      <c r="G78" s="741"/>
      <c r="I78" s="605"/>
      <c r="J78" s="605"/>
      <c r="K78" s="605"/>
      <c r="L78" s="605"/>
      <c r="M78" s="605"/>
      <c r="N78" s="605"/>
    </row>
    <row r="79" spans="2:14">
      <c r="B79" s="607"/>
      <c r="C79" s="608"/>
      <c r="D79" s="609"/>
      <c r="E79" s="742"/>
      <c r="F79" s="743"/>
      <c r="G79" s="744"/>
      <c r="I79" s="605"/>
      <c r="J79" s="605"/>
      <c r="K79" s="605"/>
      <c r="L79" s="605"/>
      <c r="M79" s="605"/>
      <c r="N79" s="605"/>
    </row>
    <row r="80" spans="2:14">
      <c r="B80" s="25"/>
      <c r="C80" s="26"/>
      <c r="D80" s="26"/>
      <c r="E80" s="26"/>
      <c r="F80" s="26"/>
      <c r="G80" s="27"/>
      <c r="I80" s="26"/>
      <c r="J80" s="26"/>
      <c r="K80" s="26"/>
      <c r="L80" s="26"/>
      <c r="M80" s="26"/>
      <c r="N80" s="26"/>
    </row>
    <row r="81" spans="2:14">
      <c r="B81" s="28"/>
      <c r="G81" s="29"/>
    </row>
    <row r="82" spans="2:14" ht="15.75">
      <c r="B82" s="613" t="s">
        <v>216</v>
      </c>
      <c r="C82" s="614"/>
      <c r="D82" s="614"/>
      <c r="E82" s="614"/>
      <c r="F82" s="614"/>
      <c r="G82" s="615"/>
      <c r="I82" s="721"/>
      <c r="J82" s="721"/>
      <c r="K82" s="721"/>
      <c r="L82" s="721"/>
      <c r="M82" s="721"/>
      <c r="N82" s="721"/>
    </row>
    <row r="83" spans="2:14" ht="15" customHeight="1">
      <c r="B83" s="593" t="s">
        <v>217</v>
      </c>
      <c r="C83" s="594"/>
      <c r="D83" s="595" t="s">
        <v>218</v>
      </c>
      <c r="E83" s="594"/>
      <c r="F83" s="595" t="s">
        <v>219</v>
      </c>
      <c r="G83" s="596"/>
      <c r="I83" s="568"/>
      <c r="J83" s="568"/>
      <c r="K83" s="568"/>
      <c r="L83" s="568"/>
      <c r="M83" s="568"/>
      <c r="N83" s="568"/>
    </row>
    <row r="84" spans="2:14">
      <c r="B84" s="583"/>
      <c r="C84" s="584"/>
      <c r="D84" s="587"/>
      <c r="E84" s="584"/>
      <c r="F84" s="589"/>
      <c r="G84" s="590"/>
      <c r="I84" s="717"/>
      <c r="J84" s="717"/>
      <c r="K84" s="717"/>
      <c r="L84" s="717"/>
      <c r="M84" s="494"/>
      <c r="N84" s="494"/>
    </row>
    <row r="85" spans="2:14">
      <c r="B85" s="585"/>
      <c r="C85" s="586"/>
      <c r="D85" s="588"/>
      <c r="E85" s="586"/>
      <c r="F85" s="591"/>
      <c r="G85" s="592"/>
      <c r="I85" s="717"/>
      <c r="J85" s="717"/>
      <c r="K85" s="717"/>
      <c r="L85" s="717"/>
      <c r="M85" s="494"/>
      <c r="N85" s="494"/>
    </row>
    <row r="86" spans="2:14">
      <c r="B86" s="28"/>
      <c r="G86" s="29"/>
    </row>
    <row r="87" spans="2:14" ht="15" customHeight="1">
      <c r="B87" s="593" t="s">
        <v>220</v>
      </c>
      <c r="C87" s="594"/>
      <c r="D87" s="595" t="s">
        <v>221</v>
      </c>
      <c r="E87" s="594"/>
      <c r="F87" s="595" t="s">
        <v>222</v>
      </c>
      <c r="G87" s="596"/>
      <c r="I87" s="568"/>
      <c r="J87" s="568"/>
      <c r="K87" s="568"/>
      <c r="L87" s="568"/>
      <c r="M87" s="568"/>
      <c r="N87" s="568"/>
    </row>
    <row r="88" spans="2:14">
      <c r="B88" s="639"/>
      <c r="C88" s="640"/>
      <c r="D88" s="641"/>
      <c r="E88" s="640"/>
      <c r="F88" s="641" t="s">
        <v>431</v>
      </c>
      <c r="G88" s="642"/>
      <c r="I88" s="568"/>
      <c r="J88" s="568"/>
      <c r="K88" s="568"/>
      <c r="L88" s="568"/>
      <c r="M88" s="568"/>
      <c r="N88" s="568"/>
    </row>
    <row r="89" spans="2:14">
      <c r="B89" s="43"/>
      <c r="C89" s="43"/>
      <c r="D89" s="43"/>
      <c r="E89" s="43"/>
      <c r="F89" s="43"/>
      <c r="G89" s="43"/>
    </row>
    <row r="91" spans="2:14" ht="15.75">
      <c r="B91" s="543" t="s">
        <v>189</v>
      </c>
      <c r="C91" s="544"/>
      <c r="D91" s="544"/>
      <c r="E91" s="544"/>
      <c r="F91" s="544"/>
      <c r="G91" s="545"/>
    </row>
    <row r="92" spans="2:14" ht="15.75">
      <c r="B92" s="546" t="s">
        <v>190</v>
      </c>
      <c r="C92" s="547"/>
      <c r="D92" s="547"/>
      <c r="E92" s="547"/>
      <c r="F92" s="547"/>
      <c r="G92" s="548"/>
    </row>
    <row r="93" spans="2:14">
      <c r="B93" s="549" t="s">
        <v>191</v>
      </c>
      <c r="C93" s="550"/>
      <c r="D93" s="551" t="s">
        <v>192</v>
      </c>
      <c r="E93" s="552"/>
      <c r="F93" s="555" t="s">
        <v>193</v>
      </c>
      <c r="G93" s="15" t="s">
        <v>194</v>
      </c>
    </row>
    <row r="94" spans="2:14">
      <c r="B94" s="557" t="s">
        <v>231</v>
      </c>
      <c r="C94" s="558"/>
      <c r="D94" s="553"/>
      <c r="E94" s="554"/>
      <c r="F94" s="556"/>
      <c r="G94" s="16" t="s">
        <v>487</v>
      </c>
    </row>
    <row r="95" spans="2:14" ht="22.5">
      <c r="B95" s="559" t="s">
        <v>197</v>
      </c>
      <c r="C95" s="560"/>
      <c r="D95" s="565" t="s">
        <v>508</v>
      </c>
      <c r="E95" s="566"/>
      <c r="F95" s="571">
        <v>120</v>
      </c>
      <c r="G95" s="17" t="s">
        <v>199</v>
      </c>
    </row>
    <row r="96" spans="2:14">
      <c r="B96" s="561"/>
      <c r="C96" s="562"/>
      <c r="D96" s="567"/>
      <c r="E96" s="568"/>
      <c r="F96" s="572"/>
      <c r="G96" s="18" t="s">
        <v>200</v>
      </c>
    </row>
    <row r="97" spans="2:7">
      <c r="B97" s="563"/>
      <c r="C97" s="564"/>
      <c r="D97" s="569"/>
      <c r="E97" s="570"/>
      <c r="F97" s="573"/>
      <c r="G97" s="17" t="s">
        <v>201</v>
      </c>
    </row>
    <row r="98" spans="2:7">
      <c r="B98" s="19" t="s">
        <v>202</v>
      </c>
      <c r="C98" s="20"/>
      <c r="D98" s="20"/>
      <c r="E98" s="20"/>
      <c r="F98" s="20"/>
      <c r="G98" s="21"/>
    </row>
    <row r="99" spans="2:7">
      <c r="B99" s="22"/>
      <c r="C99" s="23" t="s">
        <v>203</v>
      </c>
      <c r="D99" s="23" t="s">
        <v>203</v>
      </c>
      <c r="E99" s="23" t="s">
        <v>203</v>
      </c>
      <c r="F99" s="23" t="s">
        <v>203</v>
      </c>
      <c r="G99" s="23" t="s">
        <v>203</v>
      </c>
    </row>
    <row r="100" spans="2:7">
      <c r="B100" s="574" t="s">
        <v>204</v>
      </c>
      <c r="C100" s="580" t="s">
        <v>509</v>
      </c>
      <c r="D100" s="580" t="s">
        <v>510</v>
      </c>
      <c r="E100" s="580" t="s">
        <v>511</v>
      </c>
      <c r="F100" s="580" t="s">
        <v>512</v>
      </c>
      <c r="G100" s="580" t="s">
        <v>202</v>
      </c>
    </row>
    <row r="101" spans="2:7">
      <c r="B101" s="575"/>
      <c r="C101" s="581"/>
      <c r="D101" s="581"/>
      <c r="E101" s="581"/>
      <c r="F101" s="581"/>
      <c r="G101" s="581"/>
    </row>
    <row r="102" spans="2:7">
      <c r="B102" s="575"/>
      <c r="C102" s="581"/>
      <c r="D102" s="581"/>
      <c r="E102" s="581"/>
      <c r="F102" s="581"/>
      <c r="G102" s="581"/>
    </row>
    <row r="103" spans="2:7">
      <c r="B103" s="576"/>
      <c r="C103" s="582"/>
      <c r="D103" s="582"/>
      <c r="E103" s="582"/>
      <c r="F103" s="582"/>
      <c r="G103" s="582"/>
    </row>
    <row r="104" spans="2:7">
      <c r="B104" s="574" t="s">
        <v>208</v>
      </c>
      <c r="C104" s="580" t="s">
        <v>513</v>
      </c>
      <c r="D104" s="580" t="s">
        <v>514</v>
      </c>
      <c r="E104" s="580" t="s">
        <v>515</v>
      </c>
      <c r="F104" s="580" t="s">
        <v>462</v>
      </c>
      <c r="G104" s="580" t="s">
        <v>202</v>
      </c>
    </row>
    <row r="105" spans="2:7">
      <c r="B105" s="575"/>
      <c r="C105" s="581"/>
      <c r="D105" s="581"/>
      <c r="E105" s="581"/>
      <c r="F105" s="581"/>
      <c r="G105" s="581"/>
    </row>
    <row r="106" spans="2:7">
      <c r="B106" s="575"/>
      <c r="C106" s="581"/>
      <c r="D106" s="581"/>
      <c r="E106" s="581"/>
      <c r="F106" s="581"/>
      <c r="G106" s="581"/>
    </row>
    <row r="107" spans="2:7">
      <c r="B107" s="576"/>
      <c r="C107" s="582"/>
      <c r="D107" s="582"/>
      <c r="E107" s="582"/>
      <c r="F107" s="582"/>
      <c r="G107" s="582"/>
    </row>
    <row r="108" spans="2:7">
      <c r="B108" s="24"/>
      <c r="C108" s="20"/>
      <c r="D108" s="20"/>
      <c r="E108" s="20"/>
      <c r="F108" s="20"/>
      <c r="G108" s="21"/>
    </row>
    <row r="109" spans="2:7">
      <c r="B109" s="597" t="s">
        <v>212</v>
      </c>
      <c r="C109" s="598"/>
      <c r="D109" s="598"/>
      <c r="E109" s="599" t="s">
        <v>213</v>
      </c>
      <c r="F109" s="599"/>
      <c r="G109" s="600"/>
    </row>
    <row r="110" spans="2:7">
      <c r="B110" s="601" t="s">
        <v>462</v>
      </c>
      <c r="C110" s="602"/>
      <c r="D110" s="603"/>
      <c r="E110" s="610" t="s">
        <v>516</v>
      </c>
      <c r="F110" s="611"/>
      <c r="G110" s="612"/>
    </row>
    <row r="111" spans="2:7">
      <c r="B111" s="604"/>
      <c r="C111" s="605"/>
      <c r="D111" s="606"/>
      <c r="E111" s="611"/>
      <c r="F111" s="611"/>
      <c r="G111" s="612"/>
    </row>
    <row r="112" spans="2:7">
      <c r="B112" s="604"/>
      <c r="C112" s="605"/>
      <c r="D112" s="606"/>
      <c r="E112" s="611"/>
      <c r="F112" s="611"/>
      <c r="G112" s="612"/>
    </row>
    <row r="113" spans="2:7">
      <c r="B113" s="607"/>
      <c r="C113" s="608"/>
      <c r="D113" s="609"/>
      <c r="E113" s="611"/>
      <c r="F113" s="611"/>
      <c r="G113" s="612"/>
    </row>
    <row r="114" spans="2:7">
      <c r="B114" s="25"/>
      <c r="C114" s="26"/>
      <c r="D114" s="26"/>
      <c r="E114" s="26"/>
      <c r="F114" s="26"/>
      <c r="G114" s="27"/>
    </row>
    <row r="115" spans="2:7">
      <c r="B115" s="28"/>
      <c r="G115" s="29"/>
    </row>
    <row r="116" spans="2:7" ht="15.75">
      <c r="B116" s="613" t="s">
        <v>216</v>
      </c>
      <c r="C116" s="614"/>
      <c r="D116" s="614"/>
      <c r="E116" s="614"/>
      <c r="F116" s="614"/>
      <c r="G116" s="615"/>
    </row>
    <row r="117" spans="2:7">
      <c r="B117" s="616" t="s">
        <v>217</v>
      </c>
      <c r="C117" s="617"/>
      <c r="D117" s="617" t="s">
        <v>218</v>
      </c>
      <c r="E117" s="617"/>
      <c r="F117" s="595" t="s">
        <v>219</v>
      </c>
      <c r="G117" s="596"/>
    </row>
    <row r="118" spans="2:7">
      <c r="B118" s="583"/>
      <c r="C118" s="584"/>
      <c r="D118" s="587"/>
      <c r="E118" s="584"/>
      <c r="F118" s="589"/>
      <c r="G118" s="590"/>
    </row>
    <row r="119" spans="2:7">
      <c r="B119" s="585"/>
      <c r="C119" s="586"/>
      <c r="D119" s="588"/>
      <c r="E119" s="586"/>
      <c r="F119" s="591"/>
      <c r="G119" s="592"/>
    </row>
    <row r="120" spans="2:7">
      <c r="B120" s="28"/>
      <c r="G120" s="29"/>
    </row>
    <row r="121" spans="2:7">
      <c r="B121" s="593" t="s">
        <v>220</v>
      </c>
      <c r="C121" s="594"/>
      <c r="D121" s="595" t="s">
        <v>221</v>
      </c>
      <c r="E121" s="594"/>
      <c r="F121" s="595" t="s">
        <v>222</v>
      </c>
      <c r="G121" s="596"/>
    </row>
    <row r="122" spans="2:7">
      <c r="B122" s="639"/>
      <c r="C122" s="640"/>
      <c r="D122" s="641"/>
      <c r="E122" s="640"/>
      <c r="F122" s="641" t="s">
        <v>435</v>
      </c>
      <c r="G122" s="642"/>
    </row>
    <row r="125" spans="2:7" ht="15.75">
      <c r="B125" s="543" t="s">
        <v>189</v>
      </c>
      <c r="C125" s="544"/>
      <c r="D125" s="544"/>
      <c r="E125" s="544"/>
      <c r="F125" s="544"/>
      <c r="G125" s="545"/>
    </row>
    <row r="126" spans="2:7" ht="15.75">
      <c r="B126" s="546" t="s">
        <v>190</v>
      </c>
      <c r="C126" s="547"/>
      <c r="D126" s="547"/>
      <c r="E126" s="547"/>
      <c r="F126" s="547"/>
      <c r="G126" s="548"/>
    </row>
    <row r="127" spans="2:7">
      <c r="B127" s="549" t="s">
        <v>191</v>
      </c>
      <c r="C127" s="550"/>
      <c r="D127" s="551" t="s">
        <v>192</v>
      </c>
      <c r="E127" s="552"/>
      <c r="F127" s="555" t="s">
        <v>193</v>
      </c>
      <c r="G127" s="15" t="s">
        <v>194</v>
      </c>
    </row>
    <row r="128" spans="2:7">
      <c r="B128" s="557" t="s">
        <v>239</v>
      </c>
      <c r="C128" s="558"/>
      <c r="D128" s="553"/>
      <c r="E128" s="554"/>
      <c r="F128" s="556"/>
      <c r="G128" s="16" t="s">
        <v>517</v>
      </c>
    </row>
    <row r="129" spans="2:7" ht="22.5">
      <c r="B129" s="559" t="s">
        <v>197</v>
      </c>
      <c r="C129" s="560"/>
      <c r="D129" s="565" t="s">
        <v>518</v>
      </c>
      <c r="E129" s="566"/>
      <c r="F129" s="571">
        <v>238</v>
      </c>
      <c r="G129" s="17" t="s">
        <v>199</v>
      </c>
    </row>
    <row r="130" spans="2:7">
      <c r="B130" s="561"/>
      <c r="C130" s="562"/>
      <c r="D130" s="567"/>
      <c r="E130" s="568"/>
      <c r="F130" s="572"/>
      <c r="G130" s="18" t="s">
        <v>200</v>
      </c>
    </row>
    <row r="131" spans="2:7">
      <c r="B131" s="563"/>
      <c r="C131" s="564"/>
      <c r="D131" s="569"/>
      <c r="E131" s="570"/>
      <c r="F131" s="573"/>
      <c r="G131" s="17" t="s">
        <v>201</v>
      </c>
    </row>
    <row r="132" spans="2:7">
      <c r="B132" s="19" t="s">
        <v>202</v>
      </c>
      <c r="C132" s="20"/>
      <c r="D132" s="20"/>
      <c r="E132" s="20"/>
      <c r="F132" s="20"/>
      <c r="G132" s="21"/>
    </row>
    <row r="133" spans="2:7">
      <c r="B133" s="22"/>
      <c r="C133" s="23" t="s">
        <v>203</v>
      </c>
      <c r="D133" s="23" t="s">
        <v>203</v>
      </c>
      <c r="E133" s="23" t="s">
        <v>203</v>
      </c>
      <c r="F133" s="23" t="s">
        <v>203</v>
      </c>
      <c r="G133" s="23" t="s">
        <v>203</v>
      </c>
    </row>
    <row r="134" spans="2:7">
      <c r="B134" s="574" t="s">
        <v>204</v>
      </c>
      <c r="C134" s="580" t="s">
        <v>509</v>
      </c>
      <c r="D134" s="580" t="s">
        <v>519</v>
      </c>
      <c r="E134" s="580" t="s">
        <v>520</v>
      </c>
      <c r="F134" s="580" t="s">
        <v>512</v>
      </c>
      <c r="G134" s="580" t="s">
        <v>202</v>
      </c>
    </row>
    <row r="135" spans="2:7">
      <c r="B135" s="575"/>
      <c r="C135" s="581"/>
      <c r="D135" s="581"/>
      <c r="E135" s="581"/>
      <c r="F135" s="581"/>
      <c r="G135" s="581"/>
    </row>
    <row r="136" spans="2:7">
      <c r="B136" s="575"/>
      <c r="C136" s="581"/>
      <c r="D136" s="581"/>
      <c r="E136" s="581"/>
      <c r="F136" s="581"/>
      <c r="G136" s="581"/>
    </row>
    <row r="137" spans="2:7">
      <c r="B137" s="576"/>
      <c r="C137" s="582"/>
      <c r="D137" s="582"/>
      <c r="E137" s="582"/>
      <c r="F137" s="582"/>
      <c r="G137" s="582"/>
    </row>
    <row r="138" spans="2:7">
      <c r="B138" s="574" t="s">
        <v>208</v>
      </c>
      <c r="C138" s="580" t="s">
        <v>521</v>
      </c>
      <c r="D138" s="580" t="s">
        <v>514</v>
      </c>
      <c r="E138" s="580" t="s">
        <v>515</v>
      </c>
      <c r="F138" s="580" t="s">
        <v>462</v>
      </c>
      <c r="G138" s="580" t="s">
        <v>202</v>
      </c>
    </row>
    <row r="139" spans="2:7">
      <c r="B139" s="575"/>
      <c r="C139" s="581"/>
      <c r="D139" s="581"/>
      <c r="E139" s="581"/>
      <c r="F139" s="581"/>
      <c r="G139" s="581"/>
    </row>
    <row r="140" spans="2:7">
      <c r="B140" s="575"/>
      <c r="C140" s="581"/>
      <c r="D140" s="581"/>
      <c r="E140" s="581"/>
      <c r="F140" s="581"/>
      <c r="G140" s="581"/>
    </row>
    <row r="141" spans="2:7">
      <c r="B141" s="576"/>
      <c r="C141" s="582"/>
      <c r="D141" s="582"/>
      <c r="E141" s="582"/>
      <c r="F141" s="582"/>
      <c r="G141" s="582"/>
    </row>
    <row r="142" spans="2:7">
      <c r="B142" s="24"/>
      <c r="C142" s="20"/>
      <c r="D142" s="20"/>
      <c r="E142" s="20"/>
      <c r="F142" s="20"/>
      <c r="G142" s="21"/>
    </row>
    <row r="143" spans="2:7">
      <c r="B143" s="597" t="s">
        <v>212</v>
      </c>
      <c r="C143" s="598"/>
      <c r="D143" s="598"/>
      <c r="E143" s="599" t="s">
        <v>213</v>
      </c>
      <c r="F143" s="599"/>
      <c r="G143" s="600"/>
    </row>
    <row r="144" spans="2:7">
      <c r="B144" s="601" t="s">
        <v>462</v>
      </c>
      <c r="C144" s="602"/>
      <c r="D144" s="603"/>
      <c r="E144" s="610" t="s">
        <v>516</v>
      </c>
      <c r="F144" s="611"/>
      <c r="G144" s="612"/>
    </row>
    <row r="145" spans="2:7">
      <c r="B145" s="604"/>
      <c r="C145" s="605"/>
      <c r="D145" s="606"/>
      <c r="E145" s="611"/>
      <c r="F145" s="611"/>
      <c r="G145" s="612"/>
    </row>
    <row r="146" spans="2:7">
      <c r="B146" s="604"/>
      <c r="C146" s="605"/>
      <c r="D146" s="606"/>
      <c r="E146" s="611"/>
      <c r="F146" s="611"/>
      <c r="G146" s="612"/>
    </row>
    <row r="147" spans="2:7">
      <c r="B147" s="607"/>
      <c r="C147" s="608"/>
      <c r="D147" s="609"/>
      <c r="E147" s="611"/>
      <c r="F147" s="611"/>
      <c r="G147" s="612"/>
    </row>
    <row r="148" spans="2:7">
      <c r="B148" s="25"/>
      <c r="C148" s="26"/>
      <c r="D148" s="26"/>
      <c r="E148" s="26"/>
      <c r="F148" s="26"/>
      <c r="G148" s="27"/>
    </row>
    <row r="149" spans="2:7">
      <c r="B149" s="28"/>
      <c r="G149" s="29"/>
    </row>
    <row r="150" spans="2:7" ht="15.75">
      <c r="B150" s="613" t="s">
        <v>216</v>
      </c>
      <c r="C150" s="614"/>
      <c r="D150" s="614"/>
      <c r="E150" s="614"/>
      <c r="F150" s="614"/>
      <c r="G150" s="615"/>
    </row>
    <row r="151" spans="2:7">
      <c r="B151" s="616" t="s">
        <v>217</v>
      </c>
      <c r="C151" s="617"/>
      <c r="D151" s="617" t="s">
        <v>218</v>
      </c>
      <c r="E151" s="617"/>
      <c r="F151" s="595" t="s">
        <v>219</v>
      </c>
      <c r="G151" s="596"/>
    </row>
    <row r="152" spans="2:7">
      <c r="B152" s="583"/>
      <c r="C152" s="584"/>
      <c r="D152" s="587"/>
      <c r="E152" s="584"/>
      <c r="F152" s="589"/>
      <c r="G152" s="590"/>
    </row>
    <row r="153" spans="2:7">
      <c r="B153" s="585"/>
      <c r="C153" s="586"/>
      <c r="D153" s="588"/>
      <c r="E153" s="586"/>
      <c r="F153" s="591"/>
      <c r="G153" s="592"/>
    </row>
    <row r="154" spans="2:7">
      <c r="B154" s="28"/>
      <c r="G154" s="29"/>
    </row>
    <row r="155" spans="2:7">
      <c r="B155" s="593" t="s">
        <v>220</v>
      </c>
      <c r="C155" s="594"/>
      <c r="D155" s="595" t="s">
        <v>221</v>
      </c>
      <c r="E155" s="594"/>
      <c r="F155" s="595" t="s">
        <v>222</v>
      </c>
      <c r="G155" s="596"/>
    </row>
    <row r="156" spans="2:7">
      <c r="B156" s="639"/>
      <c r="C156" s="640"/>
      <c r="D156" s="641"/>
      <c r="E156" s="640"/>
      <c r="F156" s="641" t="s">
        <v>446</v>
      </c>
      <c r="G156" s="642"/>
    </row>
    <row r="159" spans="2:7" ht="15.75">
      <c r="B159" s="543" t="s">
        <v>189</v>
      </c>
      <c r="C159" s="544"/>
      <c r="D159" s="544"/>
      <c r="E159" s="544"/>
      <c r="F159" s="544"/>
      <c r="G159" s="545"/>
    </row>
    <row r="160" spans="2:7" ht="15.75">
      <c r="B160" s="546" t="s">
        <v>190</v>
      </c>
      <c r="C160" s="547"/>
      <c r="D160" s="547"/>
      <c r="E160" s="547"/>
      <c r="F160" s="547"/>
      <c r="G160" s="548"/>
    </row>
    <row r="161" spans="2:7">
      <c r="B161" s="549" t="s">
        <v>191</v>
      </c>
      <c r="C161" s="550"/>
      <c r="D161" s="551" t="s">
        <v>192</v>
      </c>
      <c r="E161" s="552"/>
      <c r="F161" s="555" t="s">
        <v>193</v>
      </c>
      <c r="G161" s="15" t="s">
        <v>194</v>
      </c>
    </row>
    <row r="162" spans="2:7">
      <c r="B162" s="557" t="s">
        <v>250</v>
      </c>
      <c r="C162" s="558"/>
      <c r="D162" s="553"/>
      <c r="E162" s="554"/>
      <c r="F162" s="556"/>
      <c r="G162" s="16" t="s">
        <v>522</v>
      </c>
    </row>
    <row r="163" spans="2:7" ht="22.5">
      <c r="B163" s="559" t="s">
        <v>197</v>
      </c>
      <c r="C163" s="560"/>
      <c r="D163" s="565" t="s">
        <v>523</v>
      </c>
      <c r="E163" s="566"/>
      <c r="F163" s="571">
        <v>119</v>
      </c>
      <c r="G163" s="17" t="s">
        <v>199</v>
      </c>
    </row>
    <row r="164" spans="2:7">
      <c r="B164" s="561"/>
      <c r="C164" s="562"/>
      <c r="D164" s="567"/>
      <c r="E164" s="568"/>
      <c r="F164" s="572"/>
      <c r="G164" s="18" t="s">
        <v>200</v>
      </c>
    </row>
    <row r="165" spans="2:7">
      <c r="B165" s="563"/>
      <c r="C165" s="564"/>
      <c r="D165" s="569"/>
      <c r="E165" s="570"/>
      <c r="F165" s="573"/>
      <c r="G165" s="17" t="s">
        <v>201</v>
      </c>
    </row>
    <row r="166" spans="2:7">
      <c r="B166" s="19" t="s">
        <v>202</v>
      </c>
      <c r="C166" s="20"/>
      <c r="D166" s="20"/>
      <c r="E166" s="20"/>
      <c r="F166" s="20"/>
      <c r="G166" s="21"/>
    </row>
    <row r="167" spans="2:7">
      <c r="B167" s="22"/>
      <c r="C167" s="23" t="s">
        <v>203</v>
      </c>
      <c r="D167" s="23" t="s">
        <v>203</v>
      </c>
      <c r="E167" s="23" t="s">
        <v>203</v>
      </c>
      <c r="F167" s="23" t="s">
        <v>203</v>
      </c>
      <c r="G167" s="23" t="s">
        <v>203</v>
      </c>
    </row>
    <row r="168" spans="2:7">
      <c r="B168" s="574" t="s">
        <v>204</v>
      </c>
      <c r="C168" s="580" t="s">
        <v>524</v>
      </c>
      <c r="D168" s="580" t="s">
        <v>525</v>
      </c>
      <c r="E168" s="580" t="s">
        <v>526</v>
      </c>
      <c r="F168" s="580" t="s">
        <v>527</v>
      </c>
      <c r="G168" s="580" t="s">
        <v>202</v>
      </c>
    </row>
    <row r="169" spans="2:7">
      <c r="B169" s="575"/>
      <c r="C169" s="581"/>
      <c r="D169" s="581"/>
      <c r="E169" s="581"/>
      <c r="F169" s="581"/>
      <c r="G169" s="581"/>
    </row>
    <row r="170" spans="2:7">
      <c r="B170" s="575"/>
      <c r="C170" s="581"/>
      <c r="D170" s="581"/>
      <c r="E170" s="581"/>
      <c r="F170" s="581"/>
      <c r="G170" s="581"/>
    </row>
    <row r="171" spans="2:7">
      <c r="B171" s="576"/>
      <c r="C171" s="582"/>
      <c r="D171" s="582"/>
      <c r="E171" s="582"/>
      <c r="F171" s="582"/>
      <c r="G171" s="582"/>
    </row>
    <row r="172" spans="2:7">
      <c r="B172" s="574" t="s">
        <v>208</v>
      </c>
      <c r="C172" s="580" t="s">
        <v>397</v>
      </c>
      <c r="D172" s="580" t="s">
        <v>528</v>
      </c>
      <c r="E172" s="580" t="s">
        <v>529</v>
      </c>
      <c r="F172" s="580" t="s">
        <v>478</v>
      </c>
      <c r="G172" s="580" t="s">
        <v>202</v>
      </c>
    </row>
    <row r="173" spans="2:7">
      <c r="B173" s="575"/>
      <c r="C173" s="581"/>
      <c r="D173" s="581"/>
      <c r="E173" s="581"/>
      <c r="F173" s="581"/>
      <c r="G173" s="581"/>
    </row>
    <row r="174" spans="2:7">
      <c r="B174" s="575"/>
      <c r="C174" s="581"/>
      <c r="D174" s="581"/>
      <c r="E174" s="581"/>
      <c r="F174" s="581"/>
      <c r="G174" s="581"/>
    </row>
    <row r="175" spans="2:7">
      <c r="B175" s="576"/>
      <c r="C175" s="582"/>
      <c r="D175" s="582"/>
      <c r="E175" s="582"/>
      <c r="F175" s="582"/>
      <c r="G175" s="582"/>
    </row>
    <row r="176" spans="2:7">
      <c r="B176" s="24"/>
      <c r="C176" s="20"/>
      <c r="D176" s="20"/>
      <c r="E176" s="20"/>
      <c r="F176" s="20"/>
      <c r="G176" s="21"/>
    </row>
    <row r="177" spans="2:7">
      <c r="B177" s="597" t="s">
        <v>212</v>
      </c>
      <c r="C177" s="598"/>
      <c r="D177" s="598"/>
      <c r="E177" s="599" t="s">
        <v>213</v>
      </c>
      <c r="F177" s="599"/>
      <c r="G177" s="600"/>
    </row>
    <row r="178" spans="2:7">
      <c r="B178" s="601" t="s">
        <v>478</v>
      </c>
      <c r="C178" s="602"/>
      <c r="D178" s="603"/>
      <c r="E178" s="610" t="s">
        <v>530</v>
      </c>
      <c r="F178" s="611"/>
      <c r="G178" s="612"/>
    </row>
    <row r="179" spans="2:7">
      <c r="B179" s="604"/>
      <c r="C179" s="605"/>
      <c r="D179" s="606"/>
      <c r="E179" s="611"/>
      <c r="F179" s="611"/>
      <c r="G179" s="612"/>
    </row>
    <row r="180" spans="2:7">
      <c r="B180" s="604"/>
      <c r="C180" s="605"/>
      <c r="D180" s="606"/>
      <c r="E180" s="611"/>
      <c r="F180" s="611"/>
      <c r="G180" s="612"/>
    </row>
    <row r="181" spans="2:7">
      <c r="B181" s="607"/>
      <c r="C181" s="608"/>
      <c r="D181" s="609"/>
      <c r="E181" s="611"/>
      <c r="F181" s="611"/>
      <c r="G181" s="612"/>
    </row>
    <row r="182" spans="2:7">
      <c r="B182" s="25"/>
      <c r="C182" s="26"/>
      <c r="D182" s="26"/>
      <c r="E182" s="26"/>
      <c r="F182" s="26"/>
      <c r="G182" s="27"/>
    </row>
    <row r="183" spans="2:7">
      <c r="B183" s="28"/>
      <c r="G183" s="29"/>
    </row>
    <row r="184" spans="2:7" ht="15.75">
      <c r="B184" s="613" t="s">
        <v>216</v>
      </c>
      <c r="C184" s="614"/>
      <c r="D184" s="614"/>
      <c r="E184" s="614"/>
      <c r="F184" s="614"/>
      <c r="G184" s="615"/>
    </row>
    <row r="185" spans="2:7">
      <c r="B185" s="616" t="s">
        <v>217</v>
      </c>
      <c r="C185" s="617"/>
      <c r="D185" s="617" t="s">
        <v>218</v>
      </c>
      <c r="E185" s="617"/>
      <c r="F185" s="595" t="s">
        <v>219</v>
      </c>
      <c r="G185" s="596"/>
    </row>
    <row r="186" spans="2:7">
      <c r="B186" s="583"/>
      <c r="C186" s="584"/>
      <c r="D186" s="587"/>
      <c r="E186" s="584"/>
      <c r="F186" s="589"/>
      <c r="G186" s="590"/>
    </row>
    <row r="187" spans="2:7">
      <c r="B187" s="585"/>
      <c r="C187" s="586"/>
      <c r="D187" s="588"/>
      <c r="E187" s="586"/>
      <c r="F187" s="591"/>
      <c r="G187" s="592"/>
    </row>
    <row r="188" spans="2:7">
      <c r="B188" s="28"/>
      <c r="G188" s="29"/>
    </row>
    <row r="189" spans="2:7">
      <c r="B189" s="593" t="s">
        <v>220</v>
      </c>
      <c r="C189" s="594"/>
      <c r="D189" s="595" t="s">
        <v>221</v>
      </c>
      <c r="E189" s="594"/>
      <c r="F189" s="595" t="s">
        <v>222</v>
      </c>
      <c r="G189" s="596"/>
    </row>
    <row r="190" spans="2:7">
      <c r="B190" s="639"/>
      <c r="C190" s="640"/>
      <c r="D190" s="641"/>
      <c r="E190" s="640"/>
      <c r="F190" s="641" t="s">
        <v>453</v>
      </c>
      <c r="G190" s="642"/>
    </row>
    <row r="193" spans="2:7" ht="15.75">
      <c r="B193" s="543" t="s">
        <v>189</v>
      </c>
      <c r="C193" s="544"/>
      <c r="D193" s="544"/>
      <c r="E193" s="544"/>
      <c r="F193" s="544"/>
      <c r="G193" s="545"/>
    </row>
    <row r="194" spans="2:7" ht="15.75">
      <c r="B194" s="546" t="s">
        <v>190</v>
      </c>
      <c r="C194" s="547"/>
      <c r="D194" s="547"/>
      <c r="E194" s="547"/>
      <c r="F194" s="547"/>
      <c r="G194" s="548"/>
    </row>
    <row r="195" spans="2:7">
      <c r="B195" s="549" t="s">
        <v>191</v>
      </c>
      <c r="C195" s="550"/>
      <c r="D195" s="551" t="s">
        <v>192</v>
      </c>
      <c r="E195" s="552"/>
      <c r="F195" s="555" t="s">
        <v>193</v>
      </c>
      <c r="G195" s="15" t="s">
        <v>194</v>
      </c>
    </row>
    <row r="196" spans="2:7">
      <c r="B196" s="557" t="s">
        <v>195</v>
      </c>
      <c r="C196" s="558"/>
      <c r="D196" s="553"/>
      <c r="E196" s="554"/>
      <c r="F196" s="556"/>
      <c r="G196" s="16" t="s">
        <v>531</v>
      </c>
    </row>
    <row r="197" spans="2:7" ht="22.5">
      <c r="B197" s="559" t="s">
        <v>197</v>
      </c>
      <c r="C197" s="560"/>
      <c r="D197" s="565" t="s">
        <v>532</v>
      </c>
      <c r="E197" s="566"/>
      <c r="F197" s="571">
        <v>120</v>
      </c>
      <c r="G197" s="17" t="s">
        <v>319</v>
      </c>
    </row>
    <row r="198" spans="2:7">
      <c r="B198" s="561"/>
      <c r="C198" s="562"/>
      <c r="D198" s="567"/>
      <c r="E198" s="568"/>
      <c r="F198" s="572"/>
      <c r="G198" s="18" t="s">
        <v>200</v>
      </c>
    </row>
    <row r="199" spans="2:7">
      <c r="B199" s="563"/>
      <c r="C199" s="564"/>
      <c r="D199" s="569"/>
      <c r="E199" s="570"/>
      <c r="F199" s="573"/>
      <c r="G199" s="17" t="s">
        <v>201</v>
      </c>
    </row>
    <row r="200" spans="2:7">
      <c r="B200" s="19" t="s">
        <v>202</v>
      </c>
      <c r="C200" s="20"/>
      <c r="D200" s="20"/>
      <c r="E200" s="20"/>
      <c r="F200" s="20"/>
      <c r="G200" s="21"/>
    </row>
    <row r="201" spans="2:7">
      <c r="B201" s="22"/>
      <c r="C201" s="23" t="s">
        <v>203</v>
      </c>
      <c r="D201" s="23" t="s">
        <v>203</v>
      </c>
      <c r="E201" s="23" t="s">
        <v>203</v>
      </c>
      <c r="F201" s="23" t="s">
        <v>203</v>
      </c>
      <c r="G201" s="23" t="s">
        <v>203</v>
      </c>
    </row>
    <row r="202" spans="2:7">
      <c r="B202" s="574" t="s">
        <v>204</v>
      </c>
      <c r="C202" s="580" t="s">
        <v>533</v>
      </c>
      <c r="D202" s="580" t="s">
        <v>534</v>
      </c>
      <c r="E202" s="580" t="s">
        <v>202</v>
      </c>
      <c r="F202" s="580" t="s">
        <v>202</v>
      </c>
      <c r="G202" s="580" t="s">
        <v>202</v>
      </c>
    </row>
    <row r="203" spans="2:7">
      <c r="B203" s="575"/>
      <c r="C203" s="581"/>
      <c r="D203" s="581"/>
      <c r="E203" s="581"/>
      <c r="F203" s="581"/>
      <c r="G203" s="581"/>
    </row>
    <row r="204" spans="2:7">
      <c r="B204" s="575"/>
      <c r="C204" s="581"/>
      <c r="D204" s="581"/>
      <c r="E204" s="581"/>
      <c r="F204" s="581"/>
      <c r="G204" s="581"/>
    </row>
    <row r="205" spans="2:7">
      <c r="B205" s="576"/>
      <c r="C205" s="582"/>
      <c r="D205" s="582"/>
      <c r="E205" s="582"/>
      <c r="F205" s="582"/>
      <c r="G205" s="582"/>
    </row>
    <row r="206" spans="2:7">
      <c r="B206" s="574" t="s">
        <v>208</v>
      </c>
      <c r="C206" s="580" t="s">
        <v>535</v>
      </c>
      <c r="D206" s="580" t="s">
        <v>536</v>
      </c>
      <c r="E206" s="580" t="s">
        <v>202</v>
      </c>
      <c r="F206" s="580" t="s">
        <v>202</v>
      </c>
      <c r="G206" s="580" t="s">
        <v>202</v>
      </c>
    </row>
    <row r="207" spans="2:7">
      <c r="B207" s="575"/>
      <c r="C207" s="581"/>
      <c r="D207" s="581"/>
      <c r="E207" s="581"/>
      <c r="F207" s="581"/>
      <c r="G207" s="581"/>
    </row>
    <row r="208" spans="2:7">
      <c r="B208" s="575"/>
      <c r="C208" s="581"/>
      <c r="D208" s="581"/>
      <c r="E208" s="581"/>
      <c r="F208" s="581"/>
      <c r="G208" s="581"/>
    </row>
    <row r="209" spans="2:7">
      <c r="B209" s="576"/>
      <c r="C209" s="582"/>
      <c r="D209" s="582"/>
      <c r="E209" s="582"/>
      <c r="F209" s="582"/>
      <c r="G209" s="582"/>
    </row>
    <row r="210" spans="2:7">
      <c r="B210" s="24"/>
      <c r="C210" s="20"/>
      <c r="D210" s="20"/>
      <c r="E210" s="20"/>
      <c r="F210" s="20"/>
      <c r="G210" s="21"/>
    </row>
    <row r="211" spans="2:7">
      <c r="B211" s="597" t="s">
        <v>212</v>
      </c>
      <c r="C211" s="598"/>
      <c r="D211" s="598"/>
      <c r="E211" s="599" t="s">
        <v>213</v>
      </c>
      <c r="F211" s="599"/>
      <c r="G211" s="600"/>
    </row>
    <row r="212" spans="2:7">
      <c r="B212" s="601" t="s">
        <v>537</v>
      </c>
      <c r="C212" s="602"/>
      <c r="D212" s="603"/>
      <c r="E212" s="610" t="s">
        <v>538</v>
      </c>
      <c r="F212" s="611"/>
      <c r="G212" s="612"/>
    </row>
    <row r="213" spans="2:7">
      <c r="B213" s="604"/>
      <c r="C213" s="605"/>
      <c r="D213" s="606"/>
      <c r="E213" s="611"/>
      <c r="F213" s="611"/>
      <c r="G213" s="612"/>
    </row>
    <row r="214" spans="2:7">
      <c r="B214" s="604"/>
      <c r="C214" s="605"/>
      <c r="D214" s="606"/>
      <c r="E214" s="611"/>
      <c r="F214" s="611"/>
      <c r="G214" s="612"/>
    </row>
    <row r="215" spans="2:7">
      <c r="B215" s="607"/>
      <c r="C215" s="608"/>
      <c r="D215" s="609"/>
      <c r="E215" s="611"/>
      <c r="F215" s="611"/>
      <c r="G215" s="612"/>
    </row>
    <row r="216" spans="2:7">
      <c r="B216" s="25"/>
      <c r="C216" s="26"/>
      <c r="D216" s="26"/>
      <c r="E216" s="26"/>
      <c r="F216" s="26"/>
      <c r="G216" s="27"/>
    </row>
    <row r="217" spans="2:7">
      <c r="B217" s="28"/>
      <c r="G217" s="29"/>
    </row>
    <row r="218" spans="2:7" ht="15.75">
      <c r="B218" s="613" t="s">
        <v>216</v>
      </c>
      <c r="C218" s="614"/>
      <c r="D218" s="614"/>
      <c r="E218" s="614"/>
      <c r="F218" s="614"/>
      <c r="G218" s="615"/>
    </row>
    <row r="219" spans="2:7">
      <c r="B219" s="616" t="s">
        <v>217</v>
      </c>
      <c r="C219" s="617"/>
      <c r="D219" s="617" t="s">
        <v>218</v>
      </c>
      <c r="E219" s="617"/>
      <c r="F219" s="595" t="s">
        <v>219</v>
      </c>
      <c r="G219" s="596"/>
    </row>
    <row r="220" spans="2:7">
      <c r="B220" s="583"/>
      <c r="C220" s="584"/>
      <c r="D220" s="587"/>
      <c r="E220" s="584"/>
      <c r="F220" s="589"/>
      <c r="G220" s="590"/>
    </row>
    <row r="221" spans="2:7">
      <c r="B221" s="585"/>
      <c r="C221" s="586"/>
      <c r="D221" s="588"/>
      <c r="E221" s="586"/>
      <c r="F221" s="591"/>
      <c r="G221" s="592"/>
    </row>
    <row r="222" spans="2:7">
      <c r="B222" s="28"/>
      <c r="G222" s="29"/>
    </row>
    <row r="223" spans="2:7">
      <c r="B223" s="593" t="s">
        <v>220</v>
      </c>
      <c r="C223" s="594"/>
      <c r="D223" s="595" t="s">
        <v>221</v>
      </c>
      <c r="E223" s="594"/>
      <c r="F223" s="595" t="s">
        <v>222</v>
      </c>
      <c r="G223" s="596"/>
    </row>
    <row r="224" spans="2:7">
      <c r="B224" s="639"/>
      <c r="C224" s="640"/>
      <c r="D224" s="641"/>
      <c r="E224" s="640"/>
      <c r="F224" s="641" t="s">
        <v>539</v>
      </c>
      <c r="G224" s="642"/>
    </row>
  </sheetData>
  <autoFilter ref="B2:K17" xr:uid="{7E3221BD-3E6C-4BA8-BFAD-98351ACD7F09}">
    <filterColumn colId="1" showButton="0"/>
    <filterColumn colId="7">
      <filters>
        <filter val="yes"/>
      </filters>
    </filterColumn>
  </autoFilter>
  <mergeCells count="279">
    <mergeCell ref="B121:C121"/>
    <mergeCell ref="D121:E121"/>
    <mergeCell ref="F121:G121"/>
    <mergeCell ref="B122:C122"/>
    <mergeCell ref="D122:E122"/>
    <mergeCell ref="F122:G122"/>
    <mergeCell ref="B109:D109"/>
    <mergeCell ref="E109:G109"/>
    <mergeCell ref="B110:D113"/>
    <mergeCell ref="E110:G113"/>
    <mergeCell ref="B116:G116"/>
    <mergeCell ref="B117:C117"/>
    <mergeCell ref="D117:E117"/>
    <mergeCell ref="F117:G117"/>
    <mergeCell ref="B118:C119"/>
    <mergeCell ref="D118:E119"/>
    <mergeCell ref="F118:G119"/>
    <mergeCell ref="B100:B103"/>
    <mergeCell ref="C100:C103"/>
    <mergeCell ref="D100:D103"/>
    <mergeCell ref="E100:E103"/>
    <mergeCell ref="F100:F103"/>
    <mergeCell ref="G100:G103"/>
    <mergeCell ref="B104:B107"/>
    <mergeCell ref="C104:C107"/>
    <mergeCell ref="D104:D107"/>
    <mergeCell ref="E104:E107"/>
    <mergeCell ref="F104:F107"/>
    <mergeCell ref="G104:G107"/>
    <mergeCell ref="B91:G91"/>
    <mergeCell ref="B92:G92"/>
    <mergeCell ref="B93:C93"/>
    <mergeCell ref="D93:E94"/>
    <mergeCell ref="F93:F94"/>
    <mergeCell ref="B94:C94"/>
    <mergeCell ref="B95:C97"/>
    <mergeCell ref="D95:E97"/>
    <mergeCell ref="F95:F97"/>
    <mergeCell ref="B88:C88"/>
    <mergeCell ref="D88:E88"/>
    <mergeCell ref="F88:G88"/>
    <mergeCell ref="B84:C85"/>
    <mergeCell ref="D84:E85"/>
    <mergeCell ref="F84:G85"/>
    <mergeCell ref="B87:C87"/>
    <mergeCell ref="D87:E87"/>
    <mergeCell ref="F87:G87"/>
    <mergeCell ref="B61:C63"/>
    <mergeCell ref="D61:E63"/>
    <mergeCell ref="F61:F63"/>
    <mergeCell ref="B66:B69"/>
    <mergeCell ref="C66:C69"/>
    <mergeCell ref="D66:D69"/>
    <mergeCell ref="E66:E69"/>
    <mergeCell ref="F66:F69"/>
    <mergeCell ref="B83:C83"/>
    <mergeCell ref="D83:E83"/>
    <mergeCell ref="F83:G83"/>
    <mergeCell ref="G66:G69"/>
    <mergeCell ref="B70:B73"/>
    <mergeCell ref="C70:C73"/>
    <mergeCell ref="D70:D73"/>
    <mergeCell ref="E70:E73"/>
    <mergeCell ref="F70:F73"/>
    <mergeCell ref="G70:G73"/>
    <mergeCell ref="B75:D75"/>
    <mergeCell ref="E75:G75"/>
    <mergeCell ref="B76:D79"/>
    <mergeCell ref="E76:G79"/>
    <mergeCell ref="B82:G82"/>
    <mergeCell ref="B59:C59"/>
    <mergeCell ref="D59:E60"/>
    <mergeCell ref="F59:F60"/>
    <mergeCell ref="B60:C60"/>
    <mergeCell ref="B50:C51"/>
    <mergeCell ref="D50:E51"/>
    <mergeCell ref="F50:G51"/>
    <mergeCell ref="B53:C53"/>
    <mergeCell ref="D53:E53"/>
    <mergeCell ref="F53:G53"/>
    <mergeCell ref="B54:C54"/>
    <mergeCell ref="D54:E54"/>
    <mergeCell ref="F54:G54"/>
    <mergeCell ref="B57:G57"/>
    <mergeCell ref="B58:G58"/>
    <mergeCell ref="B27:C29"/>
    <mergeCell ref="D27:E29"/>
    <mergeCell ref="F27:F29"/>
    <mergeCell ref="B32:B35"/>
    <mergeCell ref="C32:C35"/>
    <mergeCell ref="D32:D35"/>
    <mergeCell ref="E32:E35"/>
    <mergeCell ref="F32:F35"/>
    <mergeCell ref="B49:C49"/>
    <mergeCell ref="D49:E49"/>
    <mergeCell ref="F49:G49"/>
    <mergeCell ref="G32:G35"/>
    <mergeCell ref="B36:B39"/>
    <mergeCell ref="C36:C39"/>
    <mergeCell ref="D36:D39"/>
    <mergeCell ref="E36:E39"/>
    <mergeCell ref="F36:F39"/>
    <mergeCell ref="G36:G39"/>
    <mergeCell ref="B41:D41"/>
    <mergeCell ref="E41:G41"/>
    <mergeCell ref="B42:D45"/>
    <mergeCell ref="E42:G45"/>
    <mergeCell ref="B48:G48"/>
    <mergeCell ref="M5:N5"/>
    <mergeCell ref="L6:M6"/>
    <mergeCell ref="C19:D19"/>
    <mergeCell ref="B23:G23"/>
    <mergeCell ref="B24:G24"/>
    <mergeCell ref="B25:C25"/>
    <mergeCell ref="D25:E26"/>
    <mergeCell ref="F25:F26"/>
    <mergeCell ref="B26:C26"/>
    <mergeCell ref="E17:K20"/>
    <mergeCell ref="H2:H3"/>
    <mergeCell ref="B2:B3"/>
    <mergeCell ref="C2:D2"/>
    <mergeCell ref="E2:E3"/>
    <mergeCell ref="F2:F3"/>
    <mergeCell ref="G2:G3"/>
    <mergeCell ref="I2:I3"/>
    <mergeCell ref="J2:J3"/>
    <mergeCell ref="K2:K3"/>
    <mergeCell ref="I61:J63"/>
    <mergeCell ref="K61:L63"/>
    <mergeCell ref="M61:M63"/>
    <mergeCell ref="I66:I69"/>
    <mergeCell ref="J66:J69"/>
    <mergeCell ref="K66:K69"/>
    <mergeCell ref="L66:L69"/>
    <mergeCell ref="M66:M69"/>
    <mergeCell ref="I57:N57"/>
    <mergeCell ref="I58:N58"/>
    <mergeCell ref="I59:J59"/>
    <mergeCell ref="K59:L60"/>
    <mergeCell ref="M59:M60"/>
    <mergeCell ref="I60:J60"/>
    <mergeCell ref="I75:K75"/>
    <mergeCell ref="L75:N75"/>
    <mergeCell ref="I76:K79"/>
    <mergeCell ref="L76:N79"/>
    <mergeCell ref="I82:N82"/>
    <mergeCell ref="N66:N69"/>
    <mergeCell ref="I70:I73"/>
    <mergeCell ref="J70:J73"/>
    <mergeCell ref="K70:K73"/>
    <mergeCell ref="L70:L73"/>
    <mergeCell ref="M70:M73"/>
    <mergeCell ref="N70:N73"/>
    <mergeCell ref="I87:J87"/>
    <mergeCell ref="K87:L87"/>
    <mergeCell ref="M87:N87"/>
    <mergeCell ref="I88:J88"/>
    <mergeCell ref="K88:L88"/>
    <mergeCell ref="M88:N88"/>
    <mergeCell ref="I83:J83"/>
    <mergeCell ref="K83:L83"/>
    <mergeCell ref="M83:N83"/>
    <mergeCell ref="I84:J85"/>
    <mergeCell ref="K84:L85"/>
    <mergeCell ref="M84:N85"/>
    <mergeCell ref="B129:C131"/>
    <mergeCell ref="D129:E131"/>
    <mergeCell ref="F129:F131"/>
    <mergeCell ref="B134:B137"/>
    <mergeCell ref="C134:C137"/>
    <mergeCell ref="D134:D137"/>
    <mergeCell ref="E134:E137"/>
    <mergeCell ref="F134:F137"/>
    <mergeCell ref="B125:G125"/>
    <mergeCell ref="B126:G126"/>
    <mergeCell ref="B127:C127"/>
    <mergeCell ref="D127:E128"/>
    <mergeCell ref="F127:F128"/>
    <mergeCell ref="B128:C128"/>
    <mergeCell ref="B143:D143"/>
    <mergeCell ref="E143:G143"/>
    <mergeCell ref="B144:D147"/>
    <mergeCell ref="E144:G147"/>
    <mergeCell ref="B150:G150"/>
    <mergeCell ref="G134:G137"/>
    <mergeCell ref="B138:B141"/>
    <mergeCell ref="C138:C141"/>
    <mergeCell ref="D138:D141"/>
    <mergeCell ref="E138:E141"/>
    <mergeCell ref="F138:F141"/>
    <mergeCell ref="G138:G141"/>
    <mergeCell ref="B155:C155"/>
    <mergeCell ref="D155:E155"/>
    <mergeCell ref="F155:G155"/>
    <mergeCell ref="B156:C156"/>
    <mergeCell ref="D156:E156"/>
    <mergeCell ref="F156:G156"/>
    <mergeCell ref="B151:C151"/>
    <mergeCell ref="D151:E151"/>
    <mergeCell ref="F151:G151"/>
    <mergeCell ref="B152:C153"/>
    <mergeCell ref="D152:E153"/>
    <mergeCell ref="F152:G153"/>
    <mergeCell ref="B163:C165"/>
    <mergeCell ref="D163:E165"/>
    <mergeCell ref="F163:F165"/>
    <mergeCell ref="B168:B171"/>
    <mergeCell ref="C168:C171"/>
    <mergeCell ref="D168:D171"/>
    <mergeCell ref="E168:E171"/>
    <mergeCell ref="F168:F171"/>
    <mergeCell ref="B159:G159"/>
    <mergeCell ref="B160:G160"/>
    <mergeCell ref="B161:C161"/>
    <mergeCell ref="D161:E162"/>
    <mergeCell ref="F161:F162"/>
    <mergeCell ref="B162:C162"/>
    <mergeCell ref="B177:D177"/>
    <mergeCell ref="E177:G177"/>
    <mergeCell ref="B178:D181"/>
    <mergeCell ref="E178:G181"/>
    <mergeCell ref="B184:G184"/>
    <mergeCell ref="G168:G171"/>
    <mergeCell ref="B172:B175"/>
    <mergeCell ref="C172:C175"/>
    <mergeCell ref="D172:D175"/>
    <mergeCell ref="E172:E175"/>
    <mergeCell ref="F172:F175"/>
    <mergeCell ref="G172:G175"/>
    <mergeCell ref="B189:C189"/>
    <mergeCell ref="D189:E189"/>
    <mergeCell ref="F189:G189"/>
    <mergeCell ref="B190:C190"/>
    <mergeCell ref="D190:E190"/>
    <mergeCell ref="F190:G190"/>
    <mergeCell ref="B185:C185"/>
    <mergeCell ref="D185:E185"/>
    <mergeCell ref="F185:G185"/>
    <mergeCell ref="B186:C187"/>
    <mergeCell ref="D186:E187"/>
    <mergeCell ref="F186:G187"/>
    <mergeCell ref="B197:C199"/>
    <mergeCell ref="D197:E199"/>
    <mergeCell ref="F197:F199"/>
    <mergeCell ref="B202:B205"/>
    <mergeCell ref="C202:C205"/>
    <mergeCell ref="D202:D205"/>
    <mergeCell ref="E202:E205"/>
    <mergeCell ref="F202:F205"/>
    <mergeCell ref="B193:G193"/>
    <mergeCell ref="B194:G194"/>
    <mergeCell ref="B195:C195"/>
    <mergeCell ref="D195:E196"/>
    <mergeCell ref="F195:F196"/>
    <mergeCell ref="B196:C196"/>
    <mergeCell ref="B211:D211"/>
    <mergeCell ref="E211:G211"/>
    <mergeCell ref="B212:D215"/>
    <mergeCell ref="E212:G215"/>
    <mergeCell ref="B218:G218"/>
    <mergeCell ref="G202:G205"/>
    <mergeCell ref="B206:B209"/>
    <mergeCell ref="C206:C209"/>
    <mergeCell ref="D206:D209"/>
    <mergeCell ref="E206:E209"/>
    <mergeCell ref="F206:F209"/>
    <mergeCell ref="G206:G209"/>
    <mergeCell ref="B223:C223"/>
    <mergeCell ref="D223:E223"/>
    <mergeCell ref="F223:G223"/>
    <mergeCell ref="B224:C224"/>
    <mergeCell ref="D224:E224"/>
    <mergeCell ref="F224:G224"/>
    <mergeCell ref="B219:C219"/>
    <mergeCell ref="D219:E219"/>
    <mergeCell ref="F219:G219"/>
    <mergeCell ref="B220:C221"/>
    <mergeCell ref="D220:E221"/>
    <mergeCell ref="F220:G221"/>
  </mergeCells>
  <phoneticPr fontId="0" type="noConversion"/>
  <printOptions horizontalCentered="1" verticalCentered="1"/>
  <pageMargins left="0.7" right="0.7" top="0.75" bottom="0.75" header="0.3" footer="0.3"/>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6DC0-0EF4-46F1-86BA-0E7CA66DA257}">
  <sheetPr>
    <pageSetUpPr fitToPage="1"/>
  </sheetPr>
  <dimension ref="A1:N298"/>
  <sheetViews>
    <sheetView workbookViewId="0">
      <selection activeCell="K8" sqref="K8:K11"/>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style="182" customWidth="1"/>
    <col min="9" max="9" width="13.140625" customWidth="1"/>
    <col min="10" max="10" width="29.85546875" bestFit="1" customWidth="1"/>
    <col min="11" max="11" width="55.28515625" customWidth="1"/>
    <col min="13" max="13" width="11.28515625" customWidth="1"/>
  </cols>
  <sheetData>
    <row r="1" spans="1:14">
      <c r="A1" t="s">
        <v>540</v>
      </c>
    </row>
    <row r="2" spans="1:14">
      <c r="B2" s="443" t="s">
        <v>0</v>
      </c>
      <c r="C2" s="445" t="s">
        <v>1</v>
      </c>
      <c r="D2" s="438"/>
      <c r="E2" s="438" t="s">
        <v>2</v>
      </c>
      <c r="F2" s="438" t="s">
        <v>3</v>
      </c>
      <c r="G2" s="438" t="s">
        <v>4</v>
      </c>
      <c r="H2" s="746" t="s">
        <v>5</v>
      </c>
      <c r="I2" s="438" t="s">
        <v>6</v>
      </c>
      <c r="J2" s="438" t="s">
        <v>7</v>
      </c>
      <c r="K2" s="440" t="s">
        <v>8</v>
      </c>
    </row>
    <row r="3" spans="1:14">
      <c r="B3" s="444"/>
      <c r="C3" s="41" t="s">
        <v>9</v>
      </c>
      <c r="D3" s="42" t="s">
        <v>10</v>
      </c>
      <c r="E3" s="439"/>
      <c r="F3" s="745"/>
      <c r="G3" s="439"/>
      <c r="H3" s="747"/>
      <c r="I3" s="439"/>
      <c r="J3" s="439"/>
      <c r="K3" s="441"/>
    </row>
    <row r="4" spans="1:14" s="3" customFormat="1" ht="29.25">
      <c r="B4" s="32">
        <v>1</v>
      </c>
      <c r="C4" s="37"/>
      <c r="D4" s="37">
        <v>125.00000000000003</v>
      </c>
      <c r="E4" s="89">
        <v>45480</v>
      </c>
      <c r="F4" s="37" t="s">
        <v>131</v>
      </c>
      <c r="G4" s="90" t="s">
        <v>140</v>
      </c>
      <c r="H4" s="184" t="s">
        <v>541</v>
      </c>
      <c r="I4" s="37" t="s">
        <v>127</v>
      </c>
      <c r="J4" s="36" t="s">
        <v>542</v>
      </c>
      <c r="K4" s="96" t="s">
        <v>543</v>
      </c>
    </row>
    <row r="5" spans="1:14" s="3" customFormat="1" ht="29.25">
      <c r="B5" s="32">
        <v>2</v>
      </c>
      <c r="C5" s="37"/>
      <c r="D5" s="37">
        <v>20.000000000000007</v>
      </c>
      <c r="E5" s="89">
        <v>45483</v>
      </c>
      <c r="F5" s="37" t="s">
        <v>159</v>
      </c>
      <c r="G5" s="90" t="s">
        <v>125</v>
      </c>
      <c r="H5" s="184" t="s">
        <v>544</v>
      </c>
      <c r="I5" s="37" t="s">
        <v>146</v>
      </c>
      <c r="J5" s="37"/>
      <c r="K5" s="95" t="s">
        <v>545</v>
      </c>
      <c r="M5" s="442"/>
      <c r="N5" s="442"/>
    </row>
    <row r="6" spans="1:14" s="3" customFormat="1" ht="29.25">
      <c r="B6" s="32">
        <v>3</v>
      </c>
      <c r="C6" s="37"/>
      <c r="D6" s="37">
        <v>119.99999999999989</v>
      </c>
      <c r="E6" s="89">
        <v>45486</v>
      </c>
      <c r="F6" s="37" t="s">
        <v>159</v>
      </c>
      <c r="G6" s="90" t="s">
        <v>140</v>
      </c>
      <c r="H6" s="181" t="s">
        <v>546</v>
      </c>
      <c r="I6" s="37" t="s">
        <v>127</v>
      </c>
      <c r="J6" s="37" t="s">
        <v>547</v>
      </c>
      <c r="K6" s="95" t="s">
        <v>548</v>
      </c>
      <c r="L6" s="442"/>
      <c r="M6" s="442"/>
    </row>
    <row r="7" spans="1:14" s="3" customFormat="1" ht="21.75">
      <c r="B7" s="32">
        <v>4</v>
      </c>
      <c r="C7" s="37"/>
      <c r="D7" s="37">
        <v>2.9999999999999893</v>
      </c>
      <c r="E7" s="89">
        <v>45487</v>
      </c>
      <c r="F7" s="37" t="s">
        <v>131</v>
      </c>
      <c r="G7" s="90" t="s">
        <v>174</v>
      </c>
      <c r="H7" s="184" t="s">
        <v>549</v>
      </c>
      <c r="I7" s="37" t="s">
        <v>146</v>
      </c>
      <c r="J7" s="37"/>
      <c r="K7" s="95"/>
    </row>
    <row r="8" spans="1:14" s="3" customFormat="1">
      <c r="B8" s="32">
        <v>5</v>
      </c>
      <c r="C8" s="37"/>
      <c r="D8" s="37">
        <v>80.999999999999872</v>
      </c>
      <c r="E8" s="89">
        <v>45490</v>
      </c>
      <c r="F8" s="37" t="s">
        <v>131</v>
      </c>
      <c r="G8" s="90" t="s">
        <v>174</v>
      </c>
      <c r="H8" s="181" t="s">
        <v>550</v>
      </c>
      <c r="I8" s="163" t="s">
        <v>146</v>
      </c>
      <c r="J8" s="37" t="s">
        <v>551</v>
      </c>
      <c r="K8" s="753" t="s">
        <v>552</v>
      </c>
    </row>
    <row r="9" spans="1:14" s="3" customFormat="1">
      <c r="B9" s="32">
        <v>6</v>
      </c>
      <c r="C9" s="37"/>
      <c r="D9" s="37">
        <v>90</v>
      </c>
      <c r="E9" s="89">
        <v>45490</v>
      </c>
      <c r="F9" s="37" t="s">
        <v>131</v>
      </c>
      <c r="G9" s="90" t="s">
        <v>174</v>
      </c>
      <c r="H9" s="184" t="s">
        <v>553</v>
      </c>
      <c r="I9" s="163" t="s">
        <v>146</v>
      </c>
      <c r="J9" s="37" t="s">
        <v>551</v>
      </c>
      <c r="K9" s="754"/>
    </row>
    <row r="10" spans="1:14" s="3" customFormat="1">
      <c r="B10" s="32">
        <v>7</v>
      </c>
      <c r="C10" s="37"/>
      <c r="D10" s="37">
        <v>135</v>
      </c>
      <c r="E10" s="89">
        <v>45491</v>
      </c>
      <c r="F10" s="37" t="s">
        <v>124</v>
      </c>
      <c r="G10" s="90" t="s">
        <v>125</v>
      </c>
      <c r="H10" s="181" t="s">
        <v>550</v>
      </c>
      <c r="I10" s="37" t="s">
        <v>127</v>
      </c>
      <c r="J10" s="37" t="s">
        <v>551</v>
      </c>
      <c r="K10" s="754"/>
    </row>
    <row r="11" spans="1:14" s="3" customFormat="1" ht="21.75">
      <c r="B11" s="32">
        <v>8</v>
      </c>
      <c r="C11" s="37"/>
      <c r="D11" s="74">
        <v>64.999999999999929</v>
      </c>
      <c r="E11" s="89">
        <v>45492</v>
      </c>
      <c r="F11" s="37" t="s">
        <v>159</v>
      </c>
      <c r="G11" s="90" t="s">
        <v>152</v>
      </c>
      <c r="H11" s="184" t="s">
        <v>554</v>
      </c>
      <c r="I11" s="163" t="s">
        <v>146</v>
      </c>
      <c r="J11" s="37" t="s">
        <v>551</v>
      </c>
      <c r="K11" s="755"/>
    </row>
    <row r="12" spans="1:14" s="3" customFormat="1">
      <c r="B12" s="32">
        <v>9</v>
      </c>
      <c r="C12" s="91"/>
      <c r="D12" s="37">
        <v>83.000000000000028</v>
      </c>
      <c r="E12" s="92">
        <v>45492</v>
      </c>
      <c r="F12" s="37" t="s">
        <v>131</v>
      </c>
      <c r="G12" s="90" t="s">
        <v>162</v>
      </c>
      <c r="H12" s="185" t="s">
        <v>555</v>
      </c>
      <c r="I12" s="163" t="s">
        <v>146</v>
      </c>
      <c r="J12" s="37"/>
      <c r="K12" s="95" t="s">
        <v>556</v>
      </c>
    </row>
    <row r="13" spans="1:14" s="3" customFormat="1">
      <c r="B13" s="32">
        <v>10</v>
      </c>
      <c r="C13" s="91">
        <v>85</v>
      </c>
      <c r="D13" s="35"/>
      <c r="E13" s="93" t="s">
        <v>557</v>
      </c>
      <c r="F13" s="37"/>
      <c r="G13" s="97"/>
      <c r="H13" s="181" t="s">
        <v>555</v>
      </c>
      <c r="I13" s="37" t="s">
        <v>127</v>
      </c>
      <c r="J13" s="37" t="s">
        <v>482</v>
      </c>
      <c r="K13" s="65" t="s">
        <v>558</v>
      </c>
    </row>
    <row r="14" spans="1:14" s="3" customFormat="1">
      <c r="B14" s="32">
        <v>11</v>
      </c>
      <c r="C14" s="120">
        <v>231</v>
      </c>
      <c r="D14" s="35"/>
      <c r="E14" s="93" t="s">
        <v>559</v>
      </c>
      <c r="F14" s="37"/>
      <c r="G14" s="90"/>
      <c r="H14" s="181" t="s">
        <v>555</v>
      </c>
      <c r="I14" s="163" t="s">
        <v>146</v>
      </c>
      <c r="J14" s="37"/>
      <c r="K14" s="65"/>
    </row>
    <row r="15" spans="1:14" s="3" customFormat="1">
      <c r="B15" s="32">
        <v>12</v>
      </c>
      <c r="C15" s="91"/>
      <c r="D15" s="119">
        <v>185</v>
      </c>
      <c r="E15" s="92">
        <v>45493</v>
      </c>
      <c r="F15" s="37" t="s">
        <v>124</v>
      </c>
      <c r="G15" s="90" t="s">
        <v>174</v>
      </c>
      <c r="H15" s="96"/>
      <c r="I15" s="37" t="s">
        <v>127</v>
      </c>
      <c r="J15" s="37" t="s">
        <v>560</v>
      </c>
      <c r="K15" s="65"/>
    </row>
    <row r="16" spans="1:14" ht="57.75">
      <c r="B16" s="32">
        <v>13</v>
      </c>
      <c r="C16" s="91">
        <v>55</v>
      </c>
      <c r="D16" s="88"/>
      <c r="E16" s="93" t="s">
        <v>561</v>
      </c>
      <c r="F16" s="37"/>
      <c r="G16" s="90"/>
      <c r="H16" s="181" t="s">
        <v>562</v>
      </c>
      <c r="I16" s="163" t="s">
        <v>146</v>
      </c>
      <c r="J16" s="37"/>
      <c r="K16" s="65" t="s">
        <v>563</v>
      </c>
    </row>
    <row r="17" spans="2:11" ht="29.25">
      <c r="B17" s="32">
        <v>14</v>
      </c>
      <c r="C17" s="91">
        <v>164</v>
      </c>
      <c r="D17" s="88"/>
      <c r="E17" s="93" t="s">
        <v>564</v>
      </c>
      <c r="F17" s="37"/>
      <c r="G17" s="90"/>
      <c r="H17" s="181" t="s">
        <v>565</v>
      </c>
      <c r="I17" s="37" t="s">
        <v>127</v>
      </c>
      <c r="J17" s="37" t="s">
        <v>485</v>
      </c>
      <c r="K17" s="65" t="s">
        <v>566</v>
      </c>
    </row>
    <row r="18" spans="2:11" ht="29.25">
      <c r="B18" s="32">
        <v>15</v>
      </c>
      <c r="C18" s="91">
        <v>177</v>
      </c>
      <c r="D18" s="88"/>
      <c r="E18" s="93" t="s">
        <v>564</v>
      </c>
      <c r="F18" s="37"/>
      <c r="G18" s="90"/>
      <c r="H18" s="181" t="s">
        <v>567</v>
      </c>
      <c r="I18" s="37" t="s">
        <v>127</v>
      </c>
      <c r="J18" s="37" t="s">
        <v>568</v>
      </c>
      <c r="K18" s="65" t="s">
        <v>569</v>
      </c>
    </row>
    <row r="19" spans="2:11" ht="42" customHeight="1">
      <c r="B19" s="32">
        <v>16</v>
      </c>
      <c r="C19" s="91">
        <v>50</v>
      </c>
      <c r="D19" s="88"/>
      <c r="E19" s="93" t="s">
        <v>564</v>
      </c>
      <c r="F19" s="37"/>
      <c r="G19" s="90"/>
      <c r="H19" s="181" t="s">
        <v>570</v>
      </c>
      <c r="I19" s="163" t="s">
        <v>146</v>
      </c>
      <c r="J19" s="37"/>
      <c r="K19" s="65" t="s">
        <v>571</v>
      </c>
    </row>
    <row r="20" spans="2:11">
      <c r="B20" s="32">
        <v>17</v>
      </c>
      <c r="C20" s="91">
        <v>50</v>
      </c>
      <c r="D20" s="88"/>
      <c r="E20" s="93" t="s">
        <v>572</v>
      </c>
      <c r="F20" s="37"/>
      <c r="G20" s="90"/>
      <c r="H20" s="181" t="s">
        <v>573</v>
      </c>
      <c r="I20" s="163" t="s">
        <v>146</v>
      </c>
      <c r="J20" s="37"/>
      <c r="K20" s="65"/>
    </row>
    <row r="21" spans="2:11" ht="43.5">
      <c r="B21" s="32">
        <v>18</v>
      </c>
      <c r="C21" s="91">
        <v>140</v>
      </c>
      <c r="D21" s="88"/>
      <c r="E21" s="93" t="s">
        <v>574</v>
      </c>
      <c r="F21" s="37"/>
      <c r="G21" s="90"/>
      <c r="H21" s="181" t="s">
        <v>575</v>
      </c>
      <c r="I21" s="37" t="s">
        <v>127</v>
      </c>
      <c r="J21" s="36" t="s">
        <v>576</v>
      </c>
      <c r="K21" s="98" t="s">
        <v>577</v>
      </c>
    </row>
    <row r="22" spans="2:11">
      <c r="B22" s="32">
        <v>19</v>
      </c>
      <c r="C22" s="91">
        <v>26</v>
      </c>
      <c r="D22" s="88"/>
      <c r="E22" s="93" t="s">
        <v>578</v>
      </c>
      <c r="F22" s="37"/>
      <c r="G22" s="90"/>
      <c r="H22" s="181" t="s">
        <v>579</v>
      </c>
      <c r="I22" s="37" t="s">
        <v>146</v>
      </c>
      <c r="J22" s="37"/>
      <c r="K22" s="37"/>
    </row>
    <row r="23" spans="2:11">
      <c r="B23" s="6" t="s">
        <v>11</v>
      </c>
      <c r="C23" s="7">
        <f>SUM(C4:C22)</f>
        <v>978</v>
      </c>
      <c r="D23" s="94">
        <f>SUM(D4:D22)</f>
        <v>906.99999999999966</v>
      </c>
      <c r="E23" s="434"/>
      <c r="F23" s="435"/>
      <c r="G23" s="435"/>
      <c r="H23" s="435"/>
      <c r="I23" s="435"/>
      <c r="J23" s="435"/>
      <c r="K23" s="435"/>
    </row>
    <row r="24" spans="2:11">
      <c r="B24" s="9"/>
      <c r="C24" s="10"/>
      <c r="D24" s="11"/>
      <c r="E24" s="434"/>
      <c r="F24" s="435"/>
      <c r="G24" s="435"/>
      <c r="H24" s="435"/>
      <c r="I24" s="435"/>
      <c r="J24" s="435"/>
      <c r="K24" s="435"/>
    </row>
    <row r="25" spans="2:11">
      <c r="B25" s="6" t="s">
        <v>12</v>
      </c>
      <c r="C25" s="432">
        <f>SUM(C23,D23)</f>
        <v>1884.9999999999995</v>
      </c>
      <c r="D25" s="433"/>
      <c r="E25" s="434"/>
      <c r="F25" s="435"/>
      <c r="G25" s="435"/>
      <c r="H25" s="435"/>
      <c r="I25" s="435"/>
      <c r="J25" s="435"/>
      <c r="K25" s="435"/>
    </row>
    <row r="26" spans="2:11">
      <c r="B26" s="12"/>
      <c r="C26" s="13"/>
      <c r="D26" s="14"/>
      <c r="E26" s="436"/>
      <c r="F26" s="437"/>
      <c r="G26" s="437"/>
      <c r="H26" s="437"/>
      <c r="I26" s="437"/>
      <c r="J26" s="437"/>
      <c r="K26" s="437"/>
    </row>
    <row r="29" spans="2:11" ht="15.75">
      <c r="B29" s="543" t="s">
        <v>189</v>
      </c>
      <c r="C29" s="544"/>
      <c r="D29" s="544"/>
      <c r="E29" s="544"/>
      <c r="F29" s="544"/>
      <c r="G29" s="545"/>
    </row>
    <row r="30" spans="2:11" ht="15.75">
      <c r="B30" s="546" t="s">
        <v>190</v>
      </c>
      <c r="C30" s="547"/>
      <c r="D30" s="547"/>
      <c r="E30" s="547"/>
      <c r="F30" s="547"/>
      <c r="G30" s="548"/>
    </row>
    <row r="31" spans="2:11" ht="15" customHeight="1">
      <c r="B31" s="549" t="s">
        <v>191</v>
      </c>
      <c r="C31" s="550"/>
      <c r="D31" s="551" t="s">
        <v>192</v>
      </c>
      <c r="E31" s="552"/>
      <c r="F31" s="555" t="s">
        <v>193</v>
      </c>
      <c r="G31" s="15" t="s">
        <v>194</v>
      </c>
    </row>
    <row r="32" spans="2:11" ht="15" customHeight="1">
      <c r="B32" s="557" t="s">
        <v>195</v>
      </c>
      <c r="C32" s="558"/>
      <c r="D32" s="553"/>
      <c r="E32" s="554"/>
      <c r="F32" s="556"/>
      <c r="G32" s="16" t="s">
        <v>580</v>
      </c>
    </row>
    <row r="33" spans="2:7" ht="21.75">
      <c r="B33" s="559" t="s">
        <v>197</v>
      </c>
      <c r="C33" s="560"/>
      <c r="D33" s="565" t="s">
        <v>581</v>
      </c>
      <c r="E33" s="566"/>
      <c r="F33" s="571">
        <v>85</v>
      </c>
      <c r="G33" s="17" t="s">
        <v>199</v>
      </c>
    </row>
    <row r="34" spans="2:7">
      <c r="B34" s="561"/>
      <c r="C34" s="562"/>
      <c r="D34" s="567"/>
      <c r="E34" s="568"/>
      <c r="F34" s="572"/>
      <c r="G34" s="18" t="s">
        <v>200</v>
      </c>
    </row>
    <row r="35" spans="2:7">
      <c r="B35" s="563"/>
      <c r="C35" s="564"/>
      <c r="D35" s="569"/>
      <c r="E35" s="570"/>
      <c r="F35" s="573"/>
      <c r="G35" s="17" t="s">
        <v>201</v>
      </c>
    </row>
    <row r="36" spans="2:7">
      <c r="B36" s="19" t="s">
        <v>202</v>
      </c>
      <c r="C36" s="20"/>
      <c r="D36" s="20"/>
      <c r="E36" s="20"/>
      <c r="F36" s="20"/>
      <c r="G36" s="21"/>
    </row>
    <row r="37" spans="2:7">
      <c r="B37" s="22"/>
      <c r="C37" s="23" t="s">
        <v>203</v>
      </c>
      <c r="D37" s="23" t="s">
        <v>203</v>
      </c>
      <c r="E37" s="23" t="s">
        <v>203</v>
      </c>
      <c r="F37" s="23" t="s">
        <v>203</v>
      </c>
      <c r="G37" s="23" t="s">
        <v>203</v>
      </c>
    </row>
    <row r="38" spans="2:7">
      <c r="B38" s="574" t="s">
        <v>204</v>
      </c>
      <c r="C38" s="580" t="s">
        <v>582</v>
      </c>
      <c r="D38" s="580" t="s">
        <v>583</v>
      </c>
      <c r="E38" s="580" t="s">
        <v>584</v>
      </c>
      <c r="F38" s="580" t="s">
        <v>585</v>
      </c>
      <c r="G38" s="580" t="s">
        <v>202</v>
      </c>
    </row>
    <row r="39" spans="2:7">
      <c r="B39" s="575"/>
      <c r="C39" s="581"/>
      <c r="D39" s="581"/>
      <c r="E39" s="581"/>
      <c r="F39" s="581"/>
      <c r="G39" s="581"/>
    </row>
    <row r="40" spans="2:7">
      <c r="B40" s="575"/>
      <c r="C40" s="581"/>
      <c r="D40" s="581"/>
      <c r="E40" s="581"/>
      <c r="F40" s="581"/>
      <c r="G40" s="581"/>
    </row>
    <row r="41" spans="2:7">
      <c r="B41" s="576"/>
      <c r="C41" s="582"/>
      <c r="D41" s="582"/>
      <c r="E41" s="582"/>
      <c r="F41" s="582"/>
      <c r="G41" s="582"/>
    </row>
    <row r="42" spans="2:7">
      <c r="B42" s="574" t="s">
        <v>208</v>
      </c>
      <c r="C42" s="580" t="s">
        <v>586</v>
      </c>
      <c r="D42" s="580" t="s">
        <v>587</v>
      </c>
      <c r="E42" s="580" t="s">
        <v>588</v>
      </c>
      <c r="F42" s="580" t="s">
        <v>482</v>
      </c>
      <c r="G42" s="580" t="s">
        <v>202</v>
      </c>
    </row>
    <row r="43" spans="2:7">
      <c r="B43" s="575"/>
      <c r="C43" s="581"/>
      <c r="D43" s="581"/>
      <c r="E43" s="581"/>
      <c r="F43" s="581"/>
      <c r="G43" s="581"/>
    </row>
    <row r="44" spans="2:7">
      <c r="B44" s="575"/>
      <c r="C44" s="581"/>
      <c r="D44" s="581"/>
      <c r="E44" s="581"/>
      <c r="F44" s="581"/>
      <c r="G44" s="581"/>
    </row>
    <row r="45" spans="2:7" ht="42.75" customHeight="1">
      <c r="B45" s="576"/>
      <c r="C45" s="582"/>
      <c r="D45" s="582"/>
      <c r="E45" s="582"/>
      <c r="F45" s="582"/>
      <c r="G45" s="582"/>
    </row>
    <row r="46" spans="2:7">
      <c r="B46" s="24"/>
      <c r="C46" s="20"/>
      <c r="D46" s="20"/>
      <c r="E46" s="20"/>
      <c r="F46" s="20"/>
      <c r="G46" s="21"/>
    </row>
    <row r="47" spans="2:7">
      <c r="B47" s="597" t="s">
        <v>212</v>
      </c>
      <c r="C47" s="598"/>
      <c r="D47" s="598"/>
      <c r="E47" s="599" t="s">
        <v>213</v>
      </c>
      <c r="F47" s="599"/>
      <c r="G47" s="600"/>
    </row>
    <row r="48" spans="2:7">
      <c r="B48" s="601" t="s">
        <v>482</v>
      </c>
      <c r="C48" s="602"/>
      <c r="D48" s="603"/>
      <c r="E48" s="610" t="s">
        <v>589</v>
      </c>
      <c r="F48" s="611"/>
      <c r="G48" s="612"/>
    </row>
    <row r="49" spans="2:7">
      <c r="B49" s="604"/>
      <c r="C49" s="605"/>
      <c r="D49" s="606"/>
      <c r="E49" s="611"/>
      <c r="F49" s="611"/>
      <c r="G49" s="612"/>
    </row>
    <row r="50" spans="2:7">
      <c r="B50" s="604"/>
      <c r="C50" s="605"/>
      <c r="D50" s="606"/>
      <c r="E50" s="611"/>
      <c r="F50" s="611"/>
      <c r="G50" s="612"/>
    </row>
    <row r="51" spans="2:7" ht="24.75" customHeight="1">
      <c r="B51" s="607"/>
      <c r="C51" s="608"/>
      <c r="D51" s="609"/>
      <c r="E51" s="611"/>
      <c r="F51" s="611"/>
      <c r="G51" s="612"/>
    </row>
    <row r="52" spans="2:7">
      <c r="B52" s="25"/>
      <c r="C52" s="26"/>
      <c r="D52" s="26"/>
      <c r="E52" s="26"/>
      <c r="F52" s="26"/>
      <c r="G52" s="27"/>
    </row>
    <row r="53" spans="2:7">
      <c r="B53" s="28"/>
      <c r="G53" s="29"/>
    </row>
    <row r="54" spans="2:7" ht="15.75">
      <c r="B54" s="613" t="s">
        <v>216</v>
      </c>
      <c r="C54" s="614"/>
      <c r="D54" s="614"/>
      <c r="E54" s="614"/>
      <c r="F54" s="614"/>
      <c r="G54" s="615"/>
    </row>
    <row r="55" spans="2:7">
      <c r="B55" s="616" t="s">
        <v>217</v>
      </c>
      <c r="C55" s="617"/>
      <c r="D55" s="617" t="s">
        <v>218</v>
      </c>
      <c r="E55" s="617"/>
      <c r="F55" s="595" t="s">
        <v>219</v>
      </c>
      <c r="G55" s="596"/>
    </row>
    <row r="56" spans="2:7">
      <c r="B56" s="583"/>
      <c r="C56" s="584"/>
      <c r="D56" s="587"/>
      <c r="E56" s="584"/>
      <c r="F56" s="589"/>
      <c r="G56" s="590"/>
    </row>
    <row r="57" spans="2:7">
      <c r="B57" s="585"/>
      <c r="C57" s="586"/>
      <c r="D57" s="588"/>
      <c r="E57" s="586"/>
      <c r="F57" s="591"/>
      <c r="G57" s="592"/>
    </row>
    <row r="58" spans="2:7">
      <c r="B58" s="28"/>
      <c r="G58" s="29"/>
    </row>
    <row r="59" spans="2:7">
      <c r="B59" s="593" t="s">
        <v>220</v>
      </c>
      <c r="C59" s="594"/>
      <c r="D59" s="595" t="s">
        <v>221</v>
      </c>
      <c r="E59" s="594"/>
      <c r="F59" s="595" t="s">
        <v>222</v>
      </c>
      <c r="G59" s="596"/>
    </row>
    <row r="60" spans="2:7">
      <c r="B60" s="639"/>
      <c r="C60" s="640"/>
      <c r="D60" s="641"/>
      <c r="E60" s="640"/>
      <c r="F60" s="641" t="s">
        <v>379</v>
      </c>
      <c r="G60" s="642"/>
    </row>
    <row r="61" spans="2:7">
      <c r="B61" s="43"/>
      <c r="C61" s="43"/>
      <c r="D61" s="43"/>
      <c r="E61" s="43"/>
      <c r="F61" s="43"/>
      <c r="G61" s="43"/>
    </row>
    <row r="62" spans="2:7">
      <c r="B62" s="43"/>
      <c r="C62" s="43"/>
      <c r="D62" s="43"/>
      <c r="E62" s="43"/>
      <c r="F62" s="43"/>
      <c r="G62" s="43"/>
    </row>
    <row r="63" spans="2:7" ht="15.75">
      <c r="B63" s="543" t="s">
        <v>189</v>
      </c>
      <c r="C63" s="544"/>
      <c r="D63" s="544"/>
      <c r="E63" s="544"/>
      <c r="F63" s="544"/>
      <c r="G63" s="545"/>
    </row>
    <row r="64" spans="2:7" ht="15.75">
      <c r="B64" s="546" t="s">
        <v>190</v>
      </c>
      <c r="C64" s="547"/>
      <c r="D64" s="547"/>
      <c r="E64" s="547"/>
      <c r="F64" s="547"/>
      <c r="G64" s="548"/>
    </row>
    <row r="65" spans="2:7">
      <c r="B65" s="549" t="s">
        <v>191</v>
      </c>
      <c r="C65" s="550"/>
      <c r="D65" s="551" t="s">
        <v>192</v>
      </c>
      <c r="E65" s="552"/>
      <c r="F65" s="555" t="s">
        <v>193</v>
      </c>
      <c r="G65" s="15" t="s">
        <v>194</v>
      </c>
    </row>
    <row r="66" spans="2:7">
      <c r="B66" s="557" t="s">
        <v>224</v>
      </c>
      <c r="C66" s="558"/>
      <c r="D66" s="553"/>
      <c r="E66" s="554"/>
      <c r="F66" s="556"/>
      <c r="G66" s="16" t="s">
        <v>590</v>
      </c>
    </row>
    <row r="67" spans="2:7" ht="21.75">
      <c r="B67" s="559" t="s">
        <v>197</v>
      </c>
      <c r="C67" s="560"/>
      <c r="D67" s="565" t="s">
        <v>591</v>
      </c>
      <c r="E67" s="566"/>
      <c r="F67" s="571">
        <v>164</v>
      </c>
      <c r="G67" s="17" t="s">
        <v>199</v>
      </c>
    </row>
    <row r="68" spans="2:7">
      <c r="B68" s="561"/>
      <c r="C68" s="562"/>
      <c r="D68" s="567"/>
      <c r="E68" s="568"/>
      <c r="F68" s="572"/>
      <c r="G68" s="18" t="s">
        <v>200</v>
      </c>
    </row>
    <row r="69" spans="2:7">
      <c r="B69" s="563"/>
      <c r="C69" s="564"/>
      <c r="D69" s="569"/>
      <c r="E69" s="570"/>
      <c r="F69" s="573"/>
      <c r="G69" s="17" t="s">
        <v>201</v>
      </c>
    </row>
    <row r="70" spans="2:7">
      <c r="B70" s="19" t="s">
        <v>202</v>
      </c>
      <c r="C70" s="20"/>
      <c r="D70" s="20"/>
      <c r="E70" s="20"/>
      <c r="F70" s="20"/>
      <c r="G70" s="21"/>
    </row>
    <row r="71" spans="2:7">
      <c r="B71" s="22"/>
      <c r="C71" s="23" t="s">
        <v>203</v>
      </c>
      <c r="D71" s="23" t="s">
        <v>203</v>
      </c>
      <c r="E71" s="23" t="s">
        <v>203</v>
      </c>
      <c r="F71" s="23" t="s">
        <v>203</v>
      </c>
      <c r="G71" s="23" t="s">
        <v>203</v>
      </c>
    </row>
    <row r="72" spans="2:7">
      <c r="B72" s="574" t="s">
        <v>204</v>
      </c>
      <c r="C72" s="580" t="s">
        <v>592</v>
      </c>
      <c r="D72" s="580" t="s">
        <v>593</v>
      </c>
      <c r="E72" s="580" t="s">
        <v>594</v>
      </c>
      <c r="F72" s="580" t="s">
        <v>202</v>
      </c>
      <c r="G72" s="580" t="s">
        <v>202</v>
      </c>
    </row>
    <row r="73" spans="2:7">
      <c r="B73" s="575"/>
      <c r="C73" s="581"/>
      <c r="D73" s="581"/>
      <c r="E73" s="581"/>
      <c r="F73" s="581"/>
      <c r="G73" s="581"/>
    </row>
    <row r="74" spans="2:7">
      <c r="B74" s="575"/>
      <c r="C74" s="581"/>
      <c r="D74" s="581"/>
      <c r="E74" s="581"/>
      <c r="F74" s="581"/>
      <c r="G74" s="581"/>
    </row>
    <row r="75" spans="2:7">
      <c r="B75" s="576"/>
      <c r="C75" s="582"/>
      <c r="D75" s="582"/>
      <c r="E75" s="582"/>
      <c r="F75" s="582"/>
      <c r="G75" s="582"/>
    </row>
    <row r="76" spans="2:7">
      <c r="B76" s="574" t="s">
        <v>208</v>
      </c>
      <c r="C76" s="580" t="s">
        <v>595</v>
      </c>
      <c r="D76" s="580" t="s">
        <v>596</v>
      </c>
      <c r="E76" s="580" t="s">
        <v>597</v>
      </c>
      <c r="F76" s="580" t="s">
        <v>202</v>
      </c>
      <c r="G76" s="580" t="s">
        <v>202</v>
      </c>
    </row>
    <row r="77" spans="2:7">
      <c r="B77" s="575"/>
      <c r="C77" s="581"/>
      <c r="D77" s="581"/>
      <c r="E77" s="581"/>
      <c r="F77" s="581"/>
      <c r="G77" s="581"/>
    </row>
    <row r="78" spans="2:7">
      <c r="B78" s="575"/>
      <c r="C78" s="581"/>
      <c r="D78" s="581"/>
      <c r="E78" s="581"/>
      <c r="F78" s="581"/>
      <c r="G78" s="581"/>
    </row>
    <row r="79" spans="2:7">
      <c r="B79" s="576"/>
      <c r="C79" s="582"/>
      <c r="D79" s="582"/>
      <c r="E79" s="582"/>
      <c r="F79" s="582"/>
      <c r="G79" s="582"/>
    </row>
    <row r="80" spans="2:7">
      <c r="B80" s="24"/>
      <c r="C80" s="20"/>
      <c r="D80" s="20"/>
      <c r="E80" s="20"/>
      <c r="F80" s="20"/>
      <c r="G80" s="21"/>
    </row>
    <row r="81" spans="2:7">
      <c r="B81" s="597" t="s">
        <v>212</v>
      </c>
      <c r="C81" s="598"/>
      <c r="D81" s="598"/>
      <c r="E81" s="599" t="s">
        <v>213</v>
      </c>
      <c r="F81" s="599"/>
      <c r="G81" s="600"/>
    </row>
    <row r="82" spans="2:7">
      <c r="B82" s="601" t="s">
        <v>485</v>
      </c>
      <c r="C82" s="602"/>
      <c r="D82" s="603"/>
      <c r="E82" s="610" t="s">
        <v>598</v>
      </c>
      <c r="F82" s="611"/>
      <c r="G82" s="612"/>
    </row>
    <row r="83" spans="2:7">
      <c r="B83" s="604"/>
      <c r="C83" s="605"/>
      <c r="D83" s="606"/>
      <c r="E83" s="611"/>
      <c r="F83" s="611"/>
      <c r="G83" s="612"/>
    </row>
    <row r="84" spans="2:7">
      <c r="B84" s="604"/>
      <c r="C84" s="605"/>
      <c r="D84" s="606"/>
      <c r="E84" s="611"/>
      <c r="F84" s="611"/>
      <c r="G84" s="612"/>
    </row>
    <row r="85" spans="2:7">
      <c r="B85" s="607"/>
      <c r="C85" s="608"/>
      <c r="D85" s="609"/>
      <c r="E85" s="611"/>
      <c r="F85" s="611"/>
      <c r="G85" s="612"/>
    </row>
    <row r="86" spans="2:7">
      <c r="B86" s="25"/>
      <c r="C86" s="26"/>
      <c r="D86" s="26"/>
      <c r="E86" s="26"/>
      <c r="F86" s="26"/>
      <c r="G86" s="27"/>
    </row>
    <row r="87" spans="2:7">
      <c r="B87" s="28"/>
      <c r="G87" s="29"/>
    </row>
    <row r="88" spans="2:7" ht="15.75">
      <c r="B88" s="613" t="s">
        <v>216</v>
      </c>
      <c r="C88" s="614"/>
      <c r="D88" s="614"/>
      <c r="E88" s="614"/>
      <c r="F88" s="614"/>
      <c r="G88" s="615"/>
    </row>
    <row r="89" spans="2:7">
      <c r="B89" s="616" t="s">
        <v>217</v>
      </c>
      <c r="C89" s="617"/>
      <c r="D89" s="617" t="s">
        <v>218</v>
      </c>
      <c r="E89" s="617"/>
      <c r="F89" s="595" t="s">
        <v>219</v>
      </c>
      <c r="G89" s="596"/>
    </row>
    <row r="90" spans="2:7">
      <c r="B90" s="583"/>
      <c r="C90" s="584"/>
      <c r="D90" s="587"/>
      <c r="E90" s="584"/>
      <c r="F90" s="589"/>
      <c r="G90" s="590"/>
    </row>
    <row r="91" spans="2:7">
      <c r="B91" s="585"/>
      <c r="C91" s="586"/>
      <c r="D91" s="588"/>
      <c r="E91" s="586"/>
      <c r="F91" s="591"/>
      <c r="G91" s="592"/>
    </row>
    <row r="92" spans="2:7">
      <c r="B92" s="28"/>
      <c r="G92" s="29"/>
    </row>
    <row r="93" spans="2:7">
      <c r="B93" s="593" t="s">
        <v>220</v>
      </c>
      <c r="C93" s="594"/>
      <c r="D93" s="595" t="s">
        <v>221</v>
      </c>
      <c r="E93" s="594"/>
      <c r="F93" s="595" t="s">
        <v>222</v>
      </c>
      <c r="G93" s="596"/>
    </row>
    <row r="94" spans="2:7">
      <c r="B94" s="639"/>
      <c r="C94" s="640"/>
      <c r="D94" s="641"/>
      <c r="E94" s="640"/>
      <c r="F94" s="641" t="s">
        <v>390</v>
      </c>
      <c r="G94" s="642"/>
    </row>
    <row r="95" spans="2:7">
      <c r="B95" s="43"/>
      <c r="C95" s="43"/>
      <c r="D95" s="43"/>
      <c r="E95" s="43"/>
      <c r="F95" s="43"/>
      <c r="G95" s="43"/>
    </row>
    <row r="97" spans="2:7" ht="15.75">
      <c r="B97" s="543" t="s">
        <v>189</v>
      </c>
      <c r="C97" s="544"/>
      <c r="D97" s="544"/>
      <c r="E97" s="544"/>
      <c r="F97" s="544"/>
      <c r="G97" s="545"/>
    </row>
    <row r="98" spans="2:7" ht="15.75">
      <c r="B98" s="546" t="s">
        <v>190</v>
      </c>
      <c r="C98" s="547"/>
      <c r="D98" s="547"/>
      <c r="E98" s="547"/>
      <c r="F98" s="547"/>
      <c r="G98" s="548"/>
    </row>
    <row r="99" spans="2:7">
      <c r="B99" s="549" t="s">
        <v>191</v>
      </c>
      <c r="C99" s="550"/>
      <c r="D99" s="551" t="s">
        <v>192</v>
      </c>
      <c r="E99" s="552"/>
      <c r="F99" s="555" t="s">
        <v>193</v>
      </c>
      <c r="G99" s="15" t="s">
        <v>194</v>
      </c>
    </row>
    <row r="100" spans="2:7">
      <c r="B100" s="557" t="s">
        <v>231</v>
      </c>
      <c r="C100" s="558"/>
      <c r="D100" s="553"/>
      <c r="E100" s="554"/>
      <c r="F100" s="748"/>
      <c r="G100" s="16" t="s">
        <v>599</v>
      </c>
    </row>
    <row r="101" spans="2:7" ht="21.75">
      <c r="B101" s="559" t="s">
        <v>197</v>
      </c>
      <c r="C101" s="560"/>
      <c r="D101" s="565" t="s">
        <v>600</v>
      </c>
      <c r="E101" s="566"/>
      <c r="F101" s="749">
        <v>177</v>
      </c>
      <c r="G101" s="99" t="s">
        <v>199</v>
      </c>
    </row>
    <row r="102" spans="2:7">
      <c r="B102" s="561"/>
      <c r="C102" s="562"/>
      <c r="D102" s="567"/>
      <c r="E102" s="568"/>
      <c r="F102" s="749"/>
      <c r="G102" s="100" t="s">
        <v>200</v>
      </c>
    </row>
    <row r="103" spans="2:7">
      <c r="B103" s="563"/>
      <c r="C103" s="564"/>
      <c r="D103" s="569"/>
      <c r="E103" s="570"/>
      <c r="F103" s="749"/>
      <c r="G103" s="99" t="s">
        <v>201</v>
      </c>
    </row>
    <row r="104" spans="2:7">
      <c r="B104" s="19" t="s">
        <v>202</v>
      </c>
      <c r="C104" s="20"/>
      <c r="D104" s="20"/>
      <c r="E104" s="20"/>
      <c r="F104" s="20"/>
      <c r="G104" s="21"/>
    </row>
    <row r="105" spans="2:7">
      <c r="B105" s="22"/>
      <c r="C105" s="23" t="s">
        <v>203</v>
      </c>
      <c r="D105" s="23" t="s">
        <v>203</v>
      </c>
      <c r="E105" s="23" t="s">
        <v>203</v>
      </c>
      <c r="F105" s="23" t="s">
        <v>203</v>
      </c>
      <c r="G105" s="23" t="s">
        <v>203</v>
      </c>
    </row>
    <row r="106" spans="2:7">
      <c r="B106" s="574" t="s">
        <v>204</v>
      </c>
      <c r="C106" s="580" t="s">
        <v>592</v>
      </c>
      <c r="D106" s="580" t="s">
        <v>601</v>
      </c>
      <c r="E106" s="580" t="s">
        <v>602</v>
      </c>
      <c r="F106" s="580" t="s">
        <v>603</v>
      </c>
      <c r="G106" s="580" t="s">
        <v>202</v>
      </c>
    </row>
    <row r="107" spans="2:7">
      <c r="B107" s="575"/>
      <c r="C107" s="581"/>
      <c r="D107" s="581"/>
      <c r="E107" s="581"/>
      <c r="F107" s="581"/>
      <c r="G107" s="581"/>
    </row>
    <row r="108" spans="2:7">
      <c r="B108" s="575"/>
      <c r="C108" s="581"/>
      <c r="D108" s="581"/>
      <c r="E108" s="581"/>
      <c r="F108" s="581"/>
      <c r="G108" s="581"/>
    </row>
    <row r="109" spans="2:7">
      <c r="B109" s="576"/>
      <c r="C109" s="582"/>
      <c r="D109" s="582"/>
      <c r="E109" s="582"/>
      <c r="F109" s="582"/>
      <c r="G109" s="582"/>
    </row>
    <row r="110" spans="2:7">
      <c r="B110" s="574" t="s">
        <v>208</v>
      </c>
      <c r="C110" s="580" t="s">
        <v>604</v>
      </c>
      <c r="D110" s="580" t="s">
        <v>605</v>
      </c>
      <c r="E110" s="580" t="s">
        <v>606</v>
      </c>
      <c r="F110" s="580" t="s">
        <v>568</v>
      </c>
      <c r="G110" s="580" t="s">
        <v>202</v>
      </c>
    </row>
    <row r="111" spans="2:7">
      <c r="B111" s="575"/>
      <c r="C111" s="581"/>
      <c r="D111" s="581"/>
      <c r="E111" s="581"/>
      <c r="F111" s="581"/>
      <c r="G111" s="581"/>
    </row>
    <row r="112" spans="2:7">
      <c r="B112" s="575"/>
      <c r="C112" s="581"/>
      <c r="D112" s="581"/>
      <c r="E112" s="581"/>
      <c r="F112" s="581"/>
      <c r="G112" s="581"/>
    </row>
    <row r="113" spans="2:7">
      <c r="B113" s="576"/>
      <c r="C113" s="582"/>
      <c r="D113" s="582"/>
      <c r="E113" s="582"/>
      <c r="F113" s="582"/>
      <c r="G113" s="582"/>
    </row>
    <row r="114" spans="2:7">
      <c r="B114" s="24"/>
      <c r="C114" s="20"/>
      <c r="D114" s="20"/>
      <c r="E114" s="20"/>
      <c r="F114" s="20"/>
      <c r="G114" s="21"/>
    </row>
    <row r="115" spans="2:7">
      <c r="B115" s="597" t="s">
        <v>212</v>
      </c>
      <c r="C115" s="598"/>
      <c r="D115" s="598"/>
      <c r="E115" s="599" t="s">
        <v>213</v>
      </c>
      <c r="F115" s="599"/>
      <c r="G115" s="600"/>
    </row>
    <row r="116" spans="2:7">
      <c r="B116" s="601" t="s">
        <v>568</v>
      </c>
      <c r="C116" s="602"/>
      <c r="D116" s="603"/>
      <c r="E116" s="610" t="s">
        <v>607</v>
      </c>
      <c r="F116" s="611"/>
      <c r="G116" s="612"/>
    </row>
    <row r="117" spans="2:7">
      <c r="B117" s="604"/>
      <c r="C117" s="605"/>
      <c r="D117" s="606"/>
      <c r="E117" s="611"/>
      <c r="F117" s="611"/>
      <c r="G117" s="612"/>
    </row>
    <row r="118" spans="2:7">
      <c r="B118" s="604"/>
      <c r="C118" s="605"/>
      <c r="D118" s="606"/>
      <c r="E118" s="611"/>
      <c r="F118" s="611"/>
      <c r="G118" s="612"/>
    </row>
    <row r="119" spans="2:7">
      <c r="B119" s="607"/>
      <c r="C119" s="608"/>
      <c r="D119" s="609"/>
      <c r="E119" s="611"/>
      <c r="F119" s="611"/>
      <c r="G119" s="612"/>
    </row>
    <row r="120" spans="2:7">
      <c r="B120" s="25"/>
      <c r="C120" s="26"/>
      <c r="D120" s="26"/>
      <c r="E120" s="26"/>
      <c r="F120" s="26"/>
      <c r="G120" s="27"/>
    </row>
    <row r="121" spans="2:7">
      <c r="B121" s="28"/>
      <c r="G121" s="29"/>
    </row>
    <row r="122" spans="2:7" ht="15.75">
      <c r="B122" s="613" t="s">
        <v>216</v>
      </c>
      <c r="C122" s="614"/>
      <c r="D122" s="614"/>
      <c r="E122" s="614"/>
      <c r="F122" s="614"/>
      <c r="G122" s="615"/>
    </row>
    <row r="123" spans="2:7">
      <c r="B123" s="616" t="s">
        <v>217</v>
      </c>
      <c r="C123" s="617"/>
      <c r="D123" s="617" t="s">
        <v>218</v>
      </c>
      <c r="E123" s="617"/>
      <c r="F123" s="595" t="s">
        <v>219</v>
      </c>
      <c r="G123" s="596"/>
    </row>
    <row r="124" spans="2:7">
      <c r="B124" s="583"/>
      <c r="C124" s="584"/>
      <c r="D124" s="587"/>
      <c r="E124" s="584"/>
      <c r="F124" s="589"/>
      <c r="G124" s="590"/>
    </row>
    <row r="125" spans="2:7">
      <c r="B125" s="585"/>
      <c r="C125" s="586"/>
      <c r="D125" s="588"/>
      <c r="E125" s="586"/>
      <c r="F125" s="591"/>
      <c r="G125" s="592"/>
    </row>
    <row r="126" spans="2:7">
      <c r="B126" s="28"/>
      <c r="G126" s="29"/>
    </row>
    <row r="127" spans="2:7">
      <c r="B127" s="593" t="s">
        <v>220</v>
      </c>
      <c r="C127" s="594"/>
      <c r="D127" s="595" t="s">
        <v>221</v>
      </c>
      <c r="E127" s="594"/>
      <c r="F127" s="595" t="s">
        <v>222</v>
      </c>
      <c r="G127" s="596"/>
    </row>
    <row r="128" spans="2:7">
      <c r="B128" s="639"/>
      <c r="C128" s="640"/>
      <c r="D128" s="641"/>
      <c r="E128" s="640"/>
      <c r="F128" s="641" t="s">
        <v>402</v>
      </c>
      <c r="G128" s="642"/>
    </row>
    <row r="131" spans="2:7" ht="15.75">
      <c r="B131" s="543" t="s">
        <v>189</v>
      </c>
      <c r="C131" s="544"/>
      <c r="D131" s="544"/>
      <c r="E131" s="544"/>
      <c r="F131" s="544"/>
      <c r="G131" s="545"/>
    </row>
    <row r="132" spans="2:7" ht="15.75">
      <c r="B132" s="546" t="s">
        <v>190</v>
      </c>
      <c r="C132" s="547"/>
      <c r="D132" s="547"/>
      <c r="E132" s="547"/>
      <c r="F132" s="547"/>
      <c r="G132" s="548"/>
    </row>
    <row r="133" spans="2:7">
      <c r="B133" s="549" t="s">
        <v>191</v>
      </c>
      <c r="C133" s="550"/>
      <c r="D133" s="551" t="s">
        <v>192</v>
      </c>
      <c r="E133" s="552"/>
      <c r="F133" s="555" t="s">
        <v>193</v>
      </c>
      <c r="G133" s="15" t="s">
        <v>194</v>
      </c>
    </row>
    <row r="134" spans="2:7">
      <c r="B134" s="557" t="s">
        <v>239</v>
      </c>
      <c r="C134" s="558"/>
      <c r="D134" s="553"/>
      <c r="E134" s="554"/>
      <c r="F134" s="556"/>
      <c r="G134" s="16" t="s">
        <v>608</v>
      </c>
    </row>
    <row r="135" spans="2:7" ht="21.75">
      <c r="B135" s="559" t="s">
        <v>197</v>
      </c>
      <c r="C135" s="560"/>
      <c r="D135" s="565" t="s">
        <v>609</v>
      </c>
      <c r="E135" s="566"/>
      <c r="F135" s="571">
        <v>140</v>
      </c>
      <c r="G135" s="17" t="s">
        <v>199</v>
      </c>
    </row>
    <row r="136" spans="2:7">
      <c r="B136" s="561"/>
      <c r="C136" s="562"/>
      <c r="D136" s="567"/>
      <c r="E136" s="568"/>
      <c r="F136" s="572"/>
      <c r="G136" s="18" t="s">
        <v>200</v>
      </c>
    </row>
    <row r="137" spans="2:7">
      <c r="B137" s="563"/>
      <c r="C137" s="564"/>
      <c r="D137" s="569"/>
      <c r="E137" s="570"/>
      <c r="F137" s="573"/>
      <c r="G137" s="17" t="s">
        <v>201</v>
      </c>
    </row>
    <row r="138" spans="2:7">
      <c r="B138" s="19" t="s">
        <v>202</v>
      </c>
      <c r="C138" s="20"/>
      <c r="D138" s="20"/>
      <c r="E138" s="20"/>
      <c r="F138" s="20"/>
      <c r="G138" s="21"/>
    </row>
    <row r="139" spans="2:7">
      <c r="B139" s="22"/>
      <c r="C139" s="23" t="s">
        <v>203</v>
      </c>
      <c r="D139" s="23" t="s">
        <v>203</v>
      </c>
      <c r="E139" s="23" t="s">
        <v>203</v>
      </c>
      <c r="F139" s="23" t="s">
        <v>203</v>
      </c>
      <c r="G139" s="23" t="s">
        <v>203</v>
      </c>
    </row>
    <row r="140" spans="2:7">
      <c r="B140" s="574" t="s">
        <v>204</v>
      </c>
      <c r="C140" s="580" t="s">
        <v>264</v>
      </c>
      <c r="D140" s="580" t="s">
        <v>610</v>
      </c>
      <c r="E140" s="580" t="s">
        <v>611</v>
      </c>
      <c r="F140" s="580" t="s">
        <v>612</v>
      </c>
      <c r="G140" s="580" t="s">
        <v>613</v>
      </c>
    </row>
    <row r="141" spans="2:7">
      <c r="B141" s="575"/>
      <c r="C141" s="581"/>
      <c r="D141" s="581"/>
      <c r="E141" s="581"/>
      <c r="F141" s="581"/>
      <c r="G141" s="581"/>
    </row>
    <row r="142" spans="2:7">
      <c r="B142" s="575"/>
      <c r="C142" s="581"/>
      <c r="D142" s="581"/>
      <c r="E142" s="581"/>
      <c r="F142" s="581"/>
      <c r="G142" s="581"/>
    </row>
    <row r="143" spans="2:7">
      <c r="B143" s="576"/>
      <c r="C143" s="582"/>
      <c r="D143" s="582"/>
      <c r="E143" s="582"/>
      <c r="F143" s="582"/>
      <c r="G143" s="582"/>
    </row>
    <row r="144" spans="2:7" ht="15" customHeight="1">
      <c r="B144" s="574" t="s">
        <v>208</v>
      </c>
      <c r="C144" s="580" t="s">
        <v>614</v>
      </c>
      <c r="D144" s="580" t="s">
        <v>615</v>
      </c>
      <c r="E144" s="580" t="s">
        <v>616</v>
      </c>
      <c r="F144" s="580" t="s">
        <v>617</v>
      </c>
      <c r="G144" s="750" t="s">
        <v>618</v>
      </c>
    </row>
    <row r="145" spans="2:7">
      <c r="B145" s="575"/>
      <c r="C145" s="581"/>
      <c r="D145" s="581"/>
      <c r="E145" s="581"/>
      <c r="F145" s="581"/>
      <c r="G145" s="751"/>
    </row>
    <row r="146" spans="2:7">
      <c r="B146" s="575"/>
      <c r="C146" s="581"/>
      <c r="D146" s="581"/>
      <c r="E146" s="581"/>
      <c r="F146" s="581"/>
      <c r="G146" s="751"/>
    </row>
    <row r="147" spans="2:7">
      <c r="B147" s="576"/>
      <c r="C147" s="582"/>
      <c r="D147" s="582"/>
      <c r="E147" s="582"/>
      <c r="F147" s="582"/>
      <c r="G147" s="752"/>
    </row>
    <row r="148" spans="2:7">
      <c r="B148" s="24"/>
      <c r="C148" s="20"/>
      <c r="D148" s="20"/>
      <c r="E148" s="20"/>
      <c r="F148" s="20"/>
      <c r="G148" s="21"/>
    </row>
    <row r="149" spans="2:7">
      <c r="B149" s="597" t="s">
        <v>212</v>
      </c>
      <c r="C149" s="598"/>
      <c r="D149" s="598"/>
      <c r="E149" s="599" t="s">
        <v>213</v>
      </c>
      <c r="F149" s="599"/>
      <c r="G149" s="600"/>
    </row>
    <row r="150" spans="2:7">
      <c r="B150" s="601" t="s">
        <v>576</v>
      </c>
      <c r="C150" s="602"/>
      <c r="D150" s="603"/>
      <c r="E150" s="610" t="s">
        <v>619</v>
      </c>
      <c r="F150" s="611"/>
      <c r="G150" s="612"/>
    </row>
    <row r="151" spans="2:7">
      <c r="B151" s="604"/>
      <c r="C151" s="605"/>
      <c r="D151" s="606"/>
      <c r="E151" s="611"/>
      <c r="F151" s="611"/>
      <c r="G151" s="612"/>
    </row>
    <row r="152" spans="2:7">
      <c r="B152" s="604"/>
      <c r="C152" s="605"/>
      <c r="D152" s="606"/>
      <c r="E152" s="611"/>
      <c r="F152" s="611"/>
      <c r="G152" s="612"/>
    </row>
    <row r="153" spans="2:7">
      <c r="B153" s="607"/>
      <c r="C153" s="608"/>
      <c r="D153" s="609"/>
      <c r="E153" s="611"/>
      <c r="F153" s="611"/>
      <c r="G153" s="612"/>
    </row>
    <row r="154" spans="2:7">
      <c r="B154" s="25"/>
      <c r="C154" s="26"/>
      <c r="D154" s="26"/>
      <c r="E154" s="26"/>
      <c r="F154" s="26"/>
      <c r="G154" s="27"/>
    </row>
    <row r="155" spans="2:7">
      <c r="B155" s="28"/>
      <c r="G155" s="29"/>
    </row>
    <row r="156" spans="2:7" ht="15.75">
      <c r="B156" s="613" t="s">
        <v>216</v>
      </c>
      <c r="C156" s="614"/>
      <c r="D156" s="614"/>
      <c r="E156" s="614"/>
      <c r="F156" s="614"/>
      <c r="G156" s="615"/>
    </row>
    <row r="157" spans="2:7">
      <c r="B157" s="616" t="s">
        <v>217</v>
      </c>
      <c r="C157" s="617"/>
      <c r="D157" s="617" t="s">
        <v>218</v>
      </c>
      <c r="E157" s="617"/>
      <c r="F157" s="595" t="s">
        <v>219</v>
      </c>
      <c r="G157" s="596"/>
    </row>
    <row r="158" spans="2:7">
      <c r="B158" s="583"/>
      <c r="C158" s="584"/>
      <c r="D158" s="587"/>
      <c r="E158" s="584"/>
      <c r="F158" s="589"/>
      <c r="G158" s="590"/>
    </row>
    <row r="159" spans="2:7">
      <c r="B159" s="585"/>
      <c r="C159" s="586"/>
      <c r="D159" s="588"/>
      <c r="E159" s="586"/>
      <c r="F159" s="591"/>
      <c r="G159" s="592"/>
    </row>
    <row r="160" spans="2:7">
      <c r="B160" s="28"/>
      <c r="G160" s="29"/>
    </row>
    <row r="161" spans="2:8">
      <c r="B161" s="593" t="s">
        <v>220</v>
      </c>
      <c r="C161" s="594"/>
      <c r="D161" s="595" t="s">
        <v>221</v>
      </c>
      <c r="E161" s="594"/>
      <c r="F161" s="595" t="s">
        <v>222</v>
      </c>
      <c r="G161" s="596"/>
    </row>
    <row r="162" spans="2:8">
      <c r="B162" s="639"/>
      <c r="C162" s="640"/>
      <c r="D162" s="641"/>
      <c r="E162" s="640"/>
      <c r="F162" s="641" t="s">
        <v>412</v>
      </c>
      <c r="G162" s="642"/>
    </row>
    <row r="164" spans="2:8" s="87" customFormat="1">
      <c r="H164" s="183"/>
    </row>
    <row r="165" spans="2:8" ht="15.75">
      <c r="B165" s="543" t="s">
        <v>189</v>
      </c>
      <c r="C165" s="544"/>
      <c r="D165" s="544"/>
      <c r="E165" s="544"/>
      <c r="F165" s="544"/>
      <c r="G165" s="545"/>
    </row>
    <row r="166" spans="2:8" ht="15.75">
      <c r="B166" s="546" t="s">
        <v>190</v>
      </c>
      <c r="C166" s="547"/>
      <c r="D166" s="547"/>
      <c r="E166" s="547"/>
      <c r="F166" s="547"/>
      <c r="G166" s="548"/>
    </row>
    <row r="167" spans="2:8">
      <c r="B167" s="549" t="s">
        <v>191</v>
      </c>
      <c r="C167" s="550"/>
      <c r="D167" s="551" t="s">
        <v>192</v>
      </c>
      <c r="E167" s="552"/>
      <c r="F167" s="555" t="s">
        <v>193</v>
      </c>
      <c r="G167" s="15" t="s">
        <v>194</v>
      </c>
    </row>
    <row r="168" spans="2:8">
      <c r="B168" s="557" t="s">
        <v>195</v>
      </c>
      <c r="C168" s="558"/>
      <c r="D168" s="553"/>
      <c r="E168" s="554"/>
      <c r="F168" s="556"/>
      <c r="G168" s="16" t="s">
        <v>620</v>
      </c>
    </row>
    <row r="169" spans="2:8" ht="21.75">
      <c r="B169" s="559" t="s">
        <v>197</v>
      </c>
      <c r="C169" s="560"/>
      <c r="D169" s="565" t="s">
        <v>448</v>
      </c>
      <c r="E169" s="566"/>
      <c r="F169" s="571">
        <v>125.00000000000003</v>
      </c>
      <c r="G169" s="17" t="s">
        <v>319</v>
      </c>
    </row>
    <row r="170" spans="2:8">
      <c r="B170" s="561"/>
      <c r="C170" s="562"/>
      <c r="D170" s="567"/>
      <c r="E170" s="568"/>
      <c r="F170" s="572"/>
      <c r="G170" s="18" t="s">
        <v>200</v>
      </c>
    </row>
    <row r="171" spans="2:8">
      <c r="B171" s="563"/>
      <c r="C171" s="564"/>
      <c r="D171" s="569"/>
      <c r="E171" s="570"/>
      <c r="F171" s="573"/>
      <c r="G171" s="17" t="s">
        <v>201</v>
      </c>
    </row>
    <row r="172" spans="2:8">
      <c r="B172" s="19" t="s">
        <v>202</v>
      </c>
      <c r="C172" s="20"/>
      <c r="D172" s="20"/>
      <c r="E172" s="20"/>
      <c r="F172" s="20"/>
      <c r="G172" s="21"/>
    </row>
    <row r="173" spans="2:8">
      <c r="B173" s="22"/>
      <c r="C173" s="23" t="s">
        <v>203</v>
      </c>
      <c r="D173" s="23" t="s">
        <v>203</v>
      </c>
      <c r="E173" s="23" t="s">
        <v>203</v>
      </c>
      <c r="F173" s="23" t="s">
        <v>203</v>
      </c>
      <c r="G173" s="23" t="s">
        <v>203</v>
      </c>
    </row>
    <row r="174" spans="2:8">
      <c r="B174" s="574" t="s">
        <v>204</v>
      </c>
      <c r="C174" s="580" t="s">
        <v>524</v>
      </c>
      <c r="D174" s="580" t="s">
        <v>439</v>
      </c>
      <c r="E174" s="580" t="s">
        <v>621</v>
      </c>
      <c r="F174" s="580" t="s">
        <v>202</v>
      </c>
      <c r="G174" s="580" t="s">
        <v>202</v>
      </c>
    </row>
    <row r="175" spans="2:8">
      <c r="B175" s="575"/>
      <c r="C175" s="581"/>
      <c r="D175" s="581"/>
      <c r="E175" s="581"/>
      <c r="F175" s="581"/>
      <c r="G175" s="581"/>
    </row>
    <row r="176" spans="2:8">
      <c r="B176" s="575"/>
      <c r="C176" s="581"/>
      <c r="D176" s="581"/>
      <c r="E176" s="581"/>
      <c r="F176" s="581"/>
      <c r="G176" s="581"/>
    </row>
    <row r="177" spans="2:7">
      <c r="B177" s="576"/>
      <c r="C177" s="582"/>
      <c r="D177" s="582"/>
      <c r="E177" s="582"/>
      <c r="F177" s="582"/>
      <c r="G177" s="582"/>
    </row>
    <row r="178" spans="2:7">
      <c r="B178" s="574" t="s">
        <v>208</v>
      </c>
      <c r="C178" s="580" t="s">
        <v>397</v>
      </c>
      <c r="D178" s="580" t="s">
        <v>451</v>
      </c>
      <c r="E178" s="580" t="s">
        <v>542</v>
      </c>
      <c r="F178" s="580" t="s">
        <v>202</v>
      </c>
      <c r="G178" s="580" t="s">
        <v>202</v>
      </c>
    </row>
    <row r="179" spans="2:7">
      <c r="B179" s="575"/>
      <c r="C179" s="581"/>
      <c r="D179" s="581"/>
      <c r="E179" s="581"/>
      <c r="F179" s="581"/>
      <c r="G179" s="581"/>
    </row>
    <row r="180" spans="2:7">
      <c r="B180" s="575"/>
      <c r="C180" s="581"/>
      <c r="D180" s="581"/>
      <c r="E180" s="581"/>
      <c r="F180" s="581"/>
      <c r="G180" s="581"/>
    </row>
    <row r="181" spans="2:7">
      <c r="B181" s="576"/>
      <c r="C181" s="582"/>
      <c r="D181" s="582"/>
      <c r="E181" s="582"/>
      <c r="F181" s="582"/>
      <c r="G181" s="582"/>
    </row>
    <row r="182" spans="2:7">
      <c r="B182" s="24"/>
      <c r="C182" s="20"/>
      <c r="D182" s="20"/>
      <c r="E182" s="20"/>
      <c r="F182" s="20"/>
      <c r="G182" s="21"/>
    </row>
    <row r="183" spans="2:7">
      <c r="B183" s="597" t="s">
        <v>212</v>
      </c>
      <c r="C183" s="598"/>
      <c r="D183" s="598"/>
      <c r="E183" s="599" t="s">
        <v>213</v>
      </c>
      <c r="F183" s="599"/>
      <c r="G183" s="600"/>
    </row>
    <row r="184" spans="2:7">
      <c r="B184" s="601" t="s">
        <v>542</v>
      </c>
      <c r="C184" s="602"/>
      <c r="D184" s="603"/>
      <c r="E184" s="610" t="s">
        <v>622</v>
      </c>
      <c r="F184" s="611"/>
      <c r="G184" s="612"/>
    </row>
    <row r="185" spans="2:7">
      <c r="B185" s="604"/>
      <c r="C185" s="605"/>
      <c r="D185" s="606"/>
      <c r="E185" s="611"/>
      <c r="F185" s="611"/>
      <c r="G185" s="612"/>
    </row>
    <row r="186" spans="2:7">
      <c r="B186" s="604"/>
      <c r="C186" s="605"/>
      <c r="D186" s="606"/>
      <c r="E186" s="611"/>
      <c r="F186" s="611"/>
      <c r="G186" s="612"/>
    </row>
    <row r="187" spans="2:7">
      <c r="B187" s="607"/>
      <c r="C187" s="608"/>
      <c r="D187" s="609"/>
      <c r="E187" s="611"/>
      <c r="F187" s="611"/>
      <c r="G187" s="612"/>
    </row>
    <row r="188" spans="2:7">
      <c r="B188" s="25"/>
      <c r="C188" s="26"/>
      <c r="D188" s="26"/>
      <c r="E188" s="26"/>
      <c r="F188" s="26"/>
      <c r="G188" s="27"/>
    </row>
    <row r="189" spans="2:7">
      <c r="B189" s="28"/>
      <c r="G189" s="29"/>
    </row>
    <row r="190" spans="2:7" ht="15.75">
      <c r="B190" s="613" t="s">
        <v>216</v>
      </c>
      <c r="C190" s="614"/>
      <c r="D190" s="614"/>
      <c r="E190" s="614"/>
      <c r="F190" s="614"/>
      <c r="G190" s="615"/>
    </row>
    <row r="191" spans="2:7">
      <c r="B191" s="616" t="s">
        <v>217</v>
      </c>
      <c r="C191" s="617"/>
      <c r="D191" s="617" t="s">
        <v>218</v>
      </c>
      <c r="E191" s="617"/>
      <c r="F191" s="595" t="s">
        <v>219</v>
      </c>
      <c r="G191" s="596"/>
    </row>
    <row r="192" spans="2:7">
      <c r="B192" s="583"/>
      <c r="C192" s="584"/>
      <c r="D192" s="587"/>
      <c r="E192" s="584"/>
      <c r="F192" s="589"/>
      <c r="G192" s="590"/>
    </row>
    <row r="193" spans="2:7">
      <c r="B193" s="585"/>
      <c r="C193" s="586"/>
      <c r="D193" s="588"/>
      <c r="E193" s="586"/>
      <c r="F193" s="591"/>
      <c r="G193" s="592"/>
    </row>
    <row r="194" spans="2:7">
      <c r="B194" s="28"/>
      <c r="G194" s="29"/>
    </row>
    <row r="195" spans="2:7">
      <c r="B195" s="593" t="s">
        <v>220</v>
      </c>
      <c r="C195" s="594"/>
      <c r="D195" s="595" t="s">
        <v>221</v>
      </c>
      <c r="E195" s="594"/>
      <c r="F195" s="595" t="s">
        <v>222</v>
      </c>
      <c r="G195" s="596"/>
    </row>
    <row r="196" spans="2:7">
      <c r="B196" s="639"/>
      <c r="C196" s="640"/>
      <c r="D196" s="641"/>
      <c r="E196" s="640"/>
      <c r="F196" s="641" t="s">
        <v>379</v>
      </c>
      <c r="G196" s="642"/>
    </row>
    <row r="197" spans="2:7">
      <c r="B197" s="43"/>
      <c r="C197" s="43"/>
      <c r="D197" s="43"/>
      <c r="E197" s="43"/>
      <c r="F197" s="43"/>
      <c r="G197" s="43"/>
    </row>
    <row r="198" spans="2:7">
      <c r="B198" s="43"/>
      <c r="C198" s="43"/>
      <c r="D198" s="43"/>
      <c r="E198" s="43"/>
      <c r="F198" s="43"/>
      <c r="G198" s="43"/>
    </row>
    <row r="199" spans="2:7" ht="15.75">
      <c r="B199" s="543" t="s">
        <v>189</v>
      </c>
      <c r="C199" s="544"/>
      <c r="D199" s="544"/>
      <c r="E199" s="544"/>
      <c r="F199" s="544"/>
      <c r="G199" s="545"/>
    </row>
    <row r="200" spans="2:7" ht="15.75">
      <c r="B200" s="546" t="s">
        <v>190</v>
      </c>
      <c r="C200" s="547"/>
      <c r="D200" s="547"/>
      <c r="E200" s="547"/>
      <c r="F200" s="547"/>
      <c r="G200" s="548"/>
    </row>
    <row r="201" spans="2:7">
      <c r="B201" s="549" t="s">
        <v>191</v>
      </c>
      <c r="C201" s="550"/>
      <c r="D201" s="551" t="s">
        <v>192</v>
      </c>
      <c r="E201" s="552"/>
      <c r="F201" s="555" t="s">
        <v>193</v>
      </c>
      <c r="G201" s="15" t="s">
        <v>194</v>
      </c>
    </row>
    <row r="202" spans="2:7">
      <c r="B202" s="557" t="s">
        <v>224</v>
      </c>
      <c r="C202" s="558"/>
      <c r="D202" s="553"/>
      <c r="E202" s="554"/>
      <c r="F202" s="556"/>
      <c r="G202" s="16" t="s">
        <v>623</v>
      </c>
    </row>
    <row r="203" spans="2:7" ht="21.75">
      <c r="B203" s="559" t="s">
        <v>197</v>
      </c>
      <c r="C203" s="560"/>
      <c r="D203" s="565" t="s">
        <v>624</v>
      </c>
      <c r="E203" s="566"/>
      <c r="F203" s="571">
        <v>119.99999999999989</v>
      </c>
      <c r="G203" s="17" t="s">
        <v>319</v>
      </c>
    </row>
    <row r="204" spans="2:7">
      <c r="B204" s="561"/>
      <c r="C204" s="562"/>
      <c r="D204" s="567"/>
      <c r="E204" s="568"/>
      <c r="F204" s="572"/>
      <c r="G204" s="18" t="s">
        <v>200</v>
      </c>
    </row>
    <row r="205" spans="2:7">
      <c r="B205" s="563"/>
      <c r="C205" s="564"/>
      <c r="D205" s="569"/>
      <c r="E205" s="570"/>
      <c r="F205" s="573"/>
      <c r="G205" s="17" t="s">
        <v>201</v>
      </c>
    </row>
    <row r="206" spans="2:7">
      <c r="B206" s="19" t="s">
        <v>202</v>
      </c>
      <c r="C206" s="20"/>
      <c r="D206" s="20"/>
      <c r="E206" s="20"/>
      <c r="F206" s="20"/>
      <c r="G206" s="21"/>
    </row>
    <row r="207" spans="2:7">
      <c r="B207" s="22"/>
      <c r="C207" s="23" t="s">
        <v>203</v>
      </c>
      <c r="D207" s="23" t="s">
        <v>203</v>
      </c>
      <c r="E207" s="23" t="s">
        <v>203</v>
      </c>
      <c r="F207" s="23" t="s">
        <v>203</v>
      </c>
      <c r="G207" s="23" t="s">
        <v>203</v>
      </c>
    </row>
    <row r="208" spans="2:7">
      <c r="B208" s="574" t="s">
        <v>204</v>
      </c>
      <c r="C208" s="580" t="s">
        <v>524</v>
      </c>
      <c r="D208" s="580" t="s">
        <v>439</v>
      </c>
      <c r="E208" s="580" t="s">
        <v>625</v>
      </c>
      <c r="F208" s="580" t="s">
        <v>626</v>
      </c>
      <c r="G208" s="580" t="s">
        <v>202</v>
      </c>
    </row>
    <row r="209" spans="2:7">
      <c r="B209" s="575"/>
      <c r="C209" s="581"/>
      <c r="D209" s="581"/>
      <c r="E209" s="581"/>
      <c r="F209" s="581"/>
      <c r="G209" s="581"/>
    </row>
    <row r="210" spans="2:7">
      <c r="B210" s="575"/>
      <c r="C210" s="581"/>
      <c r="D210" s="581"/>
      <c r="E210" s="581"/>
      <c r="F210" s="581"/>
      <c r="G210" s="581"/>
    </row>
    <row r="211" spans="2:7">
      <c r="B211" s="576"/>
      <c r="C211" s="582"/>
      <c r="D211" s="582"/>
      <c r="E211" s="582"/>
      <c r="F211" s="582"/>
      <c r="G211" s="582"/>
    </row>
    <row r="212" spans="2:7">
      <c r="B212" s="574" t="s">
        <v>208</v>
      </c>
      <c r="C212" s="580" t="s">
        <v>627</v>
      </c>
      <c r="D212" s="580" t="s">
        <v>628</v>
      </c>
      <c r="E212" s="580" t="s">
        <v>629</v>
      </c>
      <c r="F212" s="580" t="s">
        <v>630</v>
      </c>
      <c r="G212" s="580" t="s">
        <v>202</v>
      </c>
    </row>
    <row r="213" spans="2:7">
      <c r="B213" s="575"/>
      <c r="C213" s="581"/>
      <c r="D213" s="581"/>
      <c r="E213" s="581"/>
      <c r="F213" s="581"/>
      <c r="G213" s="581"/>
    </row>
    <row r="214" spans="2:7">
      <c r="B214" s="575"/>
      <c r="C214" s="581"/>
      <c r="D214" s="581"/>
      <c r="E214" s="581"/>
      <c r="F214" s="581"/>
      <c r="G214" s="581"/>
    </row>
    <row r="215" spans="2:7">
      <c r="B215" s="576"/>
      <c r="C215" s="582"/>
      <c r="D215" s="582"/>
      <c r="E215" s="582"/>
      <c r="F215" s="582"/>
      <c r="G215" s="582"/>
    </row>
    <row r="216" spans="2:7">
      <c r="B216" s="24"/>
      <c r="C216" s="20"/>
      <c r="D216" s="20"/>
      <c r="E216" s="20"/>
      <c r="F216" s="20"/>
      <c r="G216" s="21"/>
    </row>
    <row r="217" spans="2:7">
      <c r="B217" s="597" t="s">
        <v>212</v>
      </c>
      <c r="C217" s="598"/>
      <c r="D217" s="598"/>
      <c r="E217" s="599" t="s">
        <v>213</v>
      </c>
      <c r="F217" s="599"/>
      <c r="G217" s="600"/>
    </row>
    <row r="218" spans="2:7">
      <c r="B218" s="601" t="s">
        <v>547</v>
      </c>
      <c r="C218" s="602"/>
      <c r="D218" s="603"/>
      <c r="E218" s="610" t="s">
        <v>631</v>
      </c>
      <c r="F218" s="611"/>
      <c r="G218" s="612"/>
    </row>
    <row r="219" spans="2:7">
      <c r="B219" s="604"/>
      <c r="C219" s="605"/>
      <c r="D219" s="606"/>
      <c r="E219" s="611"/>
      <c r="F219" s="611"/>
      <c r="G219" s="612"/>
    </row>
    <row r="220" spans="2:7">
      <c r="B220" s="604"/>
      <c r="C220" s="605"/>
      <c r="D220" s="606"/>
      <c r="E220" s="611"/>
      <c r="F220" s="611"/>
      <c r="G220" s="612"/>
    </row>
    <row r="221" spans="2:7">
      <c r="B221" s="607"/>
      <c r="C221" s="608"/>
      <c r="D221" s="609"/>
      <c r="E221" s="611"/>
      <c r="F221" s="611"/>
      <c r="G221" s="612"/>
    </row>
    <row r="222" spans="2:7">
      <c r="B222" s="25"/>
      <c r="C222" s="26"/>
      <c r="D222" s="26"/>
      <c r="E222" s="26"/>
      <c r="F222" s="26"/>
      <c r="G222" s="27"/>
    </row>
    <row r="223" spans="2:7">
      <c r="B223" s="28"/>
      <c r="G223" s="29"/>
    </row>
    <row r="224" spans="2:7" ht="15.75">
      <c r="B224" s="613" t="s">
        <v>216</v>
      </c>
      <c r="C224" s="614"/>
      <c r="D224" s="614"/>
      <c r="E224" s="614"/>
      <c r="F224" s="614"/>
      <c r="G224" s="615"/>
    </row>
    <row r="225" spans="2:7">
      <c r="B225" s="616" t="s">
        <v>217</v>
      </c>
      <c r="C225" s="617"/>
      <c r="D225" s="617" t="s">
        <v>218</v>
      </c>
      <c r="E225" s="617"/>
      <c r="F225" s="595" t="s">
        <v>219</v>
      </c>
      <c r="G225" s="596"/>
    </row>
    <row r="226" spans="2:7">
      <c r="B226" s="583"/>
      <c r="C226" s="584"/>
      <c r="D226" s="587"/>
      <c r="E226" s="584"/>
      <c r="F226" s="589"/>
      <c r="G226" s="590"/>
    </row>
    <row r="227" spans="2:7">
      <c r="B227" s="585"/>
      <c r="C227" s="586"/>
      <c r="D227" s="588"/>
      <c r="E227" s="586"/>
      <c r="F227" s="591"/>
      <c r="G227" s="592"/>
    </row>
    <row r="228" spans="2:7">
      <c r="B228" s="28"/>
      <c r="G228" s="29"/>
    </row>
    <row r="229" spans="2:7">
      <c r="B229" s="593" t="s">
        <v>220</v>
      </c>
      <c r="C229" s="594"/>
      <c r="D229" s="595" t="s">
        <v>221</v>
      </c>
      <c r="E229" s="594"/>
      <c r="F229" s="595" t="s">
        <v>222</v>
      </c>
      <c r="G229" s="596"/>
    </row>
    <row r="230" spans="2:7">
      <c r="B230" s="639"/>
      <c r="C230" s="640"/>
      <c r="D230" s="641"/>
      <c r="E230" s="640"/>
      <c r="F230" s="641" t="s">
        <v>390</v>
      </c>
      <c r="G230" s="642"/>
    </row>
    <row r="231" spans="2:7">
      <c r="B231" s="43"/>
      <c r="C231" s="43"/>
      <c r="D231" s="43"/>
      <c r="E231" s="43"/>
      <c r="F231" s="43"/>
      <c r="G231" s="43"/>
    </row>
    <row r="233" spans="2:7" ht="15.75">
      <c r="B233" s="543" t="s">
        <v>189</v>
      </c>
      <c r="C233" s="544"/>
      <c r="D233" s="544"/>
      <c r="E233" s="544"/>
      <c r="F233" s="544"/>
      <c r="G233" s="545"/>
    </row>
    <row r="234" spans="2:7" ht="15.75">
      <c r="B234" s="546" t="s">
        <v>190</v>
      </c>
      <c r="C234" s="547"/>
      <c r="D234" s="547"/>
      <c r="E234" s="547"/>
      <c r="F234" s="547"/>
      <c r="G234" s="548"/>
    </row>
    <row r="235" spans="2:7">
      <c r="B235" s="549" t="s">
        <v>191</v>
      </c>
      <c r="C235" s="550"/>
      <c r="D235" s="551" t="s">
        <v>192</v>
      </c>
      <c r="E235" s="552"/>
      <c r="F235" s="555" t="s">
        <v>193</v>
      </c>
      <c r="G235" s="15" t="s">
        <v>194</v>
      </c>
    </row>
    <row r="236" spans="2:7">
      <c r="B236" s="557" t="s">
        <v>231</v>
      </c>
      <c r="C236" s="558"/>
      <c r="D236" s="553"/>
      <c r="E236" s="554"/>
      <c r="F236" s="556"/>
      <c r="G236" s="16" t="s">
        <v>632</v>
      </c>
    </row>
    <row r="237" spans="2:7" ht="21.75">
      <c r="B237" s="559" t="s">
        <v>197</v>
      </c>
      <c r="C237" s="560"/>
      <c r="D237" s="565" t="s">
        <v>624</v>
      </c>
      <c r="E237" s="566"/>
      <c r="F237" s="571">
        <v>135</v>
      </c>
      <c r="G237" s="17" t="s">
        <v>319</v>
      </c>
    </row>
    <row r="238" spans="2:7">
      <c r="B238" s="561"/>
      <c r="C238" s="562"/>
      <c r="D238" s="567"/>
      <c r="E238" s="568"/>
      <c r="F238" s="572"/>
      <c r="G238" s="18" t="s">
        <v>200</v>
      </c>
    </row>
    <row r="239" spans="2:7">
      <c r="B239" s="563"/>
      <c r="C239" s="564"/>
      <c r="D239" s="569"/>
      <c r="E239" s="570"/>
      <c r="F239" s="573"/>
      <c r="G239" s="17" t="s">
        <v>201</v>
      </c>
    </row>
    <row r="240" spans="2:7">
      <c r="B240" s="19" t="s">
        <v>202</v>
      </c>
      <c r="C240" s="20"/>
      <c r="D240" s="20"/>
      <c r="E240" s="20"/>
      <c r="F240" s="20"/>
      <c r="G240" s="21"/>
    </row>
    <row r="241" spans="2:7">
      <c r="B241" s="22"/>
      <c r="C241" s="23" t="s">
        <v>203</v>
      </c>
      <c r="D241" s="23" t="s">
        <v>203</v>
      </c>
      <c r="E241" s="23" t="s">
        <v>203</v>
      </c>
      <c r="F241" s="23" t="s">
        <v>203</v>
      </c>
      <c r="G241" s="23" t="s">
        <v>203</v>
      </c>
    </row>
    <row r="242" spans="2:7">
      <c r="B242" s="574" t="s">
        <v>204</v>
      </c>
      <c r="C242" s="580" t="s">
        <v>524</v>
      </c>
      <c r="D242" s="580" t="s">
        <v>439</v>
      </c>
      <c r="E242" s="580" t="s">
        <v>625</v>
      </c>
      <c r="F242" s="580" t="s">
        <v>202</v>
      </c>
      <c r="G242" s="580" t="s">
        <v>202</v>
      </c>
    </row>
    <row r="243" spans="2:7">
      <c r="B243" s="575"/>
      <c r="C243" s="581"/>
      <c r="D243" s="581"/>
      <c r="E243" s="581"/>
      <c r="F243" s="581"/>
      <c r="G243" s="581"/>
    </row>
    <row r="244" spans="2:7">
      <c r="B244" s="575"/>
      <c r="C244" s="581"/>
      <c r="D244" s="581"/>
      <c r="E244" s="581"/>
      <c r="F244" s="581"/>
      <c r="G244" s="581"/>
    </row>
    <row r="245" spans="2:7">
      <c r="B245" s="576"/>
      <c r="C245" s="582"/>
      <c r="D245" s="582"/>
      <c r="E245" s="582"/>
      <c r="F245" s="582"/>
      <c r="G245" s="582"/>
    </row>
    <row r="246" spans="2:7">
      <c r="B246" s="574" t="s">
        <v>208</v>
      </c>
      <c r="C246" s="580" t="s">
        <v>397</v>
      </c>
      <c r="D246" s="580" t="s">
        <v>633</v>
      </c>
      <c r="E246" s="580" t="s">
        <v>634</v>
      </c>
      <c r="F246" s="580" t="s">
        <v>202</v>
      </c>
      <c r="G246" s="580" t="s">
        <v>202</v>
      </c>
    </row>
    <row r="247" spans="2:7">
      <c r="B247" s="575"/>
      <c r="C247" s="581"/>
      <c r="D247" s="581"/>
      <c r="E247" s="581"/>
      <c r="F247" s="581"/>
      <c r="G247" s="581"/>
    </row>
    <row r="248" spans="2:7">
      <c r="B248" s="575"/>
      <c r="C248" s="581"/>
      <c r="D248" s="581"/>
      <c r="E248" s="581"/>
      <c r="F248" s="581"/>
      <c r="G248" s="581"/>
    </row>
    <row r="249" spans="2:7">
      <c r="B249" s="576"/>
      <c r="C249" s="582"/>
      <c r="D249" s="582"/>
      <c r="E249" s="582"/>
      <c r="F249" s="582"/>
      <c r="G249" s="582"/>
    </row>
    <row r="250" spans="2:7">
      <c r="B250" s="24"/>
      <c r="C250" s="20"/>
      <c r="D250" s="20"/>
      <c r="E250" s="20"/>
      <c r="F250" s="20"/>
      <c r="G250" s="21"/>
    </row>
    <row r="251" spans="2:7">
      <c r="B251" s="597" t="s">
        <v>212</v>
      </c>
      <c r="C251" s="598"/>
      <c r="D251" s="598"/>
      <c r="E251" s="599" t="s">
        <v>213</v>
      </c>
      <c r="F251" s="599"/>
      <c r="G251" s="600"/>
    </row>
    <row r="252" spans="2:7">
      <c r="B252" s="601" t="s">
        <v>551</v>
      </c>
      <c r="C252" s="602"/>
      <c r="D252" s="603"/>
      <c r="E252" s="610" t="s">
        <v>631</v>
      </c>
      <c r="F252" s="611"/>
      <c r="G252" s="612"/>
    </row>
    <row r="253" spans="2:7">
      <c r="B253" s="604"/>
      <c r="C253" s="605"/>
      <c r="D253" s="606"/>
      <c r="E253" s="611"/>
      <c r="F253" s="611"/>
      <c r="G253" s="612"/>
    </row>
    <row r="254" spans="2:7">
      <c r="B254" s="604"/>
      <c r="C254" s="605"/>
      <c r="D254" s="606"/>
      <c r="E254" s="611"/>
      <c r="F254" s="611"/>
      <c r="G254" s="612"/>
    </row>
    <row r="255" spans="2:7">
      <c r="B255" s="607"/>
      <c r="C255" s="608"/>
      <c r="D255" s="609"/>
      <c r="E255" s="611"/>
      <c r="F255" s="611"/>
      <c r="G255" s="612"/>
    </row>
    <row r="256" spans="2:7">
      <c r="B256" s="25"/>
      <c r="C256" s="26"/>
      <c r="D256" s="26"/>
      <c r="E256" s="26"/>
      <c r="F256" s="26"/>
      <c r="G256" s="27"/>
    </row>
    <row r="257" spans="2:7">
      <c r="B257" s="28"/>
      <c r="G257" s="29"/>
    </row>
    <row r="258" spans="2:7" ht="15.75">
      <c r="B258" s="613" t="s">
        <v>216</v>
      </c>
      <c r="C258" s="614"/>
      <c r="D258" s="614"/>
      <c r="E258" s="614"/>
      <c r="F258" s="614"/>
      <c r="G258" s="615"/>
    </row>
    <row r="259" spans="2:7">
      <c r="B259" s="616" t="s">
        <v>217</v>
      </c>
      <c r="C259" s="617"/>
      <c r="D259" s="617" t="s">
        <v>218</v>
      </c>
      <c r="E259" s="617"/>
      <c r="F259" s="595" t="s">
        <v>219</v>
      </c>
      <c r="G259" s="596"/>
    </row>
    <row r="260" spans="2:7">
      <c r="B260" s="583"/>
      <c r="C260" s="584"/>
      <c r="D260" s="587"/>
      <c r="E260" s="584"/>
      <c r="F260" s="589"/>
      <c r="G260" s="590"/>
    </row>
    <row r="261" spans="2:7">
      <c r="B261" s="585"/>
      <c r="C261" s="586"/>
      <c r="D261" s="588"/>
      <c r="E261" s="586"/>
      <c r="F261" s="591"/>
      <c r="G261" s="592"/>
    </row>
    <row r="262" spans="2:7">
      <c r="B262" s="28"/>
      <c r="G262" s="29"/>
    </row>
    <row r="263" spans="2:7">
      <c r="B263" s="593" t="s">
        <v>220</v>
      </c>
      <c r="C263" s="594"/>
      <c r="D263" s="595" t="s">
        <v>221</v>
      </c>
      <c r="E263" s="594"/>
      <c r="F263" s="595" t="s">
        <v>222</v>
      </c>
      <c r="G263" s="596"/>
    </row>
    <row r="264" spans="2:7">
      <c r="B264" s="639"/>
      <c r="C264" s="640"/>
      <c r="D264" s="641"/>
      <c r="E264" s="640"/>
      <c r="F264" s="641" t="s">
        <v>402</v>
      </c>
      <c r="G264" s="642"/>
    </row>
    <row r="267" spans="2:7" ht="15.75">
      <c r="B267" s="543" t="s">
        <v>189</v>
      </c>
      <c r="C267" s="544"/>
      <c r="D267" s="544"/>
      <c r="E267" s="544"/>
      <c r="F267" s="544"/>
      <c r="G267" s="545"/>
    </row>
    <row r="268" spans="2:7" ht="15.75">
      <c r="B268" s="546" t="s">
        <v>190</v>
      </c>
      <c r="C268" s="547"/>
      <c r="D268" s="547"/>
      <c r="E268" s="547"/>
      <c r="F268" s="547"/>
      <c r="G268" s="548"/>
    </row>
    <row r="269" spans="2:7">
      <c r="B269" s="549" t="s">
        <v>191</v>
      </c>
      <c r="C269" s="550"/>
      <c r="D269" s="551" t="s">
        <v>192</v>
      </c>
      <c r="E269" s="552"/>
      <c r="F269" s="555" t="s">
        <v>193</v>
      </c>
      <c r="G269" s="15" t="s">
        <v>194</v>
      </c>
    </row>
    <row r="270" spans="2:7">
      <c r="B270" s="557" t="s">
        <v>239</v>
      </c>
      <c r="C270" s="558"/>
      <c r="D270" s="553"/>
      <c r="E270" s="554"/>
      <c r="F270" s="556"/>
      <c r="G270" s="16" t="s">
        <v>635</v>
      </c>
    </row>
    <row r="271" spans="2:7" ht="21.75">
      <c r="B271" s="559" t="s">
        <v>197</v>
      </c>
      <c r="C271" s="560"/>
      <c r="D271" s="565" t="s">
        <v>624</v>
      </c>
      <c r="E271" s="566"/>
      <c r="F271" s="571">
        <v>185</v>
      </c>
      <c r="G271" s="17" t="s">
        <v>319</v>
      </c>
    </row>
    <row r="272" spans="2:7">
      <c r="B272" s="561"/>
      <c r="C272" s="562"/>
      <c r="D272" s="567"/>
      <c r="E272" s="568"/>
      <c r="F272" s="572"/>
      <c r="G272" s="18" t="s">
        <v>200</v>
      </c>
    </row>
    <row r="273" spans="2:7">
      <c r="B273" s="563"/>
      <c r="C273" s="564"/>
      <c r="D273" s="569"/>
      <c r="E273" s="570"/>
      <c r="F273" s="573"/>
      <c r="G273" s="17" t="s">
        <v>201</v>
      </c>
    </row>
    <row r="274" spans="2:7">
      <c r="B274" s="19" t="s">
        <v>202</v>
      </c>
      <c r="C274" s="20"/>
      <c r="D274" s="20"/>
      <c r="E274" s="20"/>
      <c r="F274" s="20"/>
      <c r="G274" s="21"/>
    </row>
    <row r="275" spans="2:7">
      <c r="B275" s="22"/>
      <c r="C275" s="23" t="s">
        <v>203</v>
      </c>
      <c r="D275" s="23" t="s">
        <v>203</v>
      </c>
      <c r="E275" s="23" t="s">
        <v>203</v>
      </c>
      <c r="F275" s="23" t="s">
        <v>203</v>
      </c>
      <c r="G275" s="23" t="s">
        <v>203</v>
      </c>
    </row>
    <row r="276" spans="2:7">
      <c r="B276" s="574" t="s">
        <v>204</v>
      </c>
      <c r="C276" s="580" t="s">
        <v>524</v>
      </c>
      <c r="D276" s="580" t="s">
        <v>439</v>
      </c>
      <c r="E276" s="580" t="s">
        <v>625</v>
      </c>
      <c r="F276" s="580" t="s">
        <v>202</v>
      </c>
      <c r="G276" s="580" t="s">
        <v>202</v>
      </c>
    </row>
    <row r="277" spans="2:7">
      <c r="B277" s="575"/>
      <c r="C277" s="581"/>
      <c r="D277" s="581"/>
      <c r="E277" s="581"/>
      <c r="F277" s="581"/>
      <c r="G277" s="581"/>
    </row>
    <row r="278" spans="2:7">
      <c r="B278" s="575"/>
      <c r="C278" s="581"/>
      <c r="D278" s="581"/>
      <c r="E278" s="581"/>
      <c r="F278" s="581"/>
      <c r="G278" s="581"/>
    </row>
    <row r="279" spans="2:7">
      <c r="B279" s="576"/>
      <c r="C279" s="582"/>
      <c r="D279" s="582"/>
      <c r="E279" s="582"/>
      <c r="F279" s="582"/>
      <c r="G279" s="582"/>
    </row>
    <row r="280" spans="2:7">
      <c r="B280" s="574" t="s">
        <v>208</v>
      </c>
      <c r="C280" s="580" t="s">
        <v>397</v>
      </c>
      <c r="D280" s="580" t="s">
        <v>633</v>
      </c>
      <c r="E280" s="580" t="s">
        <v>634</v>
      </c>
      <c r="F280" s="580" t="s">
        <v>202</v>
      </c>
      <c r="G280" s="580" t="s">
        <v>202</v>
      </c>
    </row>
    <row r="281" spans="2:7">
      <c r="B281" s="575"/>
      <c r="C281" s="581"/>
      <c r="D281" s="581"/>
      <c r="E281" s="581"/>
      <c r="F281" s="581"/>
      <c r="G281" s="581"/>
    </row>
    <row r="282" spans="2:7">
      <c r="B282" s="575"/>
      <c r="C282" s="581"/>
      <c r="D282" s="581"/>
      <c r="E282" s="581"/>
      <c r="F282" s="581"/>
      <c r="G282" s="581"/>
    </row>
    <row r="283" spans="2:7">
      <c r="B283" s="576"/>
      <c r="C283" s="582"/>
      <c r="D283" s="582"/>
      <c r="E283" s="582"/>
      <c r="F283" s="582"/>
      <c r="G283" s="582"/>
    </row>
    <row r="284" spans="2:7">
      <c r="B284" s="24"/>
      <c r="C284" s="20"/>
      <c r="D284" s="20"/>
      <c r="E284" s="20"/>
      <c r="F284" s="20"/>
      <c r="G284" s="21"/>
    </row>
    <row r="285" spans="2:7">
      <c r="B285" s="597" t="s">
        <v>212</v>
      </c>
      <c r="C285" s="598"/>
      <c r="D285" s="598"/>
      <c r="E285" s="599" t="s">
        <v>213</v>
      </c>
      <c r="F285" s="599"/>
      <c r="G285" s="600"/>
    </row>
    <row r="286" spans="2:7">
      <c r="B286" s="601" t="s">
        <v>551</v>
      </c>
      <c r="C286" s="602"/>
      <c r="D286" s="603"/>
      <c r="E286" s="610" t="s">
        <v>636</v>
      </c>
      <c r="F286" s="611"/>
      <c r="G286" s="612"/>
    </row>
    <row r="287" spans="2:7">
      <c r="B287" s="604"/>
      <c r="C287" s="605"/>
      <c r="D287" s="606"/>
      <c r="E287" s="611"/>
      <c r="F287" s="611"/>
      <c r="G287" s="612"/>
    </row>
    <row r="288" spans="2:7">
      <c r="B288" s="604"/>
      <c r="C288" s="605"/>
      <c r="D288" s="606"/>
      <c r="E288" s="611"/>
      <c r="F288" s="611"/>
      <c r="G288" s="612"/>
    </row>
    <row r="289" spans="2:7">
      <c r="B289" s="607"/>
      <c r="C289" s="608"/>
      <c r="D289" s="609"/>
      <c r="E289" s="611"/>
      <c r="F289" s="611"/>
      <c r="G289" s="612"/>
    </row>
    <row r="290" spans="2:7">
      <c r="B290" s="25"/>
      <c r="C290" s="26"/>
      <c r="D290" s="26"/>
      <c r="E290" s="26"/>
      <c r="F290" s="26"/>
      <c r="G290" s="27"/>
    </row>
    <row r="291" spans="2:7">
      <c r="B291" s="28"/>
      <c r="G291" s="29"/>
    </row>
    <row r="292" spans="2:7" ht="15.75">
      <c r="B292" s="613" t="s">
        <v>216</v>
      </c>
      <c r="C292" s="614"/>
      <c r="D292" s="614"/>
      <c r="E292" s="614"/>
      <c r="F292" s="614"/>
      <c r="G292" s="615"/>
    </row>
    <row r="293" spans="2:7">
      <c r="B293" s="616" t="s">
        <v>217</v>
      </c>
      <c r="C293" s="617"/>
      <c r="D293" s="617" t="s">
        <v>218</v>
      </c>
      <c r="E293" s="617"/>
      <c r="F293" s="595" t="s">
        <v>219</v>
      </c>
      <c r="G293" s="596"/>
    </row>
    <row r="294" spans="2:7">
      <c r="B294" s="583"/>
      <c r="C294" s="584"/>
      <c r="D294" s="587"/>
      <c r="E294" s="584"/>
      <c r="F294" s="589"/>
      <c r="G294" s="590"/>
    </row>
    <row r="295" spans="2:7">
      <c r="B295" s="585"/>
      <c r="C295" s="586"/>
      <c r="D295" s="588"/>
      <c r="E295" s="586"/>
      <c r="F295" s="591"/>
      <c r="G295" s="592"/>
    </row>
    <row r="296" spans="2:7">
      <c r="B296" s="28"/>
      <c r="G296" s="29"/>
    </row>
    <row r="297" spans="2:7">
      <c r="B297" s="593" t="s">
        <v>220</v>
      </c>
      <c r="C297" s="594"/>
      <c r="D297" s="595" t="s">
        <v>221</v>
      </c>
      <c r="E297" s="594"/>
      <c r="F297" s="595" t="s">
        <v>222</v>
      </c>
      <c r="G297" s="596"/>
    </row>
    <row r="298" spans="2:7">
      <c r="B298" s="639"/>
      <c r="C298" s="640"/>
      <c r="D298" s="641"/>
      <c r="E298" s="640"/>
      <c r="F298" s="641" t="s">
        <v>412</v>
      </c>
      <c r="G298" s="642"/>
    </row>
  </sheetData>
  <autoFilter ref="B2:K23" xr:uid="{7E3221BD-3E6C-4BA8-BFAD-98351ACD7F09}">
    <filterColumn colId="1" showButton="0"/>
  </autoFilter>
  <mergeCells count="318">
    <mergeCell ref="B298:C298"/>
    <mergeCell ref="D298:E298"/>
    <mergeCell ref="F298:G298"/>
    <mergeCell ref="K8:K11"/>
    <mergeCell ref="B294:C295"/>
    <mergeCell ref="D294:E295"/>
    <mergeCell ref="F294:G295"/>
    <mergeCell ref="B297:C297"/>
    <mergeCell ref="D297:E297"/>
    <mergeCell ref="F297:G297"/>
    <mergeCell ref="B285:D285"/>
    <mergeCell ref="E285:G285"/>
    <mergeCell ref="B286:D289"/>
    <mergeCell ref="E286:G289"/>
    <mergeCell ref="B292:G292"/>
    <mergeCell ref="B293:C293"/>
    <mergeCell ref="D293:E293"/>
    <mergeCell ref="F293:G293"/>
    <mergeCell ref="G276:G279"/>
    <mergeCell ref="B280:B283"/>
    <mergeCell ref="C280:C283"/>
    <mergeCell ref="D280:D283"/>
    <mergeCell ref="E280:E283"/>
    <mergeCell ref="F280:F283"/>
    <mergeCell ref="G280:G283"/>
    <mergeCell ref="B271:C273"/>
    <mergeCell ref="D271:E273"/>
    <mergeCell ref="F271:F273"/>
    <mergeCell ref="B276:B279"/>
    <mergeCell ref="C276:C279"/>
    <mergeCell ref="D276:D279"/>
    <mergeCell ref="E276:E279"/>
    <mergeCell ref="F276:F279"/>
    <mergeCell ref="B264:C264"/>
    <mergeCell ref="D264:E264"/>
    <mergeCell ref="F264:G264"/>
    <mergeCell ref="B267:G267"/>
    <mergeCell ref="B268:G268"/>
    <mergeCell ref="B269:C269"/>
    <mergeCell ref="D269:E270"/>
    <mergeCell ref="F269:F270"/>
    <mergeCell ref="B270:C270"/>
    <mergeCell ref="B260:C261"/>
    <mergeCell ref="D260:E261"/>
    <mergeCell ref="F260:G261"/>
    <mergeCell ref="B263:C263"/>
    <mergeCell ref="D263:E263"/>
    <mergeCell ref="F263:G263"/>
    <mergeCell ref="B251:D251"/>
    <mergeCell ref="E251:G251"/>
    <mergeCell ref="B252:D255"/>
    <mergeCell ref="E252:G255"/>
    <mergeCell ref="B258:G258"/>
    <mergeCell ref="B259:C259"/>
    <mergeCell ref="D259:E259"/>
    <mergeCell ref="F259:G259"/>
    <mergeCell ref="G242:G245"/>
    <mergeCell ref="B246:B249"/>
    <mergeCell ref="C246:C249"/>
    <mergeCell ref="D246:D249"/>
    <mergeCell ref="E246:E249"/>
    <mergeCell ref="F246:F249"/>
    <mergeCell ref="G246:G249"/>
    <mergeCell ref="B237:C239"/>
    <mergeCell ref="D237:E239"/>
    <mergeCell ref="F237:F239"/>
    <mergeCell ref="B242:B245"/>
    <mergeCell ref="C242:C245"/>
    <mergeCell ref="D242:D245"/>
    <mergeCell ref="E242:E245"/>
    <mergeCell ref="F242:F245"/>
    <mergeCell ref="B230:C230"/>
    <mergeCell ref="D230:E230"/>
    <mergeCell ref="F230:G230"/>
    <mergeCell ref="B233:G233"/>
    <mergeCell ref="B234:G234"/>
    <mergeCell ref="B235:C235"/>
    <mergeCell ref="D235:E236"/>
    <mergeCell ref="F235:F236"/>
    <mergeCell ref="B236:C236"/>
    <mergeCell ref="B226:C227"/>
    <mergeCell ref="D226:E227"/>
    <mergeCell ref="F226:G227"/>
    <mergeCell ref="B229:C229"/>
    <mergeCell ref="D229:E229"/>
    <mergeCell ref="F229:G229"/>
    <mergeCell ref="B217:D217"/>
    <mergeCell ref="E217:G217"/>
    <mergeCell ref="B218:D221"/>
    <mergeCell ref="E218:G221"/>
    <mergeCell ref="B224:G224"/>
    <mergeCell ref="B225:C225"/>
    <mergeCell ref="D225:E225"/>
    <mergeCell ref="F225:G225"/>
    <mergeCell ref="G208:G211"/>
    <mergeCell ref="B212:B215"/>
    <mergeCell ref="C212:C215"/>
    <mergeCell ref="D212:D215"/>
    <mergeCell ref="E212:E215"/>
    <mergeCell ref="F212:F215"/>
    <mergeCell ref="G212:G215"/>
    <mergeCell ref="B203:C205"/>
    <mergeCell ref="D203:E205"/>
    <mergeCell ref="F203:F205"/>
    <mergeCell ref="B208:B211"/>
    <mergeCell ref="C208:C211"/>
    <mergeCell ref="D208:D211"/>
    <mergeCell ref="E208:E211"/>
    <mergeCell ref="F208:F211"/>
    <mergeCell ref="B196:C196"/>
    <mergeCell ref="D196:E196"/>
    <mergeCell ref="F196:G196"/>
    <mergeCell ref="B199:G199"/>
    <mergeCell ref="B200:G200"/>
    <mergeCell ref="B201:C201"/>
    <mergeCell ref="D201:E202"/>
    <mergeCell ref="F201:F202"/>
    <mergeCell ref="B202:C202"/>
    <mergeCell ref="B192:C193"/>
    <mergeCell ref="D192:E193"/>
    <mergeCell ref="F192:G193"/>
    <mergeCell ref="B195:C195"/>
    <mergeCell ref="D195:E195"/>
    <mergeCell ref="F195:G195"/>
    <mergeCell ref="B183:D183"/>
    <mergeCell ref="E183:G183"/>
    <mergeCell ref="B184:D187"/>
    <mergeCell ref="E184:G187"/>
    <mergeCell ref="B190:G190"/>
    <mergeCell ref="B191:C191"/>
    <mergeCell ref="D191:E191"/>
    <mergeCell ref="F191:G191"/>
    <mergeCell ref="G174:G177"/>
    <mergeCell ref="B178:B181"/>
    <mergeCell ref="C178:C181"/>
    <mergeCell ref="D178:D181"/>
    <mergeCell ref="E178:E181"/>
    <mergeCell ref="F178:F181"/>
    <mergeCell ref="G178:G181"/>
    <mergeCell ref="B169:C171"/>
    <mergeCell ref="D169:E171"/>
    <mergeCell ref="F169:F171"/>
    <mergeCell ref="B174:B177"/>
    <mergeCell ref="C174:C177"/>
    <mergeCell ref="D174:D177"/>
    <mergeCell ref="E174:E177"/>
    <mergeCell ref="F174:F177"/>
    <mergeCell ref="B162:C162"/>
    <mergeCell ref="D162:E162"/>
    <mergeCell ref="F162:G162"/>
    <mergeCell ref="B165:G165"/>
    <mergeCell ref="B166:G166"/>
    <mergeCell ref="B167:C167"/>
    <mergeCell ref="D167:E168"/>
    <mergeCell ref="F167:F168"/>
    <mergeCell ref="B168:C168"/>
    <mergeCell ref="B158:C159"/>
    <mergeCell ref="D158:E159"/>
    <mergeCell ref="F158:G159"/>
    <mergeCell ref="B161:C161"/>
    <mergeCell ref="D161:E161"/>
    <mergeCell ref="F161:G161"/>
    <mergeCell ref="B149:D149"/>
    <mergeCell ref="E149:G149"/>
    <mergeCell ref="B150:D153"/>
    <mergeCell ref="E150:G153"/>
    <mergeCell ref="B156:G156"/>
    <mergeCell ref="B157:C157"/>
    <mergeCell ref="D157:E157"/>
    <mergeCell ref="F157:G157"/>
    <mergeCell ref="G140:G143"/>
    <mergeCell ref="B144:B147"/>
    <mergeCell ref="C144:C147"/>
    <mergeCell ref="D144:D147"/>
    <mergeCell ref="E144:E147"/>
    <mergeCell ref="F144:F147"/>
    <mergeCell ref="G144:G147"/>
    <mergeCell ref="B135:C137"/>
    <mergeCell ref="D135:E137"/>
    <mergeCell ref="F135:F137"/>
    <mergeCell ref="B140:B143"/>
    <mergeCell ref="C140:C143"/>
    <mergeCell ref="D140:D143"/>
    <mergeCell ref="E140:E143"/>
    <mergeCell ref="F140:F143"/>
    <mergeCell ref="B128:C128"/>
    <mergeCell ref="D128:E128"/>
    <mergeCell ref="F128:G128"/>
    <mergeCell ref="B131:G131"/>
    <mergeCell ref="B132:G132"/>
    <mergeCell ref="B133:C133"/>
    <mergeCell ref="D133:E134"/>
    <mergeCell ref="F133:F134"/>
    <mergeCell ref="B134:C134"/>
    <mergeCell ref="B124:C125"/>
    <mergeCell ref="D124:E125"/>
    <mergeCell ref="F124:G125"/>
    <mergeCell ref="B127:C127"/>
    <mergeCell ref="D127:E127"/>
    <mergeCell ref="F127:G127"/>
    <mergeCell ref="B115:D115"/>
    <mergeCell ref="E115:G115"/>
    <mergeCell ref="B116:D119"/>
    <mergeCell ref="E116:G119"/>
    <mergeCell ref="B122:G122"/>
    <mergeCell ref="B123:C123"/>
    <mergeCell ref="D123:E123"/>
    <mergeCell ref="F123:G123"/>
    <mergeCell ref="G106:G109"/>
    <mergeCell ref="B110:B113"/>
    <mergeCell ref="C110:C113"/>
    <mergeCell ref="D110:D113"/>
    <mergeCell ref="E110:E113"/>
    <mergeCell ref="F110:F113"/>
    <mergeCell ref="G110:G113"/>
    <mergeCell ref="B101:C103"/>
    <mergeCell ref="D101:E103"/>
    <mergeCell ref="F101:F103"/>
    <mergeCell ref="B106:B109"/>
    <mergeCell ref="C106:C109"/>
    <mergeCell ref="D106:D109"/>
    <mergeCell ref="E106:E109"/>
    <mergeCell ref="F106:F109"/>
    <mergeCell ref="B94:C94"/>
    <mergeCell ref="D94:E94"/>
    <mergeCell ref="F94:G94"/>
    <mergeCell ref="B97:G97"/>
    <mergeCell ref="B98:G98"/>
    <mergeCell ref="B99:C99"/>
    <mergeCell ref="D99:E100"/>
    <mergeCell ref="F99:F100"/>
    <mergeCell ref="B100:C100"/>
    <mergeCell ref="B90:C91"/>
    <mergeCell ref="D90:E91"/>
    <mergeCell ref="F90:G91"/>
    <mergeCell ref="B93:C93"/>
    <mergeCell ref="D93:E93"/>
    <mergeCell ref="F93:G93"/>
    <mergeCell ref="B81:D81"/>
    <mergeCell ref="E81:G81"/>
    <mergeCell ref="B82:D85"/>
    <mergeCell ref="E82:G85"/>
    <mergeCell ref="B88:G88"/>
    <mergeCell ref="B89:C89"/>
    <mergeCell ref="D89:E89"/>
    <mergeCell ref="F89:G89"/>
    <mergeCell ref="G72:G75"/>
    <mergeCell ref="B76:B79"/>
    <mergeCell ref="C76:C79"/>
    <mergeCell ref="D76:D79"/>
    <mergeCell ref="E76:E79"/>
    <mergeCell ref="F76:F79"/>
    <mergeCell ref="G76:G79"/>
    <mergeCell ref="B67:C69"/>
    <mergeCell ref="D67:E69"/>
    <mergeCell ref="F67:F69"/>
    <mergeCell ref="B72:B75"/>
    <mergeCell ref="C72:C75"/>
    <mergeCell ref="D72:D75"/>
    <mergeCell ref="E72:E75"/>
    <mergeCell ref="F72:F75"/>
    <mergeCell ref="B60:C60"/>
    <mergeCell ref="D60:E60"/>
    <mergeCell ref="F60:G60"/>
    <mergeCell ref="B63:G63"/>
    <mergeCell ref="B64:G64"/>
    <mergeCell ref="B65:C65"/>
    <mergeCell ref="D65:E66"/>
    <mergeCell ref="F65:F66"/>
    <mergeCell ref="B66:C66"/>
    <mergeCell ref="B56:C57"/>
    <mergeCell ref="D56:E57"/>
    <mergeCell ref="F56:G57"/>
    <mergeCell ref="B59:C59"/>
    <mergeCell ref="D59:E59"/>
    <mergeCell ref="F59:G59"/>
    <mergeCell ref="B47:D47"/>
    <mergeCell ref="E47:G47"/>
    <mergeCell ref="B48:D51"/>
    <mergeCell ref="E48:G51"/>
    <mergeCell ref="B54:G54"/>
    <mergeCell ref="B55:C55"/>
    <mergeCell ref="D55:E55"/>
    <mergeCell ref="F55:G55"/>
    <mergeCell ref="B42:B45"/>
    <mergeCell ref="C42:C45"/>
    <mergeCell ref="D42:D45"/>
    <mergeCell ref="E42:E45"/>
    <mergeCell ref="F42:F45"/>
    <mergeCell ref="G42:G45"/>
    <mergeCell ref="B33:C35"/>
    <mergeCell ref="D33:E35"/>
    <mergeCell ref="F33:F35"/>
    <mergeCell ref="B38:B41"/>
    <mergeCell ref="C38:C41"/>
    <mergeCell ref="D38:D41"/>
    <mergeCell ref="E38:E41"/>
    <mergeCell ref="F38:F41"/>
    <mergeCell ref="B29:G29"/>
    <mergeCell ref="B30:G30"/>
    <mergeCell ref="B31:C31"/>
    <mergeCell ref="D31:E32"/>
    <mergeCell ref="F31:F32"/>
    <mergeCell ref="B32:C32"/>
    <mergeCell ref="I2:I3"/>
    <mergeCell ref="J2:J3"/>
    <mergeCell ref="G38:G41"/>
    <mergeCell ref="K2:K3"/>
    <mergeCell ref="M5:N5"/>
    <mergeCell ref="L6:M6"/>
    <mergeCell ref="E23:K26"/>
    <mergeCell ref="B2:B3"/>
    <mergeCell ref="C2:D2"/>
    <mergeCell ref="E2:E3"/>
    <mergeCell ref="F2:F3"/>
    <mergeCell ref="G2:G3"/>
    <mergeCell ref="H2:H3"/>
    <mergeCell ref="C25:D25"/>
  </mergeCells>
  <phoneticPr fontId="0" type="noConversion"/>
  <printOptions horizontalCentered="1" verticalCentered="1"/>
  <pageMargins left="0.7" right="0.7" top="0.75" bottom="0.75" header="0.3" footer="0.3"/>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969C-6222-429F-B118-A7914DD28857}">
  <sheetPr>
    <pageSetUpPr fitToPage="1"/>
  </sheetPr>
  <dimension ref="B2:N160"/>
  <sheetViews>
    <sheetView topLeftCell="A13" workbookViewId="0">
      <selection activeCell="J12" sqref="J12:K12"/>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3.140625" customWidth="1"/>
    <col min="10" max="10" width="29.85546875" bestFit="1" customWidth="1"/>
    <col min="11" max="11" width="62.140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c r="B3" s="444"/>
      <c r="C3" s="41" t="s">
        <v>9</v>
      </c>
      <c r="D3" s="42" t="s">
        <v>10</v>
      </c>
      <c r="E3" s="439"/>
      <c r="F3" s="439"/>
      <c r="G3" s="439"/>
      <c r="H3" s="439"/>
      <c r="I3" s="439"/>
      <c r="J3" s="439"/>
      <c r="K3" s="441"/>
    </row>
    <row r="4" spans="2:14" s="3" customFormat="1" ht="21">
      <c r="B4" s="32">
        <v>1</v>
      </c>
      <c r="C4" s="106">
        <v>2.9999999999999898</v>
      </c>
      <c r="D4" s="106"/>
      <c r="E4" s="108">
        <v>45505</v>
      </c>
      <c r="F4" s="113" t="s">
        <v>124</v>
      </c>
      <c r="G4" s="107" t="s">
        <v>174</v>
      </c>
      <c r="H4" s="34" t="s">
        <v>637</v>
      </c>
      <c r="I4" s="37" t="s">
        <v>146</v>
      </c>
      <c r="J4" s="37"/>
      <c r="K4" s="96"/>
    </row>
    <row r="5" spans="2:14" s="3" customFormat="1" ht="29.25">
      <c r="B5" s="32">
        <v>2</v>
      </c>
      <c r="C5" s="111">
        <v>191.99999999999994</v>
      </c>
      <c r="D5" s="114"/>
      <c r="E5" s="108">
        <v>45505</v>
      </c>
      <c r="F5" s="113" t="s">
        <v>131</v>
      </c>
      <c r="G5" s="107" t="s">
        <v>125</v>
      </c>
      <c r="H5" s="34" t="s">
        <v>638</v>
      </c>
      <c r="I5" s="37" t="s">
        <v>127</v>
      </c>
      <c r="J5" s="36" t="s">
        <v>639</v>
      </c>
      <c r="K5" s="101" t="s">
        <v>640</v>
      </c>
      <c r="M5" s="442"/>
      <c r="N5" s="442"/>
    </row>
    <row r="6" spans="2:14" s="3" customFormat="1" ht="21">
      <c r="B6" s="32"/>
      <c r="C6" s="106"/>
      <c r="D6" s="114">
        <v>8</v>
      </c>
      <c r="E6" s="109">
        <v>45507</v>
      </c>
      <c r="F6" s="113" t="s">
        <v>131</v>
      </c>
      <c r="G6" s="107" t="s">
        <v>641</v>
      </c>
      <c r="H6" s="34" t="s">
        <v>642</v>
      </c>
      <c r="I6" s="37" t="s">
        <v>146</v>
      </c>
      <c r="K6" s="37" t="s">
        <v>643</v>
      </c>
      <c r="M6" s="80"/>
      <c r="N6" s="80"/>
    </row>
    <row r="7" spans="2:14" s="3" customFormat="1" ht="23.25">
      <c r="B7" s="32">
        <v>3</v>
      </c>
      <c r="C7" s="106">
        <v>41.999999999999851</v>
      </c>
      <c r="D7" s="114"/>
      <c r="E7" s="108">
        <v>45510</v>
      </c>
      <c r="F7" s="113" t="s">
        <v>159</v>
      </c>
      <c r="G7" s="107" t="s">
        <v>140</v>
      </c>
      <c r="H7" s="34" t="s">
        <v>644</v>
      </c>
      <c r="I7" s="163" t="s">
        <v>146</v>
      </c>
      <c r="J7" s="37"/>
      <c r="K7" s="102"/>
      <c r="L7" s="442"/>
      <c r="M7" s="442"/>
    </row>
    <row r="8" spans="2:14" s="3" customFormat="1" ht="21">
      <c r="B8" s="32">
        <v>4</v>
      </c>
      <c r="C8" s="106">
        <v>9.9999999999999645</v>
      </c>
      <c r="D8" s="114"/>
      <c r="E8" s="108">
        <v>45511</v>
      </c>
      <c r="F8" s="113" t="s">
        <v>131</v>
      </c>
      <c r="G8" s="107" t="s">
        <v>162</v>
      </c>
      <c r="H8" s="34" t="s">
        <v>645</v>
      </c>
      <c r="I8" s="37" t="s">
        <v>146</v>
      </c>
      <c r="J8" s="37"/>
      <c r="K8" s="101" t="s">
        <v>646</v>
      </c>
    </row>
    <row r="9" spans="2:14" s="3" customFormat="1" ht="21">
      <c r="B9" s="32">
        <v>5</v>
      </c>
      <c r="C9" s="106"/>
      <c r="D9" s="114">
        <v>5.0000000000000622</v>
      </c>
      <c r="E9" s="109">
        <v>45512</v>
      </c>
      <c r="F9" s="113" t="s">
        <v>159</v>
      </c>
      <c r="G9" s="107" t="s">
        <v>125</v>
      </c>
      <c r="H9" s="34" t="s">
        <v>647</v>
      </c>
      <c r="I9" s="37" t="s">
        <v>146</v>
      </c>
      <c r="J9" s="37"/>
      <c r="K9" s="103" t="s">
        <v>648</v>
      </c>
    </row>
    <row r="10" spans="2:14" s="3" customFormat="1" ht="42" customHeight="1">
      <c r="B10" s="32">
        <v>6</v>
      </c>
      <c r="C10" s="110">
        <v>93.999999999999986</v>
      </c>
      <c r="D10" s="114"/>
      <c r="E10" s="108">
        <v>45516</v>
      </c>
      <c r="F10" s="113" t="s">
        <v>159</v>
      </c>
      <c r="G10" s="107" t="s">
        <v>174</v>
      </c>
      <c r="H10" s="34" t="s">
        <v>649</v>
      </c>
      <c r="I10" s="37" t="s">
        <v>127</v>
      </c>
      <c r="J10" s="37" t="s">
        <v>650</v>
      </c>
      <c r="K10" s="96" t="s">
        <v>651</v>
      </c>
    </row>
    <row r="11" spans="2:14" s="3" customFormat="1" ht="43.5">
      <c r="B11" s="32"/>
      <c r="C11" s="110"/>
      <c r="D11" s="114">
        <v>20.000000000000089</v>
      </c>
      <c r="E11" s="109">
        <v>45519</v>
      </c>
      <c r="F11" s="113" t="s">
        <v>131</v>
      </c>
      <c r="G11" s="107" t="s">
        <v>125</v>
      </c>
      <c r="H11" s="116" t="s">
        <v>652</v>
      </c>
      <c r="I11" s="37" t="s">
        <v>146</v>
      </c>
      <c r="J11" s="37"/>
      <c r="K11" s="96" t="s">
        <v>653</v>
      </c>
    </row>
    <row r="12" spans="2:14" s="3" customFormat="1" ht="21">
      <c r="B12" s="32">
        <v>7</v>
      </c>
      <c r="C12" s="110">
        <v>119.99999999999997</v>
      </c>
      <c r="D12" s="106"/>
      <c r="E12" s="108">
        <v>45521</v>
      </c>
      <c r="F12" s="113" t="s">
        <v>124</v>
      </c>
      <c r="G12" s="107" t="s">
        <v>641</v>
      </c>
      <c r="H12" s="117" t="s">
        <v>654</v>
      </c>
      <c r="I12" s="37" t="s">
        <v>127</v>
      </c>
      <c r="J12" s="37" t="s">
        <v>655</v>
      </c>
      <c r="K12" s="37" t="s">
        <v>656</v>
      </c>
    </row>
    <row r="13" spans="2:14" s="3" customFormat="1" ht="21">
      <c r="B13" s="32">
        <v>8</v>
      </c>
      <c r="C13" s="111">
        <v>1010.9999999999999</v>
      </c>
      <c r="D13" s="106"/>
      <c r="E13" s="108">
        <v>45521</v>
      </c>
      <c r="F13" s="113" t="s">
        <v>124</v>
      </c>
      <c r="G13" s="107" t="s">
        <v>641</v>
      </c>
      <c r="H13" s="117" t="s">
        <v>657</v>
      </c>
      <c r="I13" s="163" t="s">
        <v>146</v>
      </c>
      <c r="J13" s="37"/>
      <c r="K13" s="37"/>
    </row>
    <row r="14" spans="2:14" s="3" customFormat="1" ht="21">
      <c r="B14" s="32">
        <v>9</v>
      </c>
      <c r="C14" s="111">
        <v>236</v>
      </c>
      <c r="D14" s="110"/>
      <c r="E14" s="108">
        <v>45522</v>
      </c>
      <c r="F14" s="113" t="s">
        <v>124</v>
      </c>
      <c r="G14" s="107" t="s">
        <v>641</v>
      </c>
      <c r="H14" s="117" t="s">
        <v>657</v>
      </c>
      <c r="I14" s="163" t="s">
        <v>146</v>
      </c>
      <c r="J14" s="37"/>
      <c r="K14" s="37"/>
    </row>
    <row r="15" spans="2:14" s="3" customFormat="1" ht="57.75">
      <c r="B15" s="32">
        <v>10</v>
      </c>
      <c r="C15" s="110">
        <v>85.999999999999972</v>
      </c>
      <c r="D15" s="110"/>
      <c r="E15" s="108">
        <v>45522</v>
      </c>
      <c r="F15" s="113" t="s">
        <v>124</v>
      </c>
      <c r="G15" s="107" t="s">
        <v>641</v>
      </c>
      <c r="H15" s="118" t="s">
        <v>658</v>
      </c>
      <c r="I15" s="163" t="s">
        <v>146</v>
      </c>
      <c r="J15" s="37"/>
      <c r="K15" s="96" t="s">
        <v>659</v>
      </c>
    </row>
    <row r="16" spans="2:14" s="3" customFormat="1" ht="29.25">
      <c r="B16" s="32">
        <v>11</v>
      </c>
      <c r="C16" s="106"/>
      <c r="D16" s="110">
        <v>33</v>
      </c>
      <c r="E16" s="109">
        <v>45522</v>
      </c>
      <c r="F16" s="113" t="s">
        <v>124</v>
      </c>
      <c r="G16" s="107" t="s">
        <v>641</v>
      </c>
      <c r="H16" s="34" t="s">
        <v>660</v>
      </c>
      <c r="I16" s="163" t="s">
        <v>146</v>
      </c>
      <c r="J16" s="37"/>
      <c r="K16" s="103" t="s">
        <v>661</v>
      </c>
    </row>
    <row r="17" spans="2:11" s="3" customFormat="1" ht="42" customHeight="1">
      <c r="B17" s="32">
        <v>12</v>
      </c>
      <c r="C17" s="106">
        <v>68</v>
      </c>
      <c r="D17" s="115"/>
      <c r="E17" s="112">
        <v>45526</v>
      </c>
      <c r="F17" s="113" t="s">
        <v>131</v>
      </c>
      <c r="G17" s="107" t="s">
        <v>641</v>
      </c>
      <c r="H17" s="104" t="s">
        <v>662</v>
      </c>
      <c r="I17" s="163" t="s">
        <v>146</v>
      </c>
      <c r="J17" s="37"/>
      <c r="K17" s="105" t="s">
        <v>663</v>
      </c>
    </row>
    <row r="18" spans="2:11" ht="42" customHeight="1">
      <c r="B18" s="32">
        <v>13</v>
      </c>
      <c r="C18" s="106"/>
      <c r="D18" s="110">
        <v>90</v>
      </c>
      <c r="E18" s="109">
        <v>45535</v>
      </c>
      <c r="F18" s="113" t="s">
        <v>131</v>
      </c>
      <c r="G18" s="107" t="s">
        <v>125</v>
      </c>
      <c r="H18" s="34" t="s">
        <v>664</v>
      </c>
      <c r="I18" s="107" t="s">
        <v>127</v>
      </c>
      <c r="J18" s="37" t="s">
        <v>665</v>
      </c>
      <c r="K18" s="103" t="s">
        <v>666</v>
      </c>
    </row>
    <row r="19" spans="2:11" ht="42" customHeight="1">
      <c r="B19" s="32">
        <v>14</v>
      </c>
      <c r="C19" s="106"/>
      <c r="D19" s="110">
        <v>19</v>
      </c>
      <c r="E19" s="109">
        <v>45535</v>
      </c>
      <c r="F19" s="113" t="s">
        <v>131</v>
      </c>
      <c r="G19" s="107" t="s">
        <v>125</v>
      </c>
      <c r="H19" s="34" t="s">
        <v>667</v>
      </c>
      <c r="I19" s="37" t="s">
        <v>146</v>
      </c>
      <c r="J19" s="37"/>
      <c r="K19" s="37"/>
    </row>
    <row r="20" spans="2:11">
      <c r="B20" s="6" t="s">
        <v>11</v>
      </c>
      <c r="C20" s="7">
        <f>SUM(C4:C19)</f>
        <v>1861.9999999999995</v>
      </c>
      <c r="D20" s="7">
        <f>SUM(D4:D19)</f>
        <v>175.00000000000014</v>
      </c>
      <c r="E20" s="434"/>
      <c r="F20" s="435"/>
      <c r="G20" s="435"/>
      <c r="H20" s="435"/>
      <c r="I20" s="435"/>
      <c r="J20" s="435"/>
      <c r="K20" s="435"/>
    </row>
    <row r="21" spans="2:11">
      <c r="B21" s="9"/>
      <c r="C21" s="10"/>
      <c r="D21" s="11"/>
      <c r="E21" s="434"/>
      <c r="F21" s="435"/>
      <c r="G21" s="435"/>
      <c r="H21" s="435"/>
      <c r="I21" s="435"/>
      <c r="J21" s="435"/>
      <c r="K21" s="435"/>
    </row>
    <row r="22" spans="2:11">
      <c r="B22" s="6" t="s">
        <v>12</v>
      </c>
      <c r="C22" s="432">
        <f>SUM(C20,D20)</f>
        <v>2036.9999999999998</v>
      </c>
      <c r="D22" s="433"/>
      <c r="E22" s="434"/>
      <c r="F22" s="435"/>
      <c r="G22" s="435"/>
      <c r="H22" s="435"/>
      <c r="I22" s="435"/>
      <c r="J22" s="435"/>
      <c r="K22" s="435"/>
    </row>
    <row r="23" spans="2:11">
      <c r="B23" s="12"/>
      <c r="C23" s="13"/>
      <c r="D23" s="14"/>
      <c r="E23" s="436"/>
      <c r="F23" s="437"/>
      <c r="G23" s="437"/>
      <c r="H23" s="437"/>
      <c r="I23" s="437"/>
      <c r="J23" s="437"/>
      <c r="K23" s="437"/>
    </row>
    <row r="26" spans="2:11" ht="15.75">
      <c r="B26" s="543" t="s">
        <v>189</v>
      </c>
      <c r="C26" s="544"/>
      <c r="D26" s="544"/>
      <c r="E26" s="544"/>
      <c r="F26" s="544"/>
      <c r="G26" s="545"/>
    </row>
    <row r="27" spans="2:11" ht="15.75">
      <c r="B27" s="546" t="s">
        <v>190</v>
      </c>
      <c r="C27" s="547"/>
      <c r="D27" s="547"/>
      <c r="E27" s="547"/>
      <c r="F27" s="547"/>
      <c r="G27" s="548"/>
    </row>
    <row r="28" spans="2:11" ht="15" customHeight="1">
      <c r="B28" s="549" t="s">
        <v>191</v>
      </c>
      <c r="C28" s="550"/>
      <c r="D28" s="551" t="s">
        <v>192</v>
      </c>
      <c r="E28" s="552"/>
      <c r="F28" s="555" t="s">
        <v>193</v>
      </c>
      <c r="G28" s="15" t="s">
        <v>194</v>
      </c>
    </row>
    <row r="29" spans="2:11" ht="15" customHeight="1">
      <c r="B29" s="557" t="s">
        <v>195</v>
      </c>
      <c r="C29" s="558"/>
      <c r="D29" s="553"/>
      <c r="E29" s="554"/>
      <c r="F29" s="556"/>
      <c r="G29" s="16" t="s">
        <v>668</v>
      </c>
    </row>
    <row r="30" spans="2:11" ht="22.5">
      <c r="B30" s="559" t="s">
        <v>197</v>
      </c>
      <c r="C30" s="560"/>
      <c r="D30" s="565" t="s">
        <v>669</v>
      </c>
      <c r="E30" s="566"/>
      <c r="F30" s="571">
        <v>192</v>
      </c>
      <c r="G30" s="17" t="s">
        <v>199</v>
      </c>
    </row>
    <row r="31" spans="2:11">
      <c r="B31" s="561"/>
      <c r="C31" s="562"/>
      <c r="D31" s="567"/>
      <c r="E31" s="568"/>
      <c r="F31" s="572"/>
      <c r="G31" s="18" t="s">
        <v>200</v>
      </c>
    </row>
    <row r="32" spans="2:11">
      <c r="B32" s="563"/>
      <c r="C32" s="564"/>
      <c r="D32" s="569"/>
      <c r="E32" s="570"/>
      <c r="F32" s="573"/>
      <c r="G32" s="17" t="s">
        <v>201</v>
      </c>
    </row>
    <row r="33" spans="2:7">
      <c r="B33" s="19" t="s">
        <v>202</v>
      </c>
      <c r="C33" s="20"/>
      <c r="D33" s="20"/>
      <c r="E33" s="20"/>
      <c r="F33" s="20"/>
      <c r="G33" s="21"/>
    </row>
    <row r="34" spans="2:7">
      <c r="B34" s="22"/>
      <c r="C34" s="23" t="s">
        <v>203</v>
      </c>
      <c r="D34" s="23" t="s">
        <v>203</v>
      </c>
      <c r="E34" s="23" t="s">
        <v>203</v>
      </c>
      <c r="F34" s="23" t="s">
        <v>203</v>
      </c>
      <c r="G34" s="23" t="s">
        <v>203</v>
      </c>
    </row>
    <row r="35" spans="2:7">
      <c r="B35" s="574" t="s">
        <v>204</v>
      </c>
      <c r="C35" s="580" t="s">
        <v>670</v>
      </c>
      <c r="D35" s="580" t="s">
        <v>671</v>
      </c>
      <c r="E35" s="580" t="s">
        <v>672</v>
      </c>
      <c r="F35" s="580" t="s">
        <v>202</v>
      </c>
      <c r="G35" s="580" t="s">
        <v>202</v>
      </c>
    </row>
    <row r="36" spans="2:7">
      <c r="B36" s="575"/>
      <c r="C36" s="581"/>
      <c r="D36" s="581"/>
      <c r="E36" s="581"/>
      <c r="F36" s="581"/>
      <c r="G36" s="581"/>
    </row>
    <row r="37" spans="2:7">
      <c r="B37" s="575"/>
      <c r="C37" s="581"/>
      <c r="D37" s="581"/>
      <c r="E37" s="581"/>
      <c r="F37" s="581"/>
      <c r="G37" s="581"/>
    </row>
    <row r="38" spans="2:7">
      <c r="B38" s="576"/>
      <c r="C38" s="582"/>
      <c r="D38" s="582"/>
      <c r="E38" s="582"/>
      <c r="F38" s="582"/>
      <c r="G38" s="582"/>
    </row>
    <row r="39" spans="2:7">
      <c r="B39" s="574" t="s">
        <v>208</v>
      </c>
      <c r="C39" s="580" t="s">
        <v>673</v>
      </c>
      <c r="D39" s="580" t="s">
        <v>674</v>
      </c>
      <c r="E39" s="580" t="s">
        <v>675</v>
      </c>
      <c r="F39" s="580" t="s">
        <v>202</v>
      </c>
      <c r="G39" s="580" t="s">
        <v>202</v>
      </c>
    </row>
    <row r="40" spans="2:7">
      <c r="B40" s="575"/>
      <c r="C40" s="581"/>
      <c r="D40" s="581"/>
      <c r="E40" s="581"/>
      <c r="F40" s="581"/>
      <c r="G40" s="581"/>
    </row>
    <row r="41" spans="2:7">
      <c r="B41" s="575"/>
      <c r="C41" s="581"/>
      <c r="D41" s="581"/>
      <c r="E41" s="581"/>
      <c r="F41" s="581"/>
      <c r="G41" s="581"/>
    </row>
    <row r="42" spans="2:7" ht="42.75" customHeight="1">
      <c r="B42" s="576"/>
      <c r="C42" s="582"/>
      <c r="D42" s="582"/>
      <c r="E42" s="582"/>
      <c r="F42" s="582"/>
      <c r="G42" s="582"/>
    </row>
    <row r="43" spans="2:7">
      <c r="B43" s="24"/>
      <c r="C43" s="20"/>
      <c r="D43" s="20"/>
      <c r="E43" s="20"/>
      <c r="F43" s="20"/>
      <c r="G43" s="21"/>
    </row>
    <row r="44" spans="2:7">
      <c r="B44" s="597" t="s">
        <v>212</v>
      </c>
      <c r="C44" s="598"/>
      <c r="D44" s="598"/>
      <c r="E44" s="599" t="s">
        <v>213</v>
      </c>
      <c r="F44" s="599"/>
      <c r="G44" s="600"/>
    </row>
    <row r="45" spans="2:7" ht="34.5" customHeight="1">
      <c r="B45" s="601" t="s">
        <v>639</v>
      </c>
      <c r="C45" s="602"/>
      <c r="D45" s="603"/>
      <c r="E45" s="610" t="s">
        <v>676</v>
      </c>
      <c r="F45" s="611"/>
      <c r="G45" s="612"/>
    </row>
    <row r="46" spans="2:7">
      <c r="B46" s="604"/>
      <c r="C46" s="605"/>
      <c r="D46" s="606"/>
      <c r="E46" s="611"/>
      <c r="F46" s="611"/>
      <c r="G46" s="612"/>
    </row>
    <row r="47" spans="2:7">
      <c r="B47" s="604"/>
      <c r="C47" s="605"/>
      <c r="D47" s="606"/>
      <c r="E47" s="611"/>
      <c r="F47" s="611"/>
      <c r="G47" s="612"/>
    </row>
    <row r="48" spans="2:7" ht="24.75" customHeight="1">
      <c r="B48" s="607"/>
      <c r="C48" s="608"/>
      <c r="D48" s="609"/>
      <c r="E48" s="611"/>
      <c r="F48" s="611"/>
      <c r="G48" s="612"/>
    </row>
    <row r="49" spans="2:7">
      <c r="B49" s="25"/>
      <c r="C49" s="26"/>
      <c r="D49" s="26"/>
      <c r="E49" s="26"/>
      <c r="F49" s="26"/>
      <c r="G49" s="27"/>
    </row>
    <row r="50" spans="2:7">
      <c r="B50" s="28"/>
      <c r="G50" s="29"/>
    </row>
    <row r="51" spans="2:7" ht="15.75">
      <c r="B51" s="613" t="s">
        <v>216</v>
      </c>
      <c r="C51" s="614"/>
      <c r="D51" s="614"/>
      <c r="E51" s="614"/>
      <c r="F51" s="614"/>
      <c r="G51" s="615"/>
    </row>
    <row r="52" spans="2:7">
      <c r="B52" s="616" t="s">
        <v>217</v>
      </c>
      <c r="C52" s="617"/>
      <c r="D52" s="617" t="s">
        <v>218</v>
      </c>
      <c r="E52" s="617"/>
      <c r="F52" s="595" t="s">
        <v>219</v>
      </c>
      <c r="G52" s="596"/>
    </row>
    <row r="53" spans="2:7">
      <c r="B53" s="583"/>
      <c r="C53" s="584"/>
      <c r="D53" s="587"/>
      <c r="E53" s="584"/>
      <c r="F53" s="589"/>
      <c r="G53" s="590"/>
    </row>
    <row r="54" spans="2:7">
      <c r="B54" s="585"/>
      <c r="C54" s="586"/>
      <c r="D54" s="588"/>
      <c r="E54" s="586"/>
      <c r="F54" s="591"/>
      <c r="G54" s="592"/>
    </row>
    <row r="55" spans="2:7">
      <c r="B55" s="28"/>
      <c r="G55" s="29"/>
    </row>
    <row r="56" spans="2:7">
      <c r="B56" s="593" t="s">
        <v>220</v>
      </c>
      <c r="C56" s="594"/>
      <c r="D56" s="595" t="s">
        <v>221</v>
      </c>
      <c r="E56" s="594"/>
      <c r="F56" s="595" t="s">
        <v>222</v>
      </c>
      <c r="G56" s="596"/>
    </row>
    <row r="57" spans="2:7">
      <c r="B57" s="639"/>
      <c r="C57" s="640"/>
      <c r="D57" s="641"/>
      <c r="E57" s="640"/>
      <c r="F57" s="641" t="s">
        <v>677</v>
      </c>
      <c r="G57" s="642"/>
    </row>
    <row r="58" spans="2:7">
      <c r="B58" s="43"/>
      <c r="C58" s="43"/>
      <c r="D58" s="43"/>
      <c r="E58" s="43"/>
      <c r="F58" s="43"/>
      <c r="G58" s="43"/>
    </row>
    <row r="59" spans="2:7">
      <c r="B59" s="43"/>
      <c r="C59" s="43"/>
      <c r="D59" s="43"/>
      <c r="E59" s="43"/>
      <c r="F59" s="43"/>
      <c r="G59" s="43"/>
    </row>
    <row r="60" spans="2:7" ht="15.75">
      <c r="B60" s="543" t="s">
        <v>189</v>
      </c>
      <c r="C60" s="544"/>
      <c r="D60" s="544"/>
      <c r="E60" s="544"/>
      <c r="F60" s="544"/>
      <c r="G60" s="545"/>
    </row>
    <row r="61" spans="2:7" ht="15.75">
      <c r="B61" s="546" t="s">
        <v>190</v>
      </c>
      <c r="C61" s="547"/>
      <c r="D61" s="547"/>
      <c r="E61" s="547"/>
      <c r="F61" s="547"/>
      <c r="G61" s="548"/>
    </row>
    <row r="62" spans="2:7">
      <c r="B62" s="549" t="s">
        <v>191</v>
      </c>
      <c r="C62" s="550"/>
      <c r="D62" s="551" t="s">
        <v>192</v>
      </c>
      <c r="E62" s="552"/>
      <c r="F62" s="555" t="s">
        <v>193</v>
      </c>
      <c r="G62" s="15" t="s">
        <v>194</v>
      </c>
    </row>
    <row r="63" spans="2:7">
      <c r="B63" s="557" t="s">
        <v>224</v>
      </c>
      <c r="C63" s="558"/>
      <c r="D63" s="553"/>
      <c r="E63" s="554"/>
      <c r="F63" s="556"/>
      <c r="G63" s="16" t="s">
        <v>678</v>
      </c>
    </row>
    <row r="64" spans="2:7" ht="22.5">
      <c r="B64" s="559" t="s">
        <v>197</v>
      </c>
      <c r="C64" s="560"/>
      <c r="D64" s="565" t="s">
        <v>679</v>
      </c>
      <c r="E64" s="566"/>
      <c r="F64" s="571">
        <v>94</v>
      </c>
      <c r="G64" s="17" t="s">
        <v>199</v>
      </c>
    </row>
    <row r="65" spans="2:7">
      <c r="B65" s="561"/>
      <c r="C65" s="562"/>
      <c r="D65" s="567"/>
      <c r="E65" s="568"/>
      <c r="F65" s="572"/>
      <c r="G65" s="18" t="s">
        <v>200</v>
      </c>
    </row>
    <row r="66" spans="2:7">
      <c r="B66" s="563"/>
      <c r="C66" s="564"/>
      <c r="D66" s="569"/>
      <c r="E66" s="570"/>
      <c r="F66" s="573"/>
      <c r="G66" s="17" t="s">
        <v>201</v>
      </c>
    </row>
    <row r="67" spans="2:7">
      <c r="B67" s="19" t="s">
        <v>202</v>
      </c>
      <c r="C67" s="20"/>
      <c r="D67" s="20"/>
      <c r="E67" s="20"/>
      <c r="F67" s="20"/>
      <c r="G67" s="21"/>
    </row>
    <row r="68" spans="2:7">
      <c r="B68" s="22"/>
      <c r="C68" s="23" t="s">
        <v>203</v>
      </c>
      <c r="D68" s="23" t="s">
        <v>203</v>
      </c>
      <c r="E68" s="23" t="s">
        <v>203</v>
      </c>
      <c r="F68" s="23" t="s">
        <v>203</v>
      </c>
      <c r="G68" s="23" t="s">
        <v>203</v>
      </c>
    </row>
    <row r="69" spans="2:7">
      <c r="B69" s="574" t="s">
        <v>204</v>
      </c>
      <c r="C69" s="580" t="s">
        <v>264</v>
      </c>
      <c r="D69" s="580" t="s">
        <v>680</v>
      </c>
      <c r="E69" s="580" t="s">
        <v>681</v>
      </c>
      <c r="F69" s="580" t="s">
        <v>682</v>
      </c>
      <c r="G69" s="580" t="s">
        <v>202</v>
      </c>
    </row>
    <row r="70" spans="2:7">
      <c r="B70" s="575"/>
      <c r="C70" s="581"/>
      <c r="D70" s="581"/>
      <c r="E70" s="581"/>
      <c r="F70" s="581"/>
      <c r="G70" s="581"/>
    </row>
    <row r="71" spans="2:7">
      <c r="B71" s="575"/>
      <c r="C71" s="581"/>
      <c r="D71" s="581"/>
      <c r="E71" s="581"/>
      <c r="F71" s="581"/>
      <c r="G71" s="581"/>
    </row>
    <row r="72" spans="2:7">
      <c r="B72" s="576"/>
      <c r="C72" s="582"/>
      <c r="D72" s="582"/>
      <c r="E72" s="582"/>
      <c r="F72" s="582"/>
      <c r="G72" s="582"/>
    </row>
    <row r="73" spans="2:7">
      <c r="B73" s="574" t="s">
        <v>208</v>
      </c>
      <c r="C73" s="580" t="s">
        <v>683</v>
      </c>
      <c r="D73" s="580" t="s">
        <v>684</v>
      </c>
      <c r="E73" s="580" t="s">
        <v>685</v>
      </c>
      <c r="F73" s="580" t="s">
        <v>650</v>
      </c>
      <c r="G73" s="580"/>
    </row>
    <row r="74" spans="2:7">
      <c r="B74" s="575"/>
      <c r="C74" s="581"/>
      <c r="D74" s="581"/>
      <c r="E74" s="581"/>
      <c r="F74" s="581"/>
      <c r="G74" s="581"/>
    </row>
    <row r="75" spans="2:7">
      <c r="B75" s="575"/>
      <c r="C75" s="581"/>
      <c r="D75" s="581"/>
      <c r="E75" s="581"/>
      <c r="F75" s="581"/>
      <c r="G75" s="581"/>
    </row>
    <row r="76" spans="2:7">
      <c r="B76" s="576"/>
      <c r="C76" s="582"/>
      <c r="D76" s="582"/>
      <c r="E76" s="582"/>
      <c r="F76" s="582"/>
      <c r="G76" s="582"/>
    </row>
    <row r="77" spans="2:7">
      <c r="B77" s="24"/>
      <c r="C77" s="20"/>
      <c r="D77" s="20"/>
      <c r="E77" s="20"/>
      <c r="F77" s="20"/>
      <c r="G77" s="21"/>
    </row>
    <row r="78" spans="2:7">
      <c r="B78" s="597" t="s">
        <v>212</v>
      </c>
      <c r="C78" s="598"/>
      <c r="D78" s="598"/>
      <c r="E78" s="599" t="s">
        <v>213</v>
      </c>
      <c r="F78" s="599"/>
      <c r="G78" s="600"/>
    </row>
    <row r="79" spans="2:7">
      <c r="B79" s="601" t="s">
        <v>650</v>
      </c>
      <c r="C79" s="602"/>
      <c r="D79" s="603"/>
      <c r="E79" s="610" t="s">
        <v>686</v>
      </c>
      <c r="F79" s="611"/>
      <c r="G79" s="612"/>
    </row>
    <row r="80" spans="2:7">
      <c r="B80" s="604"/>
      <c r="C80" s="605"/>
      <c r="D80" s="606"/>
      <c r="E80" s="611"/>
      <c r="F80" s="611"/>
      <c r="G80" s="612"/>
    </row>
    <row r="81" spans="2:7">
      <c r="B81" s="604"/>
      <c r="C81" s="605"/>
      <c r="D81" s="606"/>
      <c r="E81" s="611"/>
      <c r="F81" s="611"/>
      <c r="G81" s="612"/>
    </row>
    <row r="82" spans="2:7">
      <c r="B82" s="607"/>
      <c r="C82" s="608"/>
      <c r="D82" s="609"/>
      <c r="E82" s="611"/>
      <c r="F82" s="611"/>
      <c r="G82" s="612"/>
    </row>
    <row r="83" spans="2:7">
      <c r="B83" s="25"/>
      <c r="C83" s="26"/>
      <c r="D83" s="26"/>
      <c r="E83" s="26"/>
      <c r="F83" s="26"/>
      <c r="G83" s="27"/>
    </row>
    <row r="84" spans="2:7">
      <c r="B84" s="28"/>
      <c r="G84" s="29"/>
    </row>
    <row r="85" spans="2:7" ht="15.75">
      <c r="B85" s="613" t="s">
        <v>216</v>
      </c>
      <c r="C85" s="614"/>
      <c r="D85" s="614"/>
      <c r="E85" s="614"/>
      <c r="F85" s="614"/>
      <c r="G85" s="615"/>
    </row>
    <row r="86" spans="2:7">
      <c r="B86" s="616" t="s">
        <v>217</v>
      </c>
      <c r="C86" s="617"/>
      <c r="D86" s="617" t="s">
        <v>218</v>
      </c>
      <c r="E86" s="617"/>
      <c r="F86" s="595" t="s">
        <v>219</v>
      </c>
      <c r="G86" s="596"/>
    </row>
    <row r="87" spans="2:7">
      <c r="B87" s="583"/>
      <c r="C87" s="584"/>
      <c r="D87" s="587"/>
      <c r="E87" s="584"/>
      <c r="F87" s="589"/>
      <c r="G87" s="590"/>
    </row>
    <row r="88" spans="2:7">
      <c r="B88" s="585"/>
      <c r="C88" s="586"/>
      <c r="D88" s="588"/>
      <c r="E88" s="586"/>
      <c r="F88" s="591"/>
      <c r="G88" s="592"/>
    </row>
    <row r="89" spans="2:7">
      <c r="B89" s="28"/>
      <c r="G89" s="29"/>
    </row>
    <row r="90" spans="2:7">
      <c r="B90" s="593" t="s">
        <v>220</v>
      </c>
      <c r="C90" s="594"/>
      <c r="D90" s="595" t="s">
        <v>221</v>
      </c>
      <c r="E90" s="594"/>
      <c r="F90" s="595" t="s">
        <v>222</v>
      </c>
      <c r="G90" s="596"/>
    </row>
    <row r="91" spans="2:7">
      <c r="B91" s="639"/>
      <c r="C91" s="640"/>
      <c r="D91" s="641"/>
      <c r="E91" s="640"/>
      <c r="F91" s="641" t="s">
        <v>687</v>
      </c>
      <c r="G91" s="642"/>
    </row>
    <row r="92" spans="2:7">
      <c r="B92" s="43"/>
      <c r="C92" s="43"/>
      <c r="D92" s="43"/>
      <c r="E92" s="43"/>
      <c r="F92" s="43"/>
      <c r="G92" s="43"/>
    </row>
    <row r="94" spans="2:7" ht="15.75">
      <c r="B94" s="543" t="s">
        <v>189</v>
      </c>
      <c r="C94" s="544"/>
      <c r="D94" s="544"/>
      <c r="E94" s="544"/>
      <c r="F94" s="544"/>
      <c r="G94" s="545"/>
    </row>
    <row r="95" spans="2:7" ht="15.75">
      <c r="B95" s="546" t="s">
        <v>190</v>
      </c>
      <c r="C95" s="547"/>
      <c r="D95" s="547"/>
      <c r="E95" s="547"/>
      <c r="F95" s="547"/>
      <c r="G95" s="548"/>
    </row>
    <row r="96" spans="2:7">
      <c r="B96" s="549" t="s">
        <v>191</v>
      </c>
      <c r="C96" s="550"/>
      <c r="D96" s="551" t="s">
        <v>192</v>
      </c>
      <c r="E96" s="552"/>
      <c r="F96" s="555" t="s">
        <v>193</v>
      </c>
      <c r="G96" s="15" t="s">
        <v>194</v>
      </c>
    </row>
    <row r="97" spans="2:7">
      <c r="B97" s="557" t="s">
        <v>231</v>
      </c>
      <c r="C97" s="558"/>
      <c r="D97" s="553"/>
      <c r="E97" s="554"/>
      <c r="F97" s="556"/>
      <c r="G97" s="16" t="s">
        <v>688</v>
      </c>
    </row>
    <row r="98" spans="2:7" ht="22.5">
      <c r="B98" s="559" t="s">
        <v>197</v>
      </c>
      <c r="C98" s="560"/>
      <c r="D98" s="565" t="s">
        <v>263</v>
      </c>
      <c r="E98" s="566"/>
      <c r="F98" s="571">
        <v>120</v>
      </c>
      <c r="G98" s="17" t="s">
        <v>199</v>
      </c>
    </row>
    <row r="99" spans="2:7">
      <c r="B99" s="561"/>
      <c r="C99" s="562"/>
      <c r="D99" s="567"/>
      <c r="E99" s="568"/>
      <c r="F99" s="572"/>
      <c r="G99" s="18" t="s">
        <v>200</v>
      </c>
    </row>
    <row r="100" spans="2:7">
      <c r="B100" s="563"/>
      <c r="C100" s="564"/>
      <c r="D100" s="569"/>
      <c r="E100" s="570"/>
      <c r="F100" s="573"/>
      <c r="G100" s="17" t="s">
        <v>201</v>
      </c>
    </row>
    <row r="101" spans="2:7">
      <c r="B101" s="19" t="s">
        <v>202</v>
      </c>
      <c r="C101" s="20"/>
      <c r="D101" s="20"/>
      <c r="E101" s="20"/>
      <c r="F101" s="20"/>
      <c r="G101" s="21"/>
    </row>
    <row r="102" spans="2:7">
      <c r="B102" s="22"/>
      <c r="C102" s="23" t="s">
        <v>203</v>
      </c>
      <c r="D102" s="23" t="s">
        <v>203</v>
      </c>
      <c r="E102" s="23" t="s">
        <v>203</v>
      </c>
      <c r="F102" s="23" t="s">
        <v>203</v>
      </c>
      <c r="G102" s="23" t="s">
        <v>203</v>
      </c>
    </row>
    <row r="103" spans="2:7">
      <c r="B103" s="574" t="s">
        <v>204</v>
      </c>
      <c r="C103" s="580" t="s">
        <v>264</v>
      </c>
      <c r="D103" s="580" t="s">
        <v>689</v>
      </c>
      <c r="E103" s="580" t="s">
        <v>690</v>
      </c>
      <c r="F103" s="580" t="s">
        <v>691</v>
      </c>
      <c r="G103" s="580" t="s">
        <v>202</v>
      </c>
    </row>
    <row r="104" spans="2:7">
      <c r="B104" s="575"/>
      <c r="C104" s="581"/>
      <c r="D104" s="581"/>
      <c r="E104" s="581"/>
      <c r="F104" s="581"/>
      <c r="G104" s="581"/>
    </row>
    <row r="105" spans="2:7">
      <c r="B105" s="575"/>
      <c r="C105" s="581"/>
      <c r="D105" s="581"/>
      <c r="E105" s="581"/>
      <c r="F105" s="581"/>
      <c r="G105" s="581"/>
    </row>
    <row r="106" spans="2:7">
      <c r="B106" s="576"/>
      <c r="C106" s="582"/>
      <c r="D106" s="582"/>
      <c r="E106" s="582"/>
      <c r="F106" s="582"/>
      <c r="G106" s="582"/>
    </row>
    <row r="107" spans="2:7">
      <c r="B107" s="574" t="s">
        <v>208</v>
      </c>
      <c r="C107" s="580" t="s">
        <v>692</v>
      </c>
      <c r="D107" s="580" t="s">
        <v>693</v>
      </c>
      <c r="E107" s="580" t="s">
        <v>694</v>
      </c>
      <c r="F107" s="580" t="s">
        <v>695</v>
      </c>
      <c r="G107" s="580"/>
    </row>
    <row r="108" spans="2:7">
      <c r="B108" s="575"/>
      <c r="C108" s="581"/>
      <c r="D108" s="581"/>
      <c r="E108" s="581"/>
      <c r="F108" s="581"/>
      <c r="G108" s="581"/>
    </row>
    <row r="109" spans="2:7">
      <c r="B109" s="575"/>
      <c r="C109" s="581"/>
      <c r="D109" s="581"/>
      <c r="E109" s="581"/>
      <c r="F109" s="581"/>
      <c r="G109" s="581"/>
    </row>
    <row r="110" spans="2:7">
      <c r="B110" s="576"/>
      <c r="C110" s="582"/>
      <c r="D110" s="582"/>
      <c r="E110" s="582"/>
      <c r="F110" s="582"/>
      <c r="G110" s="582"/>
    </row>
    <row r="111" spans="2:7">
      <c r="B111" s="24"/>
      <c r="C111" s="20"/>
      <c r="D111" s="20"/>
      <c r="E111" s="20"/>
      <c r="F111" s="20"/>
      <c r="G111" s="21"/>
    </row>
    <row r="112" spans="2:7">
      <c r="B112" s="597" t="s">
        <v>212</v>
      </c>
      <c r="C112" s="598"/>
      <c r="D112" s="598"/>
      <c r="E112" s="599" t="s">
        <v>213</v>
      </c>
      <c r="F112" s="599"/>
      <c r="G112" s="600"/>
    </row>
    <row r="113" spans="2:7">
      <c r="B113" s="601" t="s">
        <v>696</v>
      </c>
      <c r="C113" s="602"/>
      <c r="D113" s="603"/>
      <c r="E113" s="610" t="s">
        <v>697</v>
      </c>
      <c r="F113" s="611"/>
      <c r="G113" s="612"/>
    </row>
    <row r="114" spans="2:7">
      <c r="B114" s="604"/>
      <c r="C114" s="605"/>
      <c r="D114" s="606"/>
      <c r="E114" s="611"/>
      <c r="F114" s="611"/>
      <c r="G114" s="612"/>
    </row>
    <row r="115" spans="2:7">
      <c r="B115" s="604"/>
      <c r="C115" s="605"/>
      <c r="D115" s="606"/>
      <c r="E115" s="611"/>
      <c r="F115" s="611"/>
      <c r="G115" s="612"/>
    </row>
    <row r="116" spans="2:7">
      <c r="B116" s="607"/>
      <c r="C116" s="608"/>
      <c r="D116" s="609"/>
      <c r="E116" s="611"/>
      <c r="F116" s="611"/>
      <c r="G116" s="612"/>
    </row>
    <row r="117" spans="2:7">
      <c r="B117" s="25"/>
      <c r="C117" s="26"/>
      <c r="D117" s="26"/>
      <c r="E117" s="26"/>
      <c r="F117" s="26"/>
      <c r="G117" s="27"/>
    </row>
    <row r="118" spans="2:7">
      <c r="B118" s="28"/>
      <c r="G118" s="29"/>
    </row>
    <row r="119" spans="2:7" ht="15.75">
      <c r="B119" s="613" t="s">
        <v>216</v>
      </c>
      <c r="C119" s="614"/>
      <c r="D119" s="614"/>
      <c r="E119" s="614"/>
      <c r="F119" s="614"/>
      <c r="G119" s="615"/>
    </row>
    <row r="120" spans="2:7">
      <c r="B120" s="616" t="s">
        <v>217</v>
      </c>
      <c r="C120" s="617"/>
      <c r="D120" s="617" t="s">
        <v>218</v>
      </c>
      <c r="E120" s="617"/>
      <c r="F120" s="595" t="s">
        <v>219</v>
      </c>
      <c r="G120" s="596"/>
    </row>
    <row r="121" spans="2:7">
      <c r="B121" s="583"/>
      <c r="C121" s="584"/>
      <c r="D121" s="587"/>
      <c r="E121" s="584"/>
      <c r="F121" s="589"/>
      <c r="G121" s="590"/>
    </row>
    <row r="122" spans="2:7">
      <c r="B122" s="585"/>
      <c r="C122" s="586"/>
      <c r="D122" s="588"/>
      <c r="E122" s="586"/>
      <c r="F122" s="591"/>
      <c r="G122" s="592"/>
    </row>
    <row r="123" spans="2:7">
      <c r="B123" s="28"/>
      <c r="G123" s="29"/>
    </row>
    <row r="124" spans="2:7">
      <c r="B124" s="593" t="s">
        <v>220</v>
      </c>
      <c r="C124" s="594"/>
      <c r="D124" s="595" t="s">
        <v>221</v>
      </c>
      <c r="E124" s="594"/>
      <c r="F124" s="595" t="s">
        <v>222</v>
      </c>
      <c r="G124" s="596"/>
    </row>
    <row r="125" spans="2:7">
      <c r="B125" s="639"/>
      <c r="C125" s="640"/>
      <c r="D125" s="641"/>
      <c r="E125" s="640"/>
      <c r="F125" s="641" t="s">
        <v>698</v>
      </c>
      <c r="G125" s="642"/>
    </row>
    <row r="129" spans="2:7" ht="15.75">
      <c r="B129" s="543" t="s">
        <v>189</v>
      </c>
      <c r="C129" s="544"/>
      <c r="D129" s="544"/>
      <c r="E129" s="544"/>
      <c r="F129" s="544"/>
      <c r="G129" s="545"/>
    </row>
    <row r="130" spans="2:7" ht="15.75">
      <c r="B130" s="546" t="s">
        <v>190</v>
      </c>
      <c r="C130" s="547"/>
      <c r="D130" s="547"/>
      <c r="E130" s="547"/>
      <c r="F130" s="547"/>
      <c r="G130" s="548"/>
    </row>
    <row r="131" spans="2:7">
      <c r="B131" s="549" t="s">
        <v>191</v>
      </c>
      <c r="C131" s="550"/>
      <c r="D131" s="551" t="s">
        <v>192</v>
      </c>
      <c r="E131" s="552"/>
      <c r="F131" s="555" t="s">
        <v>193</v>
      </c>
      <c r="G131" s="15" t="s">
        <v>194</v>
      </c>
    </row>
    <row r="132" spans="2:7">
      <c r="B132" s="557" t="s">
        <v>195</v>
      </c>
      <c r="C132" s="558"/>
      <c r="D132" s="553"/>
      <c r="E132" s="554"/>
      <c r="F132" s="556"/>
      <c r="G132" s="16" t="s">
        <v>699</v>
      </c>
    </row>
    <row r="133" spans="2:7" ht="22.5">
      <c r="B133" s="559" t="s">
        <v>197</v>
      </c>
      <c r="C133" s="560"/>
      <c r="D133" s="565" t="s">
        <v>700</v>
      </c>
      <c r="E133" s="566"/>
      <c r="F133" s="571">
        <v>90</v>
      </c>
      <c r="G133" s="17" t="s">
        <v>319</v>
      </c>
    </row>
    <row r="134" spans="2:7">
      <c r="B134" s="561"/>
      <c r="C134" s="562"/>
      <c r="D134" s="567"/>
      <c r="E134" s="568"/>
      <c r="F134" s="572"/>
      <c r="G134" s="18" t="s">
        <v>200</v>
      </c>
    </row>
    <row r="135" spans="2:7">
      <c r="B135" s="563"/>
      <c r="C135" s="564"/>
      <c r="D135" s="569"/>
      <c r="E135" s="570"/>
      <c r="F135" s="573"/>
      <c r="G135" s="17" t="s">
        <v>201</v>
      </c>
    </row>
    <row r="136" spans="2:7">
      <c r="B136" s="19" t="s">
        <v>202</v>
      </c>
      <c r="C136" s="20"/>
      <c r="D136" s="20"/>
      <c r="E136" s="20"/>
      <c r="F136" s="20"/>
      <c r="G136" s="21"/>
    </row>
    <row r="137" spans="2:7">
      <c r="B137" s="22"/>
      <c r="C137" s="23" t="s">
        <v>203</v>
      </c>
      <c r="D137" s="23" t="s">
        <v>203</v>
      </c>
      <c r="E137" s="23" t="s">
        <v>203</v>
      </c>
      <c r="F137" s="23" t="s">
        <v>203</v>
      </c>
      <c r="G137" s="23" t="s">
        <v>203</v>
      </c>
    </row>
    <row r="138" spans="2:7">
      <c r="B138" s="574" t="s">
        <v>204</v>
      </c>
      <c r="C138" s="580" t="s">
        <v>264</v>
      </c>
      <c r="D138" s="580" t="s">
        <v>701</v>
      </c>
      <c r="E138" s="580" t="s">
        <v>702</v>
      </c>
      <c r="F138" s="580" t="s">
        <v>202</v>
      </c>
      <c r="G138" s="580" t="s">
        <v>202</v>
      </c>
    </row>
    <row r="139" spans="2:7">
      <c r="B139" s="575"/>
      <c r="C139" s="581"/>
      <c r="D139" s="581"/>
      <c r="E139" s="581"/>
      <c r="F139" s="581"/>
      <c r="G139" s="581"/>
    </row>
    <row r="140" spans="2:7">
      <c r="B140" s="575"/>
      <c r="C140" s="581"/>
      <c r="D140" s="581"/>
      <c r="E140" s="581"/>
      <c r="F140" s="581"/>
      <c r="G140" s="581"/>
    </row>
    <row r="141" spans="2:7">
      <c r="B141" s="576"/>
      <c r="C141" s="582"/>
      <c r="D141" s="582"/>
      <c r="E141" s="582"/>
      <c r="F141" s="582"/>
      <c r="G141" s="582"/>
    </row>
    <row r="142" spans="2:7">
      <c r="B142" s="574" t="s">
        <v>208</v>
      </c>
      <c r="C142" s="580" t="s">
        <v>703</v>
      </c>
      <c r="D142" s="580" t="s">
        <v>704</v>
      </c>
      <c r="E142" s="580" t="s">
        <v>705</v>
      </c>
      <c r="F142" s="580" t="s">
        <v>202</v>
      </c>
      <c r="G142" s="580" t="s">
        <v>202</v>
      </c>
    </row>
    <row r="143" spans="2:7">
      <c r="B143" s="575"/>
      <c r="C143" s="581"/>
      <c r="D143" s="581"/>
      <c r="E143" s="581"/>
      <c r="F143" s="581"/>
      <c r="G143" s="581"/>
    </row>
    <row r="144" spans="2:7">
      <c r="B144" s="575"/>
      <c r="C144" s="581"/>
      <c r="D144" s="581"/>
      <c r="E144" s="581"/>
      <c r="F144" s="581"/>
      <c r="G144" s="581"/>
    </row>
    <row r="145" spans="2:7">
      <c r="B145" s="576"/>
      <c r="C145" s="582"/>
      <c r="D145" s="582"/>
      <c r="E145" s="582"/>
      <c r="F145" s="582"/>
      <c r="G145" s="582"/>
    </row>
    <row r="146" spans="2:7">
      <c r="B146" s="24"/>
      <c r="C146" s="20"/>
      <c r="D146" s="20"/>
      <c r="E146" s="20"/>
      <c r="F146" s="20"/>
      <c r="G146" s="21"/>
    </row>
    <row r="147" spans="2:7">
      <c r="B147" s="597" t="s">
        <v>212</v>
      </c>
      <c r="C147" s="598"/>
      <c r="D147" s="598"/>
      <c r="E147" s="599" t="s">
        <v>213</v>
      </c>
      <c r="F147" s="599"/>
      <c r="G147" s="600"/>
    </row>
    <row r="148" spans="2:7">
      <c r="B148" s="601" t="s">
        <v>665</v>
      </c>
      <c r="C148" s="602"/>
      <c r="D148" s="603"/>
      <c r="E148" s="610" t="s">
        <v>706</v>
      </c>
      <c r="F148" s="611"/>
      <c r="G148" s="612"/>
    </row>
    <row r="149" spans="2:7">
      <c r="B149" s="604"/>
      <c r="C149" s="605"/>
      <c r="D149" s="606"/>
      <c r="E149" s="611"/>
      <c r="F149" s="611"/>
      <c r="G149" s="612"/>
    </row>
    <row r="150" spans="2:7">
      <c r="B150" s="604"/>
      <c r="C150" s="605"/>
      <c r="D150" s="606"/>
      <c r="E150" s="611"/>
      <c r="F150" s="611"/>
      <c r="G150" s="612"/>
    </row>
    <row r="151" spans="2:7">
      <c r="B151" s="607"/>
      <c r="C151" s="608"/>
      <c r="D151" s="609"/>
      <c r="E151" s="611"/>
      <c r="F151" s="611"/>
      <c r="G151" s="612"/>
    </row>
    <row r="152" spans="2:7">
      <c r="B152" s="25"/>
      <c r="C152" s="26"/>
      <c r="D152" s="26"/>
      <c r="E152" s="26"/>
      <c r="F152" s="26"/>
      <c r="G152" s="27"/>
    </row>
    <row r="153" spans="2:7">
      <c r="B153" s="28"/>
      <c r="G153" s="29"/>
    </row>
    <row r="154" spans="2:7" ht="15.75">
      <c r="B154" s="613" t="s">
        <v>216</v>
      </c>
      <c r="C154" s="614"/>
      <c r="D154" s="614"/>
      <c r="E154" s="614"/>
      <c r="F154" s="614"/>
      <c r="G154" s="615"/>
    </row>
    <row r="155" spans="2:7">
      <c r="B155" s="616" t="s">
        <v>217</v>
      </c>
      <c r="C155" s="617"/>
      <c r="D155" s="617" t="s">
        <v>218</v>
      </c>
      <c r="E155" s="617"/>
      <c r="F155" s="595" t="s">
        <v>219</v>
      </c>
      <c r="G155" s="596"/>
    </row>
    <row r="156" spans="2:7">
      <c r="B156" s="583"/>
      <c r="C156" s="584"/>
      <c r="D156" s="587"/>
      <c r="E156" s="584"/>
      <c r="F156" s="589"/>
      <c r="G156" s="590"/>
    </row>
    <row r="157" spans="2:7">
      <c r="B157" s="585"/>
      <c r="C157" s="586"/>
      <c r="D157" s="588"/>
      <c r="E157" s="586"/>
      <c r="F157" s="591"/>
      <c r="G157" s="592"/>
    </row>
    <row r="158" spans="2:7">
      <c r="B158" s="28"/>
      <c r="G158" s="29"/>
    </row>
    <row r="159" spans="2:7">
      <c r="B159" s="593" t="s">
        <v>220</v>
      </c>
      <c r="C159" s="594"/>
      <c r="D159" s="595" t="s">
        <v>221</v>
      </c>
      <c r="E159" s="594"/>
      <c r="F159" s="595" t="s">
        <v>222</v>
      </c>
      <c r="G159" s="596"/>
    </row>
    <row r="160" spans="2:7">
      <c r="B160" s="639"/>
      <c r="C160" s="640"/>
      <c r="D160" s="641"/>
      <c r="E160" s="640"/>
      <c r="F160" s="641" t="s">
        <v>539</v>
      </c>
      <c r="G160" s="642"/>
    </row>
  </sheetData>
  <autoFilter ref="B2:K20" xr:uid="{7E3221BD-3E6C-4BA8-BFAD-98351ACD7F09}">
    <filterColumn colId="1" showButton="0"/>
  </autoFilter>
  <mergeCells count="165">
    <mergeCell ref="K2:K3"/>
    <mergeCell ref="M5:N5"/>
    <mergeCell ref="L7:M7"/>
    <mergeCell ref="E20:K23"/>
    <mergeCell ref="B2:B3"/>
    <mergeCell ref="C2:D2"/>
    <mergeCell ref="E2:E3"/>
    <mergeCell ref="F2:F3"/>
    <mergeCell ref="G2:G3"/>
    <mergeCell ref="H2:H3"/>
    <mergeCell ref="C22:D22"/>
    <mergeCell ref="B26:G26"/>
    <mergeCell ref="B27:G27"/>
    <mergeCell ref="B28:C28"/>
    <mergeCell ref="D28:E29"/>
    <mergeCell ref="F28:F29"/>
    <mergeCell ref="B29:C29"/>
    <mergeCell ref="I2:I3"/>
    <mergeCell ref="J2:J3"/>
    <mergeCell ref="G35:G38"/>
    <mergeCell ref="B39:B42"/>
    <mergeCell ref="C39:C42"/>
    <mergeCell ref="D39:D42"/>
    <mergeCell ref="E39:E42"/>
    <mergeCell ref="F39:F42"/>
    <mergeCell ref="G39:G42"/>
    <mergeCell ref="B30:C32"/>
    <mergeCell ref="D30:E32"/>
    <mergeCell ref="F30:F32"/>
    <mergeCell ref="B35:B38"/>
    <mergeCell ref="C35:C38"/>
    <mergeCell ref="D35:D38"/>
    <mergeCell ref="E35:E38"/>
    <mergeCell ref="F35:F38"/>
    <mergeCell ref="B53:C54"/>
    <mergeCell ref="D53:E54"/>
    <mergeCell ref="F53:G54"/>
    <mergeCell ref="B56:C56"/>
    <mergeCell ref="D56:E56"/>
    <mergeCell ref="F56:G56"/>
    <mergeCell ref="B44:D44"/>
    <mergeCell ref="E44:G44"/>
    <mergeCell ref="B45:D48"/>
    <mergeCell ref="E45:G48"/>
    <mergeCell ref="B51:G51"/>
    <mergeCell ref="B52:C52"/>
    <mergeCell ref="D52:E52"/>
    <mergeCell ref="F52:G52"/>
    <mergeCell ref="B57:C57"/>
    <mergeCell ref="D57:E57"/>
    <mergeCell ref="F57:G57"/>
    <mergeCell ref="B60:G60"/>
    <mergeCell ref="B61:G61"/>
    <mergeCell ref="B62:C62"/>
    <mergeCell ref="D62:E63"/>
    <mergeCell ref="F62:F63"/>
    <mergeCell ref="B63:C63"/>
    <mergeCell ref="G69:G72"/>
    <mergeCell ref="B73:B76"/>
    <mergeCell ref="C73:C76"/>
    <mergeCell ref="D73:D76"/>
    <mergeCell ref="E73:E76"/>
    <mergeCell ref="F73:F76"/>
    <mergeCell ref="G73:G76"/>
    <mergeCell ref="B64:C66"/>
    <mergeCell ref="D64:E66"/>
    <mergeCell ref="F64:F66"/>
    <mergeCell ref="B69:B72"/>
    <mergeCell ref="C69:C72"/>
    <mergeCell ref="D69:D72"/>
    <mergeCell ref="E69:E72"/>
    <mergeCell ref="F69:F72"/>
    <mergeCell ref="B87:C88"/>
    <mergeCell ref="D87:E88"/>
    <mergeCell ref="F87:G88"/>
    <mergeCell ref="B90:C90"/>
    <mergeCell ref="D90:E90"/>
    <mergeCell ref="F90:G90"/>
    <mergeCell ref="B78:D78"/>
    <mergeCell ref="E78:G78"/>
    <mergeCell ref="B79:D82"/>
    <mergeCell ref="E79:G82"/>
    <mergeCell ref="B85:G85"/>
    <mergeCell ref="B86:C86"/>
    <mergeCell ref="D86:E86"/>
    <mergeCell ref="F86:G86"/>
    <mergeCell ref="B96:C96"/>
    <mergeCell ref="D96:E97"/>
    <mergeCell ref="F96:F97"/>
    <mergeCell ref="B97:C97"/>
    <mergeCell ref="B98:C100"/>
    <mergeCell ref="D98:E100"/>
    <mergeCell ref="F98:F100"/>
    <mergeCell ref="B91:C91"/>
    <mergeCell ref="D91:E91"/>
    <mergeCell ref="F91:G91"/>
    <mergeCell ref="B94:G94"/>
    <mergeCell ref="B95:G95"/>
    <mergeCell ref="B107:B110"/>
    <mergeCell ref="C107:C110"/>
    <mergeCell ref="D107:D110"/>
    <mergeCell ref="E107:E110"/>
    <mergeCell ref="F107:F110"/>
    <mergeCell ref="G107:G110"/>
    <mergeCell ref="B103:B106"/>
    <mergeCell ref="C103:C106"/>
    <mergeCell ref="D103:D106"/>
    <mergeCell ref="E103:E106"/>
    <mergeCell ref="F103:F106"/>
    <mergeCell ref="G103:G106"/>
    <mergeCell ref="B121:C122"/>
    <mergeCell ref="D121:E122"/>
    <mergeCell ref="F121:G122"/>
    <mergeCell ref="B124:C124"/>
    <mergeCell ref="D124:E124"/>
    <mergeCell ref="F124:G124"/>
    <mergeCell ref="B112:D112"/>
    <mergeCell ref="E112:G112"/>
    <mergeCell ref="B113:D116"/>
    <mergeCell ref="E113:G116"/>
    <mergeCell ref="B119:G119"/>
    <mergeCell ref="B120:C120"/>
    <mergeCell ref="D120:E120"/>
    <mergeCell ref="F120:G120"/>
    <mergeCell ref="B133:C135"/>
    <mergeCell ref="D133:E135"/>
    <mergeCell ref="F133:F135"/>
    <mergeCell ref="B138:B141"/>
    <mergeCell ref="C138:C141"/>
    <mergeCell ref="D138:D141"/>
    <mergeCell ref="E138:E141"/>
    <mergeCell ref="F138:F141"/>
    <mergeCell ref="B125:C125"/>
    <mergeCell ref="D125:E125"/>
    <mergeCell ref="F125:G125"/>
    <mergeCell ref="B129:G129"/>
    <mergeCell ref="B130:G130"/>
    <mergeCell ref="B131:C131"/>
    <mergeCell ref="D131:E132"/>
    <mergeCell ref="F131:F132"/>
    <mergeCell ref="B132:C132"/>
    <mergeCell ref="B147:D147"/>
    <mergeCell ref="E147:G147"/>
    <mergeCell ref="B148:D151"/>
    <mergeCell ref="E148:G151"/>
    <mergeCell ref="B154:G154"/>
    <mergeCell ref="B155:C155"/>
    <mergeCell ref="D155:E155"/>
    <mergeCell ref="F155:G155"/>
    <mergeCell ref="G138:G141"/>
    <mergeCell ref="B142:B145"/>
    <mergeCell ref="C142:C145"/>
    <mergeCell ref="D142:D145"/>
    <mergeCell ref="E142:E145"/>
    <mergeCell ref="F142:F145"/>
    <mergeCell ref="G142:G145"/>
    <mergeCell ref="B160:C160"/>
    <mergeCell ref="D160:E160"/>
    <mergeCell ref="F160:G160"/>
    <mergeCell ref="B156:C157"/>
    <mergeCell ref="D156:E157"/>
    <mergeCell ref="F156:G157"/>
    <mergeCell ref="B159:C159"/>
    <mergeCell ref="D159:E159"/>
    <mergeCell ref="F159:G159"/>
  </mergeCells>
  <phoneticPr fontId="0" type="noConversion"/>
  <dataValidations count="1">
    <dataValidation operator="equal" allowBlank="1" showErrorMessage="1" sqref="H5:H6" xr:uid="{5235091D-9F04-4BB6-B3F5-0DF317F6F9BE}">
      <formula1>0</formula1>
      <formula2>0</formula2>
    </dataValidation>
  </dataValidations>
  <printOptions horizontalCentered="1" verticalCentered="1"/>
  <pageMargins left="0.7" right="0.7" top="0.75" bottom="0.75" header="0.3" footer="0.3"/>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AF24-7763-46BB-B0AD-50C192AE12E4}">
  <sheetPr>
    <pageSetUpPr fitToPage="1"/>
  </sheetPr>
  <dimension ref="A1:P178"/>
  <sheetViews>
    <sheetView workbookViewId="0"/>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t="s">
        <v>72</v>
      </c>
      <c r="H2" s="536"/>
      <c r="I2" s="536"/>
      <c r="J2" s="537" t="s">
        <v>73</v>
      </c>
      <c r="K2" s="537"/>
      <c r="L2" s="538"/>
    </row>
    <row r="3" spans="1:16">
      <c r="A3" s="539" t="s">
        <v>707</v>
      </c>
      <c r="B3" s="540"/>
      <c r="C3" s="540"/>
      <c r="D3" s="540"/>
      <c r="E3" s="540"/>
      <c r="F3" s="540"/>
      <c r="G3" s="540"/>
      <c r="H3" s="540"/>
      <c r="I3" s="541"/>
      <c r="J3" s="542" t="s">
        <v>75</v>
      </c>
      <c r="K3" s="542"/>
      <c r="L3" s="542"/>
    </row>
    <row r="4" spans="1:16" ht="12.75" customHeight="1">
      <c r="A4" s="510" t="s">
        <v>708</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709</v>
      </c>
      <c r="B10" s="492"/>
      <c r="C10" s="495" t="s">
        <v>710</v>
      </c>
      <c r="D10" s="495"/>
      <c r="E10" s="492" t="s">
        <v>711</v>
      </c>
      <c r="F10" s="492"/>
      <c r="G10" s="492"/>
      <c r="H10" s="496" t="s">
        <v>98</v>
      </c>
      <c r="I10" s="495"/>
      <c r="J10" s="495" t="s">
        <v>99</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712</v>
      </c>
      <c r="F12" s="492"/>
      <c r="G12" s="492"/>
      <c r="H12" s="495"/>
      <c r="I12" s="495"/>
      <c r="J12" s="495"/>
      <c r="K12" s="499"/>
      <c r="L12" s="500"/>
    </row>
    <row r="13" spans="1:16">
      <c r="A13" s="492" t="s">
        <v>102</v>
      </c>
      <c r="B13" s="492"/>
      <c r="C13" s="495"/>
      <c r="D13" s="495"/>
      <c r="E13" s="493"/>
      <c r="F13" s="493"/>
      <c r="G13" s="493"/>
      <c r="H13" s="495"/>
      <c r="I13" s="495"/>
      <c r="J13" s="495"/>
      <c r="K13" s="499"/>
      <c r="L13" s="500"/>
    </row>
    <row r="14" spans="1:16" ht="30" customHeight="1">
      <c r="A14" s="492"/>
      <c r="B14" s="492"/>
      <c r="C14" s="495"/>
      <c r="D14" s="495"/>
      <c r="E14" s="492" t="s">
        <v>713</v>
      </c>
      <c r="F14" s="492"/>
      <c r="G14" s="492"/>
      <c r="H14" s="495"/>
      <c r="I14" s="495"/>
      <c r="J14" s="495"/>
      <c r="K14" s="499"/>
      <c r="L14" s="500"/>
    </row>
    <row r="15" spans="1:16" ht="12.75" customHeight="1">
      <c r="A15" s="492" t="s">
        <v>714</v>
      </c>
      <c r="B15" s="492"/>
      <c r="C15" s="495"/>
      <c r="D15" s="495"/>
      <c r="E15" s="503"/>
      <c r="F15" s="503"/>
      <c r="G15" s="503"/>
      <c r="H15" s="495"/>
      <c r="I15" s="495"/>
      <c r="J15" s="495"/>
      <c r="K15" s="499"/>
      <c r="L15" s="500"/>
    </row>
    <row r="16" spans="1:16" ht="35.25" customHeight="1">
      <c r="A16" s="492"/>
      <c r="B16" s="492"/>
      <c r="C16" s="495"/>
      <c r="D16" s="495"/>
      <c r="E16" s="492" t="s">
        <v>715</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t="s">
        <v>105</v>
      </c>
      <c r="B18" s="478"/>
      <c r="C18" s="495"/>
      <c r="D18" s="495"/>
      <c r="E18" s="493"/>
      <c r="F18" s="493"/>
      <c r="G18" s="493"/>
      <c r="H18" s="495"/>
      <c r="I18" s="495"/>
      <c r="J18" s="495"/>
      <c r="K18" s="499"/>
      <c r="L18" s="500"/>
    </row>
    <row r="19" spans="1:12" ht="29.25" customHeight="1">
      <c r="A19" s="478"/>
      <c r="B19" s="478"/>
      <c r="C19" s="495"/>
      <c r="D19" s="495"/>
      <c r="E19" s="492" t="s">
        <v>103</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101</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103</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106</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114</v>
      </c>
      <c r="K31" s="134"/>
      <c r="L31" s="134" t="s">
        <v>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row r="37" spans="1:12" ht="19.5">
      <c r="A37" s="532" t="s">
        <v>69</v>
      </c>
      <c r="B37" s="533"/>
      <c r="C37" s="533"/>
      <c r="D37" s="533"/>
      <c r="E37" s="533"/>
      <c r="F37" s="533"/>
      <c r="G37" s="533"/>
      <c r="H37" s="533"/>
      <c r="I37" s="533"/>
      <c r="J37" s="533"/>
      <c r="K37" s="533"/>
      <c r="L37" s="534"/>
    </row>
    <row r="38" spans="1:12">
      <c r="A38" s="125" t="s">
        <v>70</v>
      </c>
      <c r="B38" s="126"/>
      <c r="C38" s="126"/>
      <c r="D38" s="126"/>
      <c r="E38" s="517" t="s">
        <v>71</v>
      </c>
      <c r="F38" s="517"/>
      <c r="G38" s="535" t="s">
        <v>72</v>
      </c>
      <c r="H38" s="536"/>
      <c r="I38" s="536"/>
      <c r="J38" s="537" t="s">
        <v>73</v>
      </c>
      <c r="K38" s="537"/>
      <c r="L38" s="538"/>
    </row>
    <row r="39" spans="1:12">
      <c r="A39" s="539" t="s">
        <v>707</v>
      </c>
      <c r="B39" s="540"/>
      <c r="C39" s="540"/>
      <c r="D39" s="540"/>
      <c r="E39" s="540"/>
      <c r="F39" s="540"/>
      <c r="G39" s="540"/>
      <c r="H39" s="540"/>
      <c r="I39" s="541"/>
      <c r="J39" s="542" t="s">
        <v>75</v>
      </c>
      <c r="K39" s="542"/>
      <c r="L39" s="542"/>
    </row>
    <row r="40" spans="1:12">
      <c r="A40" s="510" t="s">
        <v>708</v>
      </c>
      <c r="B40" s="511"/>
      <c r="C40" s="511"/>
      <c r="D40" s="511"/>
      <c r="E40" s="511"/>
      <c r="F40" s="511"/>
      <c r="G40" s="512"/>
      <c r="H40" s="516" t="s">
        <v>77</v>
      </c>
      <c r="I40" s="516"/>
      <c r="J40" s="518" t="s">
        <v>78</v>
      </c>
      <c r="K40" s="519" t="s">
        <v>79</v>
      </c>
      <c r="L40" s="520"/>
    </row>
    <row r="41" spans="1:12">
      <c r="A41" s="513"/>
      <c r="B41" s="514"/>
      <c r="C41" s="514"/>
      <c r="D41" s="514"/>
      <c r="E41" s="514"/>
      <c r="F41" s="514"/>
      <c r="G41" s="515"/>
      <c r="H41" s="517"/>
      <c r="I41" s="517"/>
      <c r="J41" s="516"/>
      <c r="K41" s="521"/>
      <c r="L41" s="522"/>
    </row>
    <row r="42" spans="1:12">
      <c r="A42" s="127" t="s">
        <v>80</v>
      </c>
      <c r="B42" s="128"/>
      <c r="C42" s="129" t="s">
        <v>81</v>
      </c>
      <c r="D42" s="129"/>
      <c r="E42" s="523" t="s">
        <v>82</v>
      </c>
      <c r="F42" s="523"/>
      <c r="G42" s="523"/>
      <c r="H42" s="523"/>
      <c r="I42" s="523"/>
      <c r="J42" s="523"/>
      <c r="K42" s="523"/>
      <c r="L42" s="524"/>
    </row>
    <row r="43" spans="1:12">
      <c r="A43" s="525" t="s">
        <v>83</v>
      </c>
      <c r="B43" s="526"/>
      <c r="C43" s="527" t="s">
        <v>84</v>
      </c>
      <c r="D43" s="528"/>
      <c r="E43" s="482" t="s">
        <v>85</v>
      </c>
      <c r="F43" s="529"/>
      <c r="G43" s="528"/>
      <c r="H43" s="482" t="s">
        <v>86</v>
      </c>
      <c r="I43" s="528"/>
      <c r="J43" s="130" t="s">
        <v>87</v>
      </c>
      <c r="K43" s="482" t="s">
        <v>88</v>
      </c>
      <c r="L43" s="528"/>
    </row>
    <row r="44" spans="1:12">
      <c r="A44" s="506" t="s">
        <v>89</v>
      </c>
      <c r="B44" s="507"/>
      <c r="C44" s="506" t="s">
        <v>90</v>
      </c>
      <c r="D44" s="507"/>
      <c r="E44" s="506" t="s">
        <v>91</v>
      </c>
      <c r="F44" s="530"/>
      <c r="G44" s="507"/>
      <c r="H44" s="506" t="s">
        <v>92</v>
      </c>
      <c r="I44" s="507"/>
      <c r="J44" s="504" t="s">
        <v>93</v>
      </c>
      <c r="K44" s="506" t="s">
        <v>94</v>
      </c>
      <c r="L44" s="507"/>
    </row>
    <row r="45" spans="1:12">
      <c r="A45" s="508"/>
      <c r="B45" s="509"/>
      <c r="C45" s="508"/>
      <c r="D45" s="509"/>
      <c r="E45" s="508"/>
      <c r="F45" s="531"/>
      <c r="G45" s="509"/>
      <c r="H45" s="508"/>
      <c r="I45" s="509"/>
      <c r="J45" s="505"/>
      <c r="K45" s="508"/>
      <c r="L45" s="509"/>
    </row>
    <row r="46" spans="1:12">
      <c r="A46" s="492" t="s">
        <v>709</v>
      </c>
      <c r="B46" s="492"/>
      <c r="C46" s="495" t="s">
        <v>710</v>
      </c>
      <c r="D46" s="495"/>
      <c r="E46" s="492" t="s">
        <v>711</v>
      </c>
      <c r="F46" s="492"/>
      <c r="G46" s="492"/>
      <c r="H46" s="496" t="s">
        <v>98</v>
      </c>
      <c r="I46" s="495"/>
      <c r="J46" s="495" t="s">
        <v>99</v>
      </c>
      <c r="K46" s="497" t="s">
        <v>100</v>
      </c>
      <c r="L46" s="498"/>
    </row>
    <row r="47" spans="1:12">
      <c r="A47" s="492"/>
      <c r="B47" s="492"/>
      <c r="C47" s="495"/>
      <c r="D47" s="495"/>
      <c r="E47" s="493"/>
      <c r="F47" s="493"/>
      <c r="G47" s="493"/>
      <c r="H47" s="495"/>
      <c r="I47" s="495"/>
      <c r="J47" s="495"/>
      <c r="K47" s="499"/>
      <c r="L47" s="500"/>
    </row>
    <row r="48" spans="1:12">
      <c r="A48" s="492"/>
      <c r="B48" s="492"/>
      <c r="C48" s="495"/>
      <c r="D48" s="495"/>
      <c r="E48" s="492" t="s">
        <v>712</v>
      </c>
      <c r="F48" s="492"/>
      <c r="G48" s="492"/>
      <c r="H48" s="495"/>
      <c r="I48" s="495"/>
      <c r="J48" s="495"/>
      <c r="K48" s="499"/>
      <c r="L48" s="500"/>
    </row>
    <row r="49" spans="1:12">
      <c r="A49" s="492" t="s">
        <v>102</v>
      </c>
      <c r="B49" s="492"/>
      <c r="C49" s="495"/>
      <c r="D49" s="495"/>
      <c r="E49" s="493"/>
      <c r="F49" s="493"/>
      <c r="G49" s="493"/>
      <c r="H49" s="495"/>
      <c r="I49" s="495"/>
      <c r="J49" s="495"/>
      <c r="K49" s="499"/>
      <c r="L49" s="500"/>
    </row>
    <row r="50" spans="1:12">
      <c r="A50" s="492"/>
      <c r="B50" s="492"/>
      <c r="C50" s="495"/>
      <c r="D50" s="495"/>
      <c r="E50" s="492" t="s">
        <v>713</v>
      </c>
      <c r="F50" s="492"/>
      <c r="G50" s="492"/>
      <c r="H50" s="495"/>
      <c r="I50" s="495"/>
      <c r="J50" s="495"/>
      <c r="K50" s="499"/>
      <c r="L50" s="500"/>
    </row>
    <row r="51" spans="1:12">
      <c r="A51" s="492" t="s">
        <v>714</v>
      </c>
      <c r="B51" s="492"/>
      <c r="C51" s="495"/>
      <c r="D51" s="495"/>
      <c r="E51" s="503"/>
      <c r="F51" s="503"/>
      <c r="G51" s="503"/>
      <c r="H51" s="495"/>
      <c r="I51" s="495"/>
      <c r="J51" s="495"/>
      <c r="K51" s="499"/>
      <c r="L51" s="500"/>
    </row>
    <row r="52" spans="1:12">
      <c r="A52" s="492"/>
      <c r="B52" s="492"/>
      <c r="C52" s="495"/>
      <c r="D52" s="495"/>
      <c r="E52" s="492" t="s">
        <v>715</v>
      </c>
      <c r="F52" s="492"/>
      <c r="G52" s="492"/>
      <c r="H52" s="495"/>
      <c r="I52" s="495"/>
      <c r="J52" s="495"/>
      <c r="K52" s="499"/>
      <c r="L52" s="500"/>
    </row>
    <row r="53" spans="1:12">
      <c r="A53" s="492"/>
      <c r="B53" s="492"/>
      <c r="C53" s="495"/>
      <c r="D53" s="495"/>
      <c r="E53" s="492"/>
      <c r="F53" s="492"/>
      <c r="G53" s="492"/>
      <c r="H53" s="495"/>
      <c r="I53" s="495"/>
      <c r="J53" s="495"/>
      <c r="K53" s="499"/>
      <c r="L53" s="500"/>
    </row>
    <row r="54" spans="1:12">
      <c r="A54" s="478" t="s">
        <v>105</v>
      </c>
      <c r="B54" s="478"/>
      <c r="C54" s="495"/>
      <c r="D54" s="495"/>
      <c r="E54" s="493"/>
      <c r="F54" s="493"/>
      <c r="G54" s="493"/>
      <c r="H54" s="495"/>
      <c r="I54" s="495"/>
      <c r="J54" s="495"/>
      <c r="K54" s="499"/>
      <c r="L54" s="500"/>
    </row>
    <row r="55" spans="1:12">
      <c r="A55" s="478"/>
      <c r="B55" s="478"/>
      <c r="C55" s="495"/>
      <c r="D55" s="495"/>
      <c r="E55" s="492" t="s">
        <v>103</v>
      </c>
      <c r="F55" s="492"/>
      <c r="G55" s="492"/>
      <c r="H55" s="495"/>
      <c r="I55" s="495"/>
      <c r="J55" s="495"/>
      <c r="K55" s="499"/>
      <c r="L55" s="500"/>
    </row>
    <row r="56" spans="1:12">
      <c r="A56" s="478"/>
      <c r="B56" s="478"/>
      <c r="C56" s="495"/>
      <c r="D56" s="495"/>
      <c r="E56" s="493"/>
      <c r="F56" s="493"/>
      <c r="G56" s="493"/>
      <c r="H56" s="495"/>
      <c r="I56" s="495"/>
      <c r="J56" s="495"/>
      <c r="K56" s="499"/>
      <c r="L56" s="500"/>
    </row>
    <row r="57" spans="1:12">
      <c r="A57" s="478"/>
      <c r="B57" s="478"/>
      <c r="C57" s="495"/>
      <c r="D57" s="495"/>
      <c r="E57" s="492" t="s">
        <v>101</v>
      </c>
      <c r="F57" s="492"/>
      <c r="G57" s="492"/>
      <c r="H57" s="495"/>
      <c r="I57" s="495"/>
      <c r="J57" s="495"/>
      <c r="K57" s="499"/>
      <c r="L57" s="500"/>
    </row>
    <row r="58" spans="1:12">
      <c r="A58" s="478"/>
      <c r="B58" s="478"/>
      <c r="C58" s="495"/>
      <c r="D58" s="495"/>
      <c r="E58" s="478"/>
      <c r="F58" s="478"/>
      <c r="G58" s="478"/>
      <c r="H58" s="495"/>
      <c r="I58" s="495"/>
      <c r="J58" s="495"/>
      <c r="K58" s="499"/>
      <c r="L58" s="500"/>
    </row>
    <row r="59" spans="1:12">
      <c r="A59" s="478"/>
      <c r="B59" s="478"/>
      <c r="C59" s="495"/>
      <c r="D59" s="495"/>
      <c r="E59" s="492" t="s">
        <v>103</v>
      </c>
      <c r="F59" s="492"/>
      <c r="G59" s="492"/>
      <c r="H59" s="495"/>
      <c r="I59" s="495"/>
      <c r="J59" s="495"/>
      <c r="K59" s="499"/>
      <c r="L59" s="500"/>
    </row>
    <row r="60" spans="1:12">
      <c r="A60" s="478"/>
      <c r="B60" s="478"/>
      <c r="C60" s="495"/>
      <c r="D60" s="495"/>
      <c r="E60" s="492"/>
      <c r="F60" s="492"/>
      <c r="G60" s="492"/>
      <c r="H60" s="495"/>
      <c r="I60" s="495"/>
      <c r="J60" s="495"/>
      <c r="K60" s="499"/>
      <c r="L60" s="500"/>
    </row>
    <row r="61" spans="1:12">
      <c r="A61" s="478"/>
      <c r="B61" s="478"/>
      <c r="C61" s="495"/>
      <c r="D61" s="495"/>
      <c r="E61" s="492" t="s">
        <v>106</v>
      </c>
      <c r="F61" s="492"/>
      <c r="G61" s="492"/>
      <c r="H61" s="495"/>
      <c r="I61" s="495"/>
      <c r="J61" s="495"/>
      <c r="K61" s="499"/>
      <c r="L61" s="500"/>
    </row>
    <row r="62" spans="1:12">
      <c r="A62" s="478"/>
      <c r="B62" s="478"/>
      <c r="C62" s="495"/>
      <c r="D62" s="495"/>
      <c r="E62" s="492"/>
      <c r="F62" s="492"/>
      <c r="G62" s="492"/>
      <c r="H62" s="495"/>
      <c r="I62" s="495"/>
      <c r="J62" s="495"/>
      <c r="K62" s="499"/>
      <c r="L62" s="500"/>
    </row>
    <row r="63" spans="1:12">
      <c r="A63" s="478"/>
      <c r="B63" s="478"/>
      <c r="C63" s="495"/>
      <c r="D63" s="495"/>
      <c r="E63" s="492" t="s">
        <v>103</v>
      </c>
      <c r="F63" s="492"/>
      <c r="G63" s="492"/>
      <c r="H63" s="495"/>
      <c r="I63" s="495"/>
      <c r="J63" s="495"/>
      <c r="K63" s="499"/>
      <c r="L63" s="500"/>
    </row>
    <row r="64" spans="1:12">
      <c r="A64" s="478"/>
      <c r="B64" s="478"/>
      <c r="C64" s="495"/>
      <c r="D64" s="495"/>
      <c r="E64" s="492"/>
      <c r="F64" s="492"/>
      <c r="G64" s="492"/>
      <c r="H64" s="495"/>
      <c r="I64" s="495"/>
      <c r="J64" s="495"/>
      <c r="K64" s="499"/>
      <c r="L64" s="500"/>
    </row>
    <row r="65" spans="1:12">
      <c r="A65" s="478"/>
      <c r="B65" s="478"/>
      <c r="C65" s="495"/>
      <c r="D65" s="495"/>
      <c r="E65" s="492" t="s">
        <v>107</v>
      </c>
      <c r="F65" s="492"/>
      <c r="G65" s="492"/>
      <c r="H65" s="495"/>
      <c r="I65" s="495"/>
      <c r="J65" s="495"/>
      <c r="K65" s="501"/>
      <c r="L65" s="502"/>
    </row>
    <row r="66" spans="1:12">
      <c r="A66" s="479" t="s">
        <v>108</v>
      </c>
      <c r="B66" s="480"/>
      <c r="C66" s="480"/>
      <c r="D66" s="480"/>
      <c r="E66" s="480"/>
      <c r="F66" s="480"/>
      <c r="G66" s="480"/>
      <c r="H66" s="481"/>
      <c r="I66" s="131" t="s">
        <v>109</v>
      </c>
      <c r="J66" s="131" t="s">
        <v>110</v>
      </c>
      <c r="K66" s="132" t="s">
        <v>111</v>
      </c>
      <c r="L66" s="132" t="s">
        <v>112</v>
      </c>
    </row>
    <row r="67" spans="1:12">
      <c r="A67" s="482"/>
      <c r="B67" s="483"/>
      <c r="C67" s="483"/>
      <c r="D67" s="483"/>
      <c r="E67" s="483"/>
      <c r="F67" s="483"/>
      <c r="G67" s="483"/>
      <c r="H67" s="484"/>
      <c r="I67" s="133" t="s">
        <v>113</v>
      </c>
      <c r="J67" s="134" t="s">
        <v>114</v>
      </c>
      <c r="K67" s="134"/>
      <c r="L67" s="134" t="s">
        <v>72</v>
      </c>
    </row>
    <row r="68" spans="1:12">
      <c r="A68" s="485" t="s">
        <v>115</v>
      </c>
      <c r="B68" s="486"/>
      <c r="C68" s="486"/>
      <c r="D68" s="486"/>
      <c r="E68" s="486"/>
      <c r="F68" s="486"/>
      <c r="G68" s="486"/>
      <c r="H68" s="487"/>
      <c r="I68" s="133" t="s">
        <v>116</v>
      </c>
      <c r="J68" s="134" t="s">
        <v>117</v>
      </c>
      <c r="K68" s="134"/>
      <c r="L68" s="134"/>
    </row>
    <row r="69" spans="1:12">
      <c r="A69" s="485"/>
      <c r="B69" s="486"/>
      <c r="C69" s="486"/>
      <c r="D69" s="486"/>
      <c r="E69" s="486"/>
      <c r="F69" s="486"/>
      <c r="G69" s="486"/>
      <c r="H69" s="487"/>
      <c r="I69" s="133" t="s">
        <v>118</v>
      </c>
      <c r="J69" s="134"/>
      <c r="K69" s="134"/>
      <c r="L69" s="134"/>
    </row>
    <row r="70" spans="1:12">
      <c r="A70" s="488" t="s">
        <v>119</v>
      </c>
      <c r="B70" s="489"/>
      <c r="C70" s="490" t="s">
        <v>120</v>
      </c>
      <c r="D70" s="490"/>
      <c r="E70" s="491" t="s">
        <v>121</v>
      </c>
      <c r="F70" s="491"/>
      <c r="G70" s="491"/>
      <c r="H70" s="491"/>
      <c r="I70" s="133" t="s">
        <v>122</v>
      </c>
      <c r="J70" s="134"/>
      <c r="K70" s="134"/>
      <c r="L70" s="134"/>
    </row>
    <row r="73" spans="1:12" ht="19.5">
      <c r="A73" s="532" t="s">
        <v>69</v>
      </c>
      <c r="B73" s="533"/>
      <c r="C73" s="533"/>
      <c r="D73" s="533"/>
      <c r="E73" s="533"/>
      <c r="F73" s="533"/>
      <c r="G73" s="533"/>
      <c r="H73" s="533"/>
      <c r="I73" s="533"/>
      <c r="J73" s="533"/>
      <c r="K73" s="533"/>
      <c r="L73" s="534"/>
    </row>
    <row r="74" spans="1:12">
      <c r="A74" s="125" t="s">
        <v>70</v>
      </c>
      <c r="B74" s="126"/>
      <c r="C74" s="126"/>
      <c r="D74" s="126"/>
      <c r="E74" s="517" t="s">
        <v>71</v>
      </c>
      <c r="F74" s="517"/>
      <c r="G74" s="535" t="s">
        <v>72</v>
      </c>
      <c r="H74" s="536"/>
      <c r="I74" s="536"/>
      <c r="J74" s="537" t="s">
        <v>73</v>
      </c>
      <c r="K74" s="537"/>
      <c r="L74" s="538"/>
    </row>
    <row r="75" spans="1:12">
      <c r="A75" s="539" t="s">
        <v>707</v>
      </c>
      <c r="B75" s="540"/>
      <c r="C75" s="540"/>
      <c r="D75" s="540"/>
      <c r="E75" s="540"/>
      <c r="F75" s="540"/>
      <c r="G75" s="540"/>
      <c r="H75" s="540"/>
      <c r="I75" s="541"/>
      <c r="J75" s="542" t="s">
        <v>75</v>
      </c>
      <c r="K75" s="542"/>
      <c r="L75" s="542"/>
    </row>
    <row r="76" spans="1:12">
      <c r="A76" s="510" t="s">
        <v>708</v>
      </c>
      <c r="B76" s="511"/>
      <c r="C76" s="511"/>
      <c r="D76" s="511"/>
      <c r="E76" s="511"/>
      <c r="F76" s="511"/>
      <c r="G76" s="512"/>
      <c r="H76" s="516" t="s">
        <v>77</v>
      </c>
      <c r="I76" s="516"/>
      <c r="J76" s="518" t="s">
        <v>78</v>
      </c>
      <c r="K76" s="519" t="s">
        <v>79</v>
      </c>
      <c r="L76" s="520"/>
    </row>
    <row r="77" spans="1:12">
      <c r="A77" s="513"/>
      <c r="B77" s="514"/>
      <c r="C77" s="514"/>
      <c r="D77" s="514"/>
      <c r="E77" s="514"/>
      <c r="F77" s="514"/>
      <c r="G77" s="515"/>
      <c r="H77" s="517"/>
      <c r="I77" s="517"/>
      <c r="J77" s="516"/>
      <c r="K77" s="521"/>
      <c r="L77" s="522"/>
    </row>
    <row r="78" spans="1:12">
      <c r="A78" s="127" t="s">
        <v>80</v>
      </c>
      <c r="B78" s="128"/>
      <c r="C78" s="129" t="s">
        <v>81</v>
      </c>
      <c r="D78" s="129"/>
      <c r="E78" s="523" t="s">
        <v>82</v>
      </c>
      <c r="F78" s="523"/>
      <c r="G78" s="523"/>
      <c r="H78" s="523"/>
      <c r="I78" s="523"/>
      <c r="J78" s="523"/>
      <c r="K78" s="523"/>
      <c r="L78" s="524"/>
    </row>
    <row r="79" spans="1:12">
      <c r="A79" s="525" t="s">
        <v>83</v>
      </c>
      <c r="B79" s="526"/>
      <c r="C79" s="527" t="s">
        <v>84</v>
      </c>
      <c r="D79" s="528"/>
      <c r="E79" s="482" t="s">
        <v>85</v>
      </c>
      <c r="F79" s="529"/>
      <c r="G79" s="528"/>
      <c r="H79" s="482" t="s">
        <v>86</v>
      </c>
      <c r="I79" s="528"/>
      <c r="J79" s="130" t="s">
        <v>87</v>
      </c>
      <c r="K79" s="482" t="s">
        <v>88</v>
      </c>
      <c r="L79" s="528"/>
    </row>
    <row r="80" spans="1:12">
      <c r="A80" s="506" t="s">
        <v>89</v>
      </c>
      <c r="B80" s="507"/>
      <c r="C80" s="506" t="s">
        <v>90</v>
      </c>
      <c r="D80" s="507"/>
      <c r="E80" s="506" t="s">
        <v>91</v>
      </c>
      <c r="F80" s="530"/>
      <c r="G80" s="507"/>
      <c r="H80" s="506" t="s">
        <v>92</v>
      </c>
      <c r="I80" s="507"/>
      <c r="J80" s="504" t="s">
        <v>93</v>
      </c>
      <c r="K80" s="506" t="s">
        <v>94</v>
      </c>
      <c r="L80" s="507"/>
    </row>
    <row r="81" spans="1:12">
      <c r="A81" s="508"/>
      <c r="B81" s="509"/>
      <c r="C81" s="508"/>
      <c r="D81" s="509"/>
      <c r="E81" s="508"/>
      <c r="F81" s="531"/>
      <c r="G81" s="509"/>
      <c r="H81" s="508"/>
      <c r="I81" s="509"/>
      <c r="J81" s="505"/>
      <c r="K81" s="508"/>
      <c r="L81" s="509"/>
    </row>
    <row r="82" spans="1:12">
      <c r="A82" s="492" t="s">
        <v>709</v>
      </c>
      <c r="B82" s="492"/>
      <c r="C82" s="495" t="s">
        <v>710</v>
      </c>
      <c r="D82" s="495"/>
      <c r="E82" s="492" t="s">
        <v>711</v>
      </c>
      <c r="F82" s="492"/>
      <c r="G82" s="492"/>
      <c r="H82" s="496" t="s">
        <v>98</v>
      </c>
      <c r="I82" s="495"/>
      <c r="J82" s="495" t="s">
        <v>99</v>
      </c>
      <c r="K82" s="497" t="s">
        <v>100</v>
      </c>
      <c r="L82" s="498"/>
    </row>
    <row r="83" spans="1:12">
      <c r="A83" s="492"/>
      <c r="B83" s="492"/>
      <c r="C83" s="495"/>
      <c r="D83" s="495"/>
      <c r="E83" s="493"/>
      <c r="F83" s="493"/>
      <c r="G83" s="493"/>
      <c r="H83" s="495"/>
      <c r="I83" s="495"/>
      <c r="J83" s="495"/>
      <c r="K83" s="499"/>
      <c r="L83" s="500"/>
    </row>
    <row r="84" spans="1:12">
      <c r="A84" s="492"/>
      <c r="B84" s="492"/>
      <c r="C84" s="495"/>
      <c r="D84" s="495"/>
      <c r="E84" s="492" t="s">
        <v>712</v>
      </c>
      <c r="F84" s="492"/>
      <c r="G84" s="492"/>
      <c r="H84" s="495"/>
      <c r="I84" s="495"/>
      <c r="J84" s="495"/>
      <c r="K84" s="499"/>
      <c r="L84" s="500"/>
    </row>
    <row r="85" spans="1:12">
      <c r="A85" s="492" t="s">
        <v>102</v>
      </c>
      <c r="B85" s="492"/>
      <c r="C85" s="495"/>
      <c r="D85" s="495"/>
      <c r="E85" s="493"/>
      <c r="F85" s="493"/>
      <c r="G85" s="493"/>
      <c r="H85" s="495"/>
      <c r="I85" s="495"/>
      <c r="J85" s="495"/>
      <c r="K85" s="499"/>
      <c r="L85" s="500"/>
    </row>
    <row r="86" spans="1:12">
      <c r="A86" s="492"/>
      <c r="B86" s="492"/>
      <c r="C86" s="495"/>
      <c r="D86" s="495"/>
      <c r="E86" s="492" t="s">
        <v>713</v>
      </c>
      <c r="F86" s="492"/>
      <c r="G86" s="492"/>
      <c r="H86" s="495"/>
      <c r="I86" s="495"/>
      <c r="J86" s="495"/>
      <c r="K86" s="499"/>
      <c r="L86" s="500"/>
    </row>
    <row r="87" spans="1:12">
      <c r="A87" s="492" t="s">
        <v>714</v>
      </c>
      <c r="B87" s="492"/>
      <c r="C87" s="495"/>
      <c r="D87" s="495"/>
      <c r="E87" s="503"/>
      <c r="F87" s="503"/>
      <c r="G87" s="503"/>
      <c r="H87" s="495"/>
      <c r="I87" s="495"/>
      <c r="J87" s="495"/>
      <c r="K87" s="499"/>
      <c r="L87" s="500"/>
    </row>
    <row r="88" spans="1:12">
      <c r="A88" s="492"/>
      <c r="B88" s="492"/>
      <c r="C88" s="495"/>
      <c r="D88" s="495"/>
      <c r="E88" s="492" t="s">
        <v>715</v>
      </c>
      <c r="F88" s="492"/>
      <c r="G88" s="492"/>
      <c r="H88" s="495"/>
      <c r="I88" s="495"/>
      <c r="J88" s="495"/>
      <c r="K88" s="499"/>
      <c r="L88" s="500"/>
    </row>
    <row r="89" spans="1:12">
      <c r="A89" s="492"/>
      <c r="B89" s="492"/>
      <c r="C89" s="495"/>
      <c r="D89" s="495"/>
      <c r="E89" s="492"/>
      <c r="F89" s="492"/>
      <c r="G89" s="492"/>
      <c r="H89" s="495"/>
      <c r="I89" s="495"/>
      <c r="J89" s="495"/>
      <c r="K89" s="499"/>
      <c r="L89" s="500"/>
    </row>
    <row r="90" spans="1:12">
      <c r="A90" s="478" t="s">
        <v>105</v>
      </c>
      <c r="B90" s="478"/>
      <c r="C90" s="495"/>
      <c r="D90" s="495"/>
      <c r="E90" s="493"/>
      <c r="F90" s="493"/>
      <c r="G90" s="493"/>
      <c r="H90" s="495"/>
      <c r="I90" s="495"/>
      <c r="J90" s="495"/>
      <c r="K90" s="499"/>
      <c r="L90" s="500"/>
    </row>
    <row r="91" spans="1:12">
      <c r="A91" s="478"/>
      <c r="B91" s="478"/>
      <c r="C91" s="495"/>
      <c r="D91" s="495"/>
      <c r="E91" s="492" t="s">
        <v>103</v>
      </c>
      <c r="F91" s="492"/>
      <c r="G91" s="492"/>
      <c r="H91" s="495"/>
      <c r="I91" s="495"/>
      <c r="J91" s="495"/>
      <c r="K91" s="499"/>
      <c r="L91" s="500"/>
    </row>
    <row r="92" spans="1:12">
      <c r="A92" s="478"/>
      <c r="B92" s="478"/>
      <c r="C92" s="495"/>
      <c r="D92" s="495"/>
      <c r="E92" s="493"/>
      <c r="F92" s="493"/>
      <c r="G92" s="493"/>
      <c r="H92" s="495"/>
      <c r="I92" s="495"/>
      <c r="J92" s="495"/>
      <c r="K92" s="499"/>
      <c r="L92" s="500"/>
    </row>
    <row r="93" spans="1:12">
      <c r="A93" s="478"/>
      <c r="B93" s="478"/>
      <c r="C93" s="495"/>
      <c r="D93" s="495"/>
      <c r="E93" s="492" t="s">
        <v>101</v>
      </c>
      <c r="F93" s="492"/>
      <c r="G93" s="492"/>
      <c r="H93" s="495"/>
      <c r="I93" s="495"/>
      <c r="J93" s="495"/>
      <c r="K93" s="499"/>
      <c r="L93" s="500"/>
    </row>
    <row r="94" spans="1:12">
      <c r="A94" s="478"/>
      <c r="B94" s="478"/>
      <c r="C94" s="495"/>
      <c r="D94" s="495"/>
      <c r="E94" s="478"/>
      <c r="F94" s="478"/>
      <c r="G94" s="478"/>
      <c r="H94" s="495"/>
      <c r="I94" s="495"/>
      <c r="J94" s="495"/>
      <c r="K94" s="499"/>
      <c r="L94" s="500"/>
    </row>
    <row r="95" spans="1:12">
      <c r="A95" s="478"/>
      <c r="B95" s="478"/>
      <c r="C95" s="495"/>
      <c r="D95" s="495"/>
      <c r="E95" s="492" t="s">
        <v>103</v>
      </c>
      <c r="F95" s="492"/>
      <c r="G95" s="492"/>
      <c r="H95" s="495"/>
      <c r="I95" s="495"/>
      <c r="J95" s="495"/>
      <c r="K95" s="499"/>
      <c r="L95" s="500"/>
    </row>
    <row r="96" spans="1:12">
      <c r="A96" s="478"/>
      <c r="B96" s="478"/>
      <c r="C96" s="495"/>
      <c r="D96" s="495"/>
      <c r="E96" s="492"/>
      <c r="F96" s="492"/>
      <c r="G96" s="492"/>
      <c r="H96" s="495"/>
      <c r="I96" s="495"/>
      <c r="J96" s="495"/>
      <c r="K96" s="499"/>
      <c r="L96" s="500"/>
    </row>
    <row r="97" spans="1:12">
      <c r="A97" s="478"/>
      <c r="B97" s="478"/>
      <c r="C97" s="495"/>
      <c r="D97" s="495"/>
      <c r="E97" s="492" t="s">
        <v>106</v>
      </c>
      <c r="F97" s="492"/>
      <c r="G97" s="492"/>
      <c r="H97" s="495"/>
      <c r="I97" s="495"/>
      <c r="J97" s="495"/>
      <c r="K97" s="499"/>
      <c r="L97" s="500"/>
    </row>
    <row r="98" spans="1:12">
      <c r="A98" s="478"/>
      <c r="B98" s="478"/>
      <c r="C98" s="495"/>
      <c r="D98" s="495"/>
      <c r="E98" s="492"/>
      <c r="F98" s="492"/>
      <c r="G98" s="492"/>
      <c r="H98" s="495"/>
      <c r="I98" s="495"/>
      <c r="J98" s="495"/>
      <c r="K98" s="499"/>
      <c r="L98" s="500"/>
    </row>
    <row r="99" spans="1:12">
      <c r="A99" s="478"/>
      <c r="B99" s="478"/>
      <c r="C99" s="495"/>
      <c r="D99" s="495"/>
      <c r="E99" s="492" t="s">
        <v>103</v>
      </c>
      <c r="F99" s="492"/>
      <c r="G99" s="492"/>
      <c r="H99" s="495"/>
      <c r="I99" s="495"/>
      <c r="J99" s="495"/>
      <c r="K99" s="499"/>
      <c r="L99" s="500"/>
    </row>
    <row r="100" spans="1:12">
      <c r="A100" s="478"/>
      <c r="B100" s="478"/>
      <c r="C100" s="495"/>
      <c r="D100" s="495"/>
      <c r="E100" s="492"/>
      <c r="F100" s="492"/>
      <c r="G100" s="492"/>
      <c r="H100" s="495"/>
      <c r="I100" s="495"/>
      <c r="J100" s="495"/>
      <c r="K100" s="499"/>
      <c r="L100" s="500"/>
    </row>
    <row r="101" spans="1:12">
      <c r="A101" s="478"/>
      <c r="B101" s="478"/>
      <c r="C101" s="495"/>
      <c r="D101" s="495"/>
      <c r="E101" s="492" t="s">
        <v>107</v>
      </c>
      <c r="F101" s="492"/>
      <c r="G101" s="492"/>
      <c r="H101" s="495"/>
      <c r="I101" s="495"/>
      <c r="J101" s="495"/>
      <c r="K101" s="501"/>
      <c r="L101" s="502"/>
    </row>
    <row r="102" spans="1:12">
      <c r="A102" s="479" t="s">
        <v>108</v>
      </c>
      <c r="B102" s="480"/>
      <c r="C102" s="480"/>
      <c r="D102" s="480"/>
      <c r="E102" s="480"/>
      <c r="F102" s="480"/>
      <c r="G102" s="480"/>
      <c r="H102" s="481"/>
      <c r="I102" s="131" t="s">
        <v>109</v>
      </c>
      <c r="J102" s="131" t="s">
        <v>110</v>
      </c>
      <c r="K102" s="132" t="s">
        <v>111</v>
      </c>
      <c r="L102" s="132" t="s">
        <v>112</v>
      </c>
    </row>
    <row r="103" spans="1:12">
      <c r="A103" s="482"/>
      <c r="B103" s="483"/>
      <c r="C103" s="483"/>
      <c r="D103" s="483"/>
      <c r="E103" s="483"/>
      <c r="F103" s="483"/>
      <c r="G103" s="483"/>
      <c r="H103" s="484"/>
      <c r="I103" s="133" t="s">
        <v>113</v>
      </c>
      <c r="J103" s="134" t="s">
        <v>114</v>
      </c>
      <c r="K103" s="134"/>
      <c r="L103" s="134" t="s">
        <v>72</v>
      </c>
    </row>
    <row r="104" spans="1:12">
      <c r="A104" s="485" t="s">
        <v>115</v>
      </c>
      <c r="B104" s="486"/>
      <c r="C104" s="486"/>
      <c r="D104" s="486"/>
      <c r="E104" s="486"/>
      <c r="F104" s="486"/>
      <c r="G104" s="486"/>
      <c r="H104" s="487"/>
      <c r="I104" s="133" t="s">
        <v>116</v>
      </c>
      <c r="J104" s="134" t="s">
        <v>117</v>
      </c>
      <c r="K104" s="134"/>
      <c r="L104" s="134"/>
    </row>
    <row r="105" spans="1:12">
      <c r="A105" s="485"/>
      <c r="B105" s="486"/>
      <c r="C105" s="486"/>
      <c r="D105" s="486"/>
      <c r="E105" s="486"/>
      <c r="F105" s="486"/>
      <c r="G105" s="486"/>
      <c r="H105" s="487"/>
      <c r="I105" s="133" t="s">
        <v>118</v>
      </c>
      <c r="J105" s="134"/>
      <c r="K105" s="134"/>
      <c r="L105" s="134"/>
    </row>
    <row r="106" spans="1:12">
      <c r="A106" s="488" t="s">
        <v>119</v>
      </c>
      <c r="B106" s="489"/>
      <c r="C106" s="490" t="s">
        <v>120</v>
      </c>
      <c r="D106" s="490"/>
      <c r="E106" s="491" t="s">
        <v>121</v>
      </c>
      <c r="F106" s="491"/>
      <c r="G106" s="491"/>
      <c r="H106" s="491"/>
      <c r="I106" s="133" t="s">
        <v>122</v>
      </c>
      <c r="J106" s="134"/>
      <c r="K106" s="134"/>
      <c r="L106" s="134"/>
    </row>
    <row r="109" spans="1:12" ht="19.5">
      <c r="A109" s="532" t="s">
        <v>69</v>
      </c>
      <c r="B109" s="533"/>
      <c r="C109" s="533"/>
      <c r="D109" s="533"/>
      <c r="E109" s="533"/>
      <c r="F109" s="533"/>
      <c r="G109" s="533"/>
      <c r="H109" s="533"/>
      <c r="I109" s="533"/>
      <c r="J109" s="533"/>
      <c r="K109" s="533"/>
      <c r="L109" s="534"/>
    </row>
    <row r="110" spans="1:12">
      <c r="A110" s="125" t="s">
        <v>70</v>
      </c>
      <c r="B110" s="126"/>
      <c r="C110" s="126"/>
      <c r="D110" s="126"/>
      <c r="E110" s="517" t="s">
        <v>71</v>
      </c>
      <c r="F110" s="517"/>
      <c r="G110" s="535" t="s">
        <v>72</v>
      </c>
      <c r="H110" s="536"/>
      <c r="I110" s="536"/>
      <c r="J110" s="537" t="s">
        <v>73</v>
      </c>
      <c r="K110" s="537"/>
      <c r="L110" s="538"/>
    </row>
    <row r="111" spans="1:12">
      <c r="A111" s="539" t="s">
        <v>707</v>
      </c>
      <c r="B111" s="540"/>
      <c r="C111" s="540"/>
      <c r="D111" s="540"/>
      <c r="E111" s="540"/>
      <c r="F111" s="540"/>
      <c r="G111" s="540"/>
      <c r="H111" s="540"/>
      <c r="I111" s="541"/>
      <c r="J111" s="542" t="s">
        <v>75</v>
      </c>
      <c r="K111" s="542"/>
      <c r="L111" s="542"/>
    </row>
    <row r="112" spans="1:12">
      <c r="A112" s="510" t="s">
        <v>708</v>
      </c>
      <c r="B112" s="511"/>
      <c r="C112" s="511"/>
      <c r="D112" s="511"/>
      <c r="E112" s="511"/>
      <c r="F112" s="511"/>
      <c r="G112" s="512"/>
      <c r="H112" s="516" t="s">
        <v>77</v>
      </c>
      <c r="I112" s="516"/>
      <c r="J112" s="518" t="s">
        <v>78</v>
      </c>
      <c r="K112" s="519" t="s">
        <v>79</v>
      </c>
      <c r="L112" s="520"/>
    </row>
    <row r="113" spans="1:12">
      <c r="A113" s="513"/>
      <c r="B113" s="514"/>
      <c r="C113" s="514"/>
      <c r="D113" s="514"/>
      <c r="E113" s="514"/>
      <c r="F113" s="514"/>
      <c r="G113" s="515"/>
      <c r="H113" s="517"/>
      <c r="I113" s="517"/>
      <c r="J113" s="516"/>
      <c r="K113" s="521"/>
      <c r="L113" s="522"/>
    </row>
    <row r="114" spans="1:12">
      <c r="A114" s="127" t="s">
        <v>80</v>
      </c>
      <c r="B114" s="128"/>
      <c r="C114" s="129" t="s">
        <v>81</v>
      </c>
      <c r="D114" s="129"/>
      <c r="E114" s="523" t="s">
        <v>82</v>
      </c>
      <c r="F114" s="523"/>
      <c r="G114" s="523"/>
      <c r="H114" s="523"/>
      <c r="I114" s="523"/>
      <c r="J114" s="523"/>
      <c r="K114" s="523"/>
      <c r="L114" s="524"/>
    </row>
    <row r="115" spans="1:12">
      <c r="A115" s="525" t="s">
        <v>83</v>
      </c>
      <c r="B115" s="526"/>
      <c r="C115" s="527" t="s">
        <v>84</v>
      </c>
      <c r="D115" s="528"/>
      <c r="E115" s="482" t="s">
        <v>85</v>
      </c>
      <c r="F115" s="529"/>
      <c r="G115" s="528"/>
      <c r="H115" s="482" t="s">
        <v>86</v>
      </c>
      <c r="I115" s="528"/>
      <c r="J115" s="130" t="s">
        <v>87</v>
      </c>
      <c r="K115" s="482" t="s">
        <v>88</v>
      </c>
      <c r="L115" s="528"/>
    </row>
    <row r="116" spans="1:12">
      <c r="A116" s="506" t="s">
        <v>89</v>
      </c>
      <c r="B116" s="507"/>
      <c r="C116" s="506" t="s">
        <v>90</v>
      </c>
      <c r="D116" s="507"/>
      <c r="E116" s="506" t="s">
        <v>91</v>
      </c>
      <c r="F116" s="530"/>
      <c r="G116" s="507"/>
      <c r="H116" s="506" t="s">
        <v>92</v>
      </c>
      <c r="I116" s="507"/>
      <c r="J116" s="504" t="s">
        <v>93</v>
      </c>
      <c r="K116" s="506" t="s">
        <v>94</v>
      </c>
      <c r="L116" s="507"/>
    </row>
    <row r="117" spans="1:12">
      <c r="A117" s="508"/>
      <c r="B117" s="509"/>
      <c r="C117" s="508"/>
      <c r="D117" s="509"/>
      <c r="E117" s="508"/>
      <c r="F117" s="531"/>
      <c r="G117" s="509"/>
      <c r="H117" s="508"/>
      <c r="I117" s="509"/>
      <c r="J117" s="505"/>
      <c r="K117" s="508"/>
      <c r="L117" s="509"/>
    </row>
    <row r="118" spans="1:12">
      <c r="A118" s="492" t="s">
        <v>709</v>
      </c>
      <c r="B118" s="492"/>
      <c r="C118" s="495" t="s">
        <v>710</v>
      </c>
      <c r="D118" s="495"/>
      <c r="E118" s="492" t="s">
        <v>711</v>
      </c>
      <c r="F118" s="492"/>
      <c r="G118" s="492"/>
      <c r="H118" s="496" t="s">
        <v>98</v>
      </c>
      <c r="I118" s="495"/>
      <c r="J118" s="495" t="s">
        <v>99</v>
      </c>
      <c r="K118" s="497" t="s">
        <v>100</v>
      </c>
      <c r="L118" s="498"/>
    </row>
    <row r="119" spans="1:12">
      <c r="A119" s="492"/>
      <c r="B119" s="492"/>
      <c r="C119" s="495"/>
      <c r="D119" s="495"/>
      <c r="E119" s="493"/>
      <c r="F119" s="493"/>
      <c r="G119" s="493"/>
      <c r="H119" s="495"/>
      <c r="I119" s="495"/>
      <c r="J119" s="495"/>
      <c r="K119" s="499"/>
      <c r="L119" s="500"/>
    </row>
    <row r="120" spans="1:12">
      <c r="A120" s="492"/>
      <c r="B120" s="492"/>
      <c r="C120" s="495"/>
      <c r="D120" s="495"/>
      <c r="E120" s="492" t="s">
        <v>712</v>
      </c>
      <c r="F120" s="492"/>
      <c r="G120" s="492"/>
      <c r="H120" s="495"/>
      <c r="I120" s="495"/>
      <c r="J120" s="495"/>
      <c r="K120" s="499"/>
      <c r="L120" s="500"/>
    </row>
    <row r="121" spans="1:12">
      <c r="A121" s="492" t="s">
        <v>102</v>
      </c>
      <c r="B121" s="492"/>
      <c r="C121" s="495"/>
      <c r="D121" s="495"/>
      <c r="E121" s="493"/>
      <c r="F121" s="493"/>
      <c r="G121" s="493"/>
      <c r="H121" s="495"/>
      <c r="I121" s="495"/>
      <c r="J121" s="495"/>
      <c r="K121" s="499"/>
      <c r="L121" s="500"/>
    </row>
    <row r="122" spans="1:12">
      <c r="A122" s="492"/>
      <c r="B122" s="492"/>
      <c r="C122" s="495"/>
      <c r="D122" s="495"/>
      <c r="E122" s="492" t="s">
        <v>713</v>
      </c>
      <c r="F122" s="492"/>
      <c r="G122" s="492"/>
      <c r="H122" s="495"/>
      <c r="I122" s="495"/>
      <c r="J122" s="495"/>
      <c r="K122" s="499"/>
      <c r="L122" s="500"/>
    </row>
    <row r="123" spans="1:12">
      <c r="A123" s="492" t="s">
        <v>714</v>
      </c>
      <c r="B123" s="492"/>
      <c r="C123" s="495"/>
      <c r="D123" s="495"/>
      <c r="E123" s="503"/>
      <c r="F123" s="503"/>
      <c r="G123" s="503"/>
      <c r="H123" s="495"/>
      <c r="I123" s="495"/>
      <c r="J123" s="495"/>
      <c r="K123" s="499"/>
      <c r="L123" s="500"/>
    </row>
    <row r="124" spans="1:12">
      <c r="A124" s="492"/>
      <c r="B124" s="492"/>
      <c r="C124" s="495"/>
      <c r="D124" s="495"/>
      <c r="E124" s="492" t="s">
        <v>715</v>
      </c>
      <c r="F124" s="492"/>
      <c r="G124" s="492"/>
      <c r="H124" s="495"/>
      <c r="I124" s="495"/>
      <c r="J124" s="495"/>
      <c r="K124" s="499"/>
      <c r="L124" s="500"/>
    </row>
    <row r="125" spans="1:12">
      <c r="A125" s="492"/>
      <c r="B125" s="492"/>
      <c r="C125" s="495"/>
      <c r="D125" s="495"/>
      <c r="E125" s="492"/>
      <c r="F125" s="492"/>
      <c r="G125" s="492"/>
      <c r="H125" s="495"/>
      <c r="I125" s="495"/>
      <c r="J125" s="495"/>
      <c r="K125" s="499"/>
      <c r="L125" s="500"/>
    </row>
    <row r="126" spans="1:12">
      <c r="A126" s="478" t="s">
        <v>105</v>
      </c>
      <c r="B126" s="478"/>
      <c r="C126" s="495"/>
      <c r="D126" s="495"/>
      <c r="E126" s="493"/>
      <c r="F126" s="493"/>
      <c r="G126" s="493"/>
      <c r="H126" s="495"/>
      <c r="I126" s="495"/>
      <c r="J126" s="495"/>
      <c r="K126" s="499"/>
      <c r="L126" s="500"/>
    </row>
    <row r="127" spans="1:12">
      <c r="A127" s="478"/>
      <c r="B127" s="478"/>
      <c r="C127" s="495"/>
      <c r="D127" s="495"/>
      <c r="E127" s="492" t="s">
        <v>103</v>
      </c>
      <c r="F127" s="492"/>
      <c r="G127" s="492"/>
      <c r="H127" s="495"/>
      <c r="I127" s="495"/>
      <c r="J127" s="495"/>
      <c r="K127" s="499"/>
      <c r="L127" s="500"/>
    </row>
    <row r="128" spans="1:12">
      <c r="A128" s="478"/>
      <c r="B128" s="478"/>
      <c r="C128" s="495"/>
      <c r="D128" s="495"/>
      <c r="E128" s="493"/>
      <c r="F128" s="493"/>
      <c r="G128" s="493"/>
      <c r="H128" s="495"/>
      <c r="I128" s="495"/>
      <c r="J128" s="495"/>
      <c r="K128" s="499"/>
      <c r="L128" s="500"/>
    </row>
    <row r="129" spans="1:12">
      <c r="A129" s="478"/>
      <c r="B129" s="478"/>
      <c r="C129" s="495"/>
      <c r="D129" s="495"/>
      <c r="E129" s="492" t="s">
        <v>101</v>
      </c>
      <c r="F129" s="492"/>
      <c r="G129" s="492"/>
      <c r="H129" s="495"/>
      <c r="I129" s="495"/>
      <c r="J129" s="495"/>
      <c r="K129" s="499"/>
      <c r="L129" s="500"/>
    </row>
    <row r="130" spans="1:12">
      <c r="A130" s="478"/>
      <c r="B130" s="478"/>
      <c r="C130" s="495"/>
      <c r="D130" s="495"/>
      <c r="E130" s="478"/>
      <c r="F130" s="478"/>
      <c r="G130" s="478"/>
      <c r="H130" s="495"/>
      <c r="I130" s="495"/>
      <c r="J130" s="495"/>
      <c r="K130" s="499"/>
      <c r="L130" s="500"/>
    </row>
    <row r="131" spans="1:12">
      <c r="A131" s="478"/>
      <c r="B131" s="478"/>
      <c r="C131" s="495"/>
      <c r="D131" s="495"/>
      <c r="E131" s="492" t="s">
        <v>103</v>
      </c>
      <c r="F131" s="492"/>
      <c r="G131" s="492"/>
      <c r="H131" s="495"/>
      <c r="I131" s="495"/>
      <c r="J131" s="495"/>
      <c r="K131" s="499"/>
      <c r="L131" s="500"/>
    </row>
    <row r="132" spans="1:12">
      <c r="A132" s="478"/>
      <c r="B132" s="478"/>
      <c r="C132" s="495"/>
      <c r="D132" s="495"/>
      <c r="E132" s="492"/>
      <c r="F132" s="492"/>
      <c r="G132" s="492"/>
      <c r="H132" s="495"/>
      <c r="I132" s="495"/>
      <c r="J132" s="495"/>
      <c r="K132" s="499"/>
      <c r="L132" s="500"/>
    </row>
    <row r="133" spans="1:12">
      <c r="A133" s="478"/>
      <c r="B133" s="478"/>
      <c r="C133" s="495"/>
      <c r="D133" s="495"/>
      <c r="E133" s="492" t="s">
        <v>106</v>
      </c>
      <c r="F133" s="492"/>
      <c r="G133" s="492"/>
      <c r="H133" s="495"/>
      <c r="I133" s="495"/>
      <c r="J133" s="495"/>
      <c r="K133" s="499"/>
      <c r="L133" s="500"/>
    </row>
    <row r="134" spans="1:12">
      <c r="A134" s="478"/>
      <c r="B134" s="478"/>
      <c r="C134" s="495"/>
      <c r="D134" s="495"/>
      <c r="E134" s="492"/>
      <c r="F134" s="492"/>
      <c r="G134" s="492"/>
      <c r="H134" s="495"/>
      <c r="I134" s="495"/>
      <c r="J134" s="495"/>
      <c r="K134" s="499"/>
      <c r="L134" s="500"/>
    </row>
    <row r="135" spans="1:12">
      <c r="A135" s="478"/>
      <c r="B135" s="478"/>
      <c r="C135" s="495"/>
      <c r="D135" s="495"/>
      <c r="E135" s="492" t="s">
        <v>103</v>
      </c>
      <c r="F135" s="492"/>
      <c r="G135" s="492"/>
      <c r="H135" s="495"/>
      <c r="I135" s="495"/>
      <c r="J135" s="495"/>
      <c r="K135" s="499"/>
      <c r="L135" s="500"/>
    </row>
    <row r="136" spans="1:12">
      <c r="A136" s="478"/>
      <c r="B136" s="478"/>
      <c r="C136" s="495"/>
      <c r="D136" s="495"/>
      <c r="E136" s="492"/>
      <c r="F136" s="492"/>
      <c r="G136" s="492"/>
      <c r="H136" s="495"/>
      <c r="I136" s="495"/>
      <c r="J136" s="495"/>
      <c r="K136" s="499"/>
      <c r="L136" s="500"/>
    </row>
    <row r="137" spans="1:12">
      <c r="A137" s="478"/>
      <c r="B137" s="478"/>
      <c r="C137" s="495"/>
      <c r="D137" s="495"/>
      <c r="E137" s="492" t="s">
        <v>107</v>
      </c>
      <c r="F137" s="492"/>
      <c r="G137" s="492"/>
      <c r="H137" s="495"/>
      <c r="I137" s="495"/>
      <c r="J137" s="495"/>
      <c r="K137" s="501"/>
      <c r="L137" s="502"/>
    </row>
    <row r="138" spans="1:12">
      <c r="A138" s="479" t="s">
        <v>108</v>
      </c>
      <c r="B138" s="480"/>
      <c r="C138" s="480"/>
      <c r="D138" s="480"/>
      <c r="E138" s="480"/>
      <c r="F138" s="480"/>
      <c r="G138" s="480"/>
      <c r="H138" s="481"/>
      <c r="I138" s="131" t="s">
        <v>109</v>
      </c>
      <c r="J138" s="131" t="s">
        <v>110</v>
      </c>
      <c r="K138" s="132" t="s">
        <v>111</v>
      </c>
      <c r="L138" s="132" t="s">
        <v>112</v>
      </c>
    </row>
    <row r="139" spans="1:12">
      <c r="A139" s="482"/>
      <c r="B139" s="483"/>
      <c r="C139" s="483"/>
      <c r="D139" s="483"/>
      <c r="E139" s="483"/>
      <c r="F139" s="483"/>
      <c r="G139" s="483"/>
      <c r="H139" s="484"/>
      <c r="I139" s="133" t="s">
        <v>113</v>
      </c>
      <c r="J139" s="134" t="s">
        <v>114</v>
      </c>
      <c r="K139" s="134"/>
      <c r="L139" s="134" t="s">
        <v>72</v>
      </c>
    </row>
    <row r="140" spans="1:12">
      <c r="A140" s="485" t="s">
        <v>115</v>
      </c>
      <c r="B140" s="486"/>
      <c r="C140" s="486"/>
      <c r="D140" s="486"/>
      <c r="E140" s="486"/>
      <c r="F140" s="486"/>
      <c r="G140" s="486"/>
      <c r="H140" s="487"/>
      <c r="I140" s="133" t="s">
        <v>116</v>
      </c>
      <c r="J140" s="134" t="s">
        <v>117</v>
      </c>
      <c r="K140" s="134"/>
      <c r="L140" s="134"/>
    </row>
    <row r="141" spans="1:12">
      <c r="A141" s="485"/>
      <c r="B141" s="486"/>
      <c r="C141" s="486"/>
      <c r="D141" s="486"/>
      <c r="E141" s="486"/>
      <c r="F141" s="486"/>
      <c r="G141" s="486"/>
      <c r="H141" s="487"/>
      <c r="I141" s="133" t="s">
        <v>118</v>
      </c>
      <c r="J141" s="134"/>
      <c r="K141" s="134"/>
      <c r="L141" s="134"/>
    </row>
    <row r="142" spans="1:12">
      <c r="A142" s="488" t="s">
        <v>119</v>
      </c>
      <c r="B142" s="489"/>
      <c r="C142" s="490" t="s">
        <v>120</v>
      </c>
      <c r="D142" s="490"/>
      <c r="E142" s="491" t="s">
        <v>121</v>
      </c>
      <c r="F142" s="491"/>
      <c r="G142" s="491"/>
      <c r="H142" s="491"/>
      <c r="I142" s="133" t="s">
        <v>122</v>
      </c>
      <c r="J142" s="134"/>
      <c r="K142" s="134"/>
      <c r="L142" s="134"/>
    </row>
    <row r="145" spans="1:12" ht="19.5">
      <c r="A145" s="532" t="s">
        <v>69</v>
      </c>
      <c r="B145" s="533"/>
      <c r="C145" s="533"/>
      <c r="D145" s="533"/>
      <c r="E145" s="533"/>
      <c r="F145" s="533"/>
      <c r="G145" s="533"/>
      <c r="H145" s="533"/>
      <c r="I145" s="533"/>
      <c r="J145" s="533"/>
      <c r="K145" s="533"/>
      <c r="L145" s="534"/>
    </row>
    <row r="146" spans="1:12">
      <c r="A146" s="125" t="s">
        <v>70</v>
      </c>
      <c r="B146" s="126"/>
      <c r="C146" s="126"/>
      <c r="D146" s="126"/>
      <c r="E146" s="517" t="s">
        <v>71</v>
      </c>
      <c r="F146" s="517"/>
      <c r="G146" s="535" t="s">
        <v>72</v>
      </c>
      <c r="H146" s="536"/>
      <c r="I146" s="536"/>
      <c r="J146" s="537" t="s">
        <v>73</v>
      </c>
      <c r="K146" s="537"/>
      <c r="L146" s="538"/>
    </row>
    <row r="147" spans="1:12">
      <c r="A147" s="539" t="s">
        <v>707</v>
      </c>
      <c r="B147" s="540"/>
      <c r="C147" s="540"/>
      <c r="D147" s="540"/>
      <c r="E147" s="540"/>
      <c r="F147" s="540"/>
      <c r="G147" s="540"/>
      <c r="H147" s="540"/>
      <c r="I147" s="541"/>
      <c r="J147" s="542" t="s">
        <v>75</v>
      </c>
      <c r="K147" s="542"/>
      <c r="L147" s="542"/>
    </row>
    <row r="148" spans="1:12">
      <c r="A148" s="510" t="s">
        <v>708</v>
      </c>
      <c r="B148" s="511"/>
      <c r="C148" s="511"/>
      <c r="D148" s="511"/>
      <c r="E148" s="511"/>
      <c r="F148" s="511"/>
      <c r="G148" s="512"/>
      <c r="H148" s="516" t="s">
        <v>77</v>
      </c>
      <c r="I148" s="516"/>
      <c r="J148" s="518" t="s">
        <v>78</v>
      </c>
      <c r="K148" s="519" t="s">
        <v>79</v>
      </c>
      <c r="L148" s="520"/>
    </row>
    <row r="149" spans="1:12">
      <c r="A149" s="513"/>
      <c r="B149" s="514"/>
      <c r="C149" s="514"/>
      <c r="D149" s="514"/>
      <c r="E149" s="514"/>
      <c r="F149" s="514"/>
      <c r="G149" s="515"/>
      <c r="H149" s="517"/>
      <c r="I149" s="517"/>
      <c r="J149" s="516"/>
      <c r="K149" s="521"/>
      <c r="L149" s="522"/>
    </row>
    <row r="150" spans="1:12">
      <c r="A150" s="127" t="s">
        <v>80</v>
      </c>
      <c r="B150" s="128"/>
      <c r="C150" s="129" t="s">
        <v>81</v>
      </c>
      <c r="D150" s="129"/>
      <c r="E150" s="523" t="s">
        <v>82</v>
      </c>
      <c r="F150" s="523"/>
      <c r="G150" s="523"/>
      <c r="H150" s="523"/>
      <c r="I150" s="523"/>
      <c r="J150" s="523"/>
      <c r="K150" s="523"/>
      <c r="L150" s="524"/>
    </row>
    <row r="151" spans="1:12">
      <c r="A151" s="525" t="s">
        <v>83</v>
      </c>
      <c r="B151" s="526"/>
      <c r="C151" s="527" t="s">
        <v>84</v>
      </c>
      <c r="D151" s="528"/>
      <c r="E151" s="482" t="s">
        <v>85</v>
      </c>
      <c r="F151" s="529"/>
      <c r="G151" s="528"/>
      <c r="H151" s="482" t="s">
        <v>86</v>
      </c>
      <c r="I151" s="528"/>
      <c r="J151" s="130" t="s">
        <v>87</v>
      </c>
      <c r="K151" s="482" t="s">
        <v>88</v>
      </c>
      <c r="L151" s="528"/>
    </row>
    <row r="152" spans="1:12">
      <c r="A152" s="506" t="s">
        <v>89</v>
      </c>
      <c r="B152" s="507"/>
      <c r="C152" s="506" t="s">
        <v>90</v>
      </c>
      <c r="D152" s="507"/>
      <c r="E152" s="506" t="s">
        <v>91</v>
      </c>
      <c r="F152" s="530"/>
      <c r="G152" s="507"/>
      <c r="H152" s="506" t="s">
        <v>92</v>
      </c>
      <c r="I152" s="507"/>
      <c r="J152" s="504" t="s">
        <v>93</v>
      </c>
      <c r="K152" s="506" t="s">
        <v>94</v>
      </c>
      <c r="L152" s="507"/>
    </row>
    <row r="153" spans="1:12">
      <c r="A153" s="508"/>
      <c r="B153" s="509"/>
      <c r="C153" s="508"/>
      <c r="D153" s="509"/>
      <c r="E153" s="508"/>
      <c r="F153" s="531"/>
      <c r="G153" s="509"/>
      <c r="H153" s="508"/>
      <c r="I153" s="509"/>
      <c r="J153" s="505"/>
      <c r="K153" s="508"/>
      <c r="L153" s="509"/>
    </row>
    <row r="154" spans="1:12">
      <c r="A154" s="492" t="s">
        <v>709</v>
      </c>
      <c r="B154" s="492"/>
      <c r="C154" s="495" t="s">
        <v>710</v>
      </c>
      <c r="D154" s="495"/>
      <c r="E154" s="492" t="s">
        <v>711</v>
      </c>
      <c r="F154" s="492"/>
      <c r="G154" s="492"/>
      <c r="H154" s="496" t="s">
        <v>98</v>
      </c>
      <c r="I154" s="495"/>
      <c r="J154" s="495" t="s">
        <v>99</v>
      </c>
      <c r="K154" s="497" t="s">
        <v>100</v>
      </c>
      <c r="L154" s="498"/>
    </row>
    <row r="155" spans="1:12">
      <c r="A155" s="492"/>
      <c r="B155" s="492"/>
      <c r="C155" s="495"/>
      <c r="D155" s="495"/>
      <c r="E155" s="493"/>
      <c r="F155" s="493"/>
      <c r="G155" s="493"/>
      <c r="H155" s="495"/>
      <c r="I155" s="495"/>
      <c r="J155" s="495"/>
      <c r="K155" s="499"/>
      <c r="L155" s="500"/>
    </row>
    <row r="156" spans="1:12">
      <c r="A156" s="492"/>
      <c r="B156" s="492"/>
      <c r="C156" s="495"/>
      <c r="D156" s="495"/>
      <c r="E156" s="492" t="s">
        <v>712</v>
      </c>
      <c r="F156" s="492"/>
      <c r="G156" s="492"/>
      <c r="H156" s="495"/>
      <c r="I156" s="495"/>
      <c r="J156" s="495"/>
      <c r="K156" s="499"/>
      <c r="L156" s="500"/>
    </row>
    <row r="157" spans="1:12">
      <c r="A157" s="492" t="s">
        <v>102</v>
      </c>
      <c r="B157" s="492"/>
      <c r="C157" s="495"/>
      <c r="D157" s="495"/>
      <c r="E157" s="493"/>
      <c r="F157" s="493"/>
      <c r="G157" s="493"/>
      <c r="H157" s="495"/>
      <c r="I157" s="495"/>
      <c r="J157" s="495"/>
      <c r="K157" s="499"/>
      <c r="L157" s="500"/>
    </row>
    <row r="158" spans="1:12">
      <c r="A158" s="492"/>
      <c r="B158" s="492"/>
      <c r="C158" s="495"/>
      <c r="D158" s="495"/>
      <c r="E158" s="492" t="s">
        <v>713</v>
      </c>
      <c r="F158" s="492"/>
      <c r="G158" s="492"/>
      <c r="H158" s="495"/>
      <c r="I158" s="495"/>
      <c r="J158" s="495"/>
      <c r="K158" s="499"/>
      <c r="L158" s="500"/>
    </row>
    <row r="159" spans="1:12">
      <c r="A159" s="492" t="s">
        <v>714</v>
      </c>
      <c r="B159" s="492"/>
      <c r="C159" s="495"/>
      <c r="D159" s="495"/>
      <c r="E159" s="503"/>
      <c r="F159" s="503"/>
      <c r="G159" s="503"/>
      <c r="H159" s="495"/>
      <c r="I159" s="495"/>
      <c r="J159" s="495"/>
      <c r="K159" s="499"/>
      <c r="L159" s="500"/>
    </row>
    <row r="160" spans="1:12">
      <c r="A160" s="492"/>
      <c r="B160" s="492"/>
      <c r="C160" s="495"/>
      <c r="D160" s="495"/>
      <c r="E160" s="492" t="s">
        <v>715</v>
      </c>
      <c r="F160" s="492"/>
      <c r="G160" s="492"/>
      <c r="H160" s="495"/>
      <c r="I160" s="495"/>
      <c r="J160" s="495"/>
      <c r="K160" s="499"/>
      <c r="L160" s="500"/>
    </row>
    <row r="161" spans="1:12">
      <c r="A161" s="492"/>
      <c r="B161" s="492"/>
      <c r="C161" s="495"/>
      <c r="D161" s="495"/>
      <c r="E161" s="492"/>
      <c r="F161" s="492"/>
      <c r="G161" s="492"/>
      <c r="H161" s="495"/>
      <c r="I161" s="495"/>
      <c r="J161" s="495"/>
      <c r="K161" s="499"/>
      <c r="L161" s="500"/>
    </row>
    <row r="162" spans="1:12">
      <c r="A162" s="478" t="s">
        <v>105</v>
      </c>
      <c r="B162" s="478"/>
      <c r="C162" s="495"/>
      <c r="D162" s="495"/>
      <c r="E162" s="493"/>
      <c r="F162" s="493"/>
      <c r="G162" s="493"/>
      <c r="H162" s="495"/>
      <c r="I162" s="495"/>
      <c r="J162" s="495"/>
      <c r="K162" s="499"/>
      <c r="L162" s="500"/>
    </row>
    <row r="163" spans="1:12">
      <c r="A163" s="478"/>
      <c r="B163" s="478"/>
      <c r="C163" s="495"/>
      <c r="D163" s="495"/>
      <c r="E163" s="492" t="s">
        <v>103</v>
      </c>
      <c r="F163" s="492"/>
      <c r="G163" s="492"/>
      <c r="H163" s="495"/>
      <c r="I163" s="495"/>
      <c r="J163" s="495"/>
      <c r="K163" s="499"/>
      <c r="L163" s="500"/>
    </row>
    <row r="164" spans="1:12">
      <c r="A164" s="478"/>
      <c r="B164" s="478"/>
      <c r="C164" s="495"/>
      <c r="D164" s="495"/>
      <c r="E164" s="493"/>
      <c r="F164" s="493"/>
      <c r="G164" s="493"/>
      <c r="H164" s="495"/>
      <c r="I164" s="495"/>
      <c r="J164" s="495"/>
      <c r="K164" s="499"/>
      <c r="L164" s="500"/>
    </row>
    <row r="165" spans="1:12">
      <c r="A165" s="478"/>
      <c r="B165" s="478"/>
      <c r="C165" s="495"/>
      <c r="D165" s="495"/>
      <c r="E165" s="492" t="s">
        <v>101</v>
      </c>
      <c r="F165" s="492"/>
      <c r="G165" s="492"/>
      <c r="H165" s="495"/>
      <c r="I165" s="495"/>
      <c r="J165" s="495"/>
      <c r="K165" s="499"/>
      <c r="L165" s="500"/>
    </row>
    <row r="166" spans="1:12">
      <c r="A166" s="478"/>
      <c r="B166" s="478"/>
      <c r="C166" s="495"/>
      <c r="D166" s="495"/>
      <c r="E166" s="478"/>
      <c r="F166" s="478"/>
      <c r="G166" s="478"/>
      <c r="H166" s="495"/>
      <c r="I166" s="495"/>
      <c r="J166" s="495"/>
      <c r="K166" s="499"/>
      <c r="L166" s="500"/>
    </row>
    <row r="167" spans="1:12">
      <c r="A167" s="478"/>
      <c r="B167" s="478"/>
      <c r="C167" s="495"/>
      <c r="D167" s="495"/>
      <c r="E167" s="492" t="s">
        <v>103</v>
      </c>
      <c r="F167" s="492"/>
      <c r="G167" s="492"/>
      <c r="H167" s="495"/>
      <c r="I167" s="495"/>
      <c r="J167" s="495"/>
      <c r="K167" s="499"/>
      <c r="L167" s="500"/>
    </row>
    <row r="168" spans="1:12">
      <c r="A168" s="478"/>
      <c r="B168" s="478"/>
      <c r="C168" s="495"/>
      <c r="D168" s="495"/>
      <c r="E168" s="492"/>
      <c r="F168" s="492"/>
      <c r="G168" s="492"/>
      <c r="H168" s="495"/>
      <c r="I168" s="495"/>
      <c r="J168" s="495"/>
      <c r="K168" s="499"/>
      <c r="L168" s="500"/>
    </row>
    <row r="169" spans="1:12">
      <c r="A169" s="478"/>
      <c r="B169" s="478"/>
      <c r="C169" s="495"/>
      <c r="D169" s="495"/>
      <c r="E169" s="492" t="s">
        <v>106</v>
      </c>
      <c r="F169" s="492"/>
      <c r="G169" s="492"/>
      <c r="H169" s="495"/>
      <c r="I169" s="495"/>
      <c r="J169" s="495"/>
      <c r="K169" s="499"/>
      <c r="L169" s="500"/>
    </row>
    <row r="170" spans="1:12">
      <c r="A170" s="478"/>
      <c r="B170" s="478"/>
      <c r="C170" s="495"/>
      <c r="D170" s="495"/>
      <c r="E170" s="492"/>
      <c r="F170" s="492"/>
      <c r="G170" s="492"/>
      <c r="H170" s="495"/>
      <c r="I170" s="495"/>
      <c r="J170" s="495"/>
      <c r="K170" s="499"/>
      <c r="L170" s="500"/>
    </row>
    <row r="171" spans="1:12">
      <c r="A171" s="478"/>
      <c r="B171" s="478"/>
      <c r="C171" s="495"/>
      <c r="D171" s="495"/>
      <c r="E171" s="492" t="s">
        <v>103</v>
      </c>
      <c r="F171" s="492"/>
      <c r="G171" s="492"/>
      <c r="H171" s="495"/>
      <c r="I171" s="495"/>
      <c r="J171" s="495"/>
      <c r="K171" s="499"/>
      <c r="L171" s="500"/>
    </row>
    <row r="172" spans="1:12">
      <c r="A172" s="478"/>
      <c r="B172" s="478"/>
      <c r="C172" s="495"/>
      <c r="D172" s="495"/>
      <c r="E172" s="492"/>
      <c r="F172" s="492"/>
      <c r="G172" s="492"/>
      <c r="H172" s="495"/>
      <c r="I172" s="495"/>
      <c r="J172" s="495"/>
      <c r="K172" s="499"/>
      <c r="L172" s="500"/>
    </row>
    <row r="173" spans="1:12">
      <c r="A173" s="478"/>
      <c r="B173" s="478"/>
      <c r="C173" s="495"/>
      <c r="D173" s="495"/>
      <c r="E173" s="492" t="s">
        <v>107</v>
      </c>
      <c r="F173" s="492"/>
      <c r="G173" s="492"/>
      <c r="H173" s="495"/>
      <c r="I173" s="495"/>
      <c r="J173" s="495"/>
      <c r="K173" s="501"/>
      <c r="L173" s="502"/>
    </row>
    <row r="174" spans="1:12">
      <c r="A174" s="479" t="s">
        <v>108</v>
      </c>
      <c r="B174" s="480"/>
      <c r="C174" s="480"/>
      <c r="D174" s="480"/>
      <c r="E174" s="480"/>
      <c r="F174" s="480"/>
      <c r="G174" s="480"/>
      <c r="H174" s="481"/>
      <c r="I174" s="131" t="s">
        <v>109</v>
      </c>
      <c r="J174" s="131" t="s">
        <v>110</v>
      </c>
      <c r="K174" s="132" t="s">
        <v>111</v>
      </c>
      <c r="L174" s="132" t="s">
        <v>112</v>
      </c>
    </row>
    <row r="175" spans="1:12">
      <c r="A175" s="482"/>
      <c r="B175" s="483"/>
      <c r="C175" s="483"/>
      <c r="D175" s="483"/>
      <c r="E175" s="483"/>
      <c r="F175" s="483"/>
      <c r="G175" s="483"/>
      <c r="H175" s="484"/>
      <c r="I175" s="133" t="s">
        <v>113</v>
      </c>
      <c r="J175" s="134" t="s">
        <v>114</v>
      </c>
      <c r="K175" s="134"/>
      <c r="L175" s="134" t="s">
        <v>72</v>
      </c>
    </row>
    <row r="176" spans="1:12">
      <c r="A176" s="485" t="s">
        <v>115</v>
      </c>
      <c r="B176" s="486"/>
      <c r="C176" s="486"/>
      <c r="D176" s="486"/>
      <c r="E176" s="486"/>
      <c r="F176" s="486"/>
      <c r="G176" s="486"/>
      <c r="H176" s="487"/>
      <c r="I176" s="133" t="s">
        <v>116</v>
      </c>
      <c r="J176" s="134" t="s">
        <v>117</v>
      </c>
      <c r="K176" s="134"/>
      <c r="L176" s="134"/>
    </row>
    <row r="177" spans="1:12">
      <c r="A177" s="485"/>
      <c r="B177" s="486"/>
      <c r="C177" s="486"/>
      <c r="D177" s="486"/>
      <c r="E177" s="486"/>
      <c r="F177" s="486"/>
      <c r="G177" s="486"/>
      <c r="H177" s="487"/>
      <c r="I177" s="133" t="s">
        <v>118</v>
      </c>
      <c r="J177" s="134"/>
      <c r="K177" s="134"/>
      <c r="L177" s="134"/>
    </row>
    <row r="178" spans="1:12">
      <c r="A178" s="488" t="s">
        <v>119</v>
      </c>
      <c r="B178" s="489"/>
      <c r="C178" s="490" t="s">
        <v>120</v>
      </c>
      <c r="D178" s="490"/>
      <c r="E178" s="491" t="s">
        <v>121</v>
      </c>
      <c r="F178" s="491"/>
      <c r="G178" s="491"/>
      <c r="H178" s="491"/>
      <c r="I178" s="133" t="s">
        <v>122</v>
      </c>
      <c r="J178" s="134"/>
      <c r="K178" s="134"/>
      <c r="L178" s="134"/>
    </row>
  </sheetData>
  <mergeCells count="272">
    <mergeCell ref="A30:H31"/>
    <mergeCell ref="A32:H33"/>
    <mergeCell ref="A34:B34"/>
    <mergeCell ref="C34:D34"/>
    <mergeCell ref="E34:H34"/>
    <mergeCell ref="E29:G29"/>
    <mergeCell ref="E18:G18"/>
    <mergeCell ref="E19:G19"/>
    <mergeCell ref="E20:G20"/>
    <mergeCell ref="E21:G21"/>
    <mergeCell ref="E22:G22"/>
    <mergeCell ref="E23:G23"/>
    <mergeCell ref="E24:G24"/>
    <mergeCell ref="E25:G25"/>
    <mergeCell ref="E26:G26"/>
    <mergeCell ref="C7:D7"/>
    <mergeCell ref="E7:G7"/>
    <mergeCell ref="H7:I7"/>
    <mergeCell ref="K7:L7"/>
    <mergeCell ref="A8:B9"/>
    <mergeCell ref="C8:D9"/>
    <mergeCell ref="O10:P10"/>
    <mergeCell ref="E11:G11"/>
    <mergeCell ref="O11:P11"/>
    <mergeCell ref="K10:L29"/>
    <mergeCell ref="E12:G12"/>
    <mergeCell ref="A13:B14"/>
    <mergeCell ref="E13:G13"/>
    <mergeCell ref="E14:G14"/>
    <mergeCell ref="A10:B12"/>
    <mergeCell ref="C10:D29"/>
    <mergeCell ref="E10:G10"/>
    <mergeCell ref="H10:I29"/>
    <mergeCell ref="J10:J29"/>
    <mergeCell ref="A15:B17"/>
    <mergeCell ref="E15:G15"/>
    <mergeCell ref="E16:G17"/>
    <mergeCell ref="A18:B29"/>
    <mergeCell ref="A37:L37"/>
    <mergeCell ref="E38:F38"/>
    <mergeCell ref="G38:I38"/>
    <mergeCell ref="J38:L38"/>
    <mergeCell ref="A39:I39"/>
    <mergeCell ref="J39:L39"/>
    <mergeCell ref="E8:G9"/>
    <mergeCell ref="H8:I9"/>
    <mergeCell ref="A1:L1"/>
    <mergeCell ref="E2:F2"/>
    <mergeCell ref="G2:I2"/>
    <mergeCell ref="J2:L2"/>
    <mergeCell ref="A3:I3"/>
    <mergeCell ref="J3:L3"/>
    <mergeCell ref="E27:G27"/>
    <mergeCell ref="E28:G28"/>
    <mergeCell ref="J8:J9"/>
    <mergeCell ref="K8:L9"/>
    <mergeCell ref="A4:G5"/>
    <mergeCell ref="H4:I5"/>
    <mergeCell ref="J4:J5"/>
    <mergeCell ref="K4:L5"/>
    <mergeCell ref="E6:L6"/>
    <mergeCell ref="A7:B7"/>
    <mergeCell ref="A43:B43"/>
    <mergeCell ref="C43:D43"/>
    <mergeCell ref="E43:G43"/>
    <mergeCell ref="H43:I43"/>
    <mergeCell ref="K43:L43"/>
    <mergeCell ref="A40:G41"/>
    <mergeCell ref="H40:I41"/>
    <mergeCell ref="J40:J41"/>
    <mergeCell ref="K40:L41"/>
    <mergeCell ref="E42:L42"/>
    <mergeCell ref="K44:L45"/>
    <mergeCell ref="A46:B48"/>
    <mergeCell ref="C46:D65"/>
    <mergeCell ref="E46:G46"/>
    <mergeCell ref="H46:I65"/>
    <mergeCell ref="J46:J65"/>
    <mergeCell ref="K46:L65"/>
    <mergeCell ref="E47:G47"/>
    <mergeCell ref="E48:G48"/>
    <mergeCell ref="A49:B50"/>
    <mergeCell ref="E49:G49"/>
    <mergeCell ref="E50:G50"/>
    <mergeCell ref="A51:B53"/>
    <mergeCell ref="E51:G51"/>
    <mergeCell ref="E52:G53"/>
    <mergeCell ref="A54:B65"/>
    <mergeCell ref="A44:B45"/>
    <mergeCell ref="C44:D45"/>
    <mergeCell ref="E44:G45"/>
    <mergeCell ref="H44:I45"/>
    <mergeCell ref="J44:J45"/>
    <mergeCell ref="E59:G59"/>
    <mergeCell ref="E60:G60"/>
    <mergeCell ref="E61:G61"/>
    <mergeCell ref="E62:G62"/>
    <mergeCell ref="E63:G63"/>
    <mergeCell ref="E54:G54"/>
    <mergeCell ref="E55:G55"/>
    <mergeCell ref="E56:G56"/>
    <mergeCell ref="E57:G57"/>
    <mergeCell ref="E58:G58"/>
    <mergeCell ref="A73:L73"/>
    <mergeCell ref="E74:F74"/>
    <mergeCell ref="G74:I74"/>
    <mergeCell ref="J74:L74"/>
    <mergeCell ref="A75:I75"/>
    <mergeCell ref="J75:L75"/>
    <mergeCell ref="E64:G64"/>
    <mergeCell ref="E65:G65"/>
    <mergeCell ref="A66:H67"/>
    <mergeCell ref="A68:H69"/>
    <mergeCell ref="A70:B70"/>
    <mergeCell ref="C70:D70"/>
    <mergeCell ref="E70:H70"/>
    <mergeCell ref="A79:B79"/>
    <mergeCell ref="C79:D79"/>
    <mergeCell ref="E79:G79"/>
    <mergeCell ref="H79:I79"/>
    <mergeCell ref="K79:L79"/>
    <mergeCell ref="A76:G77"/>
    <mergeCell ref="H76:I77"/>
    <mergeCell ref="J76:J77"/>
    <mergeCell ref="K76:L77"/>
    <mergeCell ref="E78:L78"/>
    <mergeCell ref="K80:L81"/>
    <mergeCell ref="A82:B84"/>
    <mergeCell ref="C82:D101"/>
    <mergeCell ref="E82:G82"/>
    <mergeCell ref="H82:I101"/>
    <mergeCell ref="J82:J101"/>
    <mergeCell ref="K82:L101"/>
    <mergeCell ref="E83:G83"/>
    <mergeCell ref="E84:G84"/>
    <mergeCell ref="A85:B86"/>
    <mergeCell ref="E85:G85"/>
    <mergeCell ref="E86:G86"/>
    <mergeCell ref="A87:B89"/>
    <mergeCell ref="E87:G87"/>
    <mergeCell ref="E88:G89"/>
    <mergeCell ref="A90:B101"/>
    <mergeCell ref="A80:B81"/>
    <mergeCell ref="C80:D81"/>
    <mergeCell ref="E80:G81"/>
    <mergeCell ref="H80:I81"/>
    <mergeCell ref="J80:J81"/>
    <mergeCell ref="E95:G95"/>
    <mergeCell ref="E96:G96"/>
    <mergeCell ref="E97:G97"/>
    <mergeCell ref="E98:G98"/>
    <mergeCell ref="E99:G99"/>
    <mergeCell ref="E90:G90"/>
    <mergeCell ref="E91:G91"/>
    <mergeCell ref="E92:G92"/>
    <mergeCell ref="E93:G93"/>
    <mergeCell ref="E94:G94"/>
    <mergeCell ref="A109:L109"/>
    <mergeCell ref="E110:F110"/>
    <mergeCell ref="G110:I110"/>
    <mergeCell ref="J110:L110"/>
    <mergeCell ref="A111:I111"/>
    <mergeCell ref="J111:L111"/>
    <mergeCell ref="E100:G100"/>
    <mergeCell ref="E101:G101"/>
    <mergeCell ref="A102:H103"/>
    <mergeCell ref="A104:H105"/>
    <mergeCell ref="A106:B106"/>
    <mergeCell ref="C106:D106"/>
    <mergeCell ref="E106:H106"/>
    <mergeCell ref="A115:B115"/>
    <mergeCell ref="C115:D115"/>
    <mergeCell ref="E115:G115"/>
    <mergeCell ref="H115:I115"/>
    <mergeCell ref="K115:L115"/>
    <mergeCell ref="A112:G113"/>
    <mergeCell ref="H112:I113"/>
    <mergeCell ref="J112:J113"/>
    <mergeCell ref="K112:L113"/>
    <mergeCell ref="E114:L114"/>
    <mergeCell ref="K116:L117"/>
    <mergeCell ref="A118:B120"/>
    <mergeCell ref="C118:D137"/>
    <mergeCell ref="E118:G118"/>
    <mergeCell ref="H118:I137"/>
    <mergeCell ref="J118:J137"/>
    <mergeCell ref="K118:L137"/>
    <mergeCell ref="E119:G119"/>
    <mergeCell ref="E120:G120"/>
    <mergeCell ref="A121:B122"/>
    <mergeCell ref="E121:G121"/>
    <mergeCell ref="E122:G122"/>
    <mergeCell ref="A123:B125"/>
    <mergeCell ref="E123:G123"/>
    <mergeCell ref="E124:G125"/>
    <mergeCell ref="A126:B137"/>
    <mergeCell ref="A116:B117"/>
    <mergeCell ref="C116:D117"/>
    <mergeCell ref="E116:G117"/>
    <mergeCell ref="H116:I117"/>
    <mergeCell ref="J116:J117"/>
    <mergeCell ref="E131:G131"/>
    <mergeCell ref="E132:G132"/>
    <mergeCell ref="E133:G133"/>
    <mergeCell ref="E134:G134"/>
    <mergeCell ref="E135:G135"/>
    <mergeCell ref="E126:G126"/>
    <mergeCell ref="E127:G127"/>
    <mergeCell ref="E128:G128"/>
    <mergeCell ref="E129:G129"/>
    <mergeCell ref="E130:G130"/>
    <mergeCell ref="A145:L145"/>
    <mergeCell ref="E146:F146"/>
    <mergeCell ref="G146:I146"/>
    <mergeCell ref="J146:L146"/>
    <mergeCell ref="A147:I147"/>
    <mergeCell ref="J147:L147"/>
    <mergeCell ref="E136:G136"/>
    <mergeCell ref="E137:G137"/>
    <mergeCell ref="A138:H139"/>
    <mergeCell ref="A140:H141"/>
    <mergeCell ref="A142:B142"/>
    <mergeCell ref="C142:D142"/>
    <mergeCell ref="E142:H142"/>
    <mergeCell ref="H152:I153"/>
    <mergeCell ref="J152:J153"/>
    <mergeCell ref="A151:B151"/>
    <mergeCell ref="C151:D151"/>
    <mergeCell ref="E151:G151"/>
    <mergeCell ref="H151:I151"/>
    <mergeCell ref="K151:L151"/>
    <mergeCell ref="A148:G149"/>
    <mergeCell ref="H148:I149"/>
    <mergeCell ref="J148:J149"/>
    <mergeCell ref="K148:L149"/>
    <mergeCell ref="E150:L150"/>
    <mergeCell ref="E162:G162"/>
    <mergeCell ref="E163:G163"/>
    <mergeCell ref="E164:G164"/>
    <mergeCell ref="E165:G165"/>
    <mergeCell ref="E166:G166"/>
    <mergeCell ref="K152:L153"/>
    <mergeCell ref="A154:B156"/>
    <mergeCell ref="C154:D173"/>
    <mergeCell ref="E154:G154"/>
    <mergeCell ref="H154:I173"/>
    <mergeCell ref="J154:J173"/>
    <mergeCell ref="K154:L173"/>
    <mergeCell ref="E155:G155"/>
    <mergeCell ref="E156:G156"/>
    <mergeCell ref="A157:B158"/>
    <mergeCell ref="E157:G157"/>
    <mergeCell ref="E158:G158"/>
    <mergeCell ref="A159:B161"/>
    <mergeCell ref="E159:G159"/>
    <mergeCell ref="E160:G161"/>
    <mergeCell ref="A162:B173"/>
    <mergeCell ref="A152:B153"/>
    <mergeCell ref="C152:D153"/>
    <mergeCell ref="E152:G153"/>
    <mergeCell ref="E172:G172"/>
    <mergeCell ref="E173:G173"/>
    <mergeCell ref="A174:H175"/>
    <mergeCell ref="A176:H177"/>
    <mergeCell ref="A178:B178"/>
    <mergeCell ref="C178:D178"/>
    <mergeCell ref="E178:H178"/>
    <mergeCell ref="E167:G167"/>
    <mergeCell ref="E168:G168"/>
    <mergeCell ref="E169:G169"/>
    <mergeCell ref="E170:G170"/>
    <mergeCell ref="E171:G171"/>
  </mergeCells>
  <pageMargins left="0.2" right="0.2" top="0.5" bottom="0.5" header="0.05" footer="0.05"/>
  <pageSetup paperSize="9" scale="5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15BC-658F-421A-9DD8-4F8000F2D696}">
  <sheetPr>
    <pageSetUpPr fitToPage="1"/>
  </sheetPr>
  <dimension ref="B2:AG305"/>
  <sheetViews>
    <sheetView topLeftCell="A175" workbookViewId="0">
      <selection activeCell="F184" sqref="F184:F187"/>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3.140625" customWidth="1"/>
    <col min="10" max="10" width="33.42578125" customWidth="1"/>
    <col min="11" max="11" width="55.28515625" customWidth="1"/>
    <col min="13" max="13" width="11.28515625" customWidth="1"/>
  </cols>
  <sheetData>
    <row r="2" spans="2:33">
      <c r="B2" s="443" t="s">
        <v>0</v>
      </c>
      <c r="C2" s="445" t="s">
        <v>1</v>
      </c>
      <c r="D2" s="438"/>
      <c r="E2" s="438" t="s">
        <v>2</v>
      </c>
      <c r="F2" s="438" t="s">
        <v>3</v>
      </c>
      <c r="G2" s="438" t="s">
        <v>4</v>
      </c>
      <c r="H2" s="438" t="s">
        <v>5</v>
      </c>
      <c r="I2" s="438" t="s">
        <v>6</v>
      </c>
      <c r="J2" s="438" t="s">
        <v>7</v>
      </c>
      <c r="K2" s="440" t="s">
        <v>8</v>
      </c>
    </row>
    <row r="3" spans="2:33">
      <c r="B3" s="444"/>
      <c r="C3" s="41" t="s">
        <v>9</v>
      </c>
      <c r="D3" s="42" t="s">
        <v>10</v>
      </c>
      <c r="E3" s="439"/>
      <c r="F3" s="439"/>
      <c r="G3" s="439"/>
      <c r="H3" s="745"/>
      <c r="I3" s="745"/>
      <c r="J3" s="745"/>
      <c r="K3" s="441"/>
    </row>
    <row r="4" spans="2:33" s="3" customFormat="1" ht="75" customHeight="1">
      <c r="B4" s="32">
        <v>1</v>
      </c>
      <c r="C4" s="143"/>
      <c r="D4" s="143">
        <v>298</v>
      </c>
      <c r="E4" s="144">
        <v>45537</v>
      </c>
      <c r="F4" s="297" t="s">
        <v>131</v>
      </c>
      <c r="G4" s="297" t="s">
        <v>140</v>
      </c>
      <c r="H4" s="298" t="s">
        <v>716</v>
      </c>
      <c r="I4" s="145" t="s">
        <v>127</v>
      </c>
      <c r="J4" s="299" t="s">
        <v>717</v>
      </c>
      <c r="K4" s="146" t="s">
        <v>718</v>
      </c>
      <c r="AG4" s="3" t="str">
        <f>LOWER(AA4)</f>
        <v/>
      </c>
    </row>
    <row r="5" spans="2:33" s="3" customFormat="1" ht="32.25" customHeight="1">
      <c r="B5" s="32">
        <v>2</v>
      </c>
      <c r="C5" s="143">
        <v>47</v>
      </c>
      <c r="D5" s="143"/>
      <c r="E5" s="144">
        <v>45540</v>
      </c>
      <c r="F5" s="297" t="s">
        <v>131</v>
      </c>
      <c r="G5" s="297" t="s">
        <v>125</v>
      </c>
      <c r="H5" s="298" t="s">
        <v>719</v>
      </c>
      <c r="I5" s="300" t="s">
        <v>146</v>
      </c>
      <c r="J5" s="148"/>
      <c r="K5" s="146" t="s">
        <v>720</v>
      </c>
      <c r="M5" s="80"/>
      <c r="AG5" s="3" t="str">
        <f>LOWER(AA5)</f>
        <v/>
      </c>
    </row>
    <row r="6" spans="2:33" s="3" customFormat="1" ht="32.25" customHeight="1">
      <c r="B6" s="32">
        <v>3</v>
      </c>
      <c r="C6" s="143">
        <v>11.999999999999957</v>
      </c>
      <c r="D6" s="143"/>
      <c r="E6" s="144">
        <v>45542</v>
      </c>
      <c r="F6" s="297" t="s">
        <v>159</v>
      </c>
      <c r="G6" s="297" t="s">
        <v>332</v>
      </c>
      <c r="H6" s="298" t="s">
        <v>721</v>
      </c>
      <c r="I6" s="297" t="s">
        <v>146</v>
      </c>
      <c r="J6" s="121"/>
      <c r="K6" s="146" t="s">
        <v>722</v>
      </c>
      <c r="M6" s="80"/>
      <c r="AG6" s="3" t="str">
        <f>LOWER(AA6)</f>
        <v/>
      </c>
    </row>
    <row r="7" spans="2:33" s="3" customFormat="1" ht="32.25" customHeight="1">
      <c r="B7" s="32">
        <v>4</v>
      </c>
      <c r="C7" s="143"/>
      <c r="D7" s="143">
        <v>45</v>
      </c>
      <c r="E7" s="144">
        <v>45544</v>
      </c>
      <c r="F7" s="297" t="s">
        <v>124</v>
      </c>
      <c r="G7" s="297" t="s">
        <v>162</v>
      </c>
      <c r="H7" s="298" t="s">
        <v>723</v>
      </c>
      <c r="I7" s="297" t="s">
        <v>146</v>
      </c>
      <c r="J7" s="121"/>
      <c r="K7" s="146" t="s">
        <v>724</v>
      </c>
      <c r="AG7" s="3" t="str">
        <f t="shared" ref="AG7:AG22" si="0">LOWER(AA7)</f>
        <v/>
      </c>
    </row>
    <row r="8" spans="2:33" s="3" customFormat="1" ht="32.25" customHeight="1">
      <c r="B8" s="32">
        <v>5</v>
      </c>
      <c r="C8" s="143"/>
      <c r="D8" s="143">
        <v>15</v>
      </c>
      <c r="E8" s="144">
        <v>45548</v>
      </c>
      <c r="F8" s="297" t="s">
        <v>159</v>
      </c>
      <c r="G8" s="297" t="s">
        <v>140</v>
      </c>
      <c r="H8" s="298" t="s">
        <v>725</v>
      </c>
      <c r="I8" s="297" t="s">
        <v>146</v>
      </c>
      <c r="J8" s="121"/>
      <c r="K8" s="146"/>
      <c r="AG8" s="3" t="str">
        <f t="shared" si="0"/>
        <v/>
      </c>
    </row>
    <row r="9" spans="2:33" s="3" customFormat="1" ht="32.25" customHeight="1">
      <c r="B9" s="32">
        <v>6</v>
      </c>
      <c r="C9" s="143">
        <v>55.000000000000007</v>
      </c>
      <c r="D9" s="143"/>
      <c r="E9" s="144">
        <v>45548</v>
      </c>
      <c r="F9" s="297" t="s">
        <v>124</v>
      </c>
      <c r="G9" s="297" t="s">
        <v>174</v>
      </c>
      <c r="H9" s="298" t="s">
        <v>726</v>
      </c>
      <c r="I9" s="300" t="s">
        <v>146</v>
      </c>
      <c r="J9" s="147"/>
      <c r="K9" s="146" t="s">
        <v>727</v>
      </c>
      <c r="AG9" s="3" t="str">
        <f t="shared" si="0"/>
        <v/>
      </c>
    </row>
    <row r="10" spans="2:33" s="3" customFormat="1" ht="32.25" customHeight="1">
      <c r="B10" s="32">
        <v>7</v>
      </c>
      <c r="C10" s="143"/>
      <c r="D10" s="143">
        <v>200</v>
      </c>
      <c r="E10" s="144">
        <v>45549</v>
      </c>
      <c r="F10" s="297" t="s">
        <v>131</v>
      </c>
      <c r="G10" s="297" t="s">
        <v>641</v>
      </c>
      <c r="H10" s="298" t="s">
        <v>728</v>
      </c>
      <c r="I10" s="145" t="s">
        <v>127</v>
      </c>
      <c r="J10" s="301"/>
      <c r="K10" s="146" t="s">
        <v>729</v>
      </c>
      <c r="AG10" s="3" t="str">
        <f t="shared" si="0"/>
        <v/>
      </c>
    </row>
    <row r="11" spans="2:33" s="3" customFormat="1" ht="59.25" customHeight="1">
      <c r="B11" s="32">
        <v>8</v>
      </c>
      <c r="C11" s="143"/>
      <c r="D11" s="143">
        <v>38</v>
      </c>
      <c r="E11" s="144">
        <v>45552</v>
      </c>
      <c r="F11" s="297" t="s">
        <v>131</v>
      </c>
      <c r="G11" s="297" t="s">
        <v>162</v>
      </c>
      <c r="H11" s="298" t="s">
        <v>730</v>
      </c>
      <c r="I11" s="300" t="s">
        <v>146</v>
      </c>
      <c r="J11" s="148"/>
      <c r="K11" s="146" t="s">
        <v>731</v>
      </c>
      <c r="AG11" s="3" t="str">
        <f t="shared" si="0"/>
        <v/>
      </c>
    </row>
    <row r="12" spans="2:33" s="3" customFormat="1" ht="36.75" customHeight="1">
      <c r="B12" s="32">
        <v>9</v>
      </c>
      <c r="C12" s="143"/>
      <c r="D12" s="143">
        <v>45</v>
      </c>
      <c r="E12" s="144">
        <v>45553</v>
      </c>
      <c r="F12" s="297" t="s">
        <v>131</v>
      </c>
      <c r="G12" s="297" t="s">
        <v>162</v>
      </c>
      <c r="H12" s="298" t="s">
        <v>732</v>
      </c>
      <c r="I12" s="300" t="s">
        <v>146</v>
      </c>
      <c r="J12" s="121"/>
      <c r="K12" s="146" t="s">
        <v>733</v>
      </c>
      <c r="AG12" s="3" t="str">
        <f t="shared" si="0"/>
        <v/>
      </c>
    </row>
    <row r="13" spans="2:33" s="3" customFormat="1" ht="46.5" customHeight="1">
      <c r="B13" s="32">
        <v>10</v>
      </c>
      <c r="C13" s="143">
        <v>55.000000000000007</v>
      </c>
      <c r="D13" s="143"/>
      <c r="E13" s="144">
        <v>45553</v>
      </c>
      <c r="F13" s="297" t="s">
        <v>131</v>
      </c>
      <c r="G13" s="297" t="s">
        <v>162</v>
      </c>
      <c r="H13" s="298" t="s">
        <v>734</v>
      </c>
      <c r="I13" s="300" t="s">
        <v>146</v>
      </c>
      <c r="J13" s="121"/>
      <c r="K13" s="146" t="s">
        <v>735</v>
      </c>
      <c r="AG13" s="3" t="str">
        <f t="shared" si="0"/>
        <v/>
      </c>
    </row>
    <row r="14" spans="2:33" s="3" customFormat="1" ht="36.75" customHeight="1">
      <c r="B14" s="32">
        <v>11</v>
      </c>
      <c r="C14" s="143"/>
      <c r="D14" s="143">
        <v>15</v>
      </c>
      <c r="E14" s="144">
        <v>45554</v>
      </c>
      <c r="F14" s="297" t="s">
        <v>124</v>
      </c>
      <c r="G14" s="297" t="s">
        <v>125</v>
      </c>
      <c r="H14" s="298" t="s">
        <v>736</v>
      </c>
      <c r="I14" s="297" t="s">
        <v>146</v>
      </c>
      <c r="J14" s="121"/>
      <c r="K14" s="146" t="s">
        <v>737</v>
      </c>
      <c r="AG14" s="3" t="str">
        <f t="shared" si="0"/>
        <v/>
      </c>
    </row>
    <row r="15" spans="2:33" s="3" customFormat="1" ht="36.75" customHeight="1">
      <c r="B15" s="32">
        <v>12</v>
      </c>
      <c r="C15" s="143">
        <v>28.00000000000006</v>
      </c>
      <c r="D15" s="143"/>
      <c r="E15" s="144">
        <v>45555</v>
      </c>
      <c r="F15" s="297" t="s">
        <v>159</v>
      </c>
      <c r="G15" s="297" t="s">
        <v>174</v>
      </c>
      <c r="H15" s="302" t="s">
        <v>738</v>
      </c>
      <c r="I15" s="297" t="s">
        <v>146</v>
      </c>
      <c r="J15" s="147"/>
      <c r="K15" s="146"/>
      <c r="AG15" s="3" t="str">
        <f t="shared" si="0"/>
        <v/>
      </c>
    </row>
    <row r="16" spans="2:33" ht="46.5" customHeight="1">
      <c r="B16" s="32">
        <v>13</v>
      </c>
      <c r="C16" s="143">
        <v>326.99999999999994</v>
      </c>
      <c r="D16" s="143"/>
      <c r="E16" s="144">
        <v>45556</v>
      </c>
      <c r="F16" s="297" t="s">
        <v>131</v>
      </c>
      <c r="G16" s="297" t="s">
        <v>125</v>
      </c>
      <c r="H16" s="299" t="s">
        <v>739</v>
      </c>
      <c r="I16" s="761" t="s">
        <v>127</v>
      </c>
      <c r="J16" s="767" t="s">
        <v>740</v>
      </c>
      <c r="K16" s="765" t="s">
        <v>741</v>
      </c>
      <c r="L16" s="3"/>
      <c r="Q16" s="3"/>
      <c r="AG16" s="3" t="str">
        <f t="shared" si="0"/>
        <v/>
      </c>
    </row>
    <row r="17" spans="2:33" ht="46.5" customHeight="1">
      <c r="B17" s="32">
        <v>14</v>
      </c>
      <c r="C17" s="143">
        <v>320</v>
      </c>
      <c r="D17" s="143"/>
      <c r="E17" s="144">
        <v>45557</v>
      </c>
      <c r="F17" s="297" t="s">
        <v>131</v>
      </c>
      <c r="G17" s="297" t="s">
        <v>125</v>
      </c>
      <c r="H17" s="299" t="s">
        <v>742</v>
      </c>
      <c r="I17" s="762"/>
      <c r="J17" s="764"/>
      <c r="K17" s="769"/>
      <c r="L17" s="3"/>
      <c r="Q17" s="3"/>
      <c r="AG17" s="3" t="str">
        <f t="shared" si="0"/>
        <v/>
      </c>
    </row>
    <row r="18" spans="2:33" ht="46.5" customHeight="1">
      <c r="B18" s="32">
        <v>15</v>
      </c>
      <c r="C18" s="143">
        <v>230.00000000000014</v>
      </c>
      <c r="D18" s="143"/>
      <c r="E18" s="144">
        <v>45557</v>
      </c>
      <c r="F18" s="297" t="s">
        <v>124</v>
      </c>
      <c r="G18" s="297" t="s">
        <v>140</v>
      </c>
      <c r="H18" s="299" t="s">
        <v>739</v>
      </c>
      <c r="I18" s="762"/>
      <c r="J18" s="764"/>
      <c r="K18" s="766"/>
      <c r="L18" s="3"/>
      <c r="Q18" s="3"/>
      <c r="AG18" s="3" t="str">
        <f t="shared" si="0"/>
        <v/>
      </c>
    </row>
    <row r="19" spans="2:33" ht="39.75" customHeight="1">
      <c r="B19" s="32">
        <v>16</v>
      </c>
      <c r="C19" s="143">
        <v>90</v>
      </c>
      <c r="D19" s="143"/>
      <c r="E19" s="144">
        <v>45558</v>
      </c>
      <c r="F19" s="297" t="s">
        <v>159</v>
      </c>
      <c r="G19" s="297" t="s">
        <v>174</v>
      </c>
      <c r="H19" s="303" t="s">
        <v>743</v>
      </c>
      <c r="I19" s="145" t="s">
        <v>127</v>
      </c>
      <c r="J19" s="301" t="s">
        <v>744</v>
      </c>
      <c r="K19" s="146" t="s">
        <v>745</v>
      </c>
      <c r="L19" s="3"/>
      <c r="Q19" s="3"/>
      <c r="AG19" s="3" t="str">
        <f t="shared" si="0"/>
        <v/>
      </c>
    </row>
    <row r="20" spans="2:33" ht="39.75" customHeight="1">
      <c r="B20" s="32">
        <v>17</v>
      </c>
      <c r="C20" s="143">
        <v>445</v>
      </c>
      <c r="D20" s="143"/>
      <c r="E20" s="144">
        <v>45558</v>
      </c>
      <c r="F20" s="297" t="s">
        <v>131</v>
      </c>
      <c r="G20" s="297" t="s">
        <v>125</v>
      </c>
      <c r="H20" s="298" t="s">
        <v>739</v>
      </c>
      <c r="I20" s="763" t="s">
        <v>127</v>
      </c>
      <c r="J20" s="768"/>
      <c r="K20" s="765" t="s">
        <v>746</v>
      </c>
      <c r="L20" s="3"/>
      <c r="Q20" s="3"/>
      <c r="AG20" s="3" t="str">
        <f t="shared" si="0"/>
        <v/>
      </c>
    </row>
    <row r="21" spans="2:33" ht="39.75" customHeight="1">
      <c r="B21" s="32">
        <v>18</v>
      </c>
      <c r="C21" s="143">
        <v>145.00000000000011</v>
      </c>
      <c r="D21" s="143"/>
      <c r="E21" s="144">
        <v>45558</v>
      </c>
      <c r="F21" s="297" t="s">
        <v>124</v>
      </c>
      <c r="G21" s="297" t="s">
        <v>140</v>
      </c>
      <c r="H21" s="298" t="s">
        <v>739</v>
      </c>
      <c r="I21" s="764"/>
      <c r="J21" s="764"/>
      <c r="K21" s="766"/>
      <c r="L21" s="3"/>
      <c r="Q21" s="3"/>
      <c r="AG21" s="3" t="str">
        <f t="shared" si="0"/>
        <v/>
      </c>
    </row>
    <row r="22" spans="2:33" ht="63" customHeight="1">
      <c r="B22" s="32">
        <v>19</v>
      </c>
      <c r="C22" s="143">
        <v>415.99999999999994</v>
      </c>
      <c r="D22" s="143"/>
      <c r="E22" s="144">
        <v>45559</v>
      </c>
      <c r="F22" s="297" t="s">
        <v>124</v>
      </c>
      <c r="G22" s="297" t="s">
        <v>140</v>
      </c>
      <c r="H22" s="298" t="s">
        <v>747</v>
      </c>
      <c r="I22" s="145" t="s">
        <v>127</v>
      </c>
      <c r="J22" s="151" t="s">
        <v>748</v>
      </c>
      <c r="K22" s="146" t="s">
        <v>749</v>
      </c>
      <c r="L22" s="3"/>
      <c r="Q22" s="3"/>
      <c r="AG22" s="3" t="str">
        <f t="shared" si="0"/>
        <v/>
      </c>
    </row>
    <row r="23" spans="2:33" ht="37.5" customHeight="1">
      <c r="B23" s="32">
        <v>20</v>
      </c>
      <c r="C23" s="143"/>
      <c r="D23" s="143">
        <v>17</v>
      </c>
      <c r="E23" s="144">
        <v>45559</v>
      </c>
      <c r="F23" s="297" t="s">
        <v>159</v>
      </c>
      <c r="G23" s="297" t="s">
        <v>174</v>
      </c>
      <c r="H23" s="298" t="s">
        <v>750</v>
      </c>
      <c r="I23" s="297" t="s">
        <v>146</v>
      </c>
      <c r="J23" s="141"/>
      <c r="K23" s="146"/>
      <c r="L23" s="3"/>
      <c r="Q23" s="3"/>
    </row>
    <row r="24" spans="2:33" ht="37.5" customHeight="1">
      <c r="B24" s="32">
        <v>21</v>
      </c>
      <c r="C24" s="143">
        <v>14.999999999999947</v>
      </c>
      <c r="D24" s="143"/>
      <c r="E24" s="144">
        <v>45562</v>
      </c>
      <c r="F24" s="297" t="s">
        <v>131</v>
      </c>
      <c r="G24" s="297" t="s">
        <v>140</v>
      </c>
      <c r="H24" s="298" t="s">
        <v>751</v>
      </c>
      <c r="I24" s="297" t="s">
        <v>146</v>
      </c>
      <c r="J24" s="141"/>
      <c r="K24" s="146"/>
      <c r="L24" s="3"/>
      <c r="Q24" s="3"/>
    </row>
    <row r="25" spans="2:33" ht="37.5" customHeight="1">
      <c r="B25" s="32">
        <v>22</v>
      </c>
      <c r="C25" s="143"/>
      <c r="D25" s="143">
        <v>5</v>
      </c>
      <c r="E25" s="144">
        <v>45563</v>
      </c>
      <c r="F25" s="297" t="s">
        <v>124</v>
      </c>
      <c r="G25" s="297" t="s">
        <v>641</v>
      </c>
      <c r="H25" s="298" t="s">
        <v>752</v>
      </c>
      <c r="I25" s="297" t="s">
        <v>146</v>
      </c>
      <c r="J25" s="150"/>
      <c r="K25" s="149"/>
      <c r="L25" s="3"/>
      <c r="Q25" s="3"/>
    </row>
    <row r="26" spans="2:33" ht="37.5" customHeight="1">
      <c r="B26" s="32">
        <v>23</v>
      </c>
      <c r="C26" s="143"/>
      <c r="D26" s="143">
        <v>194</v>
      </c>
      <c r="E26" s="144">
        <v>45564</v>
      </c>
      <c r="F26" s="297" t="s">
        <v>124</v>
      </c>
      <c r="G26" s="297" t="s">
        <v>641</v>
      </c>
      <c r="H26" s="298" t="s">
        <v>753</v>
      </c>
      <c r="I26" s="145" t="s">
        <v>127</v>
      </c>
      <c r="J26" s="299" t="s">
        <v>754</v>
      </c>
      <c r="K26" s="146" t="s">
        <v>755</v>
      </c>
      <c r="L26" s="3"/>
      <c r="Q26" s="3"/>
    </row>
    <row r="27" spans="2:33">
      <c r="B27" s="6" t="s">
        <v>11</v>
      </c>
      <c r="C27" s="7">
        <f>SUM(C4:C26)</f>
        <v>2185.0000000000005</v>
      </c>
      <c r="D27" s="7">
        <f>SUM(D4:D26)</f>
        <v>872</v>
      </c>
      <c r="E27" s="759"/>
      <c r="F27" s="760"/>
      <c r="G27" s="760"/>
      <c r="H27" s="760"/>
      <c r="I27" s="760"/>
      <c r="J27" s="760"/>
      <c r="K27" s="760"/>
    </row>
    <row r="28" spans="2:33">
      <c r="B28" s="9"/>
      <c r="C28" s="10"/>
      <c r="D28" s="11"/>
      <c r="E28" s="434"/>
      <c r="F28" s="435"/>
      <c r="G28" s="435"/>
      <c r="H28" s="435"/>
      <c r="I28" s="435"/>
      <c r="J28" s="435"/>
      <c r="K28" s="435"/>
    </row>
    <row r="29" spans="2:33">
      <c r="B29" s="6" t="s">
        <v>12</v>
      </c>
      <c r="C29" s="432">
        <f>SUM(C27,D27)</f>
        <v>3057.0000000000005</v>
      </c>
      <c r="D29" s="433"/>
      <c r="E29" s="434"/>
      <c r="F29" s="435"/>
      <c r="G29" s="435"/>
      <c r="H29" s="435"/>
      <c r="I29" s="435"/>
      <c r="J29" s="435"/>
      <c r="K29" s="435"/>
    </row>
    <row r="30" spans="2:33">
      <c r="B30" s="12"/>
      <c r="C30" s="13"/>
      <c r="D30" s="14"/>
      <c r="E30" s="436"/>
      <c r="F30" s="437"/>
      <c r="G30" s="437"/>
      <c r="H30" s="437"/>
      <c r="I30" s="437"/>
      <c r="J30" s="437"/>
      <c r="K30" s="437"/>
    </row>
    <row r="33" spans="2:7" ht="15.75">
      <c r="B33" s="543" t="s">
        <v>189</v>
      </c>
      <c r="C33" s="544"/>
      <c r="D33" s="544"/>
      <c r="E33" s="544"/>
      <c r="F33" s="544"/>
      <c r="G33" s="545"/>
    </row>
    <row r="34" spans="2:7" ht="15.75">
      <c r="B34" s="546" t="s">
        <v>190</v>
      </c>
      <c r="C34" s="547"/>
      <c r="D34" s="547"/>
      <c r="E34" s="547"/>
      <c r="F34" s="547"/>
      <c r="G34" s="548"/>
    </row>
    <row r="35" spans="2:7" ht="15" customHeight="1">
      <c r="B35" s="549" t="s">
        <v>191</v>
      </c>
      <c r="C35" s="550"/>
      <c r="D35" s="551" t="s">
        <v>192</v>
      </c>
      <c r="E35" s="552"/>
      <c r="F35" s="555" t="s">
        <v>193</v>
      </c>
      <c r="G35" s="15" t="s">
        <v>194</v>
      </c>
    </row>
    <row r="36" spans="2:7" ht="15" customHeight="1">
      <c r="B36" s="557" t="s">
        <v>195</v>
      </c>
      <c r="C36" s="558"/>
      <c r="D36" s="553"/>
      <c r="E36" s="554"/>
      <c r="F36" s="556"/>
      <c r="G36" s="16" t="s">
        <v>756</v>
      </c>
    </row>
    <row r="37" spans="2:7" ht="22.5">
      <c r="B37" s="559" t="s">
        <v>197</v>
      </c>
      <c r="C37" s="560"/>
      <c r="D37" s="565" t="s">
        <v>739</v>
      </c>
      <c r="E37" s="566"/>
      <c r="F37" s="571">
        <v>327</v>
      </c>
      <c r="G37" s="17" t="s">
        <v>199</v>
      </c>
    </row>
    <row r="38" spans="2:7">
      <c r="B38" s="561"/>
      <c r="C38" s="562"/>
      <c r="D38" s="567"/>
      <c r="E38" s="568"/>
      <c r="F38" s="572"/>
      <c r="G38" s="18" t="s">
        <v>200</v>
      </c>
    </row>
    <row r="39" spans="2:7">
      <c r="B39" s="563"/>
      <c r="C39" s="564"/>
      <c r="D39" s="569"/>
      <c r="E39" s="570"/>
      <c r="F39" s="573"/>
      <c r="G39" s="17" t="s">
        <v>201</v>
      </c>
    </row>
    <row r="40" spans="2:7">
      <c r="B40" s="19" t="s">
        <v>202</v>
      </c>
      <c r="C40" s="20"/>
      <c r="D40" s="20"/>
      <c r="E40" s="20"/>
      <c r="F40" s="20"/>
      <c r="G40" s="21"/>
    </row>
    <row r="41" spans="2:7">
      <c r="B41" s="22"/>
      <c r="C41" s="23" t="s">
        <v>203</v>
      </c>
      <c r="D41" s="23" t="s">
        <v>203</v>
      </c>
      <c r="E41" s="23" t="s">
        <v>203</v>
      </c>
      <c r="F41" s="23" t="s">
        <v>203</v>
      </c>
      <c r="G41" s="23" t="s">
        <v>203</v>
      </c>
    </row>
    <row r="42" spans="2:7">
      <c r="B42" s="574" t="s">
        <v>204</v>
      </c>
      <c r="C42" s="580" t="s">
        <v>757</v>
      </c>
      <c r="D42" s="580" t="s">
        <v>758</v>
      </c>
      <c r="E42" s="580" t="s">
        <v>759</v>
      </c>
      <c r="F42" s="580" t="s">
        <v>202</v>
      </c>
      <c r="G42" s="580" t="s">
        <v>202</v>
      </c>
    </row>
    <row r="43" spans="2:7">
      <c r="B43" s="575"/>
      <c r="C43" s="581"/>
      <c r="D43" s="581"/>
      <c r="E43" s="581"/>
      <c r="F43" s="581"/>
      <c r="G43" s="581"/>
    </row>
    <row r="44" spans="2:7">
      <c r="B44" s="575"/>
      <c r="C44" s="581"/>
      <c r="D44" s="581"/>
      <c r="E44" s="581"/>
      <c r="F44" s="581"/>
      <c r="G44" s="581"/>
    </row>
    <row r="45" spans="2:7">
      <c r="B45" s="576"/>
      <c r="C45" s="582"/>
      <c r="D45" s="581"/>
      <c r="E45" s="582"/>
      <c r="F45" s="582"/>
      <c r="G45" s="582"/>
    </row>
    <row r="46" spans="2:7">
      <c r="B46" s="574" t="s">
        <v>208</v>
      </c>
      <c r="C46" s="756" t="s">
        <v>760</v>
      </c>
      <c r="D46" s="713" t="s">
        <v>761</v>
      </c>
      <c r="E46" s="714" t="s">
        <v>762</v>
      </c>
      <c r="F46" s="580" t="s">
        <v>202</v>
      </c>
      <c r="G46" s="580" t="s">
        <v>202</v>
      </c>
    </row>
    <row r="47" spans="2:7">
      <c r="B47" s="575"/>
      <c r="C47" s="757"/>
      <c r="D47" s="713"/>
      <c r="E47" s="715"/>
      <c r="F47" s="581"/>
      <c r="G47" s="581"/>
    </row>
    <row r="48" spans="2:7">
      <c r="B48" s="575"/>
      <c r="C48" s="757"/>
      <c r="D48" s="713"/>
      <c r="E48" s="715"/>
      <c r="F48" s="581"/>
      <c r="G48" s="581"/>
    </row>
    <row r="49" spans="2:7" ht="42.75" customHeight="1">
      <c r="B49" s="576"/>
      <c r="C49" s="758"/>
      <c r="D49" s="713"/>
      <c r="E49" s="716"/>
      <c r="F49" s="582"/>
      <c r="G49" s="582"/>
    </row>
    <row r="50" spans="2:7">
      <c r="B50" s="24"/>
      <c r="C50" s="20"/>
      <c r="D50" s="20"/>
      <c r="E50" s="20"/>
      <c r="F50" s="20"/>
      <c r="G50" s="21"/>
    </row>
    <row r="51" spans="2:7">
      <c r="B51" s="597" t="s">
        <v>212</v>
      </c>
      <c r="C51" s="598"/>
      <c r="D51" s="598"/>
      <c r="E51" s="599" t="s">
        <v>213</v>
      </c>
      <c r="F51" s="599"/>
      <c r="G51" s="600"/>
    </row>
    <row r="52" spans="2:7">
      <c r="B52" s="601" t="s">
        <v>763</v>
      </c>
      <c r="C52" s="602"/>
      <c r="D52" s="603"/>
      <c r="E52" s="610" t="s">
        <v>764</v>
      </c>
      <c r="F52" s="611"/>
      <c r="G52" s="612"/>
    </row>
    <row r="53" spans="2:7">
      <c r="B53" s="604"/>
      <c r="C53" s="605"/>
      <c r="D53" s="606"/>
      <c r="E53" s="611"/>
      <c r="F53" s="611"/>
      <c r="G53" s="612"/>
    </row>
    <row r="54" spans="2:7">
      <c r="B54" s="604"/>
      <c r="C54" s="605"/>
      <c r="D54" s="606"/>
      <c r="E54" s="611"/>
      <c r="F54" s="611"/>
      <c r="G54" s="612"/>
    </row>
    <row r="55" spans="2:7" ht="24.75" customHeight="1">
      <c r="B55" s="607"/>
      <c r="C55" s="608"/>
      <c r="D55" s="609"/>
      <c r="E55" s="611"/>
      <c r="F55" s="611"/>
      <c r="G55" s="612"/>
    </row>
    <row r="56" spans="2:7">
      <c r="B56" s="25"/>
      <c r="C56" s="26"/>
      <c r="D56" s="26"/>
      <c r="E56" s="26"/>
      <c r="F56" s="26"/>
      <c r="G56" s="27"/>
    </row>
    <row r="57" spans="2:7">
      <c r="B57" s="28"/>
      <c r="G57" s="29"/>
    </row>
    <row r="58" spans="2:7" ht="15.75">
      <c r="B58" s="613" t="s">
        <v>216</v>
      </c>
      <c r="C58" s="614"/>
      <c r="D58" s="614"/>
      <c r="E58" s="614"/>
      <c r="F58" s="614"/>
      <c r="G58" s="615"/>
    </row>
    <row r="59" spans="2:7">
      <c r="B59" s="616" t="s">
        <v>217</v>
      </c>
      <c r="C59" s="617"/>
      <c r="D59" s="617" t="s">
        <v>218</v>
      </c>
      <c r="E59" s="617"/>
      <c r="F59" s="595" t="s">
        <v>219</v>
      </c>
      <c r="G59" s="596"/>
    </row>
    <row r="60" spans="2:7">
      <c r="B60" s="583"/>
      <c r="C60" s="584"/>
      <c r="D60" s="587"/>
      <c r="E60" s="584"/>
      <c r="F60" s="589"/>
      <c r="G60" s="590"/>
    </row>
    <row r="61" spans="2:7">
      <c r="B61" s="585"/>
      <c r="C61" s="586"/>
      <c r="D61" s="588"/>
      <c r="E61" s="586"/>
      <c r="F61" s="591"/>
      <c r="G61" s="592"/>
    </row>
    <row r="62" spans="2:7">
      <c r="B62" s="28"/>
      <c r="G62" s="29"/>
    </row>
    <row r="63" spans="2:7">
      <c r="B63" s="593" t="s">
        <v>220</v>
      </c>
      <c r="C63" s="594"/>
      <c r="D63" s="595" t="s">
        <v>221</v>
      </c>
      <c r="E63" s="594"/>
      <c r="F63" s="595" t="s">
        <v>222</v>
      </c>
      <c r="G63" s="596"/>
    </row>
    <row r="64" spans="2:7">
      <c r="B64" s="639"/>
      <c r="C64" s="640"/>
      <c r="D64" s="641"/>
      <c r="E64" s="640"/>
      <c r="F64" s="641" t="s">
        <v>423</v>
      </c>
      <c r="G64" s="642"/>
    </row>
    <row r="65" spans="2:7">
      <c r="B65" s="43"/>
      <c r="C65" s="43"/>
      <c r="D65" s="43"/>
      <c r="E65" s="43"/>
      <c r="F65" s="43"/>
      <c r="G65" s="43"/>
    </row>
    <row r="66" spans="2:7">
      <c r="B66" s="43"/>
      <c r="C66" s="43"/>
      <c r="D66" s="43"/>
      <c r="E66" s="43"/>
      <c r="F66" s="43"/>
      <c r="G66" s="43"/>
    </row>
    <row r="67" spans="2:7" ht="15.75">
      <c r="B67" s="543" t="s">
        <v>189</v>
      </c>
      <c r="C67" s="544"/>
      <c r="D67" s="544"/>
      <c r="E67" s="544"/>
      <c r="F67" s="544"/>
      <c r="G67" s="545"/>
    </row>
    <row r="68" spans="2:7" ht="15.75">
      <c r="B68" s="546" t="s">
        <v>190</v>
      </c>
      <c r="C68" s="547"/>
      <c r="D68" s="547"/>
      <c r="E68" s="547"/>
      <c r="F68" s="547"/>
      <c r="G68" s="548"/>
    </row>
    <row r="69" spans="2:7">
      <c r="B69" s="549" t="s">
        <v>191</v>
      </c>
      <c r="C69" s="550"/>
      <c r="D69" s="551" t="s">
        <v>192</v>
      </c>
      <c r="E69" s="552"/>
      <c r="F69" s="555" t="s">
        <v>193</v>
      </c>
      <c r="G69" s="15" t="s">
        <v>194</v>
      </c>
    </row>
    <row r="70" spans="2:7">
      <c r="B70" s="557" t="s">
        <v>224</v>
      </c>
      <c r="C70" s="558"/>
      <c r="D70" s="553"/>
      <c r="E70" s="554"/>
      <c r="F70" s="556"/>
      <c r="G70" s="16" t="s">
        <v>765</v>
      </c>
    </row>
    <row r="71" spans="2:7" ht="22.5">
      <c r="B71" s="559" t="s">
        <v>197</v>
      </c>
      <c r="C71" s="560"/>
      <c r="D71" s="565" t="s">
        <v>742</v>
      </c>
      <c r="E71" s="566"/>
      <c r="F71" s="571" t="s">
        <v>766</v>
      </c>
      <c r="G71" s="17" t="s">
        <v>199</v>
      </c>
    </row>
    <row r="72" spans="2:7">
      <c r="B72" s="561"/>
      <c r="C72" s="562"/>
      <c r="D72" s="567"/>
      <c r="E72" s="568"/>
      <c r="F72" s="572"/>
      <c r="G72" s="18" t="s">
        <v>200</v>
      </c>
    </row>
    <row r="73" spans="2:7">
      <c r="B73" s="563"/>
      <c r="C73" s="564"/>
      <c r="D73" s="569"/>
      <c r="E73" s="570"/>
      <c r="F73" s="573"/>
      <c r="G73" s="17" t="s">
        <v>201</v>
      </c>
    </row>
    <row r="74" spans="2:7">
      <c r="B74" s="19" t="s">
        <v>202</v>
      </c>
      <c r="C74" s="20"/>
      <c r="D74" s="20"/>
      <c r="E74" s="20"/>
      <c r="F74" s="20"/>
      <c r="G74" s="21"/>
    </row>
    <row r="75" spans="2:7">
      <c r="B75" s="22"/>
      <c r="C75" s="23" t="s">
        <v>203</v>
      </c>
      <c r="D75" s="23" t="s">
        <v>203</v>
      </c>
      <c r="E75" s="23" t="s">
        <v>203</v>
      </c>
      <c r="F75" s="23" t="s">
        <v>203</v>
      </c>
      <c r="G75" s="23" t="s">
        <v>203</v>
      </c>
    </row>
    <row r="76" spans="2:7">
      <c r="B76" s="574" t="s">
        <v>204</v>
      </c>
      <c r="C76" s="580" t="s">
        <v>757</v>
      </c>
      <c r="D76" s="580" t="s">
        <v>758</v>
      </c>
      <c r="E76" s="580" t="s">
        <v>759</v>
      </c>
      <c r="F76" s="580" t="s">
        <v>202</v>
      </c>
      <c r="G76" s="580" t="s">
        <v>202</v>
      </c>
    </row>
    <row r="77" spans="2:7">
      <c r="B77" s="575"/>
      <c r="C77" s="581"/>
      <c r="D77" s="581"/>
      <c r="E77" s="581"/>
      <c r="F77" s="581"/>
      <c r="G77" s="581"/>
    </row>
    <row r="78" spans="2:7">
      <c r="B78" s="575"/>
      <c r="C78" s="581"/>
      <c r="D78" s="581"/>
      <c r="E78" s="581"/>
      <c r="F78" s="581"/>
      <c r="G78" s="581"/>
    </row>
    <row r="79" spans="2:7">
      <c r="B79" s="576"/>
      <c r="C79" s="582"/>
      <c r="D79" s="581"/>
      <c r="E79" s="582"/>
      <c r="F79" s="582"/>
      <c r="G79" s="582"/>
    </row>
    <row r="80" spans="2:7">
      <c r="B80" s="574" t="s">
        <v>208</v>
      </c>
      <c r="C80" s="756" t="s">
        <v>760</v>
      </c>
      <c r="D80" s="713" t="s">
        <v>761</v>
      </c>
      <c r="E80" s="714" t="s">
        <v>767</v>
      </c>
      <c r="F80" s="580"/>
      <c r="G80" s="580" t="s">
        <v>202</v>
      </c>
    </row>
    <row r="81" spans="2:7">
      <c r="B81" s="575"/>
      <c r="C81" s="757"/>
      <c r="D81" s="713"/>
      <c r="E81" s="715"/>
      <c r="F81" s="581"/>
      <c r="G81" s="581"/>
    </row>
    <row r="82" spans="2:7">
      <c r="B82" s="575"/>
      <c r="C82" s="757"/>
      <c r="D82" s="713"/>
      <c r="E82" s="715"/>
      <c r="F82" s="581"/>
      <c r="G82" s="581"/>
    </row>
    <row r="83" spans="2:7">
      <c r="B83" s="576"/>
      <c r="C83" s="758"/>
      <c r="D83" s="713"/>
      <c r="E83" s="716"/>
      <c r="F83" s="582"/>
      <c r="G83" s="582"/>
    </row>
    <row r="84" spans="2:7">
      <c r="B84" s="24"/>
      <c r="C84" s="20"/>
      <c r="D84" s="20"/>
      <c r="E84" s="20"/>
      <c r="F84" s="20"/>
      <c r="G84" s="21"/>
    </row>
    <row r="85" spans="2:7">
      <c r="B85" s="597" t="s">
        <v>212</v>
      </c>
      <c r="C85" s="598"/>
      <c r="D85" s="598"/>
      <c r="E85" s="599" t="s">
        <v>213</v>
      </c>
      <c r="F85" s="599"/>
      <c r="G85" s="600"/>
    </row>
    <row r="86" spans="2:7" ht="15" customHeight="1">
      <c r="B86" s="601" t="s">
        <v>768</v>
      </c>
      <c r="C86" s="602"/>
      <c r="D86" s="603"/>
      <c r="E86" s="610" t="s">
        <v>769</v>
      </c>
      <c r="F86" s="611"/>
      <c r="G86" s="612"/>
    </row>
    <row r="87" spans="2:7">
      <c r="B87" s="604"/>
      <c r="C87" s="605"/>
      <c r="D87" s="606"/>
      <c r="E87" s="611"/>
      <c r="F87" s="611"/>
      <c r="G87" s="612"/>
    </row>
    <row r="88" spans="2:7">
      <c r="B88" s="604"/>
      <c r="C88" s="605"/>
      <c r="D88" s="606"/>
      <c r="E88" s="611"/>
      <c r="F88" s="611"/>
      <c r="G88" s="612"/>
    </row>
    <row r="89" spans="2:7">
      <c r="B89" s="607"/>
      <c r="C89" s="608"/>
      <c r="D89" s="609"/>
      <c r="E89" s="611"/>
      <c r="F89" s="611"/>
      <c r="G89" s="612"/>
    </row>
    <row r="90" spans="2:7">
      <c r="B90" s="25"/>
      <c r="C90" s="26"/>
      <c r="D90" s="26"/>
      <c r="E90" s="26"/>
      <c r="F90" s="26"/>
      <c r="G90" s="27"/>
    </row>
    <row r="91" spans="2:7">
      <c r="B91" s="28"/>
      <c r="G91" s="29"/>
    </row>
    <row r="92" spans="2:7" ht="15.75">
      <c r="B92" s="613" t="s">
        <v>216</v>
      </c>
      <c r="C92" s="614"/>
      <c r="D92" s="614"/>
      <c r="E92" s="614"/>
      <c r="F92" s="614"/>
      <c r="G92" s="615"/>
    </row>
    <row r="93" spans="2:7">
      <c r="B93" s="616" t="s">
        <v>217</v>
      </c>
      <c r="C93" s="617"/>
      <c r="D93" s="617" t="s">
        <v>218</v>
      </c>
      <c r="E93" s="617"/>
      <c r="F93" s="595" t="s">
        <v>219</v>
      </c>
      <c r="G93" s="596"/>
    </row>
    <row r="94" spans="2:7">
      <c r="B94" s="583"/>
      <c r="C94" s="584"/>
      <c r="D94" s="587"/>
      <c r="E94" s="584"/>
      <c r="F94" s="589"/>
      <c r="G94" s="590"/>
    </row>
    <row r="95" spans="2:7">
      <c r="B95" s="585"/>
      <c r="C95" s="586"/>
      <c r="D95" s="588"/>
      <c r="E95" s="586"/>
      <c r="F95" s="591"/>
      <c r="G95" s="592"/>
    </row>
    <row r="96" spans="2:7">
      <c r="B96" s="28"/>
      <c r="G96" s="29"/>
    </row>
    <row r="97" spans="2:7">
      <c r="B97" s="593" t="s">
        <v>220</v>
      </c>
      <c r="C97" s="594"/>
      <c r="D97" s="595" t="s">
        <v>221</v>
      </c>
      <c r="E97" s="594"/>
      <c r="F97" s="595" t="s">
        <v>222</v>
      </c>
      <c r="G97" s="596"/>
    </row>
    <row r="98" spans="2:7">
      <c r="B98" s="639"/>
      <c r="C98" s="640"/>
      <c r="D98" s="641"/>
      <c r="E98" s="640"/>
      <c r="F98" s="641" t="s">
        <v>431</v>
      </c>
      <c r="G98" s="642"/>
    </row>
    <row r="99" spans="2:7">
      <c r="B99" s="43"/>
      <c r="C99" s="43"/>
      <c r="D99" s="43"/>
      <c r="E99" s="43"/>
      <c r="F99" s="43"/>
      <c r="G99" s="43"/>
    </row>
    <row r="102" spans="2:7" ht="15.75">
      <c r="B102" s="543" t="s">
        <v>189</v>
      </c>
      <c r="C102" s="544"/>
      <c r="D102" s="544"/>
      <c r="E102" s="544"/>
      <c r="F102" s="544"/>
      <c r="G102" s="545"/>
    </row>
    <row r="103" spans="2:7" ht="15.75">
      <c r="B103" s="546" t="s">
        <v>190</v>
      </c>
      <c r="C103" s="547"/>
      <c r="D103" s="547"/>
      <c r="E103" s="547"/>
      <c r="F103" s="547"/>
      <c r="G103" s="548"/>
    </row>
    <row r="104" spans="2:7">
      <c r="B104" s="549" t="s">
        <v>191</v>
      </c>
      <c r="C104" s="550"/>
      <c r="D104" s="551" t="s">
        <v>192</v>
      </c>
      <c r="E104" s="552"/>
      <c r="F104" s="555" t="s">
        <v>193</v>
      </c>
      <c r="G104" s="15" t="s">
        <v>194</v>
      </c>
    </row>
    <row r="105" spans="2:7">
      <c r="B105" s="557" t="s">
        <v>231</v>
      </c>
      <c r="C105" s="558"/>
      <c r="D105" s="553"/>
      <c r="E105" s="554"/>
      <c r="F105" s="556"/>
      <c r="G105" s="16" t="s">
        <v>770</v>
      </c>
    </row>
    <row r="106" spans="2:7" ht="22.5">
      <c r="B106" s="559" t="s">
        <v>197</v>
      </c>
      <c r="C106" s="560"/>
      <c r="D106" s="565" t="s">
        <v>743</v>
      </c>
      <c r="E106" s="566"/>
      <c r="F106" s="571">
        <v>90</v>
      </c>
      <c r="G106" s="17" t="s">
        <v>199</v>
      </c>
    </row>
    <row r="107" spans="2:7">
      <c r="B107" s="561"/>
      <c r="C107" s="562"/>
      <c r="D107" s="567"/>
      <c r="E107" s="568"/>
      <c r="F107" s="572"/>
      <c r="G107" s="18" t="s">
        <v>200</v>
      </c>
    </row>
    <row r="108" spans="2:7">
      <c r="B108" s="563"/>
      <c r="C108" s="564"/>
      <c r="D108" s="569"/>
      <c r="E108" s="570"/>
      <c r="F108" s="573"/>
      <c r="G108" s="17" t="s">
        <v>201</v>
      </c>
    </row>
    <row r="109" spans="2:7">
      <c r="B109" s="19" t="s">
        <v>202</v>
      </c>
      <c r="C109" s="20"/>
      <c r="D109" s="20"/>
      <c r="E109" s="20"/>
      <c r="F109" s="20"/>
      <c r="G109" s="21"/>
    </row>
    <row r="110" spans="2:7">
      <c r="B110" s="22"/>
      <c r="C110" s="23" t="s">
        <v>203</v>
      </c>
      <c r="D110" s="23" t="s">
        <v>203</v>
      </c>
      <c r="E110" s="23" t="s">
        <v>203</v>
      </c>
      <c r="F110" s="23" t="s">
        <v>203</v>
      </c>
      <c r="G110" s="23" t="s">
        <v>203</v>
      </c>
    </row>
    <row r="111" spans="2:7">
      <c r="B111" s="574" t="s">
        <v>204</v>
      </c>
      <c r="C111" s="580" t="s">
        <v>757</v>
      </c>
      <c r="D111" s="580" t="s">
        <v>771</v>
      </c>
      <c r="E111" s="580" t="s">
        <v>772</v>
      </c>
      <c r="F111" s="580" t="s">
        <v>202</v>
      </c>
      <c r="G111" s="580" t="s">
        <v>202</v>
      </c>
    </row>
    <row r="112" spans="2:7">
      <c r="B112" s="575"/>
      <c r="C112" s="581"/>
      <c r="D112" s="581"/>
      <c r="E112" s="581"/>
      <c r="F112" s="581"/>
      <c r="G112" s="581"/>
    </row>
    <row r="113" spans="2:7">
      <c r="B113" s="575"/>
      <c r="C113" s="581"/>
      <c r="D113" s="581"/>
      <c r="E113" s="581"/>
      <c r="F113" s="581"/>
      <c r="G113" s="581"/>
    </row>
    <row r="114" spans="2:7">
      <c r="B114" s="576"/>
      <c r="C114" s="582"/>
      <c r="D114" s="581"/>
      <c r="E114" s="582"/>
      <c r="F114" s="582"/>
      <c r="G114" s="582"/>
    </row>
    <row r="115" spans="2:7">
      <c r="B115" s="574" t="s">
        <v>208</v>
      </c>
      <c r="C115" s="756" t="s">
        <v>773</v>
      </c>
      <c r="D115" s="713" t="s">
        <v>774</v>
      </c>
      <c r="E115" s="714" t="s">
        <v>775</v>
      </c>
      <c r="F115" s="580"/>
      <c r="G115" s="580" t="s">
        <v>202</v>
      </c>
    </row>
    <row r="116" spans="2:7">
      <c r="B116" s="575"/>
      <c r="C116" s="757"/>
      <c r="D116" s="713"/>
      <c r="E116" s="715"/>
      <c r="F116" s="581"/>
      <c r="G116" s="581"/>
    </row>
    <row r="117" spans="2:7">
      <c r="B117" s="575"/>
      <c r="C117" s="757"/>
      <c r="D117" s="713"/>
      <c r="E117" s="715"/>
      <c r="F117" s="581"/>
      <c r="G117" s="581"/>
    </row>
    <row r="118" spans="2:7">
      <c r="B118" s="576"/>
      <c r="C118" s="758"/>
      <c r="D118" s="713"/>
      <c r="E118" s="716"/>
      <c r="F118" s="582"/>
      <c r="G118" s="582"/>
    </row>
    <row r="119" spans="2:7">
      <c r="B119" s="24"/>
      <c r="C119" s="20"/>
      <c r="D119" s="20"/>
      <c r="E119" s="20"/>
      <c r="F119" s="20"/>
      <c r="G119" s="21"/>
    </row>
    <row r="120" spans="2:7">
      <c r="B120" s="597" t="s">
        <v>212</v>
      </c>
      <c r="C120" s="598"/>
      <c r="D120" s="598"/>
      <c r="E120" s="599" t="s">
        <v>213</v>
      </c>
      <c r="F120" s="599"/>
      <c r="G120" s="600"/>
    </row>
    <row r="121" spans="2:7">
      <c r="B121" s="601" t="s">
        <v>775</v>
      </c>
      <c r="C121" s="602"/>
      <c r="D121" s="603"/>
      <c r="E121" s="610" t="s">
        <v>776</v>
      </c>
      <c r="F121" s="611"/>
      <c r="G121" s="612"/>
    </row>
    <row r="122" spans="2:7">
      <c r="B122" s="604"/>
      <c r="C122" s="605"/>
      <c r="D122" s="606"/>
      <c r="E122" s="611"/>
      <c r="F122" s="611"/>
      <c r="G122" s="612"/>
    </row>
    <row r="123" spans="2:7">
      <c r="B123" s="604"/>
      <c r="C123" s="605"/>
      <c r="D123" s="606"/>
      <c r="E123" s="611"/>
      <c r="F123" s="611"/>
      <c r="G123" s="612"/>
    </row>
    <row r="124" spans="2:7">
      <c r="B124" s="607"/>
      <c r="C124" s="608"/>
      <c r="D124" s="609"/>
      <c r="E124" s="611"/>
      <c r="F124" s="611"/>
      <c r="G124" s="612"/>
    </row>
    <row r="125" spans="2:7">
      <c r="B125" s="25"/>
      <c r="C125" s="26"/>
      <c r="D125" s="26"/>
      <c r="E125" s="26"/>
      <c r="F125" s="26"/>
      <c r="G125" s="27"/>
    </row>
    <row r="126" spans="2:7">
      <c r="B126" s="28"/>
      <c r="G126" s="29"/>
    </row>
    <row r="127" spans="2:7" ht="15.75">
      <c r="B127" s="613" t="s">
        <v>216</v>
      </c>
      <c r="C127" s="614"/>
      <c r="D127" s="614"/>
      <c r="E127" s="614"/>
      <c r="F127" s="614"/>
      <c r="G127" s="615"/>
    </row>
    <row r="128" spans="2:7">
      <c r="B128" s="616" t="s">
        <v>217</v>
      </c>
      <c r="C128" s="617"/>
      <c r="D128" s="617" t="s">
        <v>218</v>
      </c>
      <c r="E128" s="617"/>
      <c r="F128" s="595" t="s">
        <v>219</v>
      </c>
      <c r="G128" s="596"/>
    </row>
    <row r="129" spans="2:7">
      <c r="B129" s="583"/>
      <c r="C129" s="584"/>
      <c r="D129" s="587"/>
      <c r="E129" s="584"/>
      <c r="F129" s="589"/>
      <c r="G129" s="590"/>
    </row>
    <row r="130" spans="2:7">
      <c r="B130" s="585"/>
      <c r="C130" s="586"/>
      <c r="D130" s="588"/>
      <c r="E130" s="586"/>
      <c r="F130" s="591"/>
      <c r="G130" s="592"/>
    </row>
    <row r="131" spans="2:7">
      <c r="B131" s="28"/>
      <c r="G131" s="29"/>
    </row>
    <row r="132" spans="2:7">
      <c r="B132" s="593" t="s">
        <v>220</v>
      </c>
      <c r="C132" s="594"/>
      <c r="D132" s="595" t="s">
        <v>221</v>
      </c>
      <c r="E132" s="594"/>
      <c r="F132" s="595" t="s">
        <v>222</v>
      </c>
      <c r="G132" s="596"/>
    </row>
    <row r="133" spans="2:7">
      <c r="B133" s="639"/>
      <c r="C133" s="640"/>
      <c r="D133" s="641"/>
      <c r="E133" s="640"/>
      <c r="F133" s="641" t="s">
        <v>435</v>
      </c>
      <c r="G133" s="642"/>
    </row>
    <row r="136" spans="2:7" ht="15.75">
      <c r="B136" s="543" t="s">
        <v>189</v>
      </c>
      <c r="C136" s="544"/>
      <c r="D136" s="544"/>
      <c r="E136" s="544"/>
      <c r="F136" s="544"/>
      <c r="G136" s="545"/>
    </row>
    <row r="137" spans="2:7" ht="15.75">
      <c r="B137" s="546" t="s">
        <v>190</v>
      </c>
      <c r="C137" s="547"/>
      <c r="D137" s="547"/>
      <c r="E137" s="547"/>
      <c r="F137" s="547"/>
      <c r="G137" s="548"/>
    </row>
    <row r="138" spans="2:7">
      <c r="B138" s="549" t="s">
        <v>191</v>
      </c>
      <c r="C138" s="550"/>
      <c r="D138" s="551" t="s">
        <v>192</v>
      </c>
      <c r="E138" s="552"/>
      <c r="F138" s="555" t="s">
        <v>193</v>
      </c>
      <c r="G138" s="15" t="s">
        <v>194</v>
      </c>
    </row>
    <row r="139" spans="2:7">
      <c r="B139" s="557" t="s">
        <v>239</v>
      </c>
      <c r="C139" s="558"/>
      <c r="D139" s="553"/>
      <c r="E139" s="554"/>
      <c r="F139" s="556"/>
      <c r="G139" s="16" t="s">
        <v>777</v>
      </c>
    </row>
    <row r="140" spans="2:7" ht="22.5">
      <c r="B140" s="559" t="s">
        <v>197</v>
      </c>
      <c r="C140" s="560"/>
      <c r="D140" s="565" t="s">
        <v>739</v>
      </c>
      <c r="E140" s="566"/>
      <c r="F140" s="571" t="s">
        <v>778</v>
      </c>
      <c r="G140" s="17" t="s">
        <v>199</v>
      </c>
    </row>
    <row r="141" spans="2:7">
      <c r="B141" s="561"/>
      <c r="C141" s="562"/>
      <c r="D141" s="567"/>
      <c r="E141" s="568"/>
      <c r="F141" s="572"/>
      <c r="G141" s="18" t="s">
        <v>200</v>
      </c>
    </row>
    <row r="142" spans="2:7">
      <c r="B142" s="563"/>
      <c r="C142" s="564"/>
      <c r="D142" s="569"/>
      <c r="E142" s="570"/>
      <c r="F142" s="573"/>
      <c r="G142" s="17" t="s">
        <v>201</v>
      </c>
    </row>
    <row r="143" spans="2:7">
      <c r="B143" s="19" t="s">
        <v>202</v>
      </c>
      <c r="C143" s="20"/>
      <c r="D143" s="20"/>
      <c r="E143" s="20"/>
      <c r="F143" s="20"/>
      <c r="G143" s="21"/>
    </row>
    <row r="144" spans="2:7">
      <c r="B144" s="22"/>
      <c r="C144" s="23" t="s">
        <v>203</v>
      </c>
      <c r="D144" s="23" t="s">
        <v>203</v>
      </c>
      <c r="E144" s="23" t="s">
        <v>203</v>
      </c>
      <c r="F144" s="23" t="s">
        <v>203</v>
      </c>
      <c r="G144" s="23" t="s">
        <v>203</v>
      </c>
    </row>
    <row r="145" spans="2:7">
      <c r="B145" s="574" t="s">
        <v>204</v>
      </c>
      <c r="C145" s="580" t="s">
        <v>757</v>
      </c>
      <c r="D145" s="580" t="s">
        <v>758</v>
      </c>
      <c r="E145" s="580" t="s">
        <v>759</v>
      </c>
      <c r="F145" s="580" t="s">
        <v>779</v>
      </c>
      <c r="G145" s="580" t="s">
        <v>202</v>
      </c>
    </row>
    <row r="146" spans="2:7">
      <c r="B146" s="575"/>
      <c r="C146" s="581"/>
      <c r="D146" s="581"/>
      <c r="E146" s="581"/>
      <c r="F146" s="581"/>
      <c r="G146" s="581"/>
    </row>
    <row r="147" spans="2:7">
      <c r="B147" s="575"/>
      <c r="C147" s="581"/>
      <c r="D147" s="581"/>
      <c r="E147" s="581"/>
      <c r="F147" s="581"/>
      <c r="G147" s="581"/>
    </row>
    <row r="148" spans="2:7">
      <c r="B148" s="576"/>
      <c r="C148" s="582"/>
      <c r="D148" s="581"/>
      <c r="E148" s="582"/>
      <c r="F148" s="582"/>
      <c r="G148" s="582"/>
    </row>
    <row r="149" spans="2:7">
      <c r="B149" s="574" t="s">
        <v>208</v>
      </c>
      <c r="C149" s="756" t="s">
        <v>760</v>
      </c>
      <c r="D149" s="713" t="s">
        <v>761</v>
      </c>
      <c r="E149" s="714" t="s">
        <v>780</v>
      </c>
      <c r="F149" s="580" t="s">
        <v>202</v>
      </c>
      <c r="G149" s="580" t="s">
        <v>202</v>
      </c>
    </row>
    <row r="150" spans="2:7">
      <c r="B150" s="575"/>
      <c r="C150" s="757"/>
      <c r="D150" s="713"/>
      <c r="E150" s="715"/>
      <c r="F150" s="581"/>
      <c r="G150" s="581"/>
    </row>
    <row r="151" spans="2:7">
      <c r="B151" s="575"/>
      <c r="C151" s="757"/>
      <c r="D151" s="713"/>
      <c r="E151" s="715"/>
      <c r="F151" s="581"/>
      <c r="G151" s="581"/>
    </row>
    <row r="152" spans="2:7">
      <c r="B152" s="576"/>
      <c r="C152" s="758"/>
      <c r="D152" s="713"/>
      <c r="E152" s="716"/>
      <c r="F152" s="582"/>
      <c r="G152" s="582"/>
    </row>
    <row r="153" spans="2:7">
      <c r="B153" s="24"/>
      <c r="C153" s="20"/>
      <c r="D153" s="20"/>
      <c r="E153" s="20"/>
      <c r="F153" s="20"/>
      <c r="G153" s="21"/>
    </row>
    <row r="154" spans="2:7">
      <c r="B154" s="597" t="s">
        <v>212</v>
      </c>
      <c r="C154" s="598"/>
      <c r="D154" s="598"/>
      <c r="E154" s="599" t="s">
        <v>213</v>
      </c>
      <c r="F154" s="599"/>
      <c r="G154" s="600"/>
    </row>
    <row r="155" spans="2:7">
      <c r="B155" s="601" t="s">
        <v>781</v>
      </c>
      <c r="C155" s="602"/>
      <c r="D155" s="603"/>
      <c r="E155" s="610" t="s">
        <v>782</v>
      </c>
      <c r="F155" s="611"/>
      <c r="G155" s="612"/>
    </row>
    <row r="156" spans="2:7">
      <c r="B156" s="604"/>
      <c r="C156" s="605"/>
      <c r="D156" s="606"/>
      <c r="E156" s="611"/>
      <c r="F156" s="611"/>
      <c r="G156" s="612"/>
    </row>
    <row r="157" spans="2:7">
      <c r="B157" s="604"/>
      <c r="C157" s="605"/>
      <c r="D157" s="606"/>
      <c r="E157" s="611"/>
      <c r="F157" s="611"/>
      <c r="G157" s="612"/>
    </row>
    <row r="158" spans="2:7">
      <c r="B158" s="607"/>
      <c r="C158" s="608"/>
      <c r="D158" s="609"/>
      <c r="E158" s="611"/>
      <c r="F158" s="611"/>
      <c r="G158" s="612"/>
    </row>
    <row r="159" spans="2:7">
      <c r="B159" s="25"/>
      <c r="C159" s="26"/>
      <c r="D159" s="26"/>
      <c r="E159" s="26"/>
      <c r="F159" s="26"/>
      <c r="G159" s="27"/>
    </row>
    <row r="160" spans="2:7">
      <c r="B160" s="28"/>
      <c r="G160" s="29"/>
    </row>
    <row r="161" spans="2:7" ht="15.75">
      <c r="B161" s="613" t="s">
        <v>216</v>
      </c>
      <c r="C161" s="614"/>
      <c r="D161" s="614"/>
      <c r="E161" s="614"/>
      <c r="F161" s="614"/>
      <c r="G161" s="615"/>
    </row>
    <row r="162" spans="2:7">
      <c r="B162" s="616" t="s">
        <v>217</v>
      </c>
      <c r="C162" s="617"/>
      <c r="D162" s="617" t="s">
        <v>218</v>
      </c>
      <c r="E162" s="617"/>
      <c r="F162" s="595" t="s">
        <v>219</v>
      </c>
      <c r="G162" s="596"/>
    </row>
    <row r="163" spans="2:7">
      <c r="B163" s="583"/>
      <c r="C163" s="584"/>
      <c r="D163" s="587"/>
      <c r="E163" s="584"/>
      <c r="F163" s="589"/>
      <c r="G163" s="590"/>
    </row>
    <row r="164" spans="2:7">
      <c r="B164" s="585"/>
      <c r="C164" s="586"/>
      <c r="D164" s="588"/>
      <c r="E164" s="586"/>
      <c r="F164" s="591"/>
      <c r="G164" s="592"/>
    </row>
    <row r="165" spans="2:7">
      <c r="B165" s="28"/>
      <c r="G165" s="29"/>
    </row>
    <row r="166" spans="2:7">
      <c r="B166" s="593" t="s">
        <v>220</v>
      </c>
      <c r="C166" s="594"/>
      <c r="D166" s="595" t="s">
        <v>221</v>
      </c>
      <c r="E166" s="594"/>
      <c r="F166" s="595" t="s">
        <v>222</v>
      </c>
      <c r="G166" s="596"/>
    </row>
    <row r="167" spans="2:7">
      <c r="B167" s="639"/>
      <c r="C167" s="640"/>
      <c r="D167" s="641"/>
      <c r="E167" s="640"/>
      <c r="F167" s="641" t="s">
        <v>783</v>
      </c>
      <c r="G167" s="642"/>
    </row>
    <row r="171" spans="2:7" ht="15.75">
      <c r="B171" s="543" t="s">
        <v>189</v>
      </c>
      <c r="C171" s="544"/>
      <c r="D171" s="544"/>
      <c r="E171" s="544"/>
      <c r="F171" s="544"/>
      <c r="G171" s="545"/>
    </row>
    <row r="172" spans="2:7" ht="15.75">
      <c r="B172" s="546" t="s">
        <v>190</v>
      </c>
      <c r="C172" s="547"/>
      <c r="D172" s="547"/>
      <c r="E172" s="547"/>
      <c r="F172" s="547"/>
      <c r="G172" s="548"/>
    </row>
    <row r="173" spans="2:7">
      <c r="B173" s="549" t="s">
        <v>191</v>
      </c>
      <c r="C173" s="550"/>
      <c r="D173" s="551" t="s">
        <v>192</v>
      </c>
      <c r="E173" s="552"/>
      <c r="F173" s="555" t="s">
        <v>193</v>
      </c>
      <c r="G173" s="15" t="s">
        <v>194</v>
      </c>
    </row>
    <row r="174" spans="2:7">
      <c r="B174" s="557" t="s">
        <v>250</v>
      </c>
      <c r="C174" s="558"/>
      <c r="D174" s="553"/>
      <c r="E174" s="554"/>
      <c r="F174" s="556"/>
      <c r="G174" s="16" t="s">
        <v>784</v>
      </c>
    </row>
    <row r="175" spans="2:7" ht="22.5">
      <c r="B175" s="559" t="s">
        <v>197</v>
      </c>
      <c r="C175" s="560"/>
      <c r="D175" s="565" t="s">
        <v>747</v>
      </c>
      <c r="E175" s="566"/>
      <c r="F175" s="571">
        <v>416</v>
      </c>
      <c r="G175" s="17" t="s">
        <v>199</v>
      </c>
    </row>
    <row r="176" spans="2:7">
      <c r="B176" s="561"/>
      <c r="C176" s="562"/>
      <c r="D176" s="567"/>
      <c r="E176" s="568"/>
      <c r="F176" s="572"/>
      <c r="G176" s="18" t="s">
        <v>200</v>
      </c>
    </row>
    <row r="177" spans="2:7">
      <c r="B177" s="563"/>
      <c r="C177" s="564"/>
      <c r="D177" s="569"/>
      <c r="E177" s="570"/>
      <c r="F177" s="573"/>
      <c r="G177" s="17" t="s">
        <v>201</v>
      </c>
    </row>
    <row r="178" spans="2:7">
      <c r="B178" s="19" t="s">
        <v>202</v>
      </c>
      <c r="C178" s="20"/>
      <c r="D178" s="20"/>
      <c r="E178" s="20"/>
      <c r="F178" s="20"/>
      <c r="G178" s="21"/>
    </row>
    <row r="179" spans="2:7">
      <c r="B179" s="22"/>
      <c r="C179" s="23" t="s">
        <v>203</v>
      </c>
      <c r="D179" s="23" t="s">
        <v>203</v>
      </c>
      <c r="E179" s="23" t="s">
        <v>203</v>
      </c>
      <c r="F179" s="23" t="s">
        <v>203</v>
      </c>
      <c r="G179" s="23" t="s">
        <v>203</v>
      </c>
    </row>
    <row r="180" spans="2:7">
      <c r="B180" s="574" t="s">
        <v>204</v>
      </c>
      <c r="C180" s="580" t="s">
        <v>785</v>
      </c>
      <c r="D180" s="580" t="s">
        <v>786</v>
      </c>
      <c r="E180" s="580" t="s">
        <v>787</v>
      </c>
      <c r="F180" s="580" t="s">
        <v>788</v>
      </c>
      <c r="G180" s="580" t="s">
        <v>202</v>
      </c>
    </row>
    <row r="181" spans="2:7">
      <c r="B181" s="575"/>
      <c r="C181" s="581"/>
      <c r="D181" s="581"/>
      <c r="E181" s="581"/>
      <c r="F181" s="581"/>
      <c r="G181" s="581"/>
    </row>
    <row r="182" spans="2:7">
      <c r="B182" s="575"/>
      <c r="C182" s="581"/>
      <c r="D182" s="581"/>
      <c r="E182" s="581"/>
      <c r="F182" s="581"/>
      <c r="G182" s="581"/>
    </row>
    <row r="183" spans="2:7">
      <c r="B183" s="576"/>
      <c r="C183" s="582"/>
      <c r="D183" s="582"/>
      <c r="E183" s="582"/>
      <c r="F183" s="582"/>
      <c r="G183" s="582"/>
    </row>
    <row r="184" spans="2:7">
      <c r="B184" s="574" t="s">
        <v>208</v>
      </c>
      <c r="C184" s="580" t="s">
        <v>789</v>
      </c>
      <c r="D184" s="580" t="s">
        <v>790</v>
      </c>
      <c r="E184" s="580" t="s">
        <v>791</v>
      </c>
      <c r="F184" s="580" t="s">
        <v>792</v>
      </c>
      <c r="G184" s="580" t="s">
        <v>202</v>
      </c>
    </row>
    <row r="185" spans="2:7">
      <c r="B185" s="575"/>
      <c r="C185" s="581"/>
      <c r="D185" s="581"/>
      <c r="E185" s="581"/>
      <c r="F185" s="581"/>
      <c r="G185" s="581"/>
    </row>
    <row r="186" spans="2:7">
      <c r="B186" s="575"/>
      <c r="C186" s="581"/>
      <c r="D186" s="581"/>
      <c r="E186" s="581"/>
      <c r="F186" s="581"/>
      <c r="G186" s="581"/>
    </row>
    <row r="187" spans="2:7">
      <c r="B187" s="576"/>
      <c r="C187" s="582"/>
      <c r="D187" s="582"/>
      <c r="E187" s="582"/>
      <c r="F187" s="582"/>
      <c r="G187" s="582"/>
    </row>
    <row r="188" spans="2:7">
      <c r="B188" s="24"/>
      <c r="C188" s="20"/>
      <c r="D188" s="20"/>
      <c r="E188" s="20"/>
      <c r="F188" s="20"/>
      <c r="G188" s="21"/>
    </row>
    <row r="189" spans="2:7">
      <c r="B189" s="597" t="s">
        <v>212</v>
      </c>
      <c r="C189" s="598"/>
      <c r="D189" s="598"/>
      <c r="E189" s="599" t="s">
        <v>213</v>
      </c>
      <c r="F189" s="599"/>
      <c r="G189" s="600"/>
    </row>
    <row r="190" spans="2:7">
      <c r="B190" s="601" t="s">
        <v>792</v>
      </c>
      <c r="C190" s="602"/>
      <c r="D190" s="603"/>
      <c r="E190" s="610" t="s">
        <v>793</v>
      </c>
      <c r="F190" s="611"/>
      <c r="G190" s="612"/>
    </row>
    <row r="191" spans="2:7">
      <c r="B191" s="604"/>
      <c r="C191" s="605"/>
      <c r="D191" s="606"/>
      <c r="E191" s="611"/>
      <c r="F191" s="611"/>
      <c r="G191" s="612"/>
    </row>
    <row r="192" spans="2:7">
      <c r="B192" s="604"/>
      <c r="C192" s="605"/>
      <c r="D192" s="606"/>
      <c r="E192" s="611"/>
      <c r="F192" s="611"/>
      <c r="G192" s="612"/>
    </row>
    <row r="193" spans="2:7">
      <c r="B193" s="607"/>
      <c r="C193" s="608"/>
      <c r="D193" s="609"/>
      <c r="E193" s="611"/>
      <c r="F193" s="611"/>
      <c r="G193" s="612"/>
    </row>
    <row r="194" spans="2:7">
      <c r="B194" s="25"/>
      <c r="C194" s="26"/>
      <c r="D194" s="26"/>
      <c r="E194" s="26"/>
      <c r="F194" s="26"/>
      <c r="G194" s="27"/>
    </row>
    <row r="195" spans="2:7">
      <c r="B195" s="28"/>
      <c r="G195" s="29"/>
    </row>
    <row r="196" spans="2:7" ht="15.75">
      <c r="B196" s="613" t="s">
        <v>216</v>
      </c>
      <c r="C196" s="614"/>
      <c r="D196" s="614"/>
      <c r="E196" s="614"/>
      <c r="F196" s="614"/>
      <c r="G196" s="615"/>
    </row>
    <row r="197" spans="2:7">
      <c r="B197" s="616" t="s">
        <v>217</v>
      </c>
      <c r="C197" s="617"/>
      <c r="D197" s="617" t="s">
        <v>218</v>
      </c>
      <c r="E197" s="617"/>
      <c r="F197" s="595" t="s">
        <v>219</v>
      </c>
      <c r="G197" s="596"/>
    </row>
    <row r="198" spans="2:7">
      <c r="B198" s="583"/>
      <c r="C198" s="584"/>
      <c r="D198" s="587"/>
      <c r="E198" s="584"/>
      <c r="F198" s="589"/>
      <c r="G198" s="590"/>
    </row>
    <row r="199" spans="2:7">
      <c r="B199" s="585"/>
      <c r="C199" s="586"/>
      <c r="D199" s="588"/>
      <c r="E199" s="586"/>
      <c r="F199" s="591"/>
      <c r="G199" s="592"/>
    </row>
    <row r="200" spans="2:7">
      <c r="B200" s="28"/>
      <c r="G200" s="29"/>
    </row>
    <row r="201" spans="2:7">
      <c r="B201" s="593" t="s">
        <v>220</v>
      </c>
      <c r="C201" s="594"/>
      <c r="D201" s="595" t="s">
        <v>221</v>
      </c>
      <c r="E201" s="594"/>
      <c r="F201" s="595" t="s">
        <v>222</v>
      </c>
      <c r="G201" s="596"/>
    </row>
    <row r="202" spans="2:7">
      <c r="B202" s="639"/>
      <c r="C202" s="640"/>
      <c r="D202" s="641"/>
      <c r="E202" s="640"/>
      <c r="F202" s="641" t="s">
        <v>794</v>
      </c>
      <c r="G202" s="642"/>
    </row>
    <row r="206" spans="2:7" ht="15.75">
      <c r="B206" s="543" t="s">
        <v>189</v>
      </c>
      <c r="C206" s="544"/>
      <c r="D206" s="544"/>
      <c r="E206" s="544"/>
      <c r="F206" s="544"/>
      <c r="G206" s="545"/>
    </row>
    <row r="207" spans="2:7" ht="15.75">
      <c r="B207" s="546" t="s">
        <v>190</v>
      </c>
      <c r="C207" s="547"/>
      <c r="D207" s="547"/>
      <c r="E207" s="547"/>
      <c r="F207" s="547"/>
      <c r="G207" s="548"/>
    </row>
    <row r="208" spans="2:7">
      <c r="B208" s="549" t="s">
        <v>191</v>
      </c>
      <c r="C208" s="550"/>
      <c r="D208" s="551" t="s">
        <v>192</v>
      </c>
      <c r="E208" s="552"/>
      <c r="F208" s="555" t="s">
        <v>193</v>
      </c>
      <c r="G208" s="15" t="s">
        <v>194</v>
      </c>
    </row>
    <row r="209" spans="2:7">
      <c r="B209" s="557" t="s">
        <v>195</v>
      </c>
      <c r="C209" s="558"/>
      <c r="D209" s="553"/>
      <c r="E209" s="554"/>
      <c r="F209" s="556"/>
      <c r="G209" s="16" t="s">
        <v>795</v>
      </c>
    </row>
    <row r="210" spans="2:7" ht="22.5">
      <c r="B210" s="559" t="s">
        <v>197</v>
      </c>
      <c r="C210" s="560"/>
      <c r="D210" s="565" t="s">
        <v>716</v>
      </c>
      <c r="E210" s="566"/>
      <c r="F210" s="571">
        <v>298</v>
      </c>
      <c r="G210" s="17" t="s">
        <v>319</v>
      </c>
    </row>
    <row r="211" spans="2:7">
      <c r="B211" s="561"/>
      <c r="C211" s="562"/>
      <c r="D211" s="567"/>
      <c r="E211" s="568"/>
      <c r="F211" s="572"/>
      <c r="G211" s="18" t="s">
        <v>200</v>
      </c>
    </row>
    <row r="212" spans="2:7">
      <c r="B212" s="563"/>
      <c r="C212" s="564"/>
      <c r="D212" s="569"/>
      <c r="E212" s="570"/>
      <c r="F212" s="573"/>
      <c r="G212" s="17" t="s">
        <v>201</v>
      </c>
    </row>
    <row r="213" spans="2:7">
      <c r="B213" s="19" t="s">
        <v>202</v>
      </c>
      <c r="C213" s="20"/>
      <c r="D213" s="20"/>
      <c r="E213" s="20"/>
      <c r="F213" s="20"/>
      <c r="G213" s="21"/>
    </row>
    <row r="214" spans="2:7">
      <c r="B214" s="22"/>
      <c r="C214" s="23" t="s">
        <v>203</v>
      </c>
      <c r="D214" s="23" t="s">
        <v>203</v>
      </c>
      <c r="E214" s="23" t="s">
        <v>203</v>
      </c>
      <c r="F214" s="23" t="s">
        <v>203</v>
      </c>
      <c r="G214" s="23" t="s">
        <v>203</v>
      </c>
    </row>
    <row r="215" spans="2:7">
      <c r="B215" s="574" t="s">
        <v>204</v>
      </c>
      <c r="C215" s="580" t="s">
        <v>757</v>
      </c>
      <c r="D215" s="580" t="s">
        <v>796</v>
      </c>
      <c r="E215" s="580" t="s">
        <v>797</v>
      </c>
      <c r="F215" s="580" t="s">
        <v>202</v>
      </c>
      <c r="G215" s="580" t="s">
        <v>202</v>
      </c>
    </row>
    <row r="216" spans="2:7">
      <c r="B216" s="575"/>
      <c r="C216" s="581"/>
      <c r="D216" s="581"/>
      <c r="E216" s="581"/>
      <c r="F216" s="581"/>
      <c r="G216" s="581"/>
    </row>
    <row r="217" spans="2:7">
      <c r="B217" s="575"/>
      <c r="C217" s="581"/>
      <c r="D217" s="581"/>
      <c r="E217" s="581"/>
      <c r="F217" s="581"/>
      <c r="G217" s="581"/>
    </row>
    <row r="218" spans="2:7">
      <c r="B218" s="576"/>
      <c r="C218" s="582"/>
      <c r="D218" s="582"/>
      <c r="E218" s="582"/>
      <c r="F218" s="582"/>
      <c r="G218" s="582"/>
    </row>
    <row r="219" spans="2:7">
      <c r="B219" s="574" t="s">
        <v>208</v>
      </c>
      <c r="C219" s="580" t="s">
        <v>798</v>
      </c>
      <c r="D219" s="580" t="s">
        <v>799</v>
      </c>
      <c r="E219" s="580" t="s">
        <v>800</v>
      </c>
      <c r="F219" s="580" t="s">
        <v>202</v>
      </c>
      <c r="G219" s="580" t="s">
        <v>202</v>
      </c>
    </row>
    <row r="220" spans="2:7">
      <c r="B220" s="575"/>
      <c r="C220" s="581"/>
      <c r="D220" s="581"/>
      <c r="E220" s="581"/>
      <c r="F220" s="581"/>
      <c r="G220" s="581"/>
    </row>
    <row r="221" spans="2:7">
      <c r="B221" s="575"/>
      <c r="C221" s="581"/>
      <c r="D221" s="581"/>
      <c r="E221" s="581"/>
      <c r="F221" s="581"/>
      <c r="G221" s="581"/>
    </row>
    <row r="222" spans="2:7">
      <c r="B222" s="576"/>
      <c r="C222" s="582"/>
      <c r="D222" s="582"/>
      <c r="E222" s="582"/>
      <c r="F222" s="582"/>
      <c r="G222" s="582"/>
    </row>
    <row r="223" spans="2:7">
      <c r="B223" s="24"/>
      <c r="C223" s="20"/>
      <c r="D223" s="20"/>
      <c r="E223" s="20"/>
      <c r="F223" s="20"/>
      <c r="G223" s="21"/>
    </row>
    <row r="224" spans="2:7">
      <c r="B224" s="597" t="s">
        <v>212</v>
      </c>
      <c r="C224" s="598"/>
      <c r="D224" s="598"/>
      <c r="E224" s="599" t="s">
        <v>213</v>
      </c>
      <c r="F224" s="599"/>
      <c r="G224" s="600"/>
    </row>
    <row r="225" spans="2:7">
      <c r="B225" s="601" t="s">
        <v>717</v>
      </c>
      <c r="C225" s="602"/>
      <c r="D225" s="603"/>
      <c r="E225" s="610" t="s">
        <v>801</v>
      </c>
      <c r="F225" s="611"/>
      <c r="G225" s="612"/>
    </row>
    <row r="226" spans="2:7">
      <c r="B226" s="604"/>
      <c r="C226" s="605"/>
      <c r="D226" s="606"/>
      <c r="E226" s="611"/>
      <c r="F226" s="611"/>
      <c r="G226" s="612"/>
    </row>
    <row r="227" spans="2:7">
      <c r="B227" s="604"/>
      <c r="C227" s="605"/>
      <c r="D227" s="606"/>
      <c r="E227" s="611"/>
      <c r="F227" s="611"/>
      <c r="G227" s="612"/>
    </row>
    <row r="228" spans="2:7">
      <c r="B228" s="607"/>
      <c r="C228" s="608"/>
      <c r="D228" s="609"/>
      <c r="E228" s="611"/>
      <c r="F228" s="611"/>
      <c r="G228" s="612"/>
    </row>
    <row r="229" spans="2:7">
      <c r="B229" s="25"/>
      <c r="C229" s="26"/>
      <c r="D229" s="26"/>
      <c r="E229" s="26"/>
      <c r="F229" s="26"/>
      <c r="G229" s="27"/>
    </row>
    <row r="230" spans="2:7">
      <c r="B230" s="28"/>
      <c r="G230" s="29"/>
    </row>
    <row r="231" spans="2:7" ht="15.75">
      <c r="B231" s="613" t="s">
        <v>216</v>
      </c>
      <c r="C231" s="614"/>
      <c r="D231" s="614"/>
      <c r="E231" s="614"/>
      <c r="F231" s="614"/>
      <c r="G231" s="615"/>
    </row>
    <row r="232" spans="2:7">
      <c r="B232" s="616" t="s">
        <v>217</v>
      </c>
      <c r="C232" s="617"/>
      <c r="D232" s="617" t="s">
        <v>218</v>
      </c>
      <c r="E232" s="617"/>
      <c r="F232" s="595" t="s">
        <v>219</v>
      </c>
      <c r="G232" s="596"/>
    </row>
    <row r="233" spans="2:7">
      <c r="B233" s="583"/>
      <c r="C233" s="584"/>
      <c r="D233" s="587"/>
      <c r="E233" s="584"/>
      <c r="F233" s="589"/>
      <c r="G233" s="590"/>
    </row>
    <row r="234" spans="2:7">
      <c r="B234" s="585"/>
      <c r="C234" s="586"/>
      <c r="D234" s="588"/>
      <c r="E234" s="586"/>
      <c r="F234" s="591"/>
      <c r="G234" s="592"/>
    </row>
    <row r="235" spans="2:7">
      <c r="B235" s="28"/>
      <c r="G235" s="29"/>
    </row>
    <row r="236" spans="2:7">
      <c r="B236" s="593" t="s">
        <v>220</v>
      </c>
      <c r="C236" s="594"/>
      <c r="D236" s="595" t="s">
        <v>221</v>
      </c>
      <c r="E236" s="594"/>
      <c r="F236" s="595" t="s">
        <v>222</v>
      </c>
      <c r="G236" s="596"/>
    </row>
    <row r="237" spans="2:7">
      <c r="B237" s="639"/>
      <c r="C237" s="640"/>
      <c r="D237" s="641"/>
      <c r="E237" s="640"/>
      <c r="F237" s="641" t="s">
        <v>802</v>
      </c>
      <c r="G237" s="642"/>
    </row>
    <row r="240" spans="2:7" ht="15.75">
      <c r="B240" s="543" t="s">
        <v>189</v>
      </c>
      <c r="C240" s="544"/>
      <c r="D240" s="544"/>
      <c r="E240" s="544"/>
      <c r="F240" s="544"/>
      <c r="G240" s="545"/>
    </row>
    <row r="241" spans="2:7" ht="15.75">
      <c r="B241" s="546" t="s">
        <v>190</v>
      </c>
      <c r="C241" s="547"/>
      <c r="D241" s="547"/>
      <c r="E241" s="547"/>
      <c r="F241" s="547"/>
      <c r="G241" s="548"/>
    </row>
    <row r="242" spans="2:7">
      <c r="B242" s="549" t="s">
        <v>191</v>
      </c>
      <c r="C242" s="550"/>
      <c r="D242" s="551" t="s">
        <v>192</v>
      </c>
      <c r="E242" s="552"/>
      <c r="F242" s="555" t="s">
        <v>193</v>
      </c>
      <c r="G242" s="15" t="s">
        <v>194</v>
      </c>
    </row>
    <row r="243" spans="2:7">
      <c r="B243" s="557" t="s">
        <v>224</v>
      </c>
      <c r="C243" s="558"/>
      <c r="D243" s="553"/>
      <c r="E243" s="554"/>
      <c r="F243" s="556"/>
      <c r="G243" s="16" t="s">
        <v>803</v>
      </c>
    </row>
    <row r="244" spans="2:7" ht="22.5">
      <c r="B244" s="559" t="s">
        <v>197</v>
      </c>
      <c r="C244" s="560"/>
      <c r="D244" s="565" t="s">
        <v>728</v>
      </c>
      <c r="E244" s="566"/>
      <c r="F244" s="571">
        <v>200</v>
      </c>
      <c r="G244" s="17" t="s">
        <v>319</v>
      </c>
    </row>
    <row r="245" spans="2:7">
      <c r="B245" s="561"/>
      <c r="C245" s="562"/>
      <c r="D245" s="567"/>
      <c r="E245" s="568"/>
      <c r="F245" s="572"/>
      <c r="G245" s="18" t="s">
        <v>200</v>
      </c>
    </row>
    <row r="246" spans="2:7">
      <c r="B246" s="563"/>
      <c r="C246" s="564"/>
      <c r="D246" s="569"/>
      <c r="E246" s="570"/>
      <c r="F246" s="573"/>
      <c r="G246" s="17" t="s">
        <v>201</v>
      </c>
    </row>
    <row r="247" spans="2:7">
      <c r="B247" s="19" t="s">
        <v>202</v>
      </c>
      <c r="C247" s="20"/>
      <c r="D247" s="20"/>
      <c r="E247" s="20"/>
      <c r="F247" s="20"/>
      <c r="G247" s="21"/>
    </row>
    <row r="248" spans="2:7">
      <c r="B248" s="22"/>
      <c r="C248" s="23" t="s">
        <v>203</v>
      </c>
      <c r="D248" s="23" t="s">
        <v>203</v>
      </c>
      <c r="E248" s="23" t="s">
        <v>203</v>
      </c>
      <c r="F248" s="23" t="s">
        <v>203</v>
      </c>
      <c r="G248" s="23" t="s">
        <v>203</v>
      </c>
    </row>
    <row r="249" spans="2:7">
      <c r="B249" s="574" t="s">
        <v>204</v>
      </c>
      <c r="C249" s="580" t="s">
        <v>757</v>
      </c>
      <c r="D249" s="580" t="s">
        <v>804</v>
      </c>
      <c r="E249" s="580" t="s">
        <v>805</v>
      </c>
      <c r="F249" s="580" t="s">
        <v>806</v>
      </c>
      <c r="G249" s="580" t="s">
        <v>202</v>
      </c>
    </row>
    <row r="250" spans="2:7">
      <c r="B250" s="575"/>
      <c r="C250" s="581"/>
      <c r="D250" s="581"/>
      <c r="E250" s="581"/>
      <c r="F250" s="581"/>
      <c r="G250" s="581"/>
    </row>
    <row r="251" spans="2:7">
      <c r="B251" s="575"/>
      <c r="C251" s="581"/>
      <c r="D251" s="581"/>
      <c r="E251" s="581"/>
      <c r="F251" s="581"/>
      <c r="G251" s="581"/>
    </row>
    <row r="252" spans="2:7">
      <c r="B252" s="576"/>
      <c r="C252" s="582"/>
      <c r="D252" s="582"/>
      <c r="E252" s="582"/>
      <c r="F252" s="582"/>
      <c r="G252" s="582"/>
    </row>
    <row r="253" spans="2:7">
      <c r="B253" s="574" t="s">
        <v>208</v>
      </c>
      <c r="C253" s="580" t="s">
        <v>807</v>
      </c>
      <c r="D253" s="580" t="s">
        <v>808</v>
      </c>
      <c r="E253" s="580" t="s">
        <v>809</v>
      </c>
      <c r="F253" s="580" t="s">
        <v>810</v>
      </c>
      <c r="G253" s="580" t="s">
        <v>202</v>
      </c>
    </row>
    <row r="254" spans="2:7">
      <c r="B254" s="575"/>
      <c r="C254" s="581"/>
      <c r="D254" s="581"/>
      <c r="E254" s="581"/>
      <c r="F254" s="581"/>
      <c r="G254" s="581"/>
    </row>
    <row r="255" spans="2:7">
      <c r="B255" s="575"/>
      <c r="C255" s="581"/>
      <c r="D255" s="581"/>
      <c r="E255" s="581"/>
      <c r="F255" s="581"/>
      <c r="G255" s="581"/>
    </row>
    <row r="256" spans="2:7">
      <c r="B256" s="576"/>
      <c r="C256" s="582"/>
      <c r="D256" s="582"/>
      <c r="E256" s="582"/>
      <c r="F256" s="582"/>
      <c r="G256" s="582"/>
    </row>
    <row r="257" spans="2:7">
      <c r="B257" s="24"/>
      <c r="C257" s="20"/>
      <c r="D257" s="20"/>
      <c r="E257" s="20"/>
      <c r="F257" s="20"/>
      <c r="G257" s="21"/>
    </row>
    <row r="258" spans="2:7">
      <c r="B258" s="597" t="s">
        <v>212</v>
      </c>
      <c r="C258" s="598"/>
      <c r="D258" s="598"/>
      <c r="E258" s="599" t="s">
        <v>213</v>
      </c>
      <c r="F258" s="599"/>
      <c r="G258" s="600"/>
    </row>
    <row r="259" spans="2:7">
      <c r="B259" s="601" t="s">
        <v>811</v>
      </c>
      <c r="C259" s="602"/>
      <c r="D259" s="603"/>
      <c r="E259" s="610" t="s">
        <v>812</v>
      </c>
      <c r="F259" s="611"/>
      <c r="G259" s="612"/>
    </row>
    <row r="260" spans="2:7">
      <c r="B260" s="604"/>
      <c r="C260" s="605"/>
      <c r="D260" s="606"/>
      <c r="E260" s="611"/>
      <c r="F260" s="611"/>
      <c r="G260" s="612"/>
    </row>
    <row r="261" spans="2:7">
      <c r="B261" s="604"/>
      <c r="C261" s="605"/>
      <c r="D261" s="606"/>
      <c r="E261" s="611"/>
      <c r="F261" s="611"/>
      <c r="G261" s="612"/>
    </row>
    <row r="262" spans="2:7">
      <c r="B262" s="607"/>
      <c r="C262" s="608"/>
      <c r="D262" s="609"/>
      <c r="E262" s="611"/>
      <c r="F262" s="611"/>
      <c r="G262" s="612"/>
    </row>
    <row r="263" spans="2:7">
      <c r="B263" s="25"/>
      <c r="C263" s="26"/>
      <c r="D263" s="26"/>
      <c r="E263" s="26"/>
      <c r="F263" s="26"/>
      <c r="G263" s="27"/>
    </row>
    <row r="264" spans="2:7">
      <c r="B264" s="28"/>
      <c r="G264" s="29"/>
    </row>
    <row r="265" spans="2:7" ht="15.75">
      <c r="B265" s="613" t="s">
        <v>216</v>
      </c>
      <c r="C265" s="614"/>
      <c r="D265" s="614"/>
      <c r="E265" s="614"/>
      <c r="F265" s="614"/>
      <c r="G265" s="615"/>
    </row>
    <row r="266" spans="2:7">
      <c r="B266" s="616" t="s">
        <v>217</v>
      </c>
      <c r="C266" s="617"/>
      <c r="D266" s="617" t="s">
        <v>218</v>
      </c>
      <c r="E266" s="617"/>
      <c r="F266" s="595" t="s">
        <v>219</v>
      </c>
      <c r="G266" s="596"/>
    </row>
    <row r="267" spans="2:7">
      <c r="B267" s="583"/>
      <c r="C267" s="584"/>
      <c r="D267" s="587"/>
      <c r="E267" s="584"/>
      <c r="F267" s="589"/>
      <c r="G267" s="590"/>
    </row>
    <row r="268" spans="2:7">
      <c r="B268" s="585"/>
      <c r="C268" s="586"/>
      <c r="D268" s="588"/>
      <c r="E268" s="586"/>
      <c r="F268" s="591"/>
      <c r="G268" s="592"/>
    </row>
    <row r="269" spans="2:7">
      <c r="B269" s="28"/>
      <c r="G269" s="29"/>
    </row>
    <row r="270" spans="2:7">
      <c r="B270" s="593" t="s">
        <v>220</v>
      </c>
      <c r="C270" s="594"/>
      <c r="D270" s="595" t="s">
        <v>221</v>
      </c>
      <c r="E270" s="594"/>
      <c r="F270" s="595" t="s">
        <v>222</v>
      </c>
      <c r="G270" s="596"/>
    </row>
    <row r="271" spans="2:7">
      <c r="B271" s="639"/>
      <c r="C271" s="640"/>
      <c r="D271" s="641"/>
      <c r="E271" s="640"/>
      <c r="F271" s="641" t="s">
        <v>813</v>
      </c>
      <c r="G271" s="642"/>
    </row>
    <row r="274" spans="2:7" ht="15.75">
      <c r="B274" s="543" t="s">
        <v>189</v>
      </c>
      <c r="C274" s="544"/>
      <c r="D274" s="544"/>
      <c r="E274" s="544"/>
      <c r="F274" s="544"/>
      <c r="G274" s="545"/>
    </row>
    <row r="275" spans="2:7" ht="15.75">
      <c r="B275" s="546" t="s">
        <v>190</v>
      </c>
      <c r="C275" s="547"/>
      <c r="D275" s="547"/>
      <c r="E275" s="547"/>
      <c r="F275" s="547"/>
      <c r="G275" s="548"/>
    </row>
    <row r="276" spans="2:7">
      <c r="B276" s="549" t="s">
        <v>191</v>
      </c>
      <c r="C276" s="550"/>
      <c r="D276" s="551" t="s">
        <v>192</v>
      </c>
      <c r="E276" s="552"/>
      <c r="F276" s="555" t="s">
        <v>193</v>
      </c>
      <c r="G276" s="15" t="s">
        <v>194</v>
      </c>
    </row>
    <row r="277" spans="2:7">
      <c r="B277" s="557" t="s">
        <v>231</v>
      </c>
      <c r="C277" s="558"/>
      <c r="D277" s="553"/>
      <c r="E277" s="554"/>
      <c r="F277" s="556"/>
      <c r="G277" s="16" t="s">
        <v>814</v>
      </c>
    </row>
    <row r="278" spans="2:7" ht="22.5">
      <c r="B278" s="559" t="s">
        <v>197</v>
      </c>
      <c r="C278" s="560"/>
      <c r="D278" s="565" t="s">
        <v>753</v>
      </c>
      <c r="E278" s="566"/>
      <c r="F278" s="571">
        <v>194</v>
      </c>
      <c r="G278" s="17" t="s">
        <v>319</v>
      </c>
    </row>
    <row r="279" spans="2:7">
      <c r="B279" s="561"/>
      <c r="C279" s="562"/>
      <c r="D279" s="567"/>
      <c r="E279" s="568"/>
      <c r="F279" s="572"/>
      <c r="G279" s="18" t="s">
        <v>200</v>
      </c>
    </row>
    <row r="280" spans="2:7">
      <c r="B280" s="563"/>
      <c r="C280" s="564"/>
      <c r="D280" s="569"/>
      <c r="E280" s="570"/>
      <c r="F280" s="573"/>
      <c r="G280" s="17" t="s">
        <v>201</v>
      </c>
    </row>
    <row r="281" spans="2:7">
      <c r="B281" s="19" t="s">
        <v>202</v>
      </c>
      <c r="C281" s="20"/>
      <c r="D281" s="20"/>
      <c r="E281" s="20"/>
      <c r="F281" s="20"/>
      <c r="G281" s="21"/>
    </row>
    <row r="282" spans="2:7">
      <c r="B282" s="22"/>
      <c r="C282" s="23" t="s">
        <v>203</v>
      </c>
      <c r="D282" s="23" t="s">
        <v>203</v>
      </c>
      <c r="E282" s="23" t="s">
        <v>203</v>
      </c>
      <c r="F282" s="23" t="s">
        <v>203</v>
      </c>
      <c r="G282" s="23" t="s">
        <v>203</v>
      </c>
    </row>
    <row r="283" spans="2:7">
      <c r="B283" s="574" t="s">
        <v>204</v>
      </c>
      <c r="C283" s="580" t="s">
        <v>757</v>
      </c>
      <c r="D283" s="580" t="s">
        <v>815</v>
      </c>
      <c r="E283" s="580" t="s">
        <v>816</v>
      </c>
      <c r="F283" s="580" t="s">
        <v>817</v>
      </c>
      <c r="G283" s="580" t="s">
        <v>202</v>
      </c>
    </row>
    <row r="284" spans="2:7">
      <c r="B284" s="575"/>
      <c r="C284" s="581"/>
      <c r="D284" s="581"/>
      <c r="E284" s="581"/>
      <c r="F284" s="581"/>
      <c r="G284" s="581"/>
    </row>
    <row r="285" spans="2:7">
      <c r="B285" s="575"/>
      <c r="C285" s="581"/>
      <c r="D285" s="581"/>
      <c r="E285" s="581"/>
      <c r="F285" s="581"/>
      <c r="G285" s="581"/>
    </row>
    <row r="286" spans="2:7">
      <c r="B286" s="576"/>
      <c r="C286" s="582"/>
      <c r="D286" s="582"/>
      <c r="E286" s="582"/>
      <c r="F286" s="582"/>
      <c r="G286" s="582"/>
    </row>
    <row r="287" spans="2:7">
      <c r="B287" s="574" t="s">
        <v>208</v>
      </c>
      <c r="C287" s="580" t="s">
        <v>818</v>
      </c>
      <c r="D287" s="580" t="s">
        <v>819</v>
      </c>
      <c r="E287" s="580" t="s">
        <v>820</v>
      </c>
      <c r="F287" s="580" t="s">
        <v>821</v>
      </c>
      <c r="G287" s="580" t="s">
        <v>202</v>
      </c>
    </row>
    <row r="288" spans="2:7">
      <c r="B288" s="575"/>
      <c r="C288" s="581"/>
      <c r="D288" s="581"/>
      <c r="E288" s="581"/>
      <c r="F288" s="581"/>
      <c r="G288" s="581"/>
    </row>
    <row r="289" spans="2:7">
      <c r="B289" s="575"/>
      <c r="C289" s="581"/>
      <c r="D289" s="581"/>
      <c r="E289" s="581"/>
      <c r="F289" s="581"/>
      <c r="G289" s="581"/>
    </row>
    <row r="290" spans="2:7">
      <c r="B290" s="576"/>
      <c r="C290" s="582"/>
      <c r="D290" s="582"/>
      <c r="E290" s="582"/>
      <c r="F290" s="582"/>
      <c r="G290" s="582"/>
    </row>
    <row r="291" spans="2:7">
      <c r="B291" s="24"/>
      <c r="C291" s="20"/>
      <c r="D291" s="20"/>
      <c r="E291" s="20"/>
      <c r="F291" s="20"/>
      <c r="G291" s="21"/>
    </row>
    <row r="292" spans="2:7">
      <c r="B292" s="597" t="s">
        <v>212</v>
      </c>
      <c r="C292" s="598"/>
      <c r="D292" s="598"/>
      <c r="E292" s="599" t="s">
        <v>213</v>
      </c>
      <c r="F292" s="599"/>
      <c r="G292" s="600"/>
    </row>
    <row r="293" spans="2:7">
      <c r="B293" s="601" t="s">
        <v>822</v>
      </c>
      <c r="C293" s="602"/>
      <c r="D293" s="603"/>
      <c r="E293" s="610" t="s">
        <v>823</v>
      </c>
      <c r="F293" s="611"/>
      <c r="G293" s="612"/>
    </row>
    <row r="294" spans="2:7">
      <c r="B294" s="604"/>
      <c r="C294" s="605"/>
      <c r="D294" s="606"/>
      <c r="E294" s="611"/>
      <c r="F294" s="611"/>
      <c r="G294" s="612"/>
    </row>
    <row r="295" spans="2:7">
      <c r="B295" s="604"/>
      <c r="C295" s="605"/>
      <c r="D295" s="606"/>
      <c r="E295" s="611"/>
      <c r="F295" s="611"/>
      <c r="G295" s="612"/>
    </row>
    <row r="296" spans="2:7">
      <c r="B296" s="607"/>
      <c r="C296" s="608"/>
      <c r="D296" s="609"/>
      <c r="E296" s="611"/>
      <c r="F296" s="611"/>
      <c r="G296" s="612"/>
    </row>
    <row r="297" spans="2:7">
      <c r="B297" s="25"/>
      <c r="C297" s="26"/>
      <c r="D297" s="26"/>
      <c r="E297" s="26"/>
      <c r="F297" s="26"/>
      <c r="G297" s="27"/>
    </row>
    <row r="298" spans="2:7">
      <c r="B298" s="28"/>
      <c r="G298" s="29"/>
    </row>
    <row r="299" spans="2:7" ht="15.75">
      <c r="B299" s="613" t="s">
        <v>216</v>
      </c>
      <c r="C299" s="614"/>
      <c r="D299" s="614"/>
      <c r="E299" s="614"/>
      <c r="F299" s="614"/>
      <c r="G299" s="615"/>
    </row>
    <row r="300" spans="2:7">
      <c r="B300" s="616" t="s">
        <v>217</v>
      </c>
      <c r="C300" s="617"/>
      <c r="D300" s="617" t="s">
        <v>218</v>
      </c>
      <c r="E300" s="617"/>
      <c r="F300" s="595" t="s">
        <v>219</v>
      </c>
      <c r="G300" s="596"/>
    </row>
    <row r="301" spans="2:7">
      <c r="B301" s="583"/>
      <c r="C301" s="584"/>
      <c r="D301" s="587"/>
      <c r="E301" s="584"/>
      <c r="F301" s="589"/>
      <c r="G301" s="590"/>
    </row>
    <row r="302" spans="2:7">
      <c r="B302" s="585"/>
      <c r="C302" s="586"/>
      <c r="D302" s="588"/>
      <c r="E302" s="586"/>
      <c r="F302" s="591"/>
      <c r="G302" s="592"/>
    </row>
    <row r="303" spans="2:7">
      <c r="B303" s="28"/>
      <c r="G303" s="29"/>
    </row>
    <row r="304" spans="2:7">
      <c r="B304" s="593" t="s">
        <v>220</v>
      </c>
      <c r="C304" s="594"/>
      <c r="D304" s="595" t="s">
        <v>221</v>
      </c>
      <c r="E304" s="594"/>
      <c r="F304" s="595" t="s">
        <v>222</v>
      </c>
      <c r="G304" s="596"/>
    </row>
    <row r="305" spans="2:7">
      <c r="B305" s="639"/>
      <c r="C305" s="640"/>
      <c r="D305" s="641"/>
      <c r="E305" s="640"/>
      <c r="F305" s="641" t="s">
        <v>824</v>
      </c>
      <c r="G305" s="642"/>
    </row>
  </sheetData>
  <autoFilter ref="B2:K27" xr:uid="{076815BC-658F-421A-9DD8-4F8000F2D696}">
    <filterColumn colId="1" showButton="0"/>
  </autoFilter>
  <sortState xmlns:xlrd2="http://schemas.microsoft.com/office/spreadsheetml/2017/richdata2" ref="E6:E26">
    <sortCondition ref="E6:E26"/>
  </sortState>
  <mergeCells count="321">
    <mergeCell ref="K2:K3"/>
    <mergeCell ref="E27:K30"/>
    <mergeCell ref="B2:B3"/>
    <mergeCell ref="C2:D2"/>
    <mergeCell ref="E2:E3"/>
    <mergeCell ref="F2:F3"/>
    <mergeCell ref="G2:G3"/>
    <mergeCell ref="H2:H3"/>
    <mergeCell ref="C29:D29"/>
    <mergeCell ref="I16:I18"/>
    <mergeCell ref="I20:I21"/>
    <mergeCell ref="K20:K21"/>
    <mergeCell ref="J16:J18"/>
    <mergeCell ref="J20:J21"/>
    <mergeCell ref="K16:K18"/>
    <mergeCell ref="B33:G33"/>
    <mergeCell ref="B34:G34"/>
    <mergeCell ref="B35:C35"/>
    <mergeCell ref="D35:E36"/>
    <mergeCell ref="F35:F36"/>
    <mergeCell ref="B36:C36"/>
    <mergeCell ref="I2:I3"/>
    <mergeCell ref="J2:J3"/>
    <mergeCell ref="G42:G45"/>
    <mergeCell ref="B46:B49"/>
    <mergeCell ref="C46:C49"/>
    <mergeCell ref="E46:E49"/>
    <mergeCell ref="F46:F49"/>
    <mergeCell ref="G46:G49"/>
    <mergeCell ref="B37:C39"/>
    <mergeCell ref="D37:E39"/>
    <mergeCell ref="F37:F39"/>
    <mergeCell ref="B42:B45"/>
    <mergeCell ref="C42:C45"/>
    <mergeCell ref="D42:D45"/>
    <mergeCell ref="E42:E45"/>
    <mergeCell ref="F42:F45"/>
    <mergeCell ref="D46:D49"/>
    <mergeCell ref="B60:C61"/>
    <mergeCell ref="D60:E61"/>
    <mergeCell ref="F60:G61"/>
    <mergeCell ref="B63:C63"/>
    <mergeCell ref="D63:E63"/>
    <mergeCell ref="F63:G63"/>
    <mergeCell ref="B51:D51"/>
    <mergeCell ref="E51:G51"/>
    <mergeCell ref="B52:D55"/>
    <mergeCell ref="E52:G55"/>
    <mergeCell ref="B58:G58"/>
    <mergeCell ref="B59:C59"/>
    <mergeCell ref="D59:E59"/>
    <mergeCell ref="F59:G59"/>
    <mergeCell ref="B64:C64"/>
    <mergeCell ref="D64:E64"/>
    <mergeCell ref="F64:G64"/>
    <mergeCell ref="B67:G67"/>
    <mergeCell ref="B68:G68"/>
    <mergeCell ref="B69:C69"/>
    <mergeCell ref="D69:E70"/>
    <mergeCell ref="F69:F70"/>
    <mergeCell ref="B70:C70"/>
    <mergeCell ref="G76:G79"/>
    <mergeCell ref="B80:B83"/>
    <mergeCell ref="C80:C83"/>
    <mergeCell ref="D80:D83"/>
    <mergeCell ref="E80:E83"/>
    <mergeCell ref="F80:F83"/>
    <mergeCell ref="G80:G83"/>
    <mergeCell ref="B71:C73"/>
    <mergeCell ref="D71:E73"/>
    <mergeCell ref="F71:F73"/>
    <mergeCell ref="B76:B79"/>
    <mergeCell ref="C76:C79"/>
    <mergeCell ref="D76:D79"/>
    <mergeCell ref="E76:E79"/>
    <mergeCell ref="F76:F79"/>
    <mergeCell ref="B94:C95"/>
    <mergeCell ref="D94:E95"/>
    <mergeCell ref="F94:G95"/>
    <mergeCell ref="B97:C97"/>
    <mergeCell ref="D97:E97"/>
    <mergeCell ref="F97:G97"/>
    <mergeCell ref="B85:D85"/>
    <mergeCell ref="E85:G85"/>
    <mergeCell ref="B86:D89"/>
    <mergeCell ref="E86:G89"/>
    <mergeCell ref="B92:G92"/>
    <mergeCell ref="B93:C93"/>
    <mergeCell ref="D93:E93"/>
    <mergeCell ref="F93:G93"/>
    <mergeCell ref="B98:C98"/>
    <mergeCell ref="D98:E98"/>
    <mergeCell ref="F98:G98"/>
    <mergeCell ref="C111:C114"/>
    <mergeCell ref="B102:G102"/>
    <mergeCell ref="B103:G103"/>
    <mergeCell ref="B104:C104"/>
    <mergeCell ref="D104:E105"/>
    <mergeCell ref="F104:F105"/>
    <mergeCell ref="B105:C105"/>
    <mergeCell ref="G111:G114"/>
    <mergeCell ref="D111:D114"/>
    <mergeCell ref="E111:E114"/>
    <mergeCell ref="F111:F114"/>
    <mergeCell ref="B115:B118"/>
    <mergeCell ref="C184:C187"/>
    <mergeCell ref="D184:D187"/>
    <mergeCell ref="E184:E187"/>
    <mergeCell ref="F184:F187"/>
    <mergeCell ref="G115:G118"/>
    <mergeCell ref="B106:C108"/>
    <mergeCell ref="D106:E108"/>
    <mergeCell ref="F106:F108"/>
    <mergeCell ref="B111:B114"/>
    <mergeCell ref="C180:C183"/>
    <mergeCell ref="D180:D183"/>
    <mergeCell ref="E180:E183"/>
    <mergeCell ref="F180:F183"/>
    <mergeCell ref="B129:C130"/>
    <mergeCell ref="D129:E130"/>
    <mergeCell ref="F129:G130"/>
    <mergeCell ref="B132:C132"/>
    <mergeCell ref="D132:E132"/>
    <mergeCell ref="F132:G132"/>
    <mergeCell ref="B120:D120"/>
    <mergeCell ref="E120:G120"/>
    <mergeCell ref="B121:D124"/>
    <mergeCell ref="E121:G124"/>
    <mergeCell ref="B127:G127"/>
    <mergeCell ref="B128:C128"/>
    <mergeCell ref="D128:E128"/>
    <mergeCell ref="F128:G128"/>
    <mergeCell ref="B133:C133"/>
    <mergeCell ref="D133:E133"/>
    <mergeCell ref="F133:G133"/>
    <mergeCell ref="B136:G136"/>
    <mergeCell ref="B137:G137"/>
    <mergeCell ref="B138:C138"/>
    <mergeCell ref="D138:E139"/>
    <mergeCell ref="F138:F139"/>
    <mergeCell ref="B139:C139"/>
    <mergeCell ref="G145:G148"/>
    <mergeCell ref="B149:B152"/>
    <mergeCell ref="C149:C152"/>
    <mergeCell ref="D149:D152"/>
    <mergeCell ref="E149:E152"/>
    <mergeCell ref="F149:F152"/>
    <mergeCell ref="G149:G152"/>
    <mergeCell ref="B140:C142"/>
    <mergeCell ref="D140:E142"/>
    <mergeCell ref="F140:F142"/>
    <mergeCell ref="B145:B148"/>
    <mergeCell ref="C145:C148"/>
    <mergeCell ref="D145:D148"/>
    <mergeCell ref="E145:E148"/>
    <mergeCell ref="F145:F148"/>
    <mergeCell ref="B163:C164"/>
    <mergeCell ref="D163:E164"/>
    <mergeCell ref="F163:G164"/>
    <mergeCell ref="B166:C166"/>
    <mergeCell ref="D166:E166"/>
    <mergeCell ref="F166:G166"/>
    <mergeCell ref="B154:D154"/>
    <mergeCell ref="E154:G154"/>
    <mergeCell ref="B155:D158"/>
    <mergeCell ref="E155:G158"/>
    <mergeCell ref="B161:G161"/>
    <mergeCell ref="B162:C162"/>
    <mergeCell ref="D162:E162"/>
    <mergeCell ref="F162:G162"/>
    <mergeCell ref="B167:C167"/>
    <mergeCell ref="D167:E167"/>
    <mergeCell ref="F167:G167"/>
    <mergeCell ref="B171:G171"/>
    <mergeCell ref="B172:G172"/>
    <mergeCell ref="B173:C173"/>
    <mergeCell ref="D173:E174"/>
    <mergeCell ref="F173:F174"/>
    <mergeCell ref="B174:C174"/>
    <mergeCell ref="G180:G183"/>
    <mergeCell ref="B184:B187"/>
    <mergeCell ref="G184:G187"/>
    <mergeCell ref="B175:C177"/>
    <mergeCell ref="D175:E177"/>
    <mergeCell ref="F175:F177"/>
    <mergeCell ref="B180:B183"/>
    <mergeCell ref="B198:C199"/>
    <mergeCell ref="D198:E199"/>
    <mergeCell ref="F198:G199"/>
    <mergeCell ref="B201:C201"/>
    <mergeCell ref="D201:E201"/>
    <mergeCell ref="F201:G201"/>
    <mergeCell ref="B189:D189"/>
    <mergeCell ref="E189:G189"/>
    <mergeCell ref="B190:D193"/>
    <mergeCell ref="E190:G193"/>
    <mergeCell ref="B196:G196"/>
    <mergeCell ref="B197:C197"/>
    <mergeCell ref="D197:E197"/>
    <mergeCell ref="F197:G197"/>
    <mergeCell ref="B202:C202"/>
    <mergeCell ref="D202:E202"/>
    <mergeCell ref="F202:G202"/>
    <mergeCell ref="B206:G206"/>
    <mergeCell ref="B207:G207"/>
    <mergeCell ref="B208:C208"/>
    <mergeCell ref="D208:E209"/>
    <mergeCell ref="F208:F209"/>
    <mergeCell ref="B209:C209"/>
    <mergeCell ref="G215:G218"/>
    <mergeCell ref="B219:B222"/>
    <mergeCell ref="C219:C222"/>
    <mergeCell ref="D219:D222"/>
    <mergeCell ref="E219:E222"/>
    <mergeCell ref="F219:F222"/>
    <mergeCell ref="G219:G222"/>
    <mergeCell ref="B210:C212"/>
    <mergeCell ref="D210:E212"/>
    <mergeCell ref="F210:F212"/>
    <mergeCell ref="B215:B218"/>
    <mergeCell ref="C215:C218"/>
    <mergeCell ref="D215:D218"/>
    <mergeCell ref="E215:E218"/>
    <mergeCell ref="F215:F218"/>
    <mergeCell ref="B233:C234"/>
    <mergeCell ref="D233:E234"/>
    <mergeCell ref="F233:G234"/>
    <mergeCell ref="B236:C236"/>
    <mergeCell ref="D236:E236"/>
    <mergeCell ref="F236:G236"/>
    <mergeCell ref="B224:D224"/>
    <mergeCell ref="E224:G224"/>
    <mergeCell ref="B225:D228"/>
    <mergeCell ref="E225:G228"/>
    <mergeCell ref="B231:G231"/>
    <mergeCell ref="B232:C232"/>
    <mergeCell ref="D232:E232"/>
    <mergeCell ref="F232:G232"/>
    <mergeCell ref="B237:C237"/>
    <mergeCell ref="D237:E237"/>
    <mergeCell ref="F237:G237"/>
    <mergeCell ref="B240:G240"/>
    <mergeCell ref="B241:G241"/>
    <mergeCell ref="B242:C242"/>
    <mergeCell ref="D242:E243"/>
    <mergeCell ref="F242:F243"/>
    <mergeCell ref="B243:C243"/>
    <mergeCell ref="G249:G252"/>
    <mergeCell ref="B253:B256"/>
    <mergeCell ref="C253:C256"/>
    <mergeCell ref="D253:D256"/>
    <mergeCell ref="E253:E256"/>
    <mergeCell ref="F253:F256"/>
    <mergeCell ref="G253:G256"/>
    <mergeCell ref="B244:C246"/>
    <mergeCell ref="D244:E246"/>
    <mergeCell ref="F244:F246"/>
    <mergeCell ref="B249:B252"/>
    <mergeCell ref="C249:C252"/>
    <mergeCell ref="D249:D252"/>
    <mergeCell ref="E249:E252"/>
    <mergeCell ref="F249:F252"/>
    <mergeCell ref="B267:C268"/>
    <mergeCell ref="D267:E268"/>
    <mergeCell ref="F267:G268"/>
    <mergeCell ref="B270:C270"/>
    <mergeCell ref="D270:E270"/>
    <mergeCell ref="F270:G270"/>
    <mergeCell ref="B258:D258"/>
    <mergeCell ref="E258:G258"/>
    <mergeCell ref="B259:D262"/>
    <mergeCell ref="E259:G262"/>
    <mergeCell ref="B265:G265"/>
    <mergeCell ref="B266:C266"/>
    <mergeCell ref="D266:E266"/>
    <mergeCell ref="F266:G266"/>
    <mergeCell ref="B271:C271"/>
    <mergeCell ref="D271:E271"/>
    <mergeCell ref="F271:G271"/>
    <mergeCell ref="B274:G274"/>
    <mergeCell ref="B275:G275"/>
    <mergeCell ref="B276:C276"/>
    <mergeCell ref="D276:E277"/>
    <mergeCell ref="F276:F277"/>
    <mergeCell ref="B277:C277"/>
    <mergeCell ref="D287:D290"/>
    <mergeCell ref="E287:E290"/>
    <mergeCell ref="F287:F290"/>
    <mergeCell ref="G287:G290"/>
    <mergeCell ref="B278:C280"/>
    <mergeCell ref="D278:E280"/>
    <mergeCell ref="F278:F280"/>
    <mergeCell ref="B283:B286"/>
    <mergeCell ref="C283:C286"/>
    <mergeCell ref="D283:D286"/>
    <mergeCell ref="E283:E286"/>
    <mergeCell ref="F283:F286"/>
    <mergeCell ref="C115:C118"/>
    <mergeCell ref="D115:D118"/>
    <mergeCell ref="E115:E118"/>
    <mergeCell ref="F115:F118"/>
    <mergeCell ref="B305:C305"/>
    <mergeCell ref="D305:E305"/>
    <mergeCell ref="F305:G305"/>
    <mergeCell ref="B301:C302"/>
    <mergeCell ref="D301:E302"/>
    <mergeCell ref="F301:G302"/>
    <mergeCell ref="B304:C304"/>
    <mergeCell ref="D304:E304"/>
    <mergeCell ref="F304:G304"/>
    <mergeCell ref="B292:D292"/>
    <mergeCell ref="E292:G292"/>
    <mergeCell ref="B293:D296"/>
    <mergeCell ref="E293:G296"/>
    <mergeCell ref="B299:G299"/>
    <mergeCell ref="B300:C300"/>
    <mergeCell ref="D300:E300"/>
    <mergeCell ref="F300:G300"/>
    <mergeCell ref="G283:G286"/>
    <mergeCell ref="B287:B290"/>
    <mergeCell ref="C287:C290"/>
  </mergeCells>
  <phoneticPr fontId="0" type="noConversion"/>
  <printOptions horizontalCentered="1" verticalCentered="1"/>
  <pageMargins left="0.7" right="0.7" top="0.75" bottom="0.75" header="0.3" footer="0.3"/>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A5AA-F31B-4557-81B4-34A4B87C846B}">
  <sheetPr>
    <pageSetUpPr fitToPage="1"/>
  </sheetPr>
  <dimension ref="A2:N475"/>
  <sheetViews>
    <sheetView topLeftCell="A452" workbookViewId="0">
      <selection activeCell="E395" sqref="E395:G398"/>
    </sheetView>
  </sheetViews>
  <sheetFormatPr defaultRowHeight="15"/>
  <cols>
    <col min="2" max="2" width="11.5703125" bestFit="1" customWidth="1"/>
    <col min="3" max="6" width="23.85546875" customWidth="1"/>
    <col min="7" max="7" width="36.85546875" customWidth="1"/>
    <col min="8" max="8" width="49.140625" customWidth="1"/>
    <col min="9" max="9" width="13.140625" customWidth="1"/>
    <col min="10" max="10" width="33.42578125" customWidth="1"/>
    <col min="11" max="11" width="55.28515625" customWidth="1"/>
    <col min="13" max="13" width="11.28515625" customWidth="1"/>
  </cols>
  <sheetData>
    <row r="2" spans="2:14" s="135" customFormat="1">
      <c r="B2" s="443" t="s">
        <v>0</v>
      </c>
      <c r="C2" s="445" t="s">
        <v>1</v>
      </c>
      <c r="D2" s="438"/>
      <c r="E2" s="438" t="s">
        <v>2</v>
      </c>
      <c r="F2" s="438" t="s">
        <v>3</v>
      </c>
      <c r="G2" s="438" t="s">
        <v>4</v>
      </c>
      <c r="H2" s="438" t="s">
        <v>5</v>
      </c>
      <c r="I2" s="438" t="s">
        <v>6</v>
      </c>
      <c r="J2" s="438" t="s">
        <v>7</v>
      </c>
      <c r="K2" s="440" t="s">
        <v>8</v>
      </c>
    </row>
    <row r="3" spans="2:14" s="135" customFormat="1">
      <c r="B3" s="444"/>
      <c r="C3" s="41" t="s">
        <v>9</v>
      </c>
      <c r="D3" s="42" t="s">
        <v>10</v>
      </c>
      <c r="E3" s="439"/>
      <c r="F3" s="439"/>
      <c r="G3" s="439"/>
      <c r="H3" s="439"/>
      <c r="I3" s="439"/>
      <c r="J3" s="439"/>
      <c r="K3" s="441"/>
    </row>
    <row r="4" spans="2:14" s="3" customFormat="1" ht="33" customHeight="1">
      <c r="B4" s="32">
        <v>1</v>
      </c>
      <c r="C4" s="106">
        <v>30.000000000000053</v>
      </c>
      <c r="D4" s="106"/>
      <c r="E4" s="136">
        <v>45567</v>
      </c>
      <c r="F4" s="37" t="s">
        <v>131</v>
      </c>
      <c r="G4" s="37" t="s">
        <v>332</v>
      </c>
      <c r="H4" s="138" t="s">
        <v>825</v>
      </c>
      <c r="I4" s="180" t="s">
        <v>146</v>
      </c>
      <c r="J4" s="139"/>
      <c r="K4" s="139" t="s">
        <v>826</v>
      </c>
    </row>
    <row r="5" spans="2:14" s="3" customFormat="1" ht="33" customHeight="1">
      <c r="B5" s="32">
        <v>2</v>
      </c>
      <c r="C5" s="106">
        <v>256.00000000000006</v>
      </c>
      <c r="D5" s="106"/>
      <c r="E5" s="136">
        <v>45568</v>
      </c>
      <c r="F5" s="37" t="s">
        <v>131</v>
      </c>
      <c r="G5" s="37" t="s">
        <v>152</v>
      </c>
      <c r="H5" s="778" t="s">
        <v>175</v>
      </c>
      <c r="I5" s="783" t="s">
        <v>127</v>
      </c>
      <c r="J5" s="782" t="s">
        <v>792</v>
      </c>
      <c r="K5" s="774" t="s">
        <v>749</v>
      </c>
      <c r="L5" s="717"/>
      <c r="M5" s="717"/>
      <c r="N5" s="717"/>
    </row>
    <row r="6" spans="2:14" s="3" customFormat="1" ht="33" customHeight="1">
      <c r="B6" s="32">
        <v>3</v>
      </c>
      <c r="C6" s="106">
        <v>144.00000000000006</v>
      </c>
      <c r="D6" s="106"/>
      <c r="E6" s="136">
        <v>45569</v>
      </c>
      <c r="F6" s="37" t="s">
        <v>159</v>
      </c>
      <c r="G6" s="37" t="s">
        <v>332</v>
      </c>
      <c r="H6" s="781"/>
      <c r="I6" s="784"/>
      <c r="J6" s="782"/>
      <c r="K6" s="775"/>
      <c r="L6" s="773"/>
      <c r="M6" s="717"/>
      <c r="N6" s="717"/>
    </row>
    <row r="7" spans="2:14" s="3" customFormat="1" ht="33" customHeight="1">
      <c r="B7" s="32">
        <v>4</v>
      </c>
      <c r="C7" s="106">
        <v>124.00000000000004</v>
      </c>
      <c r="D7" s="106"/>
      <c r="E7" s="136">
        <v>45569</v>
      </c>
      <c r="F7" s="37" t="s">
        <v>131</v>
      </c>
      <c r="G7" s="37" t="s">
        <v>152</v>
      </c>
      <c r="H7" s="777"/>
      <c r="I7" s="784"/>
      <c r="J7" s="782"/>
      <c r="K7" s="775"/>
      <c r="L7" s="773"/>
      <c r="M7" s="717"/>
      <c r="N7" s="717"/>
    </row>
    <row r="8" spans="2:14" s="3" customFormat="1" ht="66" customHeight="1">
      <c r="B8" s="32">
        <v>5</v>
      </c>
      <c r="C8" s="106"/>
      <c r="D8" s="106">
        <v>105</v>
      </c>
      <c r="E8" s="136">
        <v>45570</v>
      </c>
      <c r="F8" s="37" t="s">
        <v>124</v>
      </c>
      <c r="G8" s="37" t="s">
        <v>174</v>
      </c>
      <c r="H8" s="141" t="s">
        <v>475</v>
      </c>
      <c r="I8" s="142" t="s">
        <v>127</v>
      </c>
      <c r="J8" s="140" t="s">
        <v>827</v>
      </c>
      <c r="K8" s="138" t="s">
        <v>828</v>
      </c>
    </row>
    <row r="9" spans="2:14" s="66" customFormat="1" ht="33" customHeight="1">
      <c r="B9" s="67">
        <v>6</v>
      </c>
      <c r="C9" s="68"/>
      <c r="D9" s="68">
        <v>20</v>
      </c>
      <c r="E9" s="137">
        <v>45572</v>
      </c>
      <c r="F9" s="68" t="s">
        <v>159</v>
      </c>
      <c r="G9" s="68" t="s">
        <v>332</v>
      </c>
      <c r="H9" s="138" t="s">
        <v>829</v>
      </c>
      <c r="I9" s="140" t="s">
        <v>146</v>
      </c>
      <c r="J9" s="140"/>
      <c r="K9" s="140" t="s">
        <v>826</v>
      </c>
    </row>
    <row r="10" spans="2:14" s="3" customFormat="1" ht="47.25" customHeight="1">
      <c r="B10" s="32">
        <v>7</v>
      </c>
      <c r="C10" s="106">
        <v>90</v>
      </c>
      <c r="D10" s="68"/>
      <c r="E10" s="136">
        <v>45575</v>
      </c>
      <c r="F10" s="37" t="s">
        <v>131</v>
      </c>
      <c r="G10" s="37" t="s">
        <v>125</v>
      </c>
      <c r="H10" s="138" t="s">
        <v>830</v>
      </c>
      <c r="I10" s="157" t="s">
        <v>127</v>
      </c>
      <c r="J10" s="138" t="s">
        <v>831</v>
      </c>
      <c r="K10" s="138" t="s">
        <v>832</v>
      </c>
    </row>
    <row r="11" spans="2:14" s="3" customFormat="1" ht="33" customHeight="1">
      <c r="B11" s="32">
        <v>8</v>
      </c>
      <c r="C11" s="68"/>
      <c r="D11" s="106">
        <v>8</v>
      </c>
      <c r="E11" s="136">
        <v>45575</v>
      </c>
      <c r="F11" s="37" t="s">
        <v>131</v>
      </c>
      <c r="G11" s="37" t="s">
        <v>125</v>
      </c>
      <c r="H11" s="138" t="s">
        <v>833</v>
      </c>
      <c r="I11" s="139" t="s">
        <v>146</v>
      </c>
      <c r="J11" s="139"/>
      <c r="K11" s="139"/>
    </row>
    <row r="12" spans="2:14" s="3" customFormat="1" ht="46.5" customHeight="1">
      <c r="B12" s="32">
        <v>9</v>
      </c>
      <c r="C12" s="68"/>
      <c r="D12" s="106">
        <v>40</v>
      </c>
      <c r="E12" s="136">
        <v>45577</v>
      </c>
      <c r="F12" s="37" t="s">
        <v>124</v>
      </c>
      <c r="G12" s="37" t="s">
        <v>162</v>
      </c>
      <c r="H12" s="141" t="s">
        <v>834</v>
      </c>
      <c r="I12" s="142" t="s">
        <v>127</v>
      </c>
      <c r="J12" s="138" t="s">
        <v>835</v>
      </c>
      <c r="K12" s="138" t="s">
        <v>836</v>
      </c>
    </row>
    <row r="13" spans="2:14" s="3" customFormat="1" ht="48.75" customHeight="1">
      <c r="B13" s="32">
        <v>10</v>
      </c>
      <c r="C13" s="68"/>
      <c r="D13" s="106">
        <v>405</v>
      </c>
      <c r="E13" s="136">
        <v>45579</v>
      </c>
      <c r="F13" s="37" t="s">
        <v>131</v>
      </c>
      <c r="G13" s="37" t="s">
        <v>332</v>
      </c>
      <c r="H13" s="141" t="s">
        <v>837</v>
      </c>
      <c r="I13" s="142" t="s">
        <v>127</v>
      </c>
      <c r="J13" s="138" t="s">
        <v>838</v>
      </c>
      <c r="K13" s="138" t="s">
        <v>839</v>
      </c>
    </row>
    <row r="14" spans="2:14" s="3" customFormat="1" ht="33" customHeight="1">
      <c r="B14" s="32">
        <v>12</v>
      </c>
      <c r="C14" s="68"/>
      <c r="D14" s="68">
        <v>220</v>
      </c>
      <c r="E14" s="136">
        <v>45580</v>
      </c>
      <c r="F14" s="37" t="s">
        <v>131</v>
      </c>
      <c r="G14" s="37" t="s">
        <v>332</v>
      </c>
      <c r="H14" s="141" t="s">
        <v>840</v>
      </c>
      <c r="I14" s="142" t="s">
        <v>127</v>
      </c>
      <c r="J14" s="138" t="s">
        <v>841</v>
      </c>
      <c r="K14" s="138" t="s">
        <v>842</v>
      </c>
    </row>
    <row r="15" spans="2:14" ht="33" customHeight="1">
      <c r="B15" s="32">
        <v>13</v>
      </c>
      <c r="C15" s="68">
        <v>55</v>
      </c>
      <c r="D15" s="68"/>
      <c r="E15" s="136">
        <v>45581</v>
      </c>
      <c r="F15" s="37" t="s">
        <v>131</v>
      </c>
      <c r="G15" s="37" t="s">
        <v>332</v>
      </c>
      <c r="H15" s="141" t="s">
        <v>843</v>
      </c>
      <c r="I15" s="776" t="s">
        <v>127</v>
      </c>
      <c r="J15" s="778" t="s">
        <v>844</v>
      </c>
      <c r="K15" s="779" t="s">
        <v>845</v>
      </c>
    </row>
    <row r="16" spans="2:14" ht="33" customHeight="1">
      <c r="B16" s="32">
        <v>14</v>
      </c>
      <c r="C16" s="68">
        <v>80</v>
      </c>
      <c r="D16" s="68"/>
      <c r="E16" s="136">
        <v>45582</v>
      </c>
      <c r="F16" s="37" t="s">
        <v>124</v>
      </c>
      <c r="G16" s="37" t="s">
        <v>140</v>
      </c>
      <c r="H16" s="138" t="s">
        <v>843</v>
      </c>
      <c r="I16" s="777"/>
      <c r="J16" s="777"/>
      <c r="K16" s="780"/>
    </row>
    <row r="17" spans="1:11" ht="33" customHeight="1">
      <c r="B17" s="32">
        <v>15</v>
      </c>
      <c r="C17" s="68"/>
      <c r="D17" s="68">
        <v>18</v>
      </c>
      <c r="E17" s="136">
        <v>45582</v>
      </c>
      <c r="F17" s="37" t="s">
        <v>124</v>
      </c>
      <c r="G17" s="37" t="s">
        <v>140</v>
      </c>
      <c r="H17" s="138" t="s">
        <v>846</v>
      </c>
      <c r="I17" s="138" t="s">
        <v>146</v>
      </c>
      <c r="J17" s="138"/>
      <c r="K17" s="138" t="s">
        <v>847</v>
      </c>
    </row>
    <row r="18" spans="1:11" s="58" customFormat="1" ht="45" customHeight="1">
      <c r="B18" s="67">
        <v>16</v>
      </c>
      <c r="C18" s="68"/>
      <c r="D18" s="68">
        <v>120</v>
      </c>
      <c r="E18" s="137">
        <v>45583</v>
      </c>
      <c r="F18" s="68" t="s">
        <v>159</v>
      </c>
      <c r="G18" s="68" t="s">
        <v>174</v>
      </c>
      <c r="H18" s="138" t="s">
        <v>848</v>
      </c>
      <c r="I18" s="138" t="s">
        <v>127</v>
      </c>
      <c r="J18" s="138" t="s">
        <v>849</v>
      </c>
      <c r="K18" s="138" t="s">
        <v>850</v>
      </c>
    </row>
    <row r="19" spans="1:11" s="58" customFormat="1" ht="35.25" customHeight="1">
      <c r="A19"/>
      <c r="B19" s="32">
        <v>17</v>
      </c>
      <c r="C19" s="68">
        <v>140</v>
      </c>
      <c r="D19" s="68"/>
      <c r="E19" s="136">
        <v>45583</v>
      </c>
      <c r="F19" s="37" t="s">
        <v>131</v>
      </c>
      <c r="G19" s="37" t="s">
        <v>140</v>
      </c>
      <c r="H19" s="138" t="s">
        <v>851</v>
      </c>
      <c r="I19" s="138" t="s">
        <v>127</v>
      </c>
      <c r="J19" s="138" t="s">
        <v>852</v>
      </c>
      <c r="K19" s="138" t="s">
        <v>853</v>
      </c>
    </row>
    <row r="20" spans="1:11" s="58" customFormat="1" ht="35.25" customHeight="1">
      <c r="B20" s="67">
        <v>18</v>
      </c>
      <c r="C20" s="68"/>
      <c r="D20" s="68">
        <v>90</v>
      </c>
      <c r="E20" s="137">
        <v>45584</v>
      </c>
      <c r="F20" s="68" t="s">
        <v>131</v>
      </c>
      <c r="G20" s="68" t="s">
        <v>140</v>
      </c>
      <c r="H20" s="138" t="s">
        <v>854</v>
      </c>
      <c r="I20" s="138" t="s">
        <v>127</v>
      </c>
      <c r="J20" s="138" t="s">
        <v>744</v>
      </c>
      <c r="K20" s="138" t="s">
        <v>855</v>
      </c>
    </row>
    <row r="21" spans="1:11" ht="35.25" customHeight="1">
      <c r="B21" s="32">
        <v>19</v>
      </c>
      <c r="C21" s="37"/>
      <c r="D21" s="37">
        <v>116</v>
      </c>
      <c r="E21" s="136">
        <v>45584</v>
      </c>
      <c r="F21" s="37" t="s">
        <v>131</v>
      </c>
      <c r="G21" s="37" t="s">
        <v>140</v>
      </c>
      <c r="H21" s="36" t="s">
        <v>856</v>
      </c>
      <c r="I21" s="142" t="s">
        <v>127</v>
      </c>
      <c r="J21" s="37" t="s">
        <v>857</v>
      </c>
      <c r="K21" s="37" t="s">
        <v>858</v>
      </c>
    </row>
    <row r="22" spans="1:11" ht="42" customHeight="1">
      <c r="B22" s="79">
        <v>20</v>
      </c>
      <c r="C22" s="74">
        <v>5</v>
      </c>
      <c r="D22" s="74"/>
      <c r="E22" s="172">
        <v>45586</v>
      </c>
      <c r="F22" s="74" t="s">
        <v>159</v>
      </c>
      <c r="G22" s="74" t="s">
        <v>125</v>
      </c>
      <c r="H22" s="171" t="s">
        <v>859</v>
      </c>
      <c r="I22" s="173" t="s">
        <v>146</v>
      </c>
      <c r="J22" s="74" t="s">
        <v>860</v>
      </c>
      <c r="K22" s="74"/>
    </row>
    <row r="23" spans="1:11" ht="42" customHeight="1">
      <c r="B23" s="37">
        <v>21</v>
      </c>
      <c r="C23" s="37">
        <v>45</v>
      </c>
      <c r="D23" s="37"/>
      <c r="E23" s="136">
        <v>45592</v>
      </c>
      <c r="F23" s="37" t="s">
        <v>159</v>
      </c>
      <c r="G23" s="37" t="s">
        <v>125</v>
      </c>
      <c r="H23" s="36" t="s">
        <v>861</v>
      </c>
      <c r="I23" s="142" t="s">
        <v>127</v>
      </c>
      <c r="J23" s="37" t="s">
        <v>862</v>
      </c>
      <c r="K23" s="37" t="s">
        <v>863</v>
      </c>
    </row>
    <row r="24" spans="1:11" ht="42" customHeight="1">
      <c r="B24" s="37">
        <v>22</v>
      </c>
      <c r="C24" s="37"/>
      <c r="D24" s="37">
        <v>25</v>
      </c>
      <c r="E24" s="136">
        <v>45593</v>
      </c>
      <c r="F24" s="37"/>
      <c r="G24" s="37" t="s">
        <v>125</v>
      </c>
      <c r="H24" s="36" t="s">
        <v>864</v>
      </c>
      <c r="I24" s="138" t="s">
        <v>146</v>
      </c>
      <c r="J24" s="37"/>
      <c r="K24" s="37"/>
    </row>
    <row r="25" spans="1:11" ht="42" customHeight="1">
      <c r="B25" s="79"/>
      <c r="C25" s="152"/>
      <c r="D25" s="152"/>
      <c r="E25" s="154"/>
      <c r="F25" s="152"/>
      <c r="G25" s="152"/>
      <c r="H25" s="152"/>
      <c r="I25" s="152"/>
      <c r="J25" s="152"/>
      <c r="K25" s="152"/>
    </row>
    <row r="26" spans="1:11">
      <c r="B26" s="6" t="s">
        <v>11</v>
      </c>
      <c r="C26" s="7">
        <f>SUM(C4:C21)</f>
        <v>919.00000000000023</v>
      </c>
      <c r="D26" s="7">
        <f>SUM(D4:D21)</f>
        <v>1142</v>
      </c>
      <c r="E26" s="434"/>
      <c r="F26" s="435"/>
      <c r="G26" s="435"/>
      <c r="H26" s="435"/>
      <c r="I26" s="435"/>
      <c r="J26" s="435"/>
      <c r="K26" s="435"/>
    </row>
    <row r="27" spans="1:11">
      <c r="B27" s="9"/>
      <c r="C27" s="10"/>
      <c r="D27" s="11"/>
      <c r="E27" s="434"/>
      <c r="F27" s="435"/>
      <c r="G27" s="435"/>
      <c r="H27" s="435"/>
      <c r="I27" s="435"/>
      <c r="J27" s="435"/>
      <c r="K27" s="435"/>
    </row>
    <row r="28" spans="1:11">
      <c r="B28" s="6" t="s">
        <v>12</v>
      </c>
      <c r="C28" s="432">
        <f>SUM(C26,D26)</f>
        <v>2061</v>
      </c>
      <c r="D28" s="433"/>
      <c r="E28" s="434"/>
      <c r="F28" s="435"/>
      <c r="G28" s="435"/>
      <c r="H28" s="435"/>
      <c r="I28" s="435"/>
      <c r="J28" s="435"/>
      <c r="K28" s="435"/>
    </row>
    <row r="29" spans="1:11">
      <c r="B29" s="12"/>
      <c r="C29" s="13"/>
      <c r="D29" s="14"/>
      <c r="E29" s="436"/>
      <c r="F29" s="437"/>
      <c r="G29" s="437"/>
      <c r="H29" s="437"/>
      <c r="I29" s="437"/>
      <c r="J29" s="437"/>
      <c r="K29" s="437"/>
    </row>
    <row r="31" spans="1:11">
      <c r="I31" t="s">
        <v>865</v>
      </c>
    </row>
    <row r="32" spans="1:11" ht="15.75">
      <c r="B32" s="543" t="s">
        <v>866</v>
      </c>
      <c r="C32" s="544"/>
      <c r="D32" s="544"/>
      <c r="E32" s="544"/>
      <c r="F32" s="544"/>
      <c r="G32" s="545"/>
      <c r="I32" t="s">
        <v>867</v>
      </c>
    </row>
    <row r="33" spans="2:7" ht="15.75">
      <c r="B33" s="546" t="s">
        <v>190</v>
      </c>
      <c r="C33" s="547"/>
      <c r="D33" s="547"/>
      <c r="E33" s="547"/>
      <c r="F33" s="547"/>
      <c r="G33" s="548"/>
    </row>
    <row r="34" spans="2:7" ht="27.75" customHeight="1">
      <c r="B34" s="549" t="s">
        <v>191</v>
      </c>
      <c r="C34" s="550"/>
      <c r="D34" s="551" t="s">
        <v>192</v>
      </c>
      <c r="E34" s="552"/>
      <c r="F34" s="555" t="s">
        <v>193</v>
      </c>
      <c r="G34" s="15" t="s">
        <v>194</v>
      </c>
    </row>
    <row r="35" spans="2:7" ht="21" customHeight="1">
      <c r="B35" s="557" t="s">
        <v>195</v>
      </c>
      <c r="C35" s="558"/>
      <c r="D35" s="553"/>
      <c r="E35" s="554"/>
      <c r="F35" s="556"/>
      <c r="G35" s="16" t="s">
        <v>868</v>
      </c>
    </row>
    <row r="36" spans="2:7" ht="22.5">
      <c r="B36" s="559" t="s">
        <v>197</v>
      </c>
      <c r="C36" s="560"/>
      <c r="D36" s="565" t="s">
        <v>175</v>
      </c>
      <c r="E36" s="566"/>
      <c r="F36" s="571" t="s">
        <v>869</v>
      </c>
      <c r="G36" s="17" t="s">
        <v>199</v>
      </c>
    </row>
    <row r="37" spans="2:7">
      <c r="B37" s="561"/>
      <c r="C37" s="562"/>
      <c r="D37" s="567"/>
      <c r="E37" s="568"/>
      <c r="F37" s="572"/>
      <c r="G37" s="18" t="s">
        <v>200</v>
      </c>
    </row>
    <row r="38" spans="2:7">
      <c r="B38" s="563"/>
      <c r="C38" s="564"/>
      <c r="D38" s="569"/>
      <c r="E38" s="570"/>
      <c r="F38" s="573"/>
      <c r="G38" s="17" t="s">
        <v>201</v>
      </c>
    </row>
    <row r="39" spans="2:7">
      <c r="B39" s="19" t="s">
        <v>202</v>
      </c>
      <c r="C39" s="20"/>
      <c r="D39" s="20"/>
      <c r="E39" s="20"/>
      <c r="F39" s="20"/>
      <c r="G39" s="21"/>
    </row>
    <row r="40" spans="2:7">
      <c r="B40" s="22"/>
      <c r="C40" s="23" t="s">
        <v>203</v>
      </c>
      <c r="D40" s="23" t="s">
        <v>203</v>
      </c>
      <c r="E40" s="23" t="s">
        <v>203</v>
      </c>
      <c r="F40" s="23" t="s">
        <v>203</v>
      </c>
      <c r="G40" s="23" t="s">
        <v>203</v>
      </c>
    </row>
    <row r="41" spans="2:7">
      <c r="B41" s="574" t="s">
        <v>204</v>
      </c>
      <c r="C41" s="580" t="s">
        <v>785</v>
      </c>
      <c r="D41" s="580" t="s">
        <v>786</v>
      </c>
      <c r="E41" s="580" t="s">
        <v>787</v>
      </c>
      <c r="F41" s="580" t="s">
        <v>788</v>
      </c>
      <c r="G41" s="580" t="s">
        <v>202</v>
      </c>
    </row>
    <row r="42" spans="2:7">
      <c r="B42" s="575"/>
      <c r="C42" s="581"/>
      <c r="D42" s="581"/>
      <c r="E42" s="581"/>
      <c r="F42" s="581"/>
      <c r="G42" s="581"/>
    </row>
    <row r="43" spans="2:7">
      <c r="B43" s="575"/>
      <c r="C43" s="581"/>
      <c r="D43" s="581"/>
      <c r="E43" s="581"/>
      <c r="F43" s="581"/>
      <c r="G43" s="581"/>
    </row>
    <row r="44" spans="2:7">
      <c r="B44" s="576"/>
      <c r="C44" s="582"/>
      <c r="D44" s="582"/>
      <c r="E44" s="582"/>
      <c r="F44" s="582"/>
      <c r="G44" s="582"/>
    </row>
    <row r="45" spans="2:7">
      <c r="B45" s="574" t="s">
        <v>208</v>
      </c>
      <c r="C45" s="580" t="s">
        <v>789</v>
      </c>
      <c r="D45" s="580" t="s">
        <v>790</v>
      </c>
      <c r="E45" s="580" t="s">
        <v>791</v>
      </c>
      <c r="F45" s="580" t="s">
        <v>792</v>
      </c>
      <c r="G45" s="580" t="s">
        <v>202</v>
      </c>
    </row>
    <row r="46" spans="2:7">
      <c r="B46" s="575"/>
      <c r="C46" s="581"/>
      <c r="D46" s="581"/>
      <c r="E46" s="581"/>
      <c r="F46" s="581"/>
      <c r="G46" s="581"/>
    </row>
    <row r="47" spans="2:7">
      <c r="B47" s="575"/>
      <c r="C47" s="581"/>
      <c r="D47" s="581"/>
      <c r="E47" s="581"/>
      <c r="F47" s="581"/>
      <c r="G47" s="581"/>
    </row>
    <row r="48" spans="2:7" ht="42.75" customHeight="1">
      <c r="B48" s="576"/>
      <c r="C48" s="582"/>
      <c r="D48" s="582"/>
      <c r="E48" s="582"/>
      <c r="F48" s="582"/>
      <c r="G48" s="582"/>
    </row>
    <row r="49" spans="2:7">
      <c r="B49" s="24"/>
      <c r="C49" s="20"/>
      <c r="D49" s="20"/>
      <c r="E49" s="20"/>
      <c r="F49" s="20"/>
      <c r="G49" s="21"/>
    </row>
    <row r="50" spans="2:7">
      <c r="B50" s="597" t="s">
        <v>212</v>
      </c>
      <c r="C50" s="598"/>
      <c r="D50" s="598"/>
      <c r="E50" s="599" t="s">
        <v>213</v>
      </c>
      <c r="F50" s="599"/>
      <c r="G50" s="600"/>
    </row>
    <row r="51" spans="2:7">
      <c r="B51" s="601" t="s">
        <v>748</v>
      </c>
      <c r="C51" s="602"/>
      <c r="D51" s="603"/>
      <c r="E51" s="610" t="s">
        <v>870</v>
      </c>
      <c r="F51" s="611"/>
      <c r="G51" s="612"/>
    </row>
    <row r="52" spans="2:7">
      <c r="B52" s="604"/>
      <c r="C52" s="605"/>
      <c r="D52" s="606"/>
      <c r="E52" s="611"/>
      <c r="F52" s="611"/>
      <c r="G52" s="612"/>
    </row>
    <row r="53" spans="2:7">
      <c r="B53" s="604"/>
      <c r="C53" s="605"/>
      <c r="D53" s="606"/>
      <c r="E53" s="611"/>
      <c r="F53" s="611"/>
      <c r="G53" s="612"/>
    </row>
    <row r="54" spans="2:7" ht="24.75" customHeight="1">
      <c r="B54" s="607"/>
      <c r="C54" s="608"/>
      <c r="D54" s="609"/>
      <c r="E54" s="611"/>
      <c r="F54" s="611"/>
      <c r="G54" s="612"/>
    </row>
    <row r="55" spans="2:7">
      <c r="B55" s="25"/>
      <c r="C55" s="26"/>
      <c r="D55" s="26"/>
      <c r="E55" s="26"/>
      <c r="F55" s="26"/>
      <c r="G55" s="27"/>
    </row>
    <row r="56" spans="2:7">
      <c r="B56" s="28"/>
      <c r="G56" s="29"/>
    </row>
    <row r="57" spans="2:7" ht="15.75">
      <c r="B57" s="613" t="s">
        <v>216</v>
      </c>
      <c r="C57" s="614"/>
      <c r="D57" s="614"/>
      <c r="E57" s="614"/>
      <c r="F57" s="614"/>
      <c r="G57" s="615"/>
    </row>
    <row r="58" spans="2:7">
      <c r="B58" s="616" t="s">
        <v>217</v>
      </c>
      <c r="C58" s="617"/>
      <c r="D58" s="617" t="s">
        <v>218</v>
      </c>
      <c r="E58" s="617"/>
      <c r="F58" s="595" t="s">
        <v>219</v>
      </c>
      <c r="G58" s="596"/>
    </row>
    <row r="59" spans="2:7">
      <c r="B59" s="583"/>
      <c r="C59" s="584"/>
      <c r="D59" s="587"/>
      <c r="E59" s="584"/>
      <c r="F59" s="589"/>
      <c r="G59" s="590"/>
    </row>
    <row r="60" spans="2:7">
      <c r="B60" s="585"/>
      <c r="C60" s="586"/>
      <c r="D60" s="588"/>
      <c r="E60" s="586"/>
      <c r="F60" s="591"/>
      <c r="G60" s="592"/>
    </row>
    <row r="61" spans="2:7">
      <c r="B61" s="28"/>
      <c r="G61" s="29"/>
    </row>
    <row r="62" spans="2:7">
      <c r="B62" s="593" t="s">
        <v>220</v>
      </c>
      <c r="C62" s="594"/>
      <c r="D62" s="595" t="s">
        <v>221</v>
      </c>
      <c r="E62" s="594"/>
      <c r="F62" s="595" t="s">
        <v>222</v>
      </c>
      <c r="G62" s="596"/>
    </row>
    <row r="63" spans="2:7">
      <c r="B63" s="639"/>
      <c r="C63" s="640"/>
      <c r="D63" s="641"/>
      <c r="E63" s="640"/>
      <c r="F63" s="641" t="s">
        <v>423</v>
      </c>
      <c r="G63" s="642"/>
    </row>
    <row r="64" spans="2:7">
      <c r="B64" s="43"/>
      <c r="C64" s="43"/>
      <c r="D64" s="43"/>
      <c r="E64" s="43"/>
      <c r="F64" s="43"/>
      <c r="G64" s="43"/>
    </row>
    <row r="65" spans="2:9">
      <c r="B65" s="43"/>
      <c r="C65" s="43"/>
      <c r="D65" s="43"/>
      <c r="E65" s="43"/>
      <c r="F65" s="43"/>
      <c r="G65" s="43"/>
    </row>
    <row r="66" spans="2:9" ht="15.75">
      <c r="B66" s="543" t="s">
        <v>866</v>
      </c>
      <c r="C66" s="544"/>
      <c r="D66" s="544"/>
      <c r="E66" s="544"/>
      <c r="F66" s="544"/>
      <c r="G66" s="545"/>
      <c r="I66" t="s">
        <v>867</v>
      </c>
    </row>
    <row r="67" spans="2:9" ht="15.75">
      <c r="B67" s="546" t="s">
        <v>190</v>
      </c>
      <c r="C67" s="547"/>
      <c r="D67" s="547"/>
      <c r="E67" s="547"/>
      <c r="F67" s="547"/>
      <c r="G67" s="548"/>
    </row>
    <row r="68" spans="2:9">
      <c r="B68" s="549" t="s">
        <v>191</v>
      </c>
      <c r="C68" s="550"/>
      <c r="D68" s="551" t="s">
        <v>192</v>
      </c>
      <c r="E68" s="552"/>
      <c r="F68" s="555" t="s">
        <v>193</v>
      </c>
      <c r="G68" s="15" t="s">
        <v>194</v>
      </c>
    </row>
    <row r="69" spans="2:9">
      <c r="B69" s="557" t="s">
        <v>224</v>
      </c>
      <c r="C69" s="558"/>
      <c r="D69" s="553"/>
      <c r="E69" s="554"/>
      <c r="F69" s="556"/>
      <c r="G69" s="16" t="s">
        <v>871</v>
      </c>
    </row>
    <row r="70" spans="2:9" ht="22.5">
      <c r="B70" s="559" t="s">
        <v>197</v>
      </c>
      <c r="C70" s="560"/>
      <c r="D70" s="565" t="s">
        <v>872</v>
      </c>
      <c r="E70" s="566"/>
      <c r="F70" s="571">
        <v>90</v>
      </c>
      <c r="G70" s="17" t="s">
        <v>199</v>
      </c>
    </row>
    <row r="71" spans="2:9">
      <c r="B71" s="561"/>
      <c r="C71" s="562"/>
      <c r="D71" s="567"/>
      <c r="E71" s="568"/>
      <c r="F71" s="572"/>
      <c r="G71" s="18" t="s">
        <v>200</v>
      </c>
    </row>
    <row r="72" spans="2:9">
      <c r="B72" s="563"/>
      <c r="C72" s="564"/>
      <c r="D72" s="569"/>
      <c r="E72" s="570"/>
      <c r="F72" s="573"/>
      <c r="G72" s="17" t="s">
        <v>201</v>
      </c>
    </row>
    <row r="73" spans="2:9">
      <c r="B73" s="19" t="s">
        <v>202</v>
      </c>
      <c r="C73" s="20"/>
      <c r="D73" s="20"/>
      <c r="E73" s="20"/>
      <c r="F73" s="20"/>
      <c r="G73" s="21"/>
    </row>
    <row r="74" spans="2:9">
      <c r="B74" s="22"/>
      <c r="C74" s="23" t="s">
        <v>203</v>
      </c>
      <c r="D74" s="23" t="s">
        <v>203</v>
      </c>
      <c r="E74" s="23" t="s">
        <v>203</v>
      </c>
      <c r="F74" s="23" t="s">
        <v>203</v>
      </c>
      <c r="G74" s="23" t="s">
        <v>203</v>
      </c>
    </row>
    <row r="75" spans="2:9">
      <c r="B75" s="574" t="s">
        <v>204</v>
      </c>
      <c r="C75" s="580" t="s">
        <v>873</v>
      </c>
      <c r="D75" s="580" t="s">
        <v>874</v>
      </c>
      <c r="E75" s="580" t="s">
        <v>875</v>
      </c>
      <c r="F75" s="580"/>
      <c r="G75" s="580" t="s">
        <v>202</v>
      </c>
    </row>
    <row r="76" spans="2:9">
      <c r="B76" s="575"/>
      <c r="C76" s="581"/>
      <c r="D76" s="581"/>
      <c r="E76" s="581"/>
      <c r="F76" s="581"/>
      <c r="G76" s="581"/>
    </row>
    <row r="77" spans="2:9">
      <c r="B77" s="575"/>
      <c r="C77" s="581"/>
      <c r="D77" s="581"/>
      <c r="E77" s="581"/>
      <c r="F77" s="581"/>
      <c r="G77" s="581"/>
    </row>
    <row r="78" spans="2:9">
      <c r="B78" s="576"/>
      <c r="C78" s="582"/>
      <c r="D78" s="582"/>
      <c r="E78" s="582"/>
      <c r="F78" s="582"/>
      <c r="G78" s="582"/>
    </row>
    <row r="79" spans="2:9">
      <c r="B79" s="574" t="s">
        <v>208</v>
      </c>
      <c r="C79" s="580" t="s">
        <v>876</v>
      </c>
      <c r="D79" s="580" t="s">
        <v>877</v>
      </c>
      <c r="E79" s="580" t="s">
        <v>878</v>
      </c>
      <c r="F79" s="580" t="s">
        <v>202</v>
      </c>
      <c r="G79" s="580" t="s">
        <v>202</v>
      </c>
    </row>
    <row r="80" spans="2:9">
      <c r="B80" s="575"/>
      <c r="C80" s="581"/>
      <c r="D80" s="581"/>
      <c r="E80" s="581"/>
      <c r="F80" s="581"/>
      <c r="G80" s="581"/>
    </row>
    <row r="81" spans="2:7">
      <c r="B81" s="575"/>
      <c r="C81" s="581"/>
      <c r="D81" s="581"/>
      <c r="E81" s="581"/>
      <c r="F81" s="581"/>
      <c r="G81" s="581"/>
    </row>
    <row r="82" spans="2:7">
      <c r="B82" s="576"/>
      <c r="C82" s="582"/>
      <c r="D82" s="582"/>
      <c r="E82" s="582"/>
      <c r="F82" s="582"/>
      <c r="G82" s="582"/>
    </row>
    <row r="83" spans="2:7">
      <c r="B83" s="24"/>
      <c r="C83" s="20"/>
      <c r="D83" s="20"/>
      <c r="E83" s="20"/>
      <c r="F83" s="20"/>
      <c r="G83" s="21"/>
    </row>
    <row r="84" spans="2:7">
      <c r="B84" s="597" t="s">
        <v>212</v>
      </c>
      <c r="C84" s="598"/>
      <c r="D84" s="598"/>
      <c r="E84" s="599" t="s">
        <v>213</v>
      </c>
      <c r="F84" s="599"/>
      <c r="G84" s="600"/>
    </row>
    <row r="85" spans="2:7">
      <c r="B85" s="601" t="s">
        <v>878</v>
      </c>
      <c r="C85" s="602"/>
      <c r="D85" s="603"/>
      <c r="E85" s="610" t="s">
        <v>879</v>
      </c>
      <c r="F85" s="611"/>
      <c r="G85" s="612"/>
    </row>
    <row r="86" spans="2:7">
      <c r="B86" s="604"/>
      <c r="C86" s="605"/>
      <c r="D86" s="606"/>
      <c r="E86" s="611"/>
      <c r="F86" s="611"/>
      <c r="G86" s="612"/>
    </row>
    <row r="87" spans="2:7">
      <c r="B87" s="604"/>
      <c r="C87" s="605"/>
      <c r="D87" s="606"/>
      <c r="E87" s="611"/>
      <c r="F87" s="611"/>
      <c r="G87" s="612"/>
    </row>
    <row r="88" spans="2:7" ht="30.75" customHeight="1">
      <c r="B88" s="607"/>
      <c r="C88" s="608"/>
      <c r="D88" s="609"/>
      <c r="E88" s="611"/>
      <c r="F88" s="611"/>
      <c r="G88" s="612"/>
    </row>
    <row r="89" spans="2:7">
      <c r="B89" s="25"/>
      <c r="C89" s="26"/>
      <c r="D89" s="26"/>
      <c r="E89" s="26"/>
      <c r="F89" s="26"/>
      <c r="G89" s="27"/>
    </row>
    <row r="90" spans="2:7">
      <c r="B90" s="28"/>
      <c r="G90" s="29"/>
    </row>
    <row r="91" spans="2:7" ht="15.75">
      <c r="B91" s="613" t="s">
        <v>216</v>
      </c>
      <c r="C91" s="614"/>
      <c r="D91" s="614"/>
      <c r="E91" s="614"/>
      <c r="F91" s="614"/>
      <c r="G91" s="615"/>
    </row>
    <row r="92" spans="2:7">
      <c r="B92" s="616" t="s">
        <v>217</v>
      </c>
      <c r="C92" s="617"/>
      <c r="D92" s="617" t="s">
        <v>218</v>
      </c>
      <c r="E92" s="617"/>
      <c r="F92" s="595" t="s">
        <v>219</v>
      </c>
      <c r="G92" s="596"/>
    </row>
    <row r="93" spans="2:7">
      <c r="B93" s="583"/>
      <c r="C93" s="584"/>
      <c r="D93" s="587"/>
      <c r="E93" s="584"/>
      <c r="F93" s="589"/>
      <c r="G93" s="590"/>
    </row>
    <row r="94" spans="2:7">
      <c r="B94" s="585"/>
      <c r="C94" s="586"/>
      <c r="D94" s="588"/>
      <c r="E94" s="586"/>
      <c r="F94" s="591"/>
      <c r="G94" s="592"/>
    </row>
    <row r="95" spans="2:7">
      <c r="B95" s="28"/>
      <c r="G95" s="29"/>
    </row>
    <row r="96" spans="2:7">
      <c r="B96" s="593" t="s">
        <v>220</v>
      </c>
      <c r="C96" s="594"/>
      <c r="D96" s="595" t="s">
        <v>221</v>
      </c>
      <c r="E96" s="594"/>
      <c r="F96" s="595" t="s">
        <v>222</v>
      </c>
      <c r="G96" s="596"/>
    </row>
    <row r="97" spans="2:9">
      <c r="B97" s="639"/>
      <c r="C97" s="640"/>
      <c r="D97" s="641"/>
      <c r="E97" s="640"/>
      <c r="F97" s="641" t="s">
        <v>431</v>
      </c>
      <c r="G97" s="642"/>
    </row>
    <row r="98" spans="2:9">
      <c r="B98" s="43"/>
      <c r="C98" s="43"/>
      <c r="D98" s="43"/>
      <c r="E98" s="43"/>
      <c r="F98" s="43"/>
      <c r="G98" s="43"/>
    </row>
    <row r="100" spans="2:9" ht="15.75">
      <c r="B100" s="543" t="s">
        <v>866</v>
      </c>
      <c r="C100" s="544"/>
      <c r="D100" s="544"/>
      <c r="E100" s="544"/>
      <c r="F100" s="544"/>
      <c r="G100" s="545"/>
      <c r="I100" t="s">
        <v>867</v>
      </c>
    </row>
    <row r="101" spans="2:9" ht="15.75">
      <c r="B101" s="546" t="s">
        <v>190</v>
      </c>
      <c r="C101" s="547"/>
      <c r="D101" s="547"/>
      <c r="E101" s="547"/>
      <c r="F101" s="547"/>
      <c r="G101" s="548"/>
    </row>
    <row r="102" spans="2:9" ht="15" customHeight="1">
      <c r="B102" s="549" t="s">
        <v>191</v>
      </c>
      <c r="C102" s="550"/>
      <c r="D102" s="551" t="s">
        <v>192</v>
      </c>
      <c r="E102" s="552"/>
      <c r="F102" s="555" t="s">
        <v>193</v>
      </c>
      <c r="G102" s="15" t="s">
        <v>194</v>
      </c>
    </row>
    <row r="103" spans="2:9" ht="15" customHeight="1">
      <c r="B103" s="557" t="s">
        <v>231</v>
      </c>
      <c r="C103" s="558"/>
      <c r="D103" s="553"/>
      <c r="E103" s="554"/>
      <c r="F103" s="556"/>
      <c r="G103" s="16" t="s">
        <v>880</v>
      </c>
    </row>
    <row r="104" spans="2:9" ht="26.25" customHeight="1">
      <c r="B104" s="559" t="s">
        <v>197</v>
      </c>
      <c r="C104" s="560"/>
      <c r="D104" s="565" t="s">
        <v>843</v>
      </c>
      <c r="E104" s="566"/>
      <c r="F104" s="571" t="s">
        <v>881</v>
      </c>
      <c r="G104" s="17" t="s">
        <v>199</v>
      </c>
    </row>
    <row r="105" spans="2:9">
      <c r="B105" s="561"/>
      <c r="C105" s="562"/>
      <c r="D105" s="567"/>
      <c r="E105" s="568"/>
      <c r="F105" s="572"/>
      <c r="G105" s="18" t="s">
        <v>200</v>
      </c>
    </row>
    <row r="106" spans="2:9">
      <c r="B106" s="563"/>
      <c r="C106" s="564"/>
      <c r="D106" s="569"/>
      <c r="E106" s="570"/>
      <c r="F106" s="573"/>
      <c r="G106" s="17" t="s">
        <v>201</v>
      </c>
    </row>
    <row r="107" spans="2:9">
      <c r="B107" s="19" t="s">
        <v>202</v>
      </c>
      <c r="C107" s="20"/>
      <c r="D107" s="20"/>
      <c r="E107" s="20"/>
      <c r="F107" s="20"/>
      <c r="G107" s="21"/>
    </row>
    <row r="108" spans="2:9">
      <c r="B108" s="22"/>
      <c r="C108" s="23" t="s">
        <v>203</v>
      </c>
      <c r="D108" s="23" t="s">
        <v>203</v>
      </c>
      <c r="E108" s="23" t="s">
        <v>203</v>
      </c>
      <c r="F108" s="23" t="s">
        <v>203</v>
      </c>
      <c r="G108" s="23" t="s">
        <v>203</v>
      </c>
    </row>
    <row r="109" spans="2:9" ht="15" customHeight="1">
      <c r="B109" s="574" t="s">
        <v>204</v>
      </c>
      <c r="C109" s="580" t="s">
        <v>873</v>
      </c>
      <c r="D109" s="580" t="s">
        <v>882</v>
      </c>
      <c r="E109" s="580" t="s">
        <v>883</v>
      </c>
      <c r="F109" s="580" t="s">
        <v>884</v>
      </c>
      <c r="G109" s="580" t="s">
        <v>202</v>
      </c>
    </row>
    <row r="110" spans="2:9">
      <c r="B110" s="575"/>
      <c r="C110" s="581"/>
      <c r="D110" s="581"/>
      <c r="E110" s="581"/>
      <c r="F110" s="581"/>
      <c r="G110" s="581"/>
    </row>
    <row r="111" spans="2:9">
      <c r="B111" s="575"/>
      <c r="C111" s="581"/>
      <c r="D111" s="581"/>
      <c r="E111" s="581"/>
      <c r="F111" s="581"/>
      <c r="G111" s="581"/>
    </row>
    <row r="112" spans="2:9">
      <c r="B112" s="576"/>
      <c r="C112" s="582"/>
      <c r="D112" s="582"/>
      <c r="E112" s="582"/>
      <c r="F112" s="582"/>
      <c r="G112" s="582"/>
    </row>
    <row r="113" spans="2:7" ht="15" customHeight="1">
      <c r="B113" s="574" t="s">
        <v>208</v>
      </c>
      <c r="C113" s="580" t="s">
        <v>885</v>
      </c>
      <c r="D113" s="580" t="s">
        <v>886</v>
      </c>
      <c r="E113" s="580" t="s">
        <v>887</v>
      </c>
      <c r="F113" s="580" t="s">
        <v>888</v>
      </c>
      <c r="G113" s="580" t="s">
        <v>202</v>
      </c>
    </row>
    <row r="114" spans="2:7">
      <c r="B114" s="575"/>
      <c r="C114" s="581"/>
      <c r="D114" s="581"/>
      <c r="E114" s="581"/>
      <c r="F114" s="581"/>
      <c r="G114" s="581"/>
    </row>
    <row r="115" spans="2:7">
      <c r="B115" s="575"/>
      <c r="C115" s="581"/>
      <c r="D115" s="581"/>
      <c r="E115" s="581"/>
      <c r="F115" s="581"/>
      <c r="G115" s="581"/>
    </row>
    <row r="116" spans="2:7">
      <c r="B116" s="576"/>
      <c r="C116" s="582"/>
      <c r="D116" s="582"/>
      <c r="E116" s="582"/>
      <c r="F116" s="582"/>
      <c r="G116" s="582"/>
    </row>
    <row r="117" spans="2:7">
      <c r="B117" s="24"/>
      <c r="C117" s="20"/>
      <c r="D117" s="20"/>
      <c r="E117" s="20"/>
      <c r="F117" s="20"/>
      <c r="G117" s="21"/>
    </row>
    <row r="118" spans="2:7">
      <c r="B118" s="597" t="s">
        <v>212</v>
      </c>
      <c r="C118" s="598"/>
      <c r="D118" s="598"/>
      <c r="E118" s="599" t="s">
        <v>213</v>
      </c>
      <c r="F118" s="599"/>
      <c r="G118" s="600"/>
    </row>
    <row r="119" spans="2:7" ht="15" customHeight="1">
      <c r="B119" s="601" t="s">
        <v>844</v>
      </c>
      <c r="C119" s="602"/>
      <c r="D119" s="603"/>
      <c r="E119" s="610" t="s">
        <v>889</v>
      </c>
      <c r="F119" s="611"/>
      <c r="G119" s="612"/>
    </row>
    <row r="120" spans="2:7">
      <c r="B120" s="604"/>
      <c r="C120" s="605"/>
      <c r="D120" s="606"/>
      <c r="E120" s="611"/>
      <c r="F120" s="611"/>
      <c r="G120" s="612"/>
    </row>
    <row r="121" spans="2:7">
      <c r="B121" s="604"/>
      <c r="C121" s="605"/>
      <c r="D121" s="606"/>
      <c r="E121" s="611"/>
      <c r="F121" s="611"/>
      <c r="G121" s="612"/>
    </row>
    <row r="122" spans="2:7" ht="53.25" customHeight="1">
      <c r="B122" s="607"/>
      <c r="C122" s="608"/>
      <c r="D122" s="609"/>
      <c r="E122" s="611"/>
      <c r="F122" s="611"/>
      <c r="G122" s="612"/>
    </row>
    <row r="123" spans="2:7">
      <c r="B123" s="25"/>
      <c r="C123" s="26"/>
      <c r="D123" s="26"/>
      <c r="E123" s="26"/>
      <c r="F123" s="26"/>
      <c r="G123" s="27"/>
    </row>
    <row r="124" spans="2:7">
      <c r="B124" s="28"/>
      <c r="G124" s="29"/>
    </row>
    <row r="125" spans="2:7" ht="15.75">
      <c r="B125" s="613" t="s">
        <v>216</v>
      </c>
      <c r="C125" s="614"/>
      <c r="D125" s="614"/>
      <c r="E125" s="614"/>
      <c r="F125" s="614"/>
      <c r="G125" s="615"/>
    </row>
    <row r="126" spans="2:7" ht="15" customHeight="1">
      <c r="B126" s="616" t="s">
        <v>217</v>
      </c>
      <c r="C126" s="617"/>
      <c r="D126" s="617" t="s">
        <v>218</v>
      </c>
      <c r="E126" s="617"/>
      <c r="F126" s="595" t="s">
        <v>219</v>
      </c>
      <c r="G126" s="596"/>
    </row>
    <row r="127" spans="2:7">
      <c r="B127" s="583"/>
      <c r="C127" s="584"/>
      <c r="D127" s="587"/>
      <c r="E127" s="584"/>
      <c r="F127" s="589"/>
      <c r="G127" s="590"/>
    </row>
    <row r="128" spans="2:7">
      <c r="B128" s="585"/>
      <c r="C128" s="586"/>
      <c r="D128" s="588"/>
      <c r="E128" s="586"/>
      <c r="F128" s="591"/>
      <c r="G128" s="592"/>
    </row>
    <row r="129" spans="1:9">
      <c r="B129" s="28"/>
      <c r="G129" s="29"/>
    </row>
    <row r="130" spans="1:9">
      <c r="B130" s="593" t="s">
        <v>220</v>
      </c>
      <c r="C130" s="594"/>
      <c r="D130" s="595" t="s">
        <v>221</v>
      </c>
      <c r="E130" s="594"/>
      <c r="F130" s="595" t="s">
        <v>222</v>
      </c>
      <c r="G130" s="596"/>
    </row>
    <row r="131" spans="1:9">
      <c r="B131" s="639"/>
      <c r="C131" s="640"/>
      <c r="D131" s="641"/>
      <c r="E131" s="640"/>
      <c r="F131" s="641" t="s">
        <v>435</v>
      </c>
      <c r="G131" s="642"/>
    </row>
    <row r="133" spans="1:9">
      <c r="A133" s="58"/>
      <c r="B133" s="58"/>
      <c r="C133" s="58"/>
      <c r="D133" s="58"/>
      <c r="E133" s="58"/>
      <c r="F133" s="58"/>
      <c r="G133" s="58"/>
    </row>
    <row r="134" spans="1:9" ht="15.75">
      <c r="A134" s="58"/>
      <c r="B134" s="543" t="s">
        <v>866</v>
      </c>
      <c r="C134" s="544"/>
      <c r="D134" s="544"/>
      <c r="E134" s="544"/>
      <c r="F134" s="544"/>
      <c r="G134" s="545"/>
      <c r="I134" t="s">
        <v>867</v>
      </c>
    </row>
    <row r="135" spans="1:9" ht="15.75">
      <c r="A135" s="58"/>
      <c r="B135" s="643" t="s">
        <v>190</v>
      </c>
      <c r="C135" s="644"/>
      <c r="D135" s="644"/>
      <c r="E135" s="644"/>
      <c r="F135" s="644"/>
      <c r="G135" s="645"/>
    </row>
    <row r="136" spans="1:9">
      <c r="A136" s="58"/>
      <c r="B136" s="646" t="s">
        <v>191</v>
      </c>
      <c r="C136" s="647"/>
      <c r="D136" s="648" t="s">
        <v>192</v>
      </c>
      <c r="E136" s="649"/>
      <c r="F136" s="652" t="s">
        <v>193</v>
      </c>
      <c r="G136" s="44" t="s">
        <v>194</v>
      </c>
    </row>
    <row r="137" spans="1:9">
      <c r="A137" s="58"/>
      <c r="B137" s="654" t="s">
        <v>239</v>
      </c>
      <c r="C137" s="655"/>
      <c r="D137" s="650"/>
      <c r="E137" s="651"/>
      <c r="F137" s="653"/>
      <c r="G137" s="45" t="s">
        <v>890</v>
      </c>
    </row>
    <row r="138" spans="1:9" ht="22.5">
      <c r="A138" s="58"/>
      <c r="B138" s="618" t="s">
        <v>197</v>
      </c>
      <c r="C138" s="619"/>
      <c r="D138" s="624" t="s">
        <v>851</v>
      </c>
      <c r="E138" s="687"/>
      <c r="F138" s="630">
        <v>140</v>
      </c>
      <c r="G138" s="46" t="s">
        <v>199</v>
      </c>
    </row>
    <row r="139" spans="1:9">
      <c r="A139" s="58"/>
      <c r="B139" s="620"/>
      <c r="C139" s="621"/>
      <c r="D139" s="626"/>
      <c r="E139" s="688"/>
      <c r="F139" s="631"/>
      <c r="G139" s="47" t="s">
        <v>200</v>
      </c>
    </row>
    <row r="140" spans="1:9">
      <c r="A140" s="58"/>
      <c r="B140" s="622"/>
      <c r="C140" s="623"/>
      <c r="D140" s="628"/>
      <c r="E140" s="703"/>
      <c r="F140" s="632"/>
      <c r="G140" s="46" t="s">
        <v>201</v>
      </c>
    </row>
    <row r="141" spans="1:9">
      <c r="A141" s="58"/>
      <c r="B141" s="48" t="s">
        <v>202</v>
      </c>
      <c r="C141" s="49"/>
      <c r="D141" s="49"/>
      <c r="E141" s="49"/>
      <c r="F141" s="49"/>
      <c r="G141" s="50"/>
    </row>
    <row r="142" spans="1:9">
      <c r="A142" s="58"/>
      <c r="B142" s="51"/>
      <c r="C142" s="52" t="s">
        <v>203</v>
      </c>
      <c r="D142" s="52" t="s">
        <v>203</v>
      </c>
      <c r="E142" s="52" t="s">
        <v>203</v>
      </c>
      <c r="F142" s="52" t="s">
        <v>203</v>
      </c>
      <c r="G142" s="52" t="s">
        <v>203</v>
      </c>
    </row>
    <row r="143" spans="1:9">
      <c r="A143" s="58"/>
      <c r="B143" s="633" t="s">
        <v>204</v>
      </c>
      <c r="C143" s="691" t="s">
        <v>873</v>
      </c>
      <c r="D143" s="691" t="s">
        <v>891</v>
      </c>
      <c r="E143" s="691" t="s">
        <v>892</v>
      </c>
      <c r="F143" s="691"/>
      <c r="G143" s="691" t="s">
        <v>202</v>
      </c>
    </row>
    <row r="144" spans="1:9">
      <c r="A144" s="58"/>
      <c r="B144" s="634"/>
      <c r="C144" s="692"/>
      <c r="D144" s="692"/>
      <c r="E144" s="692"/>
      <c r="F144" s="692"/>
      <c r="G144" s="692"/>
    </row>
    <row r="145" spans="1:7">
      <c r="A145" s="58"/>
      <c r="B145" s="634"/>
      <c r="C145" s="692"/>
      <c r="D145" s="692"/>
      <c r="E145" s="692"/>
      <c r="F145" s="692"/>
      <c r="G145" s="692"/>
    </row>
    <row r="146" spans="1:7">
      <c r="A146" s="58"/>
      <c r="B146" s="635"/>
      <c r="C146" s="693"/>
      <c r="D146" s="693"/>
      <c r="E146" s="693"/>
      <c r="F146" s="693"/>
      <c r="G146" s="693"/>
    </row>
    <row r="147" spans="1:7">
      <c r="A147" s="58"/>
      <c r="B147" s="633" t="s">
        <v>208</v>
      </c>
      <c r="C147" s="691" t="s">
        <v>893</v>
      </c>
      <c r="D147" s="691" t="s">
        <v>894</v>
      </c>
      <c r="E147" s="691" t="s">
        <v>895</v>
      </c>
      <c r="F147" s="691"/>
      <c r="G147" s="691" t="s">
        <v>202</v>
      </c>
    </row>
    <row r="148" spans="1:7">
      <c r="A148" s="58"/>
      <c r="B148" s="634"/>
      <c r="C148" s="692"/>
      <c r="D148" s="692"/>
      <c r="E148" s="692"/>
      <c r="F148" s="692"/>
      <c r="G148" s="692"/>
    </row>
    <row r="149" spans="1:7">
      <c r="A149" s="58"/>
      <c r="B149" s="634"/>
      <c r="C149" s="692"/>
      <c r="D149" s="692"/>
      <c r="E149" s="692"/>
      <c r="F149" s="692"/>
      <c r="G149" s="692"/>
    </row>
    <row r="150" spans="1:7">
      <c r="A150" s="58"/>
      <c r="B150" s="635"/>
      <c r="C150" s="693"/>
      <c r="D150" s="693"/>
      <c r="E150" s="693"/>
      <c r="F150" s="693"/>
      <c r="G150" s="693"/>
    </row>
    <row r="151" spans="1:7">
      <c r="A151" s="58"/>
      <c r="B151" s="53"/>
      <c r="C151" s="49"/>
      <c r="D151" s="49"/>
      <c r="E151" s="49"/>
      <c r="F151" s="49"/>
      <c r="G151" s="50"/>
    </row>
    <row r="152" spans="1:7">
      <c r="A152" s="58"/>
      <c r="B152" s="656" t="s">
        <v>212</v>
      </c>
      <c r="C152" s="657"/>
      <c r="D152" s="657"/>
      <c r="E152" s="658" t="s">
        <v>213</v>
      </c>
      <c r="F152" s="658"/>
      <c r="G152" s="659"/>
    </row>
    <row r="153" spans="1:7" ht="23.25" customHeight="1">
      <c r="A153" s="58"/>
      <c r="B153" s="694" t="s">
        <v>895</v>
      </c>
      <c r="C153" s="695"/>
      <c r="D153" s="696"/>
      <c r="E153" s="662" t="s">
        <v>896</v>
      </c>
      <c r="F153" s="661"/>
      <c r="G153" s="663"/>
    </row>
    <row r="154" spans="1:7" ht="23.25" customHeight="1">
      <c r="A154" s="58"/>
      <c r="B154" s="697"/>
      <c r="C154" s="698"/>
      <c r="D154" s="699"/>
      <c r="E154" s="661"/>
      <c r="F154" s="661"/>
      <c r="G154" s="663"/>
    </row>
    <row r="155" spans="1:7" ht="23.25" customHeight="1">
      <c r="A155" s="58"/>
      <c r="B155" s="697"/>
      <c r="C155" s="698"/>
      <c r="D155" s="699"/>
      <c r="E155" s="661"/>
      <c r="F155" s="661"/>
      <c r="G155" s="663"/>
    </row>
    <row r="156" spans="1:7" ht="23.25" customHeight="1">
      <c r="A156" s="58"/>
      <c r="B156" s="700"/>
      <c r="C156" s="701"/>
      <c r="D156" s="702"/>
      <c r="E156" s="661"/>
      <c r="F156" s="661"/>
      <c r="G156" s="663"/>
    </row>
    <row r="157" spans="1:7">
      <c r="A157" s="58"/>
      <c r="B157" s="54"/>
      <c r="C157" s="55"/>
      <c r="D157" s="55"/>
      <c r="E157" s="55"/>
      <c r="F157" s="55"/>
      <c r="G157" s="56"/>
    </row>
    <row r="158" spans="1:7">
      <c r="A158" s="58"/>
      <c r="B158" s="57"/>
      <c r="C158" s="58"/>
      <c r="D158" s="58"/>
      <c r="E158" s="58"/>
      <c r="F158" s="58"/>
      <c r="G158" s="59"/>
    </row>
    <row r="159" spans="1:7" ht="15.75">
      <c r="A159" s="58"/>
      <c r="B159" s="664" t="s">
        <v>216</v>
      </c>
      <c r="C159" s="665"/>
      <c r="D159" s="665"/>
      <c r="E159" s="665"/>
      <c r="F159" s="665"/>
      <c r="G159" s="666"/>
    </row>
    <row r="160" spans="1:7">
      <c r="A160" s="58"/>
      <c r="B160" s="667" t="s">
        <v>217</v>
      </c>
      <c r="C160" s="668"/>
      <c r="D160" s="668" t="s">
        <v>218</v>
      </c>
      <c r="E160" s="668"/>
      <c r="F160" s="669" t="s">
        <v>219</v>
      </c>
      <c r="G160" s="670"/>
    </row>
    <row r="161" spans="1:9">
      <c r="A161" s="58"/>
      <c r="B161" s="675"/>
      <c r="C161" s="676"/>
      <c r="D161" s="679"/>
      <c r="E161" s="676"/>
      <c r="F161" s="681"/>
      <c r="G161" s="682"/>
    </row>
    <row r="162" spans="1:9">
      <c r="A162" s="58"/>
      <c r="B162" s="677"/>
      <c r="C162" s="678"/>
      <c r="D162" s="680"/>
      <c r="E162" s="678"/>
      <c r="F162" s="683"/>
      <c r="G162" s="684"/>
    </row>
    <row r="163" spans="1:9">
      <c r="A163" s="58"/>
      <c r="B163" s="57"/>
      <c r="C163" s="58"/>
      <c r="D163" s="58"/>
      <c r="E163" s="58"/>
      <c r="F163" s="58"/>
      <c r="G163" s="59"/>
    </row>
    <row r="164" spans="1:9">
      <c r="A164" s="58"/>
      <c r="B164" s="685" t="s">
        <v>220</v>
      </c>
      <c r="C164" s="686"/>
      <c r="D164" s="669" t="s">
        <v>221</v>
      </c>
      <c r="E164" s="686"/>
      <c r="F164" s="669" t="s">
        <v>222</v>
      </c>
      <c r="G164" s="670"/>
    </row>
    <row r="165" spans="1:9">
      <c r="A165" s="58"/>
      <c r="B165" s="671"/>
      <c r="C165" s="672"/>
      <c r="D165" s="673"/>
      <c r="E165" s="672"/>
      <c r="F165" s="673" t="s">
        <v>446</v>
      </c>
      <c r="G165" s="674"/>
    </row>
    <row r="166" spans="1:9">
      <c r="A166" s="58"/>
      <c r="B166" s="58"/>
      <c r="C166" s="58"/>
      <c r="D166" s="58"/>
      <c r="E166" s="58"/>
      <c r="F166" s="58"/>
      <c r="G166" s="58"/>
    </row>
    <row r="167" spans="1:9">
      <c r="A167" s="58"/>
      <c r="B167" s="58"/>
      <c r="C167" s="58"/>
      <c r="D167" s="58"/>
      <c r="E167" s="58"/>
      <c r="F167" s="58"/>
      <c r="G167" s="58"/>
    </row>
    <row r="168" spans="1:9" ht="15.75">
      <c r="B168" s="543" t="s">
        <v>866</v>
      </c>
      <c r="C168" s="544"/>
      <c r="D168" s="544"/>
      <c r="E168" s="544"/>
      <c r="F168" s="544"/>
      <c r="G168" s="545"/>
      <c r="I168" t="s">
        <v>867</v>
      </c>
    </row>
    <row r="169" spans="1:9" ht="15.75">
      <c r="B169" s="546" t="s">
        <v>190</v>
      </c>
      <c r="C169" s="547"/>
      <c r="D169" s="547"/>
      <c r="E169" s="547"/>
      <c r="F169" s="547"/>
      <c r="G169" s="548"/>
    </row>
    <row r="170" spans="1:9">
      <c r="B170" s="549" t="s">
        <v>191</v>
      </c>
      <c r="C170" s="550"/>
      <c r="D170" s="551" t="s">
        <v>192</v>
      </c>
      <c r="E170" s="552"/>
      <c r="F170" s="555" t="s">
        <v>193</v>
      </c>
      <c r="G170" s="15" t="s">
        <v>194</v>
      </c>
    </row>
    <row r="171" spans="1:9">
      <c r="B171" s="770" t="s">
        <v>897</v>
      </c>
      <c r="C171" s="771"/>
      <c r="D171" s="553"/>
      <c r="E171" s="554"/>
      <c r="F171" s="556"/>
      <c r="G171" s="16" t="s">
        <v>898</v>
      </c>
    </row>
    <row r="172" spans="1:9" ht="22.5">
      <c r="B172" s="772" t="s">
        <v>197</v>
      </c>
      <c r="C172" s="772"/>
      <c r="D172" s="566" t="s">
        <v>899</v>
      </c>
      <c r="E172" s="566"/>
      <c r="F172" s="571">
        <v>45</v>
      </c>
      <c r="G172" s="17" t="s">
        <v>199</v>
      </c>
    </row>
    <row r="173" spans="1:9">
      <c r="B173" s="772"/>
      <c r="C173" s="772"/>
      <c r="D173" s="568"/>
      <c r="E173" s="568"/>
      <c r="F173" s="572"/>
      <c r="G173" s="18" t="s">
        <v>200</v>
      </c>
    </row>
    <row r="174" spans="1:9">
      <c r="B174" s="772"/>
      <c r="C174" s="772"/>
      <c r="D174" s="570"/>
      <c r="E174" s="570"/>
      <c r="F174" s="573"/>
      <c r="G174" s="17" t="s">
        <v>201</v>
      </c>
    </row>
    <row r="175" spans="1:9">
      <c r="B175" s="19" t="s">
        <v>202</v>
      </c>
      <c r="C175" s="20"/>
      <c r="D175" s="20"/>
      <c r="E175" s="20"/>
      <c r="F175" s="20"/>
      <c r="G175" s="21"/>
    </row>
    <row r="176" spans="1:9">
      <c r="B176" s="22"/>
      <c r="C176" s="23" t="s">
        <v>203</v>
      </c>
      <c r="D176" s="23" t="s">
        <v>203</v>
      </c>
      <c r="E176" s="23" t="s">
        <v>203</v>
      </c>
      <c r="F176" s="23" t="s">
        <v>203</v>
      </c>
      <c r="G176" s="23" t="s">
        <v>203</v>
      </c>
    </row>
    <row r="177" spans="2:7">
      <c r="B177" s="574" t="s">
        <v>204</v>
      </c>
      <c r="C177" s="580" t="s">
        <v>900</v>
      </c>
      <c r="D177" s="580" t="s">
        <v>901</v>
      </c>
      <c r="E177" s="580" t="s">
        <v>902</v>
      </c>
      <c r="F177" s="580" t="s">
        <v>903</v>
      </c>
      <c r="G177" s="580" t="s">
        <v>904</v>
      </c>
    </row>
    <row r="178" spans="2:7">
      <c r="B178" s="575"/>
      <c r="C178" s="581"/>
      <c r="D178" s="581"/>
      <c r="E178" s="581"/>
      <c r="F178" s="581"/>
      <c r="G178" s="581"/>
    </row>
    <row r="179" spans="2:7">
      <c r="B179" s="575"/>
      <c r="C179" s="581"/>
      <c r="D179" s="581"/>
      <c r="E179" s="581"/>
      <c r="F179" s="581"/>
      <c r="G179" s="581"/>
    </row>
    <row r="180" spans="2:7">
      <c r="B180" s="576"/>
      <c r="C180" s="582"/>
      <c r="D180" s="582"/>
      <c r="E180" s="582"/>
      <c r="F180" s="582"/>
      <c r="G180" s="582"/>
    </row>
    <row r="181" spans="2:7">
      <c r="B181" s="574" t="s">
        <v>208</v>
      </c>
      <c r="C181" s="580" t="s">
        <v>905</v>
      </c>
      <c r="D181" s="580" t="s">
        <v>906</v>
      </c>
      <c r="E181" s="580" t="s">
        <v>907</v>
      </c>
      <c r="F181" s="580" t="s">
        <v>908</v>
      </c>
      <c r="G181" s="580" t="s">
        <v>909</v>
      </c>
    </row>
    <row r="182" spans="2:7">
      <c r="B182" s="575"/>
      <c r="C182" s="581"/>
      <c r="D182" s="581"/>
      <c r="E182" s="581"/>
      <c r="F182" s="581"/>
      <c r="G182" s="581"/>
    </row>
    <row r="183" spans="2:7">
      <c r="B183" s="575"/>
      <c r="C183" s="581"/>
      <c r="D183" s="581"/>
      <c r="E183" s="581"/>
      <c r="F183" s="581"/>
      <c r="G183" s="581"/>
    </row>
    <row r="184" spans="2:7">
      <c r="B184" s="576"/>
      <c r="C184" s="582"/>
      <c r="D184" s="582"/>
      <c r="E184" s="582"/>
      <c r="F184" s="582"/>
      <c r="G184" s="582"/>
    </row>
    <row r="185" spans="2:7">
      <c r="B185" s="24"/>
      <c r="C185" s="20"/>
      <c r="D185" s="20"/>
      <c r="E185" s="20"/>
      <c r="F185" s="20"/>
      <c r="G185" s="21"/>
    </row>
    <row r="186" spans="2:7">
      <c r="B186" s="597" t="s">
        <v>212</v>
      </c>
      <c r="C186" s="598"/>
      <c r="D186" s="598"/>
      <c r="E186" s="599" t="s">
        <v>213</v>
      </c>
      <c r="F186" s="599"/>
      <c r="G186" s="600"/>
    </row>
    <row r="187" spans="2:7">
      <c r="B187" s="601" t="s">
        <v>910</v>
      </c>
      <c r="C187" s="602"/>
      <c r="D187" s="603"/>
      <c r="E187" s="610" t="s">
        <v>911</v>
      </c>
      <c r="F187" s="611"/>
      <c r="G187" s="612"/>
    </row>
    <row r="188" spans="2:7">
      <c r="B188" s="604"/>
      <c r="C188" s="605"/>
      <c r="D188" s="606"/>
      <c r="E188" s="611"/>
      <c r="F188" s="611"/>
      <c r="G188" s="612"/>
    </row>
    <row r="189" spans="2:7">
      <c r="B189" s="604"/>
      <c r="C189" s="605"/>
      <c r="D189" s="606"/>
      <c r="E189" s="611"/>
      <c r="F189" s="611"/>
      <c r="G189" s="612"/>
    </row>
    <row r="190" spans="2:7">
      <c r="B190" s="607"/>
      <c r="C190" s="608"/>
      <c r="D190" s="609"/>
      <c r="E190" s="611"/>
      <c r="F190" s="611"/>
      <c r="G190" s="612"/>
    </row>
    <row r="191" spans="2:7">
      <c r="B191" s="25"/>
      <c r="C191" s="26"/>
      <c r="D191" s="26"/>
      <c r="E191" s="26"/>
      <c r="F191" s="26"/>
      <c r="G191" s="27"/>
    </row>
    <row r="192" spans="2:7">
      <c r="B192" s="28"/>
      <c r="G192" s="29"/>
    </row>
    <row r="193" spans="1:7" ht="15.75">
      <c r="B193" s="613" t="s">
        <v>216</v>
      </c>
      <c r="C193" s="614"/>
      <c r="D193" s="614"/>
      <c r="E193" s="614"/>
      <c r="F193" s="614"/>
      <c r="G193" s="615"/>
    </row>
    <row r="194" spans="1:7">
      <c r="B194" s="616" t="s">
        <v>217</v>
      </c>
      <c r="C194" s="617"/>
      <c r="D194" s="617" t="s">
        <v>218</v>
      </c>
      <c r="E194" s="617"/>
      <c r="F194" s="595" t="s">
        <v>219</v>
      </c>
      <c r="G194" s="596"/>
    </row>
    <row r="195" spans="1:7">
      <c r="B195" s="583"/>
      <c r="C195" s="584"/>
      <c r="D195" s="587"/>
      <c r="E195" s="584"/>
      <c r="F195" s="589"/>
      <c r="G195" s="590"/>
    </row>
    <row r="196" spans="1:7">
      <c r="B196" s="585"/>
      <c r="C196" s="586"/>
      <c r="D196" s="588"/>
      <c r="E196" s="586"/>
      <c r="F196" s="591"/>
      <c r="G196" s="592"/>
    </row>
    <row r="197" spans="1:7">
      <c r="B197" s="28"/>
      <c r="G197" s="29"/>
    </row>
    <row r="198" spans="1:7">
      <c r="B198" s="593" t="s">
        <v>220</v>
      </c>
      <c r="C198" s="594"/>
      <c r="D198" s="595" t="s">
        <v>221</v>
      </c>
      <c r="E198" s="594"/>
      <c r="F198" s="595" t="s">
        <v>222</v>
      </c>
      <c r="G198" s="596"/>
    </row>
    <row r="199" spans="1:7">
      <c r="B199" s="639"/>
      <c r="C199" s="640"/>
      <c r="D199" s="641"/>
      <c r="E199" s="640"/>
      <c r="F199" s="641" t="s">
        <v>453</v>
      </c>
      <c r="G199" s="642"/>
    </row>
    <row r="200" spans="1:7">
      <c r="A200" s="58"/>
      <c r="B200" s="58"/>
      <c r="C200" s="58"/>
      <c r="D200" s="58"/>
      <c r="E200" s="58"/>
      <c r="F200" s="58"/>
      <c r="G200" s="58"/>
    </row>
    <row r="201" spans="1:7">
      <c r="A201" s="58"/>
      <c r="B201" s="58"/>
      <c r="C201" s="58"/>
      <c r="D201" s="58"/>
      <c r="E201" s="58"/>
      <c r="F201" s="58"/>
      <c r="G201" s="58"/>
    </row>
    <row r="202" spans="1:7" ht="15.75">
      <c r="A202" s="58"/>
      <c r="B202" s="543" t="s">
        <v>866</v>
      </c>
      <c r="C202" s="544"/>
      <c r="D202" s="544"/>
      <c r="E202" s="544"/>
      <c r="F202" s="544"/>
      <c r="G202" s="545"/>
    </row>
    <row r="203" spans="1:7" ht="15.75">
      <c r="A203" s="58"/>
      <c r="B203" s="546" t="s">
        <v>190</v>
      </c>
      <c r="C203" s="547"/>
      <c r="D203" s="547"/>
      <c r="E203" s="547"/>
      <c r="F203" s="547"/>
      <c r="G203" s="548"/>
    </row>
    <row r="204" spans="1:7">
      <c r="A204" s="58"/>
      <c r="B204" s="549" t="s">
        <v>191</v>
      </c>
      <c r="C204" s="550"/>
      <c r="D204" s="551" t="s">
        <v>192</v>
      </c>
      <c r="E204" s="552"/>
      <c r="F204" s="555" t="s">
        <v>193</v>
      </c>
      <c r="G204" s="15" t="s">
        <v>194</v>
      </c>
    </row>
    <row r="205" spans="1:7">
      <c r="A205" s="58"/>
      <c r="B205" s="770" t="s">
        <v>897</v>
      </c>
      <c r="C205" s="771"/>
      <c r="D205" s="553"/>
      <c r="E205" s="554"/>
      <c r="F205" s="556"/>
      <c r="G205" s="16" t="s">
        <v>912</v>
      </c>
    </row>
    <row r="206" spans="1:7" ht="22.5">
      <c r="A206" s="58"/>
      <c r="B206" s="772" t="s">
        <v>197</v>
      </c>
      <c r="C206" s="772"/>
      <c r="D206" s="566" t="s">
        <v>913</v>
      </c>
      <c r="E206" s="566"/>
      <c r="F206" s="571">
        <v>25</v>
      </c>
      <c r="G206" s="17" t="s">
        <v>199</v>
      </c>
    </row>
    <row r="207" spans="1:7">
      <c r="A207" s="58"/>
      <c r="B207" s="772"/>
      <c r="C207" s="772"/>
      <c r="D207" s="568"/>
      <c r="E207" s="568"/>
      <c r="F207" s="572"/>
      <c r="G207" s="18" t="s">
        <v>200</v>
      </c>
    </row>
    <row r="208" spans="1:7">
      <c r="A208" s="58"/>
      <c r="B208" s="772"/>
      <c r="C208" s="772"/>
      <c r="D208" s="570"/>
      <c r="E208" s="570"/>
      <c r="F208" s="573"/>
      <c r="G208" s="17" t="s">
        <v>201</v>
      </c>
    </row>
    <row r="209" spans="1:7">
      <c r="A209" s="58"/>
      <c r="B209" s="19" t="s">
        <v>202</v>
      </c>
      <c r="C209" s="20"/>
      <c r="D209" s="20"/>
      <c r="E209" s="20"/>
      <c r="F209" s="20"/>
      <c r="G209" s="21"/>
    </row>
    <row r="210" spans="1:7">
      <c r="A210" s="58"/>
      <c r="B210" s="22"/>
      <c r="C210" s="23" t="s">
        <v>203</v>
      </c>
      <c r="D210" s="23" t="s">
        <v>203</v>
      </c>
      <c r="E210" s="23" t="s">
        <v>203</v>
      </c>
      <c r="F210" s="23" t="s">
        <v>203</v>
      </c>
      <c r="G210" s="23" t="s">
        <v>203</v>
      </c>
    </row>
    <row r="211" spans="1:7">
      <c r="A211" s="58"/>
      <c r="B211" s="574" t="s">
        <v>204</v>
      </c>
      <c r="C211" s="580" t="s">
        <v>900</v>
      </c>
      <c r="D211" s="580" t="s">
        <v>914</v>
      </c>
      <c r="E211" s="580"/>
      <c r="F211" s="580"/>
      <c r="G211" s="580"/>
    </row>
    <row r="212" spans="1:7">
      <c r="A212" s="58"/>
      <c r="B212" s="575"/>
      <c r="C212" s="581"/>
      <c r="D212" s="581"/>
      <c r="E212" s="581"/>
      <c r="F212" s="581"/>
      <c r="G212" s="581"/>
    </row>
    <row r="213" spans="1:7">
      <c r="A213" s="58"/>
      <c r="B213" s="575"/>
      <c r="C213" s="581"/>
      <c r="D213" s="581"/>
      <c r="E213" s="581"/>
      <c r="F213" s="581"/>
      <c r="G213" s="581"/>
    </row>
    <row r="214" spans="1:7">
      <c r="A214" s="58"/>
      <c r="B214" s="576"/>
      <c r="C214" s="582"/>
      <c r="D214" s="582"/>
      <c r="E214" s="582"/>
      <c r="F214" s="582"/>
      <c r="G214" s="582"/>
    </row>
    <row r="215" spans="1:7">
      <c r="A215" s="58"/>
      <c r="B215" s="574" t="s">
        <v>208</v>
      </c>
      <c r="C215" s="580" t="s">
        <v>915</v>
      </c>
      <c r="D215" s="580" t="s">
        <v>916</v>
      </c>
      <c r="E215" s="580"/>
      <c r="F215" s="580"/>
      <c r="G215" s="580"/>
    </row>
    <row r="216" spans="1:7">
      <c r="A216" s="58"/>
      <c r="B216" s="575"/>
      <c r="C216" s="581"/>
      <c r="D216" s="581"/>
      <c r="E216" s="581"/>
      <c r="F216" s="581"/>
      <c r="G216" s="581"/>
    </row>
    <row r="217" spans="1:7">
      <c r="A217" s="58"/>
      <c r="B217" s="575"/>
      <c r="C217" s="581"/>
      <c r="D217" s="581"/>
      <c r="E217" s="581"/>
      <c r="F217" s="581"/>
      <c r="G217" s="581"/>
    </row>
    <row r="218" spans="1:7">
      <c r="A218" s="58"/>
      <c r="B218" s="576"/>
      <c r="C218" s="582"/>
      <c r="D218" s="582"/>
      <c r="E218" s="582"/>
      <c r="F218" s="582"/>
      <c r="G218" s="582"/>
    </row>
    <row r="219" spans="1:7">
      <c r="A219" s="58"/>
      <c r="B219" s="24"/>
      <c r="C219" s="20"/>
      <c r="D219" s="20"/>
      <c r="E219" s="20"/>
      <c r="F219" s="20"/>
      <c r="G219" s="21"/>
    </row>
    <row r="220" spans="1:7">
      <c r="A220" s="58"/>
      <c r="B220" s="597" t="s">
        <v>212</v>
      </c>
      <c r="C220" s="598"/>
      <c r="D220" s="598"/>
      <c r="E220" s="599" t="s">
        <v>213</v>
      </c>
      <c r="F220" s="599"/>
      <c r="G220" s="600"/>
    </row>
    <row r="221" spans="1:7">
      <c r="A221" s="58"/>
      <c r="B221" s="601" t="s">
        <v>910</v>
      </c>
      <c r="C221" s="602"/>
      <c r="D221" s="603"/>
      <c r="E221" s="610" t="s">
        <v>911</v>
      </c>
      <c r="F221" s="611"/>
      <c r="G221" s="612"/>
    </row>
    <row r="222" spans="1:7">
      <c r="A222" s="58"/>
      <c r="B222" s="604"/>
      <c r="C222" s="605"/>
      <c r="D222" s="606"/>
      <c r="E222" s="611"/>
      <c r="F222" s="611"/>
      <c r="G222" s="612"/>
    </row>
    <row r="223" spans="1:7">
      <c r="A223" s="58"/>
      <c r="B223" s="604"/>
      <c r="C223" s="605"/>
      <c r="D223" s="606"/>
      <c r="E223" s="611"/>
      <c r="F223" s="611"/>
      <c r="G223" s="612"/>
    </row>
    <row r="224" spans="1:7">
      <c r="A224" s="58"/>
      <c r="B224" s="607"/>
      <c r="C224" s="608"/>
      <c r="D224" s="609"/>
      <c r="E224" s="611"/>
      <c r="F224" s="611"/>
      <c r="G224" s="612"/>
    </row>
    <row r="225" spans="1:9">
      <c r="A225" s="58"/>
      <c r="B225" s="25"/>
      <c r="C225" s="26"/>
      <c r="D225" s="26"/>
      <c r="E225" s="26"/>
      <c r="F225" s="26"/>
      <c r="G225" s="27"/>
    </row>
    <row r="226" spans="1:9">
      <c r="A226" s="58"/>
      <c r="B226" s="28"/>
      <c r="G226" s="29"/>
    </row>
    <row r="227" spans="1:9" ht="15.75">
      <c r="A227" s="58"/>
      <c r="B227" s="613" t="s">
        <v>216</v>
      </c>
      <c r="C227" s="614"/>
      <c r="D227" s="614"/>
      <c r="E227" s="614"/>
      <c r="F227" s="614"/>
      <c r="G227" s="615"/>
    </row>
    <row r="228" spans="1:9">
      <c r="A228" s="58"/>
      <c r="B228" s="616" t="s">
        <v>217</v>
      </c>
      <c r="C228" s="617"/>
      <c r="D228" s="617" t="s">
        <v>218</v>
      </c>
      <c r="E228" s="617"/>
      <c r="F228" s="595" t="s">
        <v>219</v>
      </c>
      <c r="G228" s="596"/>
    </row>
    <row r="229" spans="1:9">
      <c r="A229" s="58"/>
      <c r="B229" s="583"/>
      <c r="C229" s="584"/>
      <c r="D229" s="587"/>
      <c r="E229" s="584"/>
      <c r="F229" s="589"/>
      <c r="G229" s="590"/>
    </row>
    <row r="230" spans="1:9">
      <c r="A230" s="58"/>
      <c r="B230" s="585"/>
      <c r="C230" s="586"/>
      <c r="D230" s="588"/>
      <c r="E230" s="586"/>
      <c r="F230" s="591"/>
      <c r="G230" s="592"/>
    </row>
    <row r="231" spans="1:9">
      <c r="A231" s="58"/>
      <c r="B231" s="28"/>
      <c r="G231" s="29"/>
    </row>
    <row r="232" spans="1:9">
      <c r="A232" s="58"/>
      <c r="B232" s="593" t="s">
        <v>220</v>
      </c>
      <c r="C232" s="594"/>
      <c r="D232" s="595" t="s">
        <v>221</v>
      </c>
      <c r="E232" s="594"/>
      <c r="F232" s="595" t="s">
        <v>222</v>
      </c>
      <c r="G232" s="596"/>
    </row>
    <row r="233" spans="1:9">
      <c r="A233" s="58"/>
      <c r="B233" s="639"/>
      <c r="C233" s="640"/>
      <c r="D233" s="641"/>
      <c r="E233" s="640"/>
      <c r="F233" s="641" t="s">
        <v>453</v>
      </c>
      <c r="G233" s="642"/>
    </row>
    <row r="234" spans="1:9">
      <c r="A234" s="58"/>
      <c r="B234" s="58"/>
      <c r="C234" s="58"/>
      <c r="D234" s="58"/>
      <c r="E234" s="58"/>
      <c r="F234" s="58"/>
      <c r="G234" s="58"/>
    </row>
    <row r="235" spans="1:9">
      <c r="A235" s="58"/>
      <c r="B235" s="58"/>
      <c r="C235" s="58"/>
      <c r="D235" s="58"/>
      <c r="E235" s="58"/>
      <c r="F235" s="58"/>
      <c r="G235" s="58"/>
    </row>
    <row r="236" spans="1:9">
      <c r="A236" s="58"/>
      <c r="B236" s="58"/>
      <c r="C236" s="58"/>
      <c r="D236" s="58"/>
      <c r="E236" s="58"/>
      <c r="F236" s="58"/>
      <c r="G236" s="58"/>
    </row>
    <row r="237" spans="1:9">
      <c r="A237" s="58"/>
      <c r="B237" s="58"/>
      <c r="C237" s="58"/>
      <c r="D237" s="58"/>
      <c r="E237" s="58"/>
      <c r="F237" s="58"/>
      <c r="G237" s="58"/>
    </row>
    <row r="238" spans="1:9">
      <c r="A238" s="58"/>
      <c r="B238" s="58"/>
      <c r="C238" s="58"/>
      <c r="D238" s="58"/>
      <c r="E238" s="58"/>
      <c r="F238" s="58"/>
      <c r="G238" s="58"/>
    </row>
    <row r="239" spans="1:9" ht="15" customHeight="1">
      <c r="A239" s="58"/>
      <c r="B239" s="58"/>
      <c r="C239" s="58"/>
      <c r="D239" s="58"/>
      <c r="E239" s="58"/>
      <c r="F239" s="58"/>
      <c r="G239" s="58"/>
    </row>
    <row r="240" spans="1:9" ht="15.75">
      <c r="B240" s="543" t="s">
        <v>866</v>
      </c>
      <c r="C240" s="544"/>
      <c r="D240" s="544"/>
      <c r="E240" s="544"/>
      <c r="F240" s="544"/>
      <c r="G240" s="545"/>
      <c r="I240" s="87" t="s">
        <v>917</v>
      </c>
    </row>
    <row r="241" spans="2:7" ht="22.5" customHeight="1">
      <c r="B241" s="546" t="s">
        <v>190</v>
      </c>
      <c r="C241" s="547"/>
      <c r="D241" s="547"/>
      <c r="E241" s="547"/>
      <c r="F241" s="547"/>
      <c r="G241" s="548"/>
    </row>
    <row r="242" spans="2:7">
      <c r="B242" s="549" t="s">
        <v>191</v>
      </c>
      <c r="C242" s="550"/>
      <c r="D242" s="551" t="s">
        <v>192</v>
      </c>
      <c r="E242" s="729"/>
      <c r="F242" s="555" t="s">
        <v>193</v>
      </c>
      <c r="G242" s="15" t="s">
        <v>194</v>
      </c>
    </row>
    <row r="243" spans="2:7">
      <c r="B243" s="557" t="s">
        <v>195</v>
      </c>
      <c r="C243" s="558"/>
      <c r="D243" s="553"/>
      <c r="E243" s="730"/>
      <c r="F243" s="556"/>
      <c r="G243" s="16" t="s">
        <v>918</v>
      </c>
    </row>
    <row r="244" spans="2:7" ht="22.5" customHeight="1">
      <c r="B244" s="559" t="s">
        <v>197</v>
      </c>
      <c r="C244" s="560"/>
      <c r="D244" s="565" t="s">
        <v>475</v>
      </c>
      <c r="E244" s="707"/>
      <c r="F244" s="571">
        <v>105</v>
      </c>
      <c r="G244" s="17" t="s">
        <v>319</v>
      </c>
    </row>
    <row r="245" spans="2:7">
      <c r="B245" s="561"/>
      <c r="C245" s="562"/>
      <c r="D245" s="567"/>
      <c r="E245" s="708"/>
      <c r="F245" s="572"/>
      <c r="G245" s="18" t="s">
        <v>200</v>
      </c>
    </row>
    <row r="246" spans="2:7" ht="15" customHeight="1">
      <c r="B246" s="563"/>
      <c r="C246" s="564"/>
      <c r="D246" s="569"/>
      <c r="E246" s="709"/>
      <c r="F246" s="573"/>
      <c r="G246" s="17" t="s">
        <v>201</v>
      </c>
    </row>
    <row r="247" spans="2:7">
      <c r="B247" s="19" t="s">
        <v>202</v>
      </c>
      <c r="C247" s="20"/>
      <c r="D247" s="20"/>
      <c r="E247" s="20"/>
      <c r="F247" s="20"/>
      <c r="G247" s="21"/>
    </row>
    <row r="248" spans="2:7">
      <c r="B248" s="22"/>
      <c r="C248" s="23" t="s">
        <v>203</v>
      </c>
      <c r="D248" s="23" t="s">
        <v>203</v>
      </c>
      <c r="E248" s="23" t="s">
        <v>203</v>
      </c>
      <c r="F248" s="23" t="s">
        <v>203</v>
      </c>
      <c r="G248" s="23" t="s">
        <v>203</v>
      </c>
    </row>
    <row r="249" spans="2:7">
      <c r="B249" s="574" t="s">
        <v>204</v>
      </c>
      <c r="C249" s="580" t="s">
        <v>264</v>
      </c>
      <c r="D249" s="580" t="s">
        <v>919</v>
      </c>
      <c r="E249" s="580" t="s">
        <v>920</v>
      </c>
      <c r="F249" s="580" t="s">
        <v>921</v>
      </c>
      <c r="G249" s="580" t="s">
        <v>202</v>
      </c>
    </row>
    <row r="250" spans="2:7" ht="15" customHeight="1">
      <c r="B250" s="575"/>
      <c r="C250" s="581"/>
      <c r="D250" s="581"/>
      <c r="E250" s="581"/>
      <c r="F250" s="581"/>
      <c r="G250" s="581"/>
    </row>
    <row r="251" spans="2:7">
      <c r="B251" s="575"/>
      <c r="C251" s="581"/>
      <c r="D251" s="581"/>
      <c r="E251" s="581"/>
      <c r="F251" s="581"/>
      <c r="G251" s="581"/>
    </row>
    <row r="252" spans="2:7">
      <c r="B252" s="576"/>
      <c r="C252" s="582"/>
      <c r="D252" s="582"/>
      <c r="E252" s="582"/>
      <c r="F252" s="582"/>
      <c r="G252" s="582"/>
    </row>
    <row r="253" spans="2:7">
      <c r="B253" s="574" t="s">
        <v>208</v>
      </c>
      <c r="C253" s="580" t="s">
        <v>922</v>
      </c>
      <c r="D253" s="580" t="s">
        <v>923</v>
      </c>
      <c r="E253" s="580" t="s">
        <v>924</v>
      </c>
      <c r="F253" s="580" t="s">
        <v>925</v>
      </c>
      <c r="G253" s="580" t="s">
        <v>202</v>
      </c>
    </row>
    <row r="254" spans="2:7">
      <c r="B254" s="575"/>
      <c r="C254" s="581"/>
      <c r="D254" s="581"/>
      <c r="E254" s="581"/>
      <c r="F254" s="581"/>
      <c r="G254" s="581"/>
    </row>
    <row r="255" spans="2:7">
      <c r="B255" s="575"/>
      <c r="C255" s="581"/>
      <c r="D255" s="581"/>
      <c r="E255" s="581"/>
      <c r="F255" s="581"/>
      <c r="G255" s="581"/>
    </row>
    <row r="256" spans="2:7" ht="15" customHeight="1">
      <c r="B256" s="576"/>
      <c r="C256" s="582"/>
      <c r="D256" s="582"/>
      <c r="E256" s="582"/>
      <c r="F256" s="582"/>
      <c r="G256" s="582"/>
    </row>
    <row r="257" spans="2:7">
      <c r="B257" s="24"/>
      <c r="C257" s="20"/>
      <c r="D257" s="20"/>
      <c r="E257" s="20"/>
      <c r="F257" s="20"/>
      <c r="G257" s="21"/>
    </row>
    <row r="258" spans="2:7">
      <c r="B258" s="731" t="s">
        <v>212</v>
      </c>
      <c r="C258" s="732"/>
      <c r="D258" s="733"/>
      <c r="E258" s="734" t="s">
        <v>213</v>
      </c>
      <c r="F258" s="735"/>
      <c r="G258" s="736"/>
    </row>
    <row r="259" spans="2:7">
      <c r="B259" s="601" t="s">
        <v>925</v>
      </c>
      <c r="C259" s="602"/>
      <c r="D259" s="603"/>
      <c r="E259" s="737" t="s">
        <v>926</v>
      </c>
      <c r="F259" s="738"/>
      <c r="G259" s="739"/>
    </row>
    <row r="260" spans="2:7">
      <c r="B260" s="604"/>
      <c r="C260" s="605"/>
      <c r="D260" s="606"/>
      <c r="E260" s="740"/>
      <c r="F260" s="720"/>
      <c r="G260" s="741"/>
    </row>
    <row r="261" spans="2:7">
      <c r="B261" s="604"/>
      <c r="C261" s="605"/>
      <c r="D261" s="606"/>
      <c r="E261" s="740"/>
      <c r="F261" s="720"/>
      <c r="G261" s="741"/>
    </row>
    <row r="262" spans="2:7" ht="33.75" customHeight="1">
      <c r="B262" s="607"/>
      <c r="C262" s="608"/>
      <c r="D262" s="609"/>
      <c r="E262" s="742"/>
      <c r="F262" s="743"/>
      <c r="G262" s="744"/>
    </row>
    <row r="263" spans="2:7" ht="15" customHeight="1">
      <c r="B263" s="25"/>
      <c r="C263" s="26"/>
      <c r="D263" s="26"/>
      <c r="E263" s="26"/>
      <c r="F263" s="26"/>
      <c r="G263" s="27"/>
    </row>
    <row r="264" spans="2:7">
      <c r="B264" s="28"/>
      <c r="G264" s="29"/>
    </row>
    <row r="265" spans="2:7" ht="15.75">
      <c r="B265" s="613" t="s">
        <v>216</v>
      </c>
      <c r="C265" s="614"/>
      <c r="D265" s="614"/>
      <c r="E265" s="614"/>
      <c r="F265" s="614"/>
      <c r="G265" s="615"/>
    </row>
    <row r="266" spans="2:7">
      <c r="B266" s="616" t="s">
        <v>217</v>
      </c>
      <c r="C266" s="617"/>
      <c r="D266" s="617" t="s">
        <v>218</v>
      </c>
      <c r="E266" s="617"/>
      <c r="F266" s="595" t="s">
        <v>219</v>
      </c>
      <c r="G266" s="596"/>
    </row>
    <row r="267" spans="2:7" ht="15" customHeight="1">
      <c r="B267" s="583"/>
      <c r="C267" s="584"/>
      <c r="D267" s="587"/>
      <c r="E267" s="584"/>
      <c r="F267" s="589"/>
      <c r="G267" s="590"/>
    </row>
    <row r="268" spans="2:7">
      <c r="B268" s="585"/>
      <c r="C268" s="586"/>
      <c r="D268" s="588"/>
      <c r="E268" s="586"/>
      <c r="F268" s="591"/>
      <c r="G268" s="592"/>
    </row>
    <row r="269" spans="2:7">
      <c r="B269" s="28"/>
      <c r="G269" s="29"/>
    </row>
    <row r="270" spans="2:7">
      <c r="B270" s="593" t="s">
        <v>220</v>
      </c>
      <c r="C270" s="594"/>
      <c r="D270" s="595" t="s">
        <v>221</v>
      </c>
      <c r="E270" s="594"/>
      <c r="F270" s="595" t="s">
        <v>222</v>
      </c>
      <c r="G270" s="596"/>
    </row>
    <row r="271" spans="2:7">
      <c r="B271" s="639"/>
      <c r="C271" s="640"/>
      <c r="D271" s="641"/>
      <c r="E271" s="640"/>
      <c r="F271" s="641" t="s">
        <v>927</v>
      </c>
      <c r="G271" s="642"/>
    </row>
    <row r="274" spans="2:9" ht="15.75">
      <c r="B274" s="543" t="s">
        <v>866</v>
      </c>
      <c r="C274" s="544"/>
      <c r="D274" s="544"/>
      <c r="E274" s="544"/>
      <c r="F274" s="544"/>
      <c r="G274" s="545"/>
      <c r="I274" s="87" t="s">
        <v>917</v>
      </c>
    </row>
    <row r="275" spans="2:9" ht="15.75">
      <c r="B275" s="546" t="s">
        <v>190</v>
      </c>
      <c r="C275" s="547"/>
      <c r="D275" s="547"/>
      <c r="E275" s="547"/>
      <c r="F275" s="547"/>
      <c r="G275" s="548"/>
    </row>
    <row r="276" spans="2:9">
      <c r="B276" s="549" t="s">
        <v>191</v>
      </c>
      <c r="C276" s="550"/>
      <c r="D276" s="551" t="s">
        <v>192</v>
      </c>
      <c r="E276" s="552"/>
      <c r="F276" s="555" t="s">
        <v>193</v>
      </c>
      <c r="G276" s="15" t="s">
        <v>194</v>
      </c>
    </row>
    <row r="277" spans="2:9">
      <c r="B277" s="557" t="s">
        <v>224</v>
      </c>
      <c r="C277" s="558"/>
      <c r="D277" s="553"/>
      <c r="E277" s="554"/>
      <c r="F277" s="556"/>
      <c r="G277" s="16" t="s">
        <v>928</v>
      </c>
    </row>
    <row r="278" spans="2:9" ht="22.5">
      <c r="B278" s="559" t="s">
        <v>197</v>
      </c>
      <c r="C278" s="560"/>
      <c r="D278" s="565" t="s">
        <v>834</v>
      </c>
      <c r="E278" s="566"/>
      <c r="F278" s="571">
        <v>40</v>
      </c>
      <c r="G278" s="17" t="s">
        <v>929</v>
      </c>
    </row>
    <row r="279" spans="2:9">
      <c r="B279" s="561"/>
      <c r="C279" s="562"/>
      <c r="D279" s="567"/>
      <c r="E279" s="568"/>
      <c r="F279" s="572"/>
      <c r="G279" s="18" t="s">
        <v>200</v>
      </c>
    </row>
    <row r="280" spans="2:9">
      <c r="B280" s="563"/>
      <c r="C280" s="564"/>
      <c r="D280" s="569"/>
      <c r="E280" s="570"/>
      <c r="F280" s="573"/>
      <c r="G280" s="17" t="s">
        <v>201</v>
      </c>
    </row>
    <row r="281" spans="2:9">
      <c r="B281" s="19" t="s">
        <v>202</v>
      </c>
      <c r="C281" s="20"/>
      <c r="D281" s="20"/>
      <c r="E281" s="20"/>
      <c r="F281" s="20"/>
      <c r="G281" s="21"/>
    </row>
    <row r="282" spans="2:9">
      <c r="B282" s="22"/>
      <c r="C282" s="23" t="s">
        <v>203</v>
      </c>
      <c r="D282" s="23" t="s">
        <v>203</v>
      </c>
      <c r="E282" s="23" t="s">
        <v>203</v>
      </c>
      <c r="F282" s="23" t="s">
        <v>203</v>
      </c>
      <c r="G282" s="23" t="s">
        <v>203</v>
      </c>
    </row>
    <row r="283" spans="2:9">
      <c r="B283" s="574" t="s">
        <v>204</v>
      </c>
      <c r="C283" s="580" t="s">
        <v>873</v>
      </c>
      <c r="D283" s="580" t="s">
        <v>930</v>
      </c>
      <c r="E283" s="580" t="s">
        <v>931</v>
      </c>
      <c r="F283" s="580" t="s">
        <v>932</v>
      </c>
      <c r="G283" s="580" t="s">
        <v>202</v>
      </c>
    </row>
    <row r="284" spans="2:9">
      <c r="B284" s="575"/>
      <c r="C284" s="581"/>
      <c r="D284" s="581"/>
      <c r="E284" s="581"/>
      <c r="F284" s="581"/>
      <c r="G284" s="581"/>
    </row>
    <row r="285" spans="2:9">
      <c r="B285" s="575"/>
      <c r="C285" s="581"/>
      <c r="D285" s="581"/>
      <c r="E285" s="581"/>
      <c r="F285" s="581"/>
      <c r="G285" s="581"/>
    </row>
    <row r="286" spans="2:9">
      <c r="B286" s="576"/>
      <c r="C286" s="582"/>
      <c r="D286" s="582"/>
      <c r="E286" s="582"/>
      <c r="F286" s="582"/>
      <c r="G286" s="582"/>
    </row>
    <row r="287" spans="2:9">
      <c r="B287" s="574" t="s">
        <v>208</v>
      </c>
      <c r="C287" s="580" t="s">
        <v>933</v>
      </c>
      <c r="D287" s="580" t="s">
        <v>934</v>
      </c>
      <c r="E287" s="580" t="s">
        <v>835</v>
      </c>
      <c r="F287" s="580"/>
      <c r="G287" s="580" t="s">
        <v>202</v>
      </c>
    </row>
    <row r="288" spans="2:9">
      <c r="B288" s="575"/>
      <c r="C288" s="581"/>
      <c r="D288" s="581"/>
      <c r="E288" s="581"/>
      <c r="F288" s="581"/>
      <c r="G288" s="581"/>
    </row>
    <row r="289" spans="2:7">
      <c r="B289" s="575"/>
      <c r="C289" s="581"/>
      <c r="D289" s="581"/>
      <c r="E289" s="581"/>
      <c r="F289" s="581"/>
      <c r="G289" s="581"/>
    </row>
    <row r="290" spans="2:7">
      <c r="B290" s="576"/>
      <c r="C290" s="582"/>
      <c r="D290" s="582"/>
      <c r="E290" s="582"/>
      <c r="F290" s="582"/>
      <c r="G290" s="582"/>
    </row>
    <row r="291" spans="2:7">
      <c r="B291" s="24"/>
      <c r="C291" s="20"/>
      <c r="D291" s="20"/>
      <c r="E291" s="20"/>
      <c r="F291" s="20"/>
      <c r="G291" s="21"/>
    </row>
    <row r="292" spans="2:7">
      <c r="B292" s="597" t="s">
        <v>212</v>
      </c>
      <c r="C292" s="598"/>
      <c r="D292" s="598"/>
      <c r="E292" s="599" t="s">
        <v>213</v>
      </c>
      <c r="F292" s="599"/>
      <c r="G292" s="600"/>
    </row>
    <row r="293" spans="2:7">
      <c r="B293" s="601" t="s">
        <v>835</v>
      </c>
      <c r="C293" s="602"/>
      <c r="D293" s="603"/>
      <c r="E293" s="610" t="s">
        <v>935</v>
      </c>
      <c r="F293" s="611"/>
      <c r="G293" s="612"/>
    </row>
    <row r="294" spans="2:7">
      <c r="B294" s="604"/>
      <c r="C294" s="605"/>
      <c r="D294" s="606"/>
      <c r="E294" s="611"/>
      <c r="F294" s="611"/>
      <c r="G294" s="612"/>
    </row>
    <row r="295" spans="2:7">
      <c r="B295" s="604"/>
      <c r="C295" s="605"/>
      <c r="D295" s="606"/>
      <c r="E295" s="611"/>
      <c r="F295" s="611"/>
      <c r="G295" s="612"/>
    </row>
    <row r="296" spans="2:7">
      <c r="B296" s="607"/>
      <c r="C296" s="608"/>
      <c r="D296" s="609"/>
      <c r="E296" s="611"/>
      <c r="F296" s="611"/>
      <c r="G296" s="612"/>
    </row>
    <row r="297" spans="2:7">
      <c r="B297" s="25"/>
      <c r="C297" s="26"/>
      <c r="D297" s="26"/>
      <c r="E297" s="26"/>
      <c r="F297" s="26"/>
      <c r="G297" s="27"/>
    </row>
    <row r="298" spans="2:7">
      <c r="B298" s="28"/>
      <c r="G298" s="29"/>
    </row>
    <row r="299" spans="2:7" ht="15.75">
      <c r="B299" s="613" t="s">
        <v>216</v>
      </c>
      <c r="C299" s="614"/>
      <c r="D299" s="614"/>
      <c r="E299" s="614"/>
      <c r="F299" s="614"/>
      <c r="G299" s="615"/>
    </row>
    <row r="300" spans="2:7">
      <c r="B300" s="616" t="s">
        <v>217</v>
      </c>
      <c r="C300" s="617"/>
      <c r="D300" s="617" t="s">
        <v>218</v>
      </c>
      <c r="E300" s="617"/>
      <c r="F300" s="595" t="s">
        <v>219</v>
      </c>
      <c r="G300" s="596"/>
    </row>
    <row r="301" spans="2:7">
      <c r="B301" s="583"/>
      <c r="C301" s="584"/>
      <c r="D301" s="587"/>
      <c r="E301" s="584"/>
      <c r="F301" s="589"/>
      <c r="G301" s="590"/>
    </row>
    <row r="302" spans="2:7">
      <c r="B302" s="585"/>
      <c r="C302" s="586"/>
      <c r="D302" s="588"/>
      <c r="E302" s="586"/>
      <c r="F302" s="591"/>
      <c r="G302" s="592"/>
    </row>
    <row r="303" spans="2:7">
      <c r="B303" s="28"/>
      <c r="G303" s="29"/>
    </row>
    <row r="304" spans="2:7">
      <c r="B304" s="593" t="s">
        <v>220</v>
      </c>
      <c r="C304" s="594"/>
      <c r="D304" s="595" t="s">
        <v>221</v>
      </c>
      <c r="E304" s="594"/>
      <c r="F304" s="595" t="s">
        <v>222</v>
      </c>
      <c r="G304" s="596"/>
    </row>
    <row r="305" spans="2:9">
      <c r="B305" s="639"/>
      <c r="C305" s="640"/>
      <c r="D305" s="641"/>
      <c r="E305" s="640"/>
      <c r="F305" s="641" t="s">
        <v>936</v>
      </c>
      <c r="G305" s="642"/>
    </row>
    <row r="308" spans="2:9" ht="15.75">
      <c r="B308" s="543" t="s">
        <v>866</v>
      </c>
      <c r="C308" s="544"/>
      <c r="D308" s="544"/>
      <c r="E308" s="544"/>
      <c r="F308" s="544"/>
      <c r="G308" s="545"/>
      <c r="I308" s="87" t="s">
        <v>917</v>
      </c>
    </row>
    <row r="309" spans="2:9" ht="15.75">
      <c r="B309" s="546" t="s">
        <v>190</v>
      </c>
      <c r="C309" s="547"/>
      <c r="D309" s="547"/>
      <c r="E309" s="547"/>
      <c r="F309" s="547"/>
      <c r="G309" s="548"/>
    </row>
    <row r="310" spans="2:9">
      <c r="B310" s="549" t="s">
        <v>191</v>
      </c>
      <c r="C310" s="550"/>
      <c r="D310" s="551" t="s">
        <v>192</v>
      </c>
      <c r="E310" s="552"/>
      <c r="F310" s="555" t="s">
        <v>193</v>
      </c>
      <c r="G310" s="15" t="s">
        <v>194</v>
      </c>
    </row>
    <row r="311" spans="2:9">
      <c r="B311" s="770" t="s">
        <v>231</v>
      </c>
      <c r="C311" s="771"/>
      <c r="D311" s="553"/>
      <c r="E311" s="554"/>
      <c r="F311" s="556"/>
      <c r="G311" s="16" t="s">
        <v>937</v>
      </c>
    </row>
    <row r="312" spans="2:9" ht="22.5">
      <c r="B312" s="772" t="s">
        <v>197</v>
      </c>
      <c r="C312" s="772"/>
      <c r="D312" s="566" t="s">
        <v>938</v>
      </c>
      <c r="E312" s="566"/>
      <c r="F312" s="571">
        <v>220</v>
      </c>
      <c r="G312" s="17" t="s">
        <v>319</v>
      </c>
    </row>
    <row r="313" spans="2:9">
      <c r="B313" s="772"/>
      <c r="C313" s="772"/>
      <c r="D313" s="568"/>
      <c r="E313" s="568"/>
      <c r="F313" s="572"/>
      <c r="G313" s="18" t="s">
        <v>200</v>
      </c>
    </row>
    <row r="314" spans="2:9">
      <c r="B314" s="772"/>
      <c r="C314" s="772"/>
      <c r="D314" s="570"/>
      <c r="E314" s="570"/>
      <c r="F314" s="573"/>
      <c r="G314" s="17" t="s">
        <v>201</v>
      </c>
    </row>
    <row r="315" spans="2:9">
      <c r="B315" s="19" t="s">
        <v>202</v>
      </c>
      <c r="C315" s="20"/>
      <c r="D315" s="20"/>
      <c r="E315" s="20"/>
      <c r="F315" s="20"/>
      <c r="G315" s="21"/>
    </row>
    <row r="316" spans="2:9">
      <c r="B316" s="22"/>
      <c r="C316" s="23" t="s">
        <v>203</v>
      </c>
      <c r="D316" s="23" t="s">
        <v>203</v>
      </c>
      <c r="E316" s="23" t="s">
        <v>203</v>
      </c>
      <c r="F316" s="23" t="s">
        <v>203</v>
      </c>
      <c r="G316" s="23" t="s">
        <v>203</v>
      </c>
    </row>
    <row r="317" spans="2:9">
      <c r="B317" s="574" t="s">
        <v>204</v>
      </c>
      <c r="C317" s="580" t="s">
        <v>264</v>
      </c>
      <c r="D317" s="580" t="s">
        <v>816</v>
      </c>
      <c r="E317" s="580" t="s">
        <v>939</v>
      </c>
      <c r="F317" s="580" t="s">
        <v>940</v>
      </c>
      <c r="G317" s="580" t="s">
        <v>202</v>
      </c>
    </row>
    <row r="318" spans="2:9">
      <c r="B318" s="575"/>
      <c r="C318" s="581"/>
      <c r="D318" s="581"/>
      <c r="E318" s="581"/>
      <c r="F318" s="581"/>
      <c r="G318" s="581"/>
    </row>
    <row r="319" spans="2:9">
      <c r="B319" s="575"/>
      <c r="C319" s="581"/>
      <c r="D319" s="581"/>
      <c r="E319" s="581"/>
      <c r="F319" s="581"/>
      <c r="G319" s="581"/>
    </row>
    <row r="320" spans="2:9">
      <c r="B320" s="576"/>
      <c r="C320" s="582"/>
      <c r="D320" s="582"/>
      <c r="E320" s="582"/>
      <c r="F320" s="582"/>
      <c r="G320" s="582"/>
    </row>
    <row r="321" spans="2:7">
      <c r="B321" s="574" t="s">
        <v>208</v>
      </c>
      <c r="C321" s="580" t="s">
        <v>941</v>
      </c>
      <c r="D321" s="580" t="s">
        <v>942</v>
      </c>
      <c r="E321" s="580" t="s">
        <v>841</v>
      </c>
      <c r="F321" s="580"/>
      <c r="G321" s="580" t="s">
        <v>202</v>
      </c>
    </row>
    <row r="322" spans="2:7">
      <c r="B322" s="575"/>
      <c r="C322" s="581"/>
      <c r="D322" s="581"/>
      <c r="E322" s="581"/>
      <c r="F322" s="581"/>
      <c r="G322" s="581"/>
    </row>
    <row r="323" spans="2:7">
      <c r="B323" s="575"/>
      <c r="C323" s="581"/>
      <c r="D323" s="581"/>
      <c r="E323" s="581"/>
      <c r="F323" s="581"/>
      <c r="G323" s="581"/>
    </row>
    <row r="324" spans="2:7">
      <c r="B324" s="576"/>
      <c r="C324" s="582"/>
      <c r="D324" s="582"/>
      <c r="E324" s="582"/>
      <c r="F324" s="582"/>
      <c r="G324" s="582"/>
    </row>
    <row r="325" spans="2:7">
      <c r="B325" s="24"/>
      <c r="C325" s="20"/>
      <c r="D325" s="20"/>
      <c r="E325" s="20"/>
      <c r="F325" s="20"/>
      <c r="G325" s="21"/>
    </row>
    <row r="326" spans="2:7">
      <c r="B326" s="597" t="s">
        <v>212</v>
      </c>
      <c r="C326" s="598"/>
      <c r="D326" s="598"/>
      <c r="E326" s="599" t="s">
        <v>213</v>
      </c>
      <c r="F326" s="599"/>
      <c r="G326" s="600"/>
    </row>
    <row r="327" spans="2:7">
      <c r="B327" s="601" t="s">
        <v>841</v>
      </c>
      <c r="C327" s="602"/>
      <c r="D327" s="603"/>
      <c r="E327" s="610" t="s">
        <v>943</v>
      </c>
      <c r="F327" s="611"/>
      <c r="G327" s="612"/>
    </row>
    <row r="328" spans="2:7">
      <c r="B328" s="604"/>
      <c r="C328" s="605"/>
      <c r="D328" s="606"/>
      <c r="E328" s="611"/>
      <c r="F328" s="611"/>
      <c r="G328" s="612"/>
    </row>
    <row r="329" spans="2:7">
      <c r="B329" s="604"/>
      <c r="C329" s="605"/>
      <c r="D329" s="606"/>
      <c r="E329" s="611"/>
      <c r="F329" s="611"/>
      <c r="G329" s="612"/>
    </row>
    <row r="330" spans="2:7">
      <c r="B330" s="607"/>
      <c r="C330" s="608"/>
      <c r="D330" s="609"/>
      <c r="E330" s="611"/>
      <c r="F330" s="611"/>
      <c r="G330" s="612"/>
    </row>
    <row r="331" spans="2:7">
      <c r="B331" s="25"/>
      <c r="C331" s="26"/>
      <c r="D331" s="26"/>
      <c r="E331" s="26"/>
      <c r="F331" s="26"/>
      <c r="G331" s="27"/>
    </row>
    <row r="332" spans="2:7">
      <c r="B332" s="28"/>
      <c r="G332" s="29"/>
    </row>
    <row r="333" spans="2:7" ht="15.75">
      <c r="B333" s="613" t="s">
        <v>216</v>
      </c>
      <c r="C333" s="614"/>
      <c r="D333" s="614"/>
      <c r="E333" s="614"/>
      <c r="F333" s="614"/>
      <c r="G333" s="615"/>
    </row>
    <row r="334" spans="2:7">
      <c r="B334" s="616" t="s">
        <v>217</v>
      </c>
      <c r="C334" s="617"/>
      <c r="D334" s="617" t="s">
        <v>218</v>
      </c>
      <c r="E334" s="617"/>
      <c r="F334" s="595" t="s">
        <v>219</v>
      </c>
      <c r="G334" s="596"/>
    </row>
    <row r="335" spans="2:7">
      <c r="B335" s="583"/>
      <c r="C335" s="584"/>
      <c r="D335" s="587"/>
      <c r="E335" s="584"/>
      <c r="F335" s="589"/>
      <c r="G335" s="590"/>
    </row>
    <row r="336" spans="2:7">
      <c r="B336" s="585"/>
      <c r="C336" s="586"/>
      <c r="D336" s="588"/>
      <c r="E336" s="586"/>
      <c r="F336" s="591"/>
      <c r="G336" s="592"/>
    </row>
    <row r="337" spans="2:9">
      <c r="B337" s="28"/>
      <c r="G337" s="29"/>
    </row>
    <row r="338" spans="2:9">
      <c r="B338" s="593" t="s">
        <v>220</v>
      </c>
      <c r="C338" s="594"/>
      <c r="D338" s="595" t="s">
        <v>221</v>
      </c>
      <c r="E338" s="594"/>
      <c r="F338" s="595" t="s">
        <v>222</v>
      </c>
      <c r="G338" s="596"/>
    </row>
    <row r="339" spans="2:9">
      <c r="B339" s="639"/>
      <c r="C339" s="640"/>
      <c r="D339" s="641"/>
      <c r="E339" s="640"/>
      <c r="F339" s="641" t="s">
        <v>944</v>
      </c>
      <c r="G339" s="642"/>
    </row>
    <row r="342" spans="2:9" ht="15.75">
      <c r="B342" s="543" t="s">
        <v>866</v>
      </c>
      <c r="C342" s="544"/>
      <c r="D342" s="544"/>
      <c r="E342" s="544"/>
      <c r="F342" s="544"/>
      <c r="G342" s="545"/>
      <c r="I342" s="87" t="s">
        <v>917</v>
      </c>
    </row>
    <row r="343" spans="2:9" ht="15.75">
      <c r="B343" s="546" t="s">
        <v>190</v>
      </c>
      <c r="C343" s="547"/>
      <c r="D343" s="547"/>
      <c r="E343" s="547"/>
      <c r="F343" s="547"/>
      <c r="G343" s="548"/>
    </row>
    <row r="344" spans="2:9">
      <c r="B344" s="549" t="s">
        <v>191</v>
      </c>
      <c r="C344" s="550"/>
      <c r="D344" s="551" t="s">
        <v>192</v>
      </c>
      <c r="E344" s="552"/>
      <c r="F344" s="555" t="s">
        <v>193</v>
      </c>
      <c r="G344" s="15" t="s">
        <v>194</v>
      </c>
    </row>
    <row r="345" spans="2:9">
      <c r="B345" s="770" t="s">
        <v>239</v>
      </c>
      <c r="C345" s="771"/>
      <c r="D345" s="553"/>
      <c r="E345" s="554"/>
      <c r="F345" s="556"/>
      <c r="G345" s="16" t="s">
        <v>945</v>
      </c>
    </row>
    <row r="346" spans="2:9" ht="22.5">
      <c r="B346" s="772" t="s">
        <v>197</v>
      </c>
      <c r="C346" s="772"/>
      <c r="D346" s="566" t="s">
        <v>938</v>
      </c>
      <c r="E346" s="566"/>
      <c r="F346" s="571">
        <v>405</v>
      </c>
      <c r="G346" s="17" t="s">
        <v>929</v>
      </c>
    </row>
    <row r="347" spans="2:9">
      <c r="B347" s="772"/>
      <c r="C347" s="772"/>
      <c r="D347" s="568"/>
      <c r="E347" s="568"/>
      <c r="F347" s="572"/>
      <c r="G347" s="18" t="s">
        <v>200</v>
      </c>
    </row>
    <row r="348" spans="2:9">
      <c r="B348" s="772"/>
      <c r="C348" s="772"/>
      <c r="D348" s="570"/>
      <c r="E348" s="570"/>
      <c r="F348" s="573"/>
      <c r="G348" s="17" t="s">
        <v>201</v>
      </c>
    </row>
    <row r="349" spans="2:9">
      <c r="B349" s="19" t="s">
        <v>202</v>
      </c>
      <c r="C349" s="20"/>
      <c r="D349" s="20"/>
      <c r="E349" s="20"/>
      <c r="F349" s="20"/>
      <c r="G349" s="21"/>
    </row>
    <row r="350" spans="2:9">
      <c r="B350" s="22"/>
      <c r="C350" s="23" t="s">
        <v>203</v>
      </c>
      <c r="D350" s="23" t="s">
        <v>203</v>
      </c>
      <c r="E350" s="23" t="s">
        <v>203</v>
      </c>
      <c r="F350" s="23" t="s">
        <v>203</v>
      </c>
      <c r="G350" s="23" t="s">
        <v>203</v>
      </c>
    </row>
    <row r="351" spans="2:9">
      <c r="B351" s="574" t="s">
        <v>204</v>
      </c>
      <c r="C351" s="580" t="s">
        <v>900</v>
      </c>
      <c r="D351" s="580" t="s">
        <v>816</v>
      </c>
      <c r="E351" s="580" t="s">
        <v>939</v>
      </c>
      <c r="F351" s="580"/>
      <c r="G351" s="580" t="s">
        <v>202</v>
      </c>
    </row>
    <row r="352" spans="2:9">
      <c r="B352" s="575"/>
      <c r="C352" s="581"/>
      <c r="D352" s="581"/>
      <c r="E352" s="581"/>
      <c r="F352" s="581"/>
      <c r="G352" s="581"/>
    </row>
    <row r="353" spans="2:7">
      <c r="B353" s="575"/>
      <c r="C353" s="581"/>
      <c r="D353" s="581"/>
      <c r="E353" s="581"/>
      <c r="F353" s="581"/>
      <c r="G353" s="581"/>
    </row>
    <row r="354" spans="2:7">
      <c r="B354" s="576"/>
      <c r="C354" s="582"/>
      <c r="D354" s="582"/>
      <c r="E354" s="582"/>
      <c r="F354" s="582"/>
      <c r="G354" s="582"/>
    </row>
    <row r="355" spans="2:7">
      <c r="B355" s="574" t="s">
        <v>208</v>
      </c>
      <c r="C355" s="580" t="s">
        <v>941</v>
      </c>
      <c r="D355" s="580" t="s">
        <v>942</v>
      </c>
      <c r="E355" s="580" t="s">
        <v>946</v>
      </c>
      <c r="F355" s="580" t="s">
        <v>202</v>
      </c>
      <c r="G355" s="580" t="s">
        <v>202</v>
      </c>
    </row>
    <row r="356" spans="2:7">
      <c r="B356" s="575"/>
      <c r="C356" s="581"/>
      <c r="D356" s="581"/>
      <c r="E356" s="581"/>
      <c r="F356" s="581"/>
      <c r="G356" s="581"/>
    </row>
    <row r="357" spans="2:7">
      <c r="B357" s="575"/>
      <c r="C357" s="581"/>
      <c r="D357" s="581"/>
      <c r="E357" s="581"/>
      <c r="F357" s="581"/>
      <c r="G357" s="581"/>
    </row>
    <row r="358" spans="2:7">
      <c r="B358" s="576"/>
      <c r="C358" s="582"/>
      <c r="D358" s="582"/>
      <c r="E358" s="582"/>
      <c r="F358" s="582"/>
      <c r="G358" s="582"/>
    </row>
    <row r="359" spans="2:7">
      <c r="B359" s="24"/>
      <c r="C359" s="20"/>
      <c r="D359" s="20"/>
      <c r="E359" s="20"/>
      <c r="F359" s="20"/>
      <c r="G359" s="21"/>
    </row>
    <row r="360" spans="2:7">
      <c r="B360" s="597" t="s">
        <v>212</v>
      </c>
      <c r="C360" s="598"/>
      <c r="D360" s="598"/>
      <c r="E360" s="599" t="s">
        <v>213</v>
      </c>
      <c r="F360" s="599"/>
      <c r="G360" s="600"/>
    </row>
    <row r="361" spans="2:7">
      <c r="B361" s="601" t="s">
        <v>946</v>
      </c>
      <c r="C361" s="602"/>
      <c r="D361" s="603"/>
      <c r="E361" s="610" t="s">
        <v>947</v>
      </c>
      <c r="F361" s="611"/>
      <c r="G361" s="612"/>
    </row>
    <row r="362" spans="2:7">
      <c r="B362" s="604"/>
      <c r="C362" s="605"/>
      <c r="D362" s="606"/>
      <c r="E362" s="611"/>
      <c r="F362" s="611"/>
      <c r="G362" s="612"/>
    </row>
    <row r="363" spans="2:7">
      <c r="B363" s="604"/>
      <c r="C363" s="605"/>
      <c r="D363" s="606"/>
      <c r="E363" s="611"/>
      <c r="F363" s="611"/>
      <c r="G363" s="612"/>
    </row>
    <row r="364" spans="2:7">
      <c r="B364" s="607"/>
      <c r="C364" s="608"/>
      <c r="D364" s="609"/>
      <c r="E364" s="611"/>
      <c r="F364" s="611"/>
      <c r="G364" s="612"/>
    </row>
    <row r="365" spans="2:7">
      <c r="B365" s="25"/>
      <c r="C365" s="26"/>
      <c r="D365" s="26"/>
      <c r="E365" s="26"/>
      <c r="F365" s="26"/>
      <c r="G365" s="27"/>
    </row>
    <row r="366" spans="2:7">
      <c r="B366" s="28"/>
      <c r="G366" s="29"/>
    </row>
    <row r="367" spans="2:7" ht="15.75">
      <c r="B367" s="613" t="s">
        <v>216</v>
      </c>
      <c r="C367" s="614"/>
      <c r="D367" s="614"/>
      <c r="E367" s="614"/>
      <c r="F367" s="614"/>
      <c r="G367" s="615"/>
    </row>
    <row r="368" spans="2:7">
      <c r="B368" s="616" t="s">
        <v>217</v>
      </c>
      <c r="C368" s="617"/>
      <c r="D368" s="617" t="s">
        <v>218</v>
      </c>
      <c r="E368" s="617"/>
      <c r="F368" s="595" t="s">
        <v>219</v>
      </c>
      <c r="G368" s="596"/>
    </row>
    <row r="369" spans="2:9">
      <c r="B369" s="583"/>
      <c r="C369" s="584"/>
      <c r="D369" s="587"/>
      <c r="E369" s="584"/>
      <c r="F369" s="589"/>
      <c r="G369" s="590"/>
    </row>
    <row r="370" spans="2:9">
      <c r="B370" s="585"/>
      <c r="C370" s="586"/>
      <c r="D370" s="588"/>
      <c r="E370" s="586"/>
      <c r="F370" s="591"/>
      <c r="G370" s="592"/>
    </row>
    <row r="371" spans="2:9">
      <c r="B371" s="28"/>
      <c r="G371" s="29"/>
    </row>
    <row r="372" spans="2:9">
      <c r="B372" s="593" t="s">
        <v>220</v>
      </c>
      <c r="C372" s="594"/>
      <c r="D372" s="595" t="s">
        <v>221</v>
      </c>
      <c r="E372" s="594"/>
      <c r="F372" s="595" t="s">
        <v>222</v>
      </c>
      <c r="G372" s="596"/>
    </row>
    <row r="373" spans="2:9">
      <c r="B373" s="639"/>
      <c r="C373" s="640"/>
      <c r="D373" s="641"/>
      <c r="E373" s="640"/>
      <c r="F373" s="641" t="s">
        <v>948</v>
      </c>
      <c r="G373" s="642"/>
    </row>
    <row r="375" spans="2:9">
      <c r="B375" s="58"/>
      <c r="C375" s="58"/>
      <c r="D375" s="58"/>
      <c r="E375" s="58"/>
      <c r="F375" s="58"/>
      <c r="G375" s="58"/>
    </row>
    <row r="376" spans="2:9" ht="15.75">
      <c r="B376" s="543" t="s">
        <v>866</v>
      </c>
      <c r="C376" s="544"/>
      <c r="D376" s="544"/>
      <c r="E376" s="544"/>
      <c r="F376" s="544"/>
      <c r="G376" s="545"/>
      <c r="I376" s="87" t="s">
        <v>917</v>
      </c>
    </row>
    <row r="377" spans="2:9" ht="15.75">
      <c r="B377" s="643" t="s">
        <v>190</v>
      </c>
      <c r="C377" s="644"/>
      <c r="D377" s="644"/>
      <c r="E377" s="644"/>
      <c r="F377" s="644"/>
      <c r="G377" s="645"/>
    </row>
    <row r="378" spans="2:9">
      <c r="B378" s="646" t="s">
        <v>191</v>
      </c>
      <c r="C378" s="647"/>
      <c r="D378" s="648" t="s">
        <v>192</v>
      </c>
      <c r="E378" s="649"/>
      <c r="F378" s="652" t="s">
        <v>193</v>
      </c>
      <c r="G378" s="44" t="s">
        <v>194</v>
      </c>
    </row>
    <row r="379" spans="2:9">
      <c r="B379" s="785" t="s">
        <v>250</v>
      </c>
      <c r="C379" s="786"/>
      <c r="D379" s="650"/>
      <c r="E379" s="651"/>
      <c r="F379" s="653"/>
      <c r="G379" s="45" t="s">
        <v>890</v>
      </c>
    </row>
    <row r="380" spans="2:9" ht="22.5">
      <c r="B380" s="787" t="s">
        <v>197</v>
      </c>
      <c r="C380" s="787"/>
      <c r="D380" s="687" t="s">
        <v>848</v>
      </c>
      <c r="E380" s="687"/>
      <c r="F380" s="630">
        <v>120</v>
      </c>
      <c r="G380" s="46" t="s">
        <v>929</v>
      </c>
    </row>
    <row r="381" spans="2:9">
      <c r="B381" s="787"/>
      <c r="C381" s="787"/>
      <c r="D381" s="688"/>
      <c r="E381" s="688"/>
      <c r="F381" s="631"/>
      <c r="G381" s="47" t="s">
        <v>200</v>
      </c>
    </row>
    <row r="382" spans="2:9">
      <c r="B382" s="787"/>
      <c r="C382" s="787"/>
      <c r="D382" s="703"/>
      <c r="E382" s="703"/>
      <c r="F382" s="632"/>
      <c r="G382" s="46" t="s">
        <v>201</v>
      </c>
    </row>
    <row r="383" spans="2:9">
      <c r="B383" s="48" t="s">
        <v>202</v>
      </c>
      <c r="C383" s="49"/>
      <c r="D383" s="49"/>
      <c r="E383" s="49"/>
      <c r="F383" s="49"/>
      <c r="G383" s="50"/>
    </row>
    <row r="384" spans="2:9">
      <c r="B384" s="51"/>
      <c r="C384" s="52" t="s">
        <v>203</v>
      </c>
      <c r="D384" s="52" t="s">
        <v>203</v>
      </c>
      <c r="E384" s="52" t="s">
        <v>203</v>
      </c>
      <c r="F384" s="52" t="s">
        <v>203</v>
      </c>
      <c r="G384" s="52" t="s">
        <v>203</v>
      </c>
    </row>
    <row r="385" spans="2:7" ht="15" customHeight="1">
      <c r="B385" s="633" t="s">
        <v>204</v>
      </c>
      <c r="C385" s="691" t="s">
        <v>264</v>
      </c>
      <c r="D385" s="691" t="s">
        <v>949</v>
      </c>
      <c r="E385" s="691" t="s">
        <v>950</v>
      </c>
      <c r="F385" s="691" t="s">
        <v>951</v>
      </c>
      <c r="G385" s="691" t="s">
        <v>202</v>
      </c>
    </row>
    <row r="386" spans="2:7">
      <c r="B386" s="634"/>
      <c r="C386" s="692"/>
      <c r="D386" s="692"/>
      <c r="E386" s="692"/>
      <c r="F386" s="692"/>
      <c r="G386" s="692"/>
    </row>
    <row r="387" spans="2:7">
      <c r="B387" s="634"/>
      <c r="C387" s="692"/>
      <c r="D387" s="692"/>
      <c r="E387" s="692"/>
      <c r="F387" s="692"/>
      <c r="G387" s="692"/>
    </row>
    <row r="388" spans="2:7">
      <c r="B388" s="635"/>
      <c r="C388" s="693"/>
      <c r="D388" s="693"/>
      <c r="E388" s="693"/>
      <c r="F388" s="693"/>
      <c r="G388" s="693"/>
    </row>
    <row r="389" spans="2:7" ht="15" customHeight="1">
      <c r="B389" s="633" t="s">
        <v>208</v>
      </c>
      <c r="C389" s="691" t="s">
        <v>952</v>
      </c>
      <c r="D389" s="691" t="s">
        <v>953</v>
      </c>
      <c r="E389" s="691" t="s">
        <v>954</v>
      </c>
      <c r="F389" s="691"/>
      <c r="G389" s="691" t="s">
        <v>202</v>
      </c>
    </row>
    <row r="390" spans="2:7">
      <c r="B390" s="634"/>
      <c r="C390" s="692"/>
      <c r="D390" s="692"/>
      <c r="E390" s="692"/>
      <c r="F390" s="692"/>
      <c r="G390" s="692"/>
    </row>
    <row r="391" spans="2:7">
      <c r="B391" s="634"/>
      <c r="C391" s="692"/>
      <c r="D391" s="692"/>
      <c r="E391" s="692"/>
      <c r="F391" s="692"/>
      <c r="G391" s="692"/>
    </row>
    <row r="392" spans="2:7">
      <c r="B392" s="635"/>
      <c r="C392" s="693"/>
      <c r="D392" s="693"/>
      <c r="E392" s="693"/>
      <c r="F392" s="693"/>
      <c r="G392" s="693"/>
    </row>
    <row r="393" spans="2:7">
      <c r="B393" s="53"/>
      <c r="C393" s="49"/>
      <c r="D393" s="49"/>
      <c r="E393" s="49"/>
      <c r="F393" s="49"/>
      <c r="G393" s="50"/>
    </row>
    <row r="394" spans="2:7">
      <c r="B394" s="656" t="s">
        <v>212</v>
      </c>
      <c r="C394" s="657"/>
      <c r="D394" s="657"/>
      <c r="E394" s="658" t="s">
        <v>213</v>
      </c>
      <c r="F394" s="658"/>
      <c r="G394" s="659"/>
    </row>
    <row r="395" spans="2:7">
      <c r="B395" s="694" t="s">
        <v>954</v>
      </c>
      <c r="C395" s="695"/>
      <c r="D395" s="696"/>
      <c r="E395" s="662" t="s">
        <v>955</v>
      </c>
      <c r="F395" s="661"/>
      <c r="G395" s="663"/>
    </row>
    <row r="396" spans="2:7">
      <c r="B396" s="697"/>
      <c r="C396" s="698"/>
      <c r="D396" s="699"/>
      <c r="E396" s="661"/>
      <c r="F396" s="661"/>
      <c r="G396" s="663"/>
    </row>
    <row r="397" spans="2:7">
      <c r="B397" s="697"/>
      <c r="C397" s="698"/>
      <c r="D397" s="699"/>
      <c r="E397" s="661"/>
      <c r="F397" s="661"/>
      <c r="G397" s="663"/>
    </row>
    <row r="398" spans="2:7">
      <c r="B398" s="700"/>
      <c r="C398" s="701"/>
      <c r="D398" s="702"/>
      <c r="E398" s="661"/>
      <c r="F398" s="661"/>
      <c r="G398" s="663"/>
    </row>
    <row r="399" spans="2:7">
      <c r="B399" s="54"/>
      <c r="C399" s="55"/>
      <c r="D399" s="55"/>
      <c r="E399" s="55"/>
      <c r="F399" s="55"/>
      <c r="G399" s="56"/>
    </row>
    <row r="400" spans="2:7">
      <c r="B400" s="57"/>
      <c r="C400" s="58"/>
      <c r="D400" s="58"/>
      <c r="E400" s="58"/>
      <c r="F400" s="58"/>
      <c r="G400" s="59"/>
    </row>
    <row r="401" spans="2:9" ht="15.75">
      <c r="B401" s="664" t="s">
        <v>216</v>
      </c>
      <c r="C401" s="665"/>
      <c r="D401" s="665"/>
      <c r="E401" s="665"/>
      <c r="F401" s="665"/>
      <c r="G401" s="666"/>
    </row>
    <row r="402" spans="2:9">
      <c r="B402" s="667" t="s">
        <v>217</v>
      </c>
      <c r="C402" s="668"/>
      <c r="D402" s="668" t="s">
        <v>218</v>
      </c>
      <c r="E402" s="668"/>
      <c r="F402" s="669" t="s">
        <v>219</v>
      </c>
      <c r="G402" s="670"/>
    </row>
    <row r="403" spans="2:9">
      <c r="B403" s="675"/>
      <c r="C403" s="676"/>
      <c r="D403" s="679"/>
      <c r="E403" s="676"/>
      <c r="F403" s="681"/>
      <c r="G403" s="682"/>
    </row>
    <row r="404" spans="2:9">
      <c r="B404" s="677"/>
      <c r="C404" s="678"/>
      <c r="D404" s="680"/>
      <c r="E404" s="678"/>
      <c r="F404" s="683"/>
      <c r="G404" s="684"/>
    </row>
    <row r="405" spans="2:9">
      <c r="B405" s="57"/>
      <c r="C405" s="58"/>
      <c r="D405" s="58"/>
      <c r="E405" s="58"/>
      <c r="F405" s="58"/>
      <c r="G405" s="59"/>
    </row>
    <row r="406" spans="2:9">
      <c r="B406" s="685" t="s">
        <v>220</v>
      </c>
      <c r="C406" s="686"/>
      <c r="D406" s="669" t="s">
        <v>221</v>
      </c>
      <c r="E406" s="686"/>
      <c r="F406" s="669" t="s">
        <v>222</v>
      </c>
      <c r="G406" s="670"/>
    </row>
    <row r="407" spans="2:9">
      <c r="B407" s="671"/>
      <c r="C407" s="672"/>
      <c r="D407" s="673"/>
      <c r="E407" s="672"/>
      <c r="F407" s="673" t="s">
        <v>956</v>
      </c>
      <c r="G407" s="674"/>
    </row>
    <row r="410" spans="2:9" ht="15.75">
      <c r="B410" s="543" t="s">
        <v>866</v>
      </c>
      <c r="C410" s="544"/>
      <c r="D410" s="544"/>
      <c r="E410" s="544"/>
      <c r="F410" s="544"/>
      <c r="G410" s="545"/>
      <c r="I410" s="87" t="s">
        <v>917</v>
      </c>
    </row>
    <row r="411" spans="2:9" ht="15.75">
      <c r="B411" s="546" t="s">
        <v>190</v>
      </c>
      <c r="C411" s="547"/>
      <c r="D411" s="547"/>
      <c r="E411" s="547"/>
      <c r="F411" s="547"/>
      <c r="G411" s="548"/>
    </row>
    <row r="412" spans="2:9">
      <c r="B412" s="549" t="s">
        <v>191</v>
      </c>
      <c r="C412" s="550"/>
      <c r="D412" s="551" t="s">
        <v>192</v>
      </c>
      <c r="E412" s="552"/>
      <c r="F412" s="555" t="s">
        <v>193</v>
      </c>
      <c r="G412" s="15" t="s">
        <v>194</v>
      </c>
    </row>
    <row r="413" spans="2:9">
      <c r="B413" s="770" t="s">
        <v>261</v>
      </c>
      <c r="C413" s="771"/>
      <c r="D413" s="788"/>
      <c r="E413" s="728"/>
      <c r="F413" s="748"/>
      <c r="G413" s="16" t="s">
        <v>957</v>
      </c>
    </row>
    <row r="414" spans="2:9" ht="22.5">
      <c r="B414" s="772" t="s">
        <v>197</v>
      </c>
      <c r="C414" s="789"/>
      <c r="D414" s="749" t="s">
        <v>958</v>
      </c>
      <c r="E414" s="749"/>
      <c r="F414" s="790">
        <v>90</v>
      </c>
      <c r="G414" s="99" t="s">
        <v>929</v>
      </c>
    </row>
    <row r="415" spans="2:9" ht="18.75" customHeight="1">
      <c r="B415" s="772"/>
      <c r="C415" s="789"/>
      <c r="D415" s="749"/>
      <c r="E415" s="749"/>
      <c r="F415" s="790"/>
      <c r="G415" s="100" t="s">
        <v>200</v>
      </c>
    </row>
    <row r="416" spans="2:9">
      <c r="B416" s="772"/>
      <c r="C416" s="789"/>
      <c r="D416" s="749"/>
      <c r="E416" s="749"/>
      <c r="F416" s="790"/>
      <c r="G416" s="99" t="s">
        <v>201</v>
      </c>
    </row>
    <row r="417" spans="2:11">
      <c r="B417" s="19" t="s">
        <v>202</v>
      </c>
      <c r="C417" s="20"/>
      <c r="D417" s="20"/>
      <c r="E417" s="20"/>
      <c r="F417" s="20"/>
      <c r="G417" s="21"/>
    </row>
    <row r="418" spans="2:11" ht="20.25" customHeight="1">
      <c r="B418" s="22"/>
      <c r="C418" s="155" t="s">
        <v>203</v>
      </c>
      <c r="D418" s="155" t="s">
        <v>203</v>
      </c>
      <c r="E418" s="156" t="s">
        <v>203</v>
      </c>
      <c r="F418" s="156" t="s">
        <v>203</v>
      </c>
      <c r="G418" s="156" t="s">
        <v>203</v>
      </c>
      <c r="K418" s="152"/>
    </row>
    <row r="419" spans="2:11">
      <c r="B419" s="574" t="s">
        <v>204</v>
      </c>
      <c r="C419" s="580" t="s">
        <v>264</v>
      </c>
      <c r="D419" s="791" t="s">
        <v>959</v>
      </c>
      <c r="E419" s="794" t="s">
        <v>960</v>
      </c>
      <c r="F419" s="797"/>
      <c r="G419" s="798" t="s">
        <v>202</v>
      </c>
      <c r="K419" s="153"/>
    </row>
    <row r="420" spans="2:11">
      <c r="B420" s="575"/>
      <c r="C420" s="581"/>
      <c r="D420" s="792"/>
      <c r="E420" s="795"/>
      <c r="F420" s="713"/>
      <c r="G420" s="799"/>
    </row>
    <row r="421" spans="2:11">
      <c r="B421" s="575"/>
      <c r="C421" s="581"/>
      <c r="D421" s="792"/>
      <c r="E421" s="795"/>
      <c r="F421" s="713"/>
      <c r="G421" s="799"/>
    </row>
    <row r="422" spans="2:11">
      <c r="B422" s="576"/>
      <c r="C422" s="582"/>
      <c r="D422" s="793"/>
      <c r="E422" s="796"/>
      <c r="F422" s="713"/>
      <c r="G422" s="800"/>
    </row>
    <row r="423" spans="2:11" s="58" customFormat="1">
      <c r="B423" s="633" t="s">
        <v>208</v>
      </c>
      <c r="C423" s="691" t="s">
        <v>961</v>
      </c>
      <c r="D423" s="791" t="s">
        <v>962</v>
      </c>
      <c r="E423" s="801" t="s">
        <v>744</v>
      </c>
      <c r="F423" s="692" t="s">
        <v>202</v>
      </c>
      <c r="G423" s="805" t="s">
        <v>202</v>
      </c>
    </row>
    <row r="424" spans="2:11" s="58" customFormat="1">
      <c r="B424" s="634"/>
      <c r="C424" s="692"/>
      <c r="D424" s="792"/>
      <c r="E424" s="802"/>
      <c r="F424" s="692"/>
      <c r="G424" s="806"/>
    </row>
    <row r="425" spans="2:11" s="58" customFormat="1">
      <c r="B425" s="634"/>
      <c r="C425" s="692"/>
      <c r="D425" s="792"/>
      <c r="E425" s="802"/>
      <c r="F425" s="692"/>
      <c r="G425" s="806"/>
    </row>
    <row r="426" spans="2:11" s="58" customFormat="1">
      <c r="B426" s="635"/>
      <c r="C426" s="693"/>
      <c r="D426" s="793"/>
      <c r="E426" s="803"/>
      <c r="F426" s="804"/>
      <c r="G426" s="807"/>
    </row>
    <row r="427" spans="2:11">
      <c r="B427" s="24"/>
      <c r="C427" s="20"/>
      <c r="D427" s="20"/>
      <c r="E427" s="20"/>
      <c r="F427" s="20"/>
      <c r="G427" s="21"/>
    </row>
    <row r="428" spans="2:11">
      <c r="B428" s="597" t="s">
        <v>212</v>
      </c>
      <c r="C428" s="598"/>
      <c r="D428" s="598"/>
      <c r="E428" s="599" t="s">
        <v>213</v>
      </c>
      <c r="F428" s="599"/>
      <c r="G428" s="600"/>
    </row>
    <row r="429" spans="2:11" ht="23.25" customHeight="1">
      <c r="B429" s="808" t="s">
        <v>744</v>
      </c>
      <c r="C429" s="602"/>
      <c r="D429" s="603"/>
      <c r="E429" s="610" t="s">
        <v>963</v>
      </c>
      <c r="F429" s="611"/>
      <c r="G429" s="612"/>
    </row>
    <row r="430" spans="2:11" ht="23.25" customHeight="1">
      <c r="B430" s="604"/>
      <c r="C430" s="605"/>
      <c r="D430" s="606"/>
      <c r="E430" s="611"/>
      <c r="F430" s="611"/>
      <c r="G430" s="612"/>
    </row>
    <row r="431" spans="2:11" ht="23.25" customHeight="1">
      <c r="B431" s="604"/>
      <c r="C431" s="605"/>
      <c r="D431" s="606"/>
      <c r="E431" s="611"/>
      <c r="F431" s="611"/>
      <c r="G431" s="612"/>
    </row>
    <row r="432" spans="2:11" ht="23.25" customHeight="1">
      <c r="B432" s="607"/>
      <c r="C432" s="608"/>
      <c r="D432" s="609"/>
      <c r="E432" s="611"/>
      <c r="F432" s="611"/>
      <c r="G432" s="612"/>
    </row>
    <row r="433" spans="2:9">
      <c r="B433" s="25"/>
      <c r="C433" s="26"/>
      <c r="D433" s="26"/>
      <c r="E433" s="26"/>
      <c r="F433" s="26"/>
      <c r="G433" s="27"/>
    </row>
    <row r="434" spans="2:9">
      <c r="B434" s="28"/>
      <c r="G434" s="29"/>
    </row>
    <row r="435" spans="2:9" ht="15.75">
      <c r="B435" s="613" t="s">
        <v>216</v>
      </c>
      <c r="C435" s="614"/>
      <c r="D435" s="614"/>
      <c r="E435" s="614"/>
      <c r="F435" s="614"/>
      <c r="G435" s="615"/>
    </row>
    <row r="436" spans="2:9">
      <c r="B436" s="616" t="s">
        <v>217</v>
      </c>
      <c r="C436" s="617"/>
      <c r="D436" s="617" t="s">
        <v>218</v>
      </c>
      <c r="E436" s="617"/>
      <c r="F436" s="595" t="s">
        <v>219</v>
      </c>
      <c r="G436" s="596"/>
    </row>
    <row r="437" spans="2:9">
      <c r="B437" s="583"/>
      <c r="C437" s="584"/>
      <c r="D437" s="587"/>
      <c r="E437" s="584"/>
      <c r="F437" s="589"/>
      <c r="G437" s="590"/>
    </row>
    <row r="438" spans="2:9">
      <c r="B438" s="585"/>
      <c r="C438" s="586"/>
      <c r="D438" s="588"/>
      <c r="E438" s="586"/>
      <c r="F438" s="591"/>
      <c r="G438" s="592"/>
    </row>
    <row r="439" spans="2:9">
      <c r="B439" s="28"/>
      <c r="G439" s="29"/>
    </row>
    <row r="440" spans="2:9">
      <c r="B440" s="593" t="s">
        <v>220</v>
      </c>
      <c r="C440" s="594"/>
      <c r="D440" s="595" t="s">
        <v>221</v>
      </c>
      <c r="E440" s="594"/>
      <c r="F440" s="595" t="s">
        <v>222</v>
      </c>
      <c r="G440" s="596"/>
    </row>
    <row r="441" spans="2:9">
      <c r="B441" s="639"/>
      <c r="C441" s="640"/>
      <c r="D441" s="641"/>
      <c r="E441" s="640"/>
      <c r="F441" s="641" t="s">
        <v>964</v>
      </c>
      <c r="G441" s="642"/>
    </row>
    <row r="444" spans="2:9" ht="15.75">
      <c r="B444" s="543" t="s">
        <v>866</v>
      </c>
      <c r="C444" s="544"/>
      <c r="D444" s="544"/>
      <c r="E444" s="544"/>
      <c r="F444" s="544"/>
      <c r="G444" s="545"/>
      <c r="I444" s="87" t="s">
        <v>917</v>
      </c>
    </row>
    <row r="445" spans="2:9" ht="15.75">
      <c r="B445" s="546" t="s">
        <v>190</v>
      </c>
      <c r="C445" s="547"/>
      <c r="D445" s="547"/>
      <c r="E445" s="547"/>
      <c r="F445" s="547"/>
      <c r="G445" s="548"/>
    </row>
    <row r="446" spans="2:9">
      <c r="B446" s="549" t="s">
        <v>191</v>
      </c>
      <c r="C446" s="550"/>
      <c r="D446" s="551" t="s">
        <v>192</v>
      </c>
      <c r="E446" s="552"/>
      <c r="F446" s="555" t="s">
        <v>193</v>
      </c>
      <c r="G446" s="15" t="s">
        <v>194</v>
      </c>
    </row>
    <row r="447" spans="2:9">
      <c r="B447" s="770" t="s">
        <v>271</v>
      </c>
      <c r="C447" s="771"/>
      <c r="D447" s="553"/>
      <c r="E447" s="554"/>
      <c r="F447" s="556"/>
      <c r="G447" s="16" t="s">
        <v>957</v>
      </c>
    </row>
    <row r="448" spans="2:9" ht="22.5">
      <c r="B448" s="772" t="s">
        <v>197</v>
      </c>
      <c r="C448" s="772"/>
      <c r="D448" s="566" t="s">
        <v>856</v>
      </c>
      <c r="E448" s="566"/>
      <c r="F448" s="571">
        <v>116</v>
      </c>
      <c r="G448" s="17" t="s">
        <v>929</v>
      </c>
    </row>
    <row r="449" spans="2:7">
      <c r="B449" s="772"/>
      <c r="C449" s="772"/>
      <c r="D449" s="568"/>
      <c r="E449" s="568"/>
      <c r="F449" s="572"/>
      <c r="G449" s="18" t="s">
        <v>200</v>
      </c>
    </row>
    <row r="450" spans="2:7">
      <c r="B450" s="772"/>
      <c r="C450" s="772"/>
      <c r="D450" s="570"/>
      <c r="E450" s="570"/>
      <c r="F450" s="573"/>
      <c r="G450" s="17" t="s">
        <v>201</v>
      </c>
    </row>
    <row r="451" spans="2:7">
      <c r="B451" s="19" t="s">
        <v>202</v>
      </c>
      <c r="C451" s="20"/>
      <c r="D451" s="20"/>
      <c r="E451" s="20"/>
      <c r="F451" s="20"/>
      <c r="G451" s="21"/>
    </row>
    <row r="452" spans="2:7">
      <c r="B452" s="22"/>
      <c r="C452" s="23" t="s">
        <v>203</v>
      </c>
      <c r="D452" s="23" t="s">
        <v>203</v>
      </c>
      <c r="E452" s="23" t="s">
        <v>203</v>
      </c>
      <c r="F452" s="23" t="s">
        <v>203</v>
      </c>
      <c r="G452" s="23" t="s">
        <v>203</v>
      </c>
    </row>
    <row r="453" spans="2:7">
      <c r="B453" s="574" t="s">
        <v>204</v>
      </c>
      <c r="C453" s="580" t="s">
        <v>900</v>
      </c>
      <c r="D453" s="580" t="s">
        <v>965</v>
      </c>
      <c r="E453" s="580" t="s">
        <v>966</v>
      </c>
      <c r="F453" s="580" t="s">
        <v>967</v>
      </c>
      <c r="G453" s="580" t="s">
        <v>202</v>
      </c>
    </row>
    <row r="454" spans="2:7">
      <c r="B454" s="575"/>
      <c r="C454" s="581"/>
      <c r="D454" s="581"/>
      <c r="E454" s="581"/>
      <c r="F454" s="581"/>
      <c r="G454" s="581"/>
    </row>
    <row r="455" spans="2:7">
      <c r="B455" s="575"/>
      <c r="C455" s="581"/>
      <c r="D455" s="581"/>
      <c r="E455" s="581"/>
      <c r="F455" s="581"/>
      <c r="G455" s="581"/>
    </row>
    <row r="456" spans="2:7">
      <c r="B456" s="576"/>
      <c r="C456" s="582"/>
      <c r="D456" s="582"/>
      <c r="E456" s="582"/>
      <c r="F456" s="582"/>
      <c r="G456" s="582"/>
    </row>
    <row r="457" spans="2:7">
      <c r="B457" s="574" t="s">
        <v>208</v>
      </c>
      <c r="C457" s="580" t="s">
        <v>968</v>
      </c>
      <c r="D457" s="580" t="s">
        <v>969</v>
      </c>
      <c r="E457" s="580" t="s">
        <v>862</v>
      </c>
      <c r="F457" s="580"/>
      <c r="G457" s="580"/>
    </row>
    <row r="458" spans="2:7">
      <c r="B458" s="575"/>
      <c r="C458" s="581"/>
      <c r="D458" s="581"/>
      <c r="E458" s="581"/>
      <c r="F458" s="581"/>
      <c r="G458" s="581"/>
    </row>
    <row r="459" spans="2:7">
      <c r="B459" s="575"/>
      <c r="C459" s="581"/>
      <c r="D459" s="581"/>
      <c r="E459" s="581"/>
      <c r="F459" s="581"/>
      <c r="G459" s="581"/>
    </row>
    <row r="460" spans="2:7">
      <c r="B460" s="576"/>
      <c r="C460" s="582"/>
      <c r="D460" s="582"/>
      <c r="E460" s="582"/>
      <c r="F460" s="582"/>
      <c r="G460" s="582"/>
    </row>
    <row r="461" spans="2:7">
      <c r="B461" s="24"/>
      <c r="C461" s="20"/>
      <c r="D461" s="20"/>
      <c r="E461" s="20"/>
      <c r="F461" s="20"/>
      <c r="G461" s="21"/>
    </row>
    <row r="462" spans="2:7">
      <c r="B462" s="597" t="s">
        <v>212</v>
      </c>
      <c r="C462" s="598"/>
      <c r="D462" s="598"/>
      <c r="E462" s="599" t="s">
        <v>213</v>
      </c>
      <c r="F462" s="599"/>
      <c r="G462" s="600"/>
    </row>
    <row r="463" spans="2:7">
      <c r="B463" s="601" t="s">
        <v>910</v>
      </c>
      <c r="C463" s="602"/>
      <c r="D463" s="603"/>
      <c r="E463" s="610" t="s">
        <v>970</v>
      </c>
      <c r="F463" s="611"/>
      <c r="G463" s="612"/>
    </row>
    <row r="464" spans="2:7">
      <c r="B464" s="604"/>
      <c r="C464" s="605"/>
      <c r="D464" s="606"/>
      <c r="E464" s="611"/>
      <c r="F464" s="611"/>
      <c r="G464" s="612"/>
    </row>
    <row r="465" spans="2:7">
      <c r="B465" s="604"/>
      <c r="C465" s="605"/>
      <c r="D465" s="606"/>
      <c r="E465" s="611"/>
      <c r="F465" s="611"/>
      <c r="G465" s="612"/>
    </row>
    <row r="466" spans="2:7">
      <c r="B466" s="607"/>
      <c r="C466" s="608"/>
      <c r="D466" s="609"/>
      <c r="E466" s="611"/>
      <c r="F466" s="611"/>
      <c r="G466" s="612"/>
    </row>
    <row r="467" spans="2:7">
      <c r="B467" s="25"/>
      <c r="C467" s="26"/>
      <c r="D467" s="26"/>
      <c r="E467" s="26"/>
      <c r="F467" s="26"/>
      <c r="G467" s="27"/>
    </row>
    <row r="468" spans="2:7">
      <c r="B468" s="28"/>
      <c r="G468" s="29"/>
    </row>
    <row r="469" spans="2:7" ht="15.75">
      <c r="B469" s="613" t="s">
        <v>216</v>
      </c>
      <c r="C469" s="614"/>
      <c r="D469" s="614"/>
      <c r="E469" s="614"/>
      <c r="F469" s="614"/>
      <c r="G469" s="615"/>
    </row>
    <row r="470" spans="2:7">
      <c r="B470" s="616" t="s">
        <v>217</v>
      </c>
      <c r="C470" s="617"/>
      <c r="D470" s="617" t="s">
        <v>218</v>
      </c>
      <c r="E470" s="617"/>
      <c r="F470" s="595" t="s">
        <v>219</v>
      </c>
      <c r="G470" s="596"/>
    </row>
    <row r="471" spans="2:7">
      <c r="B471" s="583"/>
      <c r="C471" s="584"/>
      <c r="D471" s="587"/>
      <c r="E471" s="584"/>
      <c r="F471" s="589"/>
      <c r="G471" s="590"/>
    </row>
    <row r="472" spans="2:7">
      <c r="B472" s="585"/>
      <c r="C472" s="586"/>
      <c r="D472" s="588"/>
      <c r="E472" s="586"/>
      <c r="F472" s="591"/>
      <c r="G472" s="592"/>
    </row>
    <row r="473" spans="2:7">
      <c r="B473" s="28"/>
      <c r="G473" s="29"/>
    </row>
    <row r="474" spans="2:7">
      <c r="B474" s="593" t="s">
        <v>220</v>
      </c>
      <c r="C474" s="594"/>
      <c r="D474" s="595" t="s">
        <v>221</v>
      </c>
      <c r="E474" s="594"/>
      <c r="F474" s="595" t="s">
        <v>222</v>
      </c>
      <c r="G474" s="596"/>
    </row>
    <row r="475" spans="2:7">
      <c r="B475" s="639"/>
      <c r="C475" s="640"/>
      <c r="D475" s="641"/>
      <c r="E475" s="640"/>
      <c r="F475" s="641" t="s">
        <v>971</v>
      </c>
      <c r="G475" s="642"/>
    </row>
  </sheetData>
  <autoFilter ref="A2:N24" xr:uid="{297BA5AA-F31B-4557-81B4-34A4B87C846B}">
    <filterColumn colId="2" showButton="0"/>
  </autoFilter>
  <mergeCells count="513">
    <mergeCell ref="B198:C198"/>
    <mergeCell ref="D198:E198"/>
    <mergeCell ref="F198:G198"/>
    <mergeCell ref="B199:C199"/>
    <mergeCell ref="D199:E199"/>
    <mergeCell ref="F199:G199"/>
    <mergeCell ref="B186:D186"/>
    <mergeCell ref="E186:G186"/>
    <mergeCell ref="B187:D190"/>
    <mergeCell ref="E187:G190"/>
    <mergeCell ref="B193:G193"/>
    <mergeCell ref="B194:C194"/>
    <mergeCell ref="D194:E194"/>
    <mergeCell ref="F194:G194"/>
    <mergeCell ref="B195:C196"/>
    <mergeCell ref="D195:E196"/>
    <mergeCell ref="F195:G196"/>
    <mergeCell ref="B177:B180"/>
    <mergeCell ref="C177:C180"/>
    <mergeCell ref="D177:D180"/>
    <mergeCell ref="E177:E180"/>
    <mergeCell ref="F177:F180"/>
    <mergeCell ref="G177:G180"/>
    <mergeCell ref="B181:B184"/>
    <mergeCell ref="C181:C184"/>
    <mergeCell ref="D181:D184"/>
    <mergeCell ref="E181:E184"/>
    <mergeCell ref="F181:F184"/>
    <mergeCell ref="G181:G184"/>
    <mergeCell ref="B168:G168"/>
    <mergeCell ref="B169:G169"/>
    <mergeCell ref="B170:C170"/>
    <mergeCell ref="D170:E171"/>
    <mergeCell ref="F170:F171"/>
    <mergeCell ref="B171:C171"/>
    <mergeCell ref="B172:C174"/>
    <mergeCell ref="D172:E174"/>
    <mergeCell ref="F172:F174"/>
    <mergeCell ref="B475:C475"/>
    <mergeCell ref="D475:E475"/>
    <mergeCell ref="F475:G475"/>
    <mergeCell ref="B469:G469"/>
    <mergeCell ref="B470:C470"/>
    <mergeCell ref="D470:E470"/>
    <mergeCell ref="F470:G470"/>
    <mergeCell ref="B471:C472"/>
    <mergeCell ref="D471:E472"/>
    <mergeCell ref="F471:G472"/>
    <mergeCell ref="B474:C474"/>
    <mergeCell ref="D474:E474"/>
    <mergeCell ref="F474:G474"/>
    <mergeCell ref="B457:B460"/>
    <mergeCell ref="C457:C460"/>
    <mergeCell ref="D457:D460"/>
    <mergeCell ref="E457:E460"/>
    <mergeCell ref="F457:F460"/>
    <mergeCell ref="G457:G460"/>
    <mergeCell ref="B462:D462"/>
    <mergeCell ref="E462:G462"/>
    <mergeCell ref="B463:D466"/>
    <mergeCell ref="E463:G466"/>
    <mergeCell ref="B448:C450"/>
    <mergeCell ref="D448:E450"/>
    <mergeCell ref="F448:F450"/>
    <mergeCell ref="B453:B456"/>
    <mergeCell ref="C453:C456"/>
    <mergeCell ref="D453:D456"/>
    <mergeCell ref="E453:E456"/>
    <mergeCell ref="F453:F456"/>
    <mergeCell ref="G453:G456"/>
    <mergeCell ref="B441:C441"/>
    <mergeCell ref="D441:E441"/>
    <mergeCell ref="F441:G441"/>
    <mergeCell ref="B444:G444"/>
    <mergeCell ref="B445:G445"/>
    <mergeCell ref="B446:C446"/>
    <mergeCell ref="D446:E447"/>
    <mergeCell ref="F446:F447"/>
    <mergeCell ref="B447:C447"/>
    <mergeCell ref="B435:G435"/>
    <mergeCell ref="B436:C436"/>
    <mergeCell ref="D436:E436"/>
    <mergeCell ref="F436:G436"/>
    <mergeCell ref="B437:C438"/>
    <mergeCell ref="D437:E438"/>
    <mergeCell ref="F437:G438"/>
    <mergeCell ref="B440:C440"/>
    <mergeCell ref="D440:E440"/>
    <mergeCell ref="F440:G440"/>
    <mergeCell ref="B423:B426"/>
    <mergeCell ref="C423:C426"/>
    <mergeCell ref="D423:D426"/>
    <mergeCell ref="E423:E426"/>
    <mergeCell ref="F423:F426"/>
    <mergeCell ref="G423:G426"/>
    <mergeCell ref="B428:D428"/>
    <mergeCell ref="E428:G428"/>
    <mergeCell ref="B429:D432"/>
    <mergeCell ref="E429:G432"/>
    <mergeCell ref="B414:C416"/>
    <mergeCell ref="D414:E416"/>
    <mergeCell ref="F414:F416"/>
    <mergeCell ref="B419:B422"/>
    <mergeCell ref="C419:C422"/>
    <mergeCell ref="D419:D422"/>
    <mergeCell ref="E419:E422"/>
    <mergeCell ref="F419:F422"/>
    <mergeCell ref="G419:G422"/>
    <mergeCell ref="B407:C407"/>
    <mergeCell ref="D407:E407"/>
    <mergeCell ref="F407:G407"/>
    <mergeCell ref="B410:G410"/>
    <mergeCell ref="B411:G411"/>
    <mergeCell ref="B412:C412"/>
    <mergeCell ref="D412:E413"/>
    <mergeCell ref="F412:F413"/>
    <mergeCell ref="B413:C413"/>
    <mergeCell ref="B401:G401"/>
    <mergeCell ref="B402:C402"/>
    <mergeCell ref="D402:E402"/>
    <mergeCell ref="F402:G402"/>
    <mergeCell ref="B403:C404"/>
    <mergeCell ref="D403:E404"/>
    <mergeCell ref="F403:G404"/>
    <mergeCell ref="B406:C406"/>
    <mergeCell ref="D406:E406"/>
    <mergeCell ref="F406:G406"/>
    <mergeCell ref="B389:B392"/>
    <mergeCell ref="C389:C392"/>
    <mergeCell ref="D389:D392"/>
    <mergeCell ref="E389:E392"/>
    <mergeCell ref="F389:F392"/>
    <mergeCell ref="G389:G392"/>
    <mergeCell ref="B394:D394"/>
    <mergeCell ref="E394:G394"/>
    <mergeCell ref="B395:D398"/>
    <mergeCell ref="E395:G398"/>
    <mergeCell ref="B380:C382"/>
    <mergeCell ref="D380:E382"/>
    <mergeCell ref="F380:F382"/>
    <mergeCell ref="B385:B388"/>
    <mergeCell ref="C385:C388"/>
    <mergeCell ref="D385:D388"/>
    <mergeCell ref="E385:E388"/>
    <mergeCell ref="F385:F388"/>
    <mergeCell ref="G385:G388"/>
    <mergeCell ref="B164:C164"/>
    <mergeCell ref="D164:E164"/>
    <mergeCell ref="F164:G164"/>
    <mergeCell ref="B165:C165"/>
    <mergeCell ref="D165:E165"/>
    <mergeCell ref="F165:G165"/>
    <mergeCell ref="B376:G376"/>
    <mergeCell ref="B377:G377"/>
    <mergeCell ref="B378:C378"/>
    <mergeCell ref="D378:E379"/>
    <mergeCell ref="F378:F379"/>
    <mergeCell ref="B379:C379"/>
    <mergeCell ref="B339:C339"/>
    <mergeCell ref="D339:E339"/>
    <mergeCell ref="F339:G339"/>
    <mergeCell ref="B335:C336"/>
    <mergeCell ref="D335:E336"/>
    <mergeCell ref="F335:G336"/>
    <mergeCell ref="B338:C338"/>
    <mergeCell ref="D338:E338"/>
    <mergeCell ref="F338:G338"/>
    <mergeCell ref="B327:D330"/>
    <mergeCell ref="E327:G330"/>
    <mergeCell ref="B333:G333"/>
    <mergeCell ref="B152:D152"/>
    <mergeCell ref="E152:G152"/>
    <mergeCell ref="B153:D156"/>
    <mergeCell ref="E153:G156"/>
    <mergeCell ref="B159:G159"/>
    <mergeCell ref="B160:C160"/>
    <mergeCell ref="D160:E160"/>
    <mergeCell ref="F160:G160"/>
    <mergeCell ref="B161:C162"/>
    <mergeCell ref="D161:E162"/>
    <mergeCell ref="F161:G162"/>
    <mergeCell ref="B143:B146"/>
    <mergeCell ref="C143:C146"/>
    <mergeCell ref="D143:D146"/>
    <mergeCell ref="E143:E146"/>
    <mergeCell ref="F143:F146"/>
    <mergeCell ref="G143:G146"/>
    <mergeCell ref="B147:B150"/>
    <mergeCell ref="C147:C150"/>
    <mergeCell ref="D147:D150"/>
    <mergeCell ref="E147:E150"/>
    <mergeCell ref="F147:F150"/>
    <mergeCell ref="G147:G150"/>
    <mergeCell ref="B134:G134"/>
    <mergeCell ref="B135:G135"/>
    <mergeCell ref="B136:C136"/>
    <mergeCell ref="D136:E137"/>
    <mergeCell ref="F136:F137"/>
    <mergeCell ref="B137:C137"/>
    <mergeCell ref="B138:C140"/>
    <mergeCell ref="D138:E140"/>
    <mergeCell ref="F138:F140"/>
    <mergeCell ref="B96:C96"/>
    <mergeCell ref="D96:E96"/>
    <mergeCell ref="F96:G96"/>
    <mergeCell ref="B97:C97"/>
    <mergeCell ref="D97:E97"/>
    <mergeCell ref="F97:G97"/>
    <mergeCell ref="B84:D84"/>
    <mergeCell ref="E84:G84"/>
    <mergeCell ref="B85:D88"/>
    <mergeCell ref="E85:G88"/>
    <mergeCell ref="B91:G91"/>
    <mergeCell ref="B92:C92"/>
    <mergeCell ref="D92:E92"/>
    <mergeCell ref="F92:G92"/>
    <mergeCell ref="B93:C94"/>
    <mergeCell ref="D93:E94"/>
    <mergeCell ref="F93:G94"/>
    <mergeCell ref="B75:B78"/>
    <mergeCell ref="C75:C78"/>
    <mergeCell ref="D75:D78"/>
    <mergeCell ref="E75:E78"/>
    <mergeCell ref="F75:F78"/>
    <mergeCell ref="G75:G78"/>
    <mergeCell ref="B79:B82"/>
    <mergeCell ref="C79:C82"/>
    <mergeCell ref="D79:D82"/>
    <mergeCell ref="E79:E82"/>
    <mergeCell ref="F79:F82"/>
    <mergeCell ref="G79:G82"/>
    <mergeCell ref="B66:G66"/>
    <mergeCell ref="B67:G67"/>
    <mergeCell ref="B68:C68"/>
    <mergeCell ref="D68:E69"/>
    <mergeCell ref="F68:F69"/>
    <mergeCell ref="B69:C69"/>
    <mergeCell ref="B70:C72"/>
    <mergeCell ref="D70:E72"/>
    <mergeCell ref="F70:F72"/>
    <mergeCell ref="B334:C334"/>
    <mergeCell ref="D334:E334"/>
    <mergeCell ref="F334:G334"/>
    <mergeCell ref="G317:G320"/>
    <mergeCell ref="B321:B324"/>
    <mergeCell ref="C321:C324"/>
    <mergeCell ref="D321:D324"/>
    <mergeCell ref="E321:E324"/>
    <mergeCell ref="F321:F324"/>
    <mergeCell ref="G321:G324"/>
    <mergeCell ref="B312:C314"/>
    <mergeCell ref="D312:E314"/>
    <mergeCell ref="F312:F314"/>
    <mergeCell ref="B317:B320"/>
    <mergeCell ref="C317:C320"/>
    <mergeCell ref="D317:D320"/>
    <mergeCell ref="E317:E320"/>
    <mergeCell ref="F317:F320"/>
    <mergeCell ref="B373:C373"/>
    <mergeCell ref="D373:E373"/>
    <mergeCell ref="F373:G373"/>
    <mergeCell ref="B372:C372"/>
    <mergeCell ref="D372:E372"/>
    <mergeCell ref="F372:G372"/>
    <mergeCell ref="B346:C348"/>
    <mergeCell ref="D346:E348"/>
    <mergeCell ref="F346:F348"/>
    <mergeCell ref="B351:B354"/>
    <mergeCell ref="C351:C354"/>
    <mergeCell ref="D351:D354"/>
    <mergeCell ref="E351:E354"/>
    <mergeCell ref="F351:F354"/>
    <mergeCell ref="B326:D326"/>
    <mergeCell ref="E326:G326"/>
    <mergeCell ref="B308:G308"/>
    <mergeCell ref="B309:G309"/>
    <mergeCell ref="B310:C310"/>
    <mergeCell ref="D310:E311"/>
    <mergeCell ref="F310:F311"/>
    <mergeCell ref="B311:C311"/>
    <mergeCell ref="B369:C370"/>
    <mergeCell ref="D369:E370"/>
    <mergeCell ref="F369:G370"/>
    <mergeCell ref="B360:D360"/>
    <mergeCell ref="E360:G360"/>
    <mergeCell ref="B361:D364"/>
    <mergeCell ref="E361:G364"/>
    <mergeCell ref="B367:G367"/>
    <mergeCell ref="B368:C368"/>
    <mergeCell ref="D368:E368"/>
    <mergeCell ref="F368:G368"/>
    <mergeCell ref="G351:G354"/>
    <mergeCell ref="B355:B358"/>
    <mergeCell ref="C355:C358"/>
    <mergeCell ref="D355:D358"/>
    <mergeCell ref="E355:E358"/>
    <mergeCell ref="F355:F358"/>
    <mergeCell ref="G355:G358"/>
    <mergeCell ref="B271:C271"/>
    <mergeCell ref="D271:E271"/>
    <mergeCell ref="F271:G271"/>
    <mergeCell ref="B342:G342"/>
    <mergeCell ref="B343:G343"/>
    <mergeCell ref="B344:C344"/>
    <mergeCell ref="D344:E345"/>
    <mergeCell ref="F344:F345"/>
    <mergeCell ref="B345:C345"/>
    <mergeCell ref="B274:G274"/>
    <mergeCell ref="B275:G275"/>
    <mergeCell ref="B276:C276"/>
    <mergeCell ref="D276:E277"/>
    <mergeCell ref="F276:F277"/>
    <mergeCell ref="B277:C277"/>
    <mergeCell ref="B278:C280"/>
    <mergeCell ref="D278:E280"/>
    <mergeCell ref="F278:F280"/>
    <mergeCell ref="B283:B286"/>
    <mergeCell ref="C283:C286"/>
    <mergeCell ref="D283:D286"/>
    <mergeCell ref="E283:E286"/>
    <mergeCell ref="F283:F286"/>
    <mergeCell ref="G283:G286"/>
    <mergeCell ref="B267:C268"/>
    <mergeCell ref="D267:E268"/>
    <mergeCell ref="F267:G268"/>
    <mergeCell ref="B270:C270"/>
    <mergeCell ref="D270:E270"/>
    <mergeCell ref="F270:G270"/>
    <mergeCell ref="B258:D258"/>
    <mergeCell ref="E258:G258"/>
    <mergeCell ref="B259:D262"/>
    <mergeCell ref="E259:G262"/>
    <mergeCell ref="B265:G265"/>
    <mergeCell ref="B266:C266"/>
    <mergeCell ref="D266:E266"/>
    <mergeCell ref="F266:G266"/>
    <mergeCell ref="G249:G252"/>
    <mergeCell ref="B253:B256"/>
    <mergeCell ref="C253:C256"/>
    <mergeCell ref="D253:D256"/>
    <mergeCell ref="E253:E256"/>
    <mergeCell ref="F253:F256"/>
    <mergeCell ref="G253:G256"/>
    <mergeCell ref="B244:C246"/>
    <mergeCell ref="D244:E246"/>
    <mergeCell ref="F244:F246"/>
    <mergeCell ref="B249:B252"/>
    <mergeCell ref="C249:C252"/>
    <mergeCell ref="D249:D252"/>
    <mergeCell ref="E249:E252"/>
    <mergeCell ref="F249:F252"/>
    <mergeCell ref="B63:C63"/>
    <mergeCell ref="D63:E63"/>
    <mergeCell ref="F63:G63"/>
    <mergeCell ref="B240:G240"/>
    <mergeCell ref="B241:G241"/>
    <mergeCell ref="B242:C242"/>
    <mergeCell ref="D242:E243"/>
    <mergeCell ref="F242:F243"/>
    <mergeCell ref="B243:C243"/>
    <mergeCell ref="B100:G100"/>
    <mergeCell ref="B101:G101"/>
    <mergeCell ref="B102:C102"/>
    <mergeCell ref="D102:E103"/>
    <mergeCell ref="F102:F103"/>
    <mergeCell ref="B103:C103"/>
    <mergeCell ref="B104:C106"/>
    <mergeCell ref="D104:E106"/>
    <mergeCell ref="F104:F106"/>
    <mergeCell ref="B109:B112"/>
    <mergeCell ref="C109:C112"/>
    <mergeCell ref="D109:D112"/>
    <mergeCell ref="E109:E112"/>
    <mergeCell ref="F109:F112"/>
    <mergeCell ref="G109:G112"/>
    <mergeCell ref="B59:C60"/>
    <mergeCell ref="D59:E60"/>
    <mergeCell ref="F59:G60"/>
    <mergeCell ref="B62:C62"/>
    <mergeCell ref="D62:E62"/>
    <mergeCell ref="F62:G62"/>
    <mergeCell ref="B50:D50"/>
    <mergeCell ref="E50:G50"/>
    <mergeCell ref="B51:D54"/>
    <mergeCell ref="E51:G54"/>
    <mergeCell ref="B57:G57"/>
    <mergeCell ref="B58:C58"/>
    <mergeCell ref="D58:E58"/>
    <mergeCell ref="F58:G58"/>
    <mergeCell ref="B45:B48"/>
    <mergeCell ref="C45:C48"/>
    <mergeCell ref="D45:D48"/>
    <mergeCell ref="E45:E48"/>
    <mergeCell ref="F45:F48"/>
    <mergeCell ref="G45:G48"/>
    <mergeCell ref="B36:C38"/>
    <mergeCell ref="D36:E38"/>
    <mergeCell ref="F36:F38"/>
    <mergeCell ref="B41:B44"/>
    <mergeCell ref="C41:C44"/>
    <mergeCell ref="D41:D44"/>
    <mergeCell ref="E41:E44"/>
    <mergeCell ref="F41:F44"/>
    <mergeCell ref="B32:G32"/>
    <mergeCell ref="B33:G33"/>
    <mergeCell ref="B34:C34"/>
    <mergeCell ref="D34:E35"/>
    <mergeCell ref="F34:F35"/>
    <mergeCell ref="B35:C35"/>
    <mergeCell ref="I2:I3"/>
    <mergeCell ref="J2:J3"/>
    <mergeCell ref="G41:G44"/>
    <mergeCell ref="J5:J7"/>
    <mergeCell ref="I5:I7"/>
    <mergeCell ref="L5:N7"/>
    <mergeCell ref="K2:K3"/>
    <mergeCell ref="E26:K29"/>
    <mergeCell ref="B2:B3"/>
    <mergeCell ref="C2:D2"/>
    <mergeCell ref="E2:E3"/>
    <mergeCell ref="F2:F3"/>
    <mergeCell ref="G2:G3"/>
    <mergeCell ref="H2:H3"/>
    <mergeCell ref="C28:D28"/>
    <mergeCell ref="K5:K7"/>
    <mergeCell ref="I15:I16"/>
    <mergeCell ref="J15:J16"/>
    <mergeCell ref="K15:K16"/>
    <mergeCell ref="H5:H7"/>
    <mergeCell ref="B287:B290"/>
    <mergeCell ref="C287:C290"/>
    <mergeCell ref="D287:D290"/>
    <mergeCell ref="E287:E290"/>
    <mergeCell ref="F287:F290"/>
    <mergeCell ref="G287:G290"/>
    <mergeCell ref="B304:C304"/>
    <mergeCell ref="D304:E304"/>
    <mergeCell ref="F304:G304"/>
    <mergeCell ref="B305:C305"/>
    <mergeCell ref="D305:E305"/>
    <mergeCell ref="F305:G305"/>
    <mergeCell ref="B292:D292"/>
    <mergeCell ref="E292:G292"/>
    <mergeCell ref="B293:D296"/>
    <mergeCell ref="E293:G296"/>
    <mergeCell ref="B299:G299"/>
    <mergeCell ref="B300:C300"/>
    <mergeCell ref="D300:E300"/>
    <mergeCell ref="F300:G300"/>
    <mergeCell ref="B301:C302"/>
    <mergeCell ref="D301:E302"/>
    <mergeCell ref="F301:G302"/>
    <mergeCell ref="B131:C131"/>
    <mergeCell ref="D131:E131"/>
    <mergeCell ref="F131:G131"/>
    <mergeCell ref="B113:B116"/>
    <mergeCell ref="C113:C116"/>
    <mergeCell ref="D113:D116"/>
    <mergeCell ref="E113:E116"/>
    <mergeCell ref="F113:F116"/>
    <mergeCell ref="G113:G116"/>
    <mergeCell ref="B118:D118"/>
    <mergeCell ref="E118:G118"/>
    <mergeCell ref="E119:G122"/>
    <mergeCell ref="B125:G125"/>
    <mergeCell ref="B126:C126"/>
    <mergeCell ref="D126:E126"/>
    <mergeCell ref="F126:G126"/>
    <mergeCell ref="B127:C128"/>
    <mergeCell ref="D127:E128"/>
    <mergeCell ref="F127:G128"/>
    <mergeCell ref="B130:C130"/>
    <mergeCell ref="D130:E130"/>
    <mergeCell ref="F130:G130"/>
    <mergeCell ref="B119:D122"/>
    <mergeCell ref="B202:G202"/>
    <mergeCell ref="B203:G203"/>
    <mergeCell ref="B204:C204"/>
    <mergeCell ref="D204:E205"/>
    <mergeCell ref="F204:F205"/>
    <mergeCell ref="B205:C205"/>
    <mergeCell ref="B206:C208"/>
    <mergeCell ref="D206:E208"/>
    <mergeCell ref="F206:F208"/>
    <mergeCell ref="B211:B214"/>
    <mergeCell ref="C211:C214"/>
    <mergeCell ref="D211:D214"/>
    <mergeCell ref="E211:E214"/>
    <mergeCell ref="F211:F214"/>
    <mergeCell ref="G211:G214"/>
    <mergeCell ref="B215:B218"/>
    <mergeCell ref="C215:C218"/>
    <mergeCell ref="D215:D218"/>
    <mergeCell ref="E215:E218"/>
    <mergeCell ref="F215:F218"/>
    <mergeCell ref="G215:G218"/>
    <mergeCell ref="B232:C232"/>
    <mergeCell ref="D232:E232"/>
    <mergeCell ref="F232:G232"/>
    <mergeCell ref="B233:C233"/>
    <mergeCell ref="D233:E233"/>
    <mergeCell ref="F233:G233"/>
    <mergeCell ref="B220:D220"/>
    <mergeCell ref="E220:G220"/>
    <mergeCell ref="B221:D224"/>
    <mergeCell ref="E221:G224"/>
    <mergeCell ref="B227:G227"/>
    <mergeCell ref="B228:C228"/>
    <mergeCell ref="D228:E228"/>
    <mergeCell ref="F228:G228"/>
    <mergeCell ref="B229:C230"/>
    <mergeCell ref="D229:E230"/>
    <mergeCell ref="F229:G230"/>
  </mergeCells>
  <phoneticPr fontId="0" type="noConversion"/>
  <printOptions horizontalCentered="1" verticalCentered="1"/>
  <pageMargins left="0.7" right="0.7" top="0.75" bottom="0.75" header="0.3" footer="0.3"/>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2925E-B0ED-445F-A984-CDC5FB57B3AA}">
  <dimension ref="B1:K25"/>
  <sheetViews>
    <sheetView workbookViewId="0"/>
  </sheetViews>
  <sheetFormatPr defaultRowHeight="15"/>
  <cols>
    <col min="2" max="2" width="11.5703125" bestFit="1" customWidth="1"/>
    <col min="3" max="3" width="27" customWidth="1"/>
    <col min="4" max="4" width="34.42578125" customWidth="1"/>
    <col min="5" max="5" width="30" customWidth="1"/>
    <col min="6" max="6" width="32.140625" customWidth="1"/>
    <col min="7" max="7" width="31.85546875" customWidth="1"/>
    <col min="8" max="8" width="49.140625" customWidth="1"/>
    <col min="9" max="9" width="13.140625" customWidth="1"/>
    <col min="10" max="10" width="29.85546875" bestFit="1" customWidth="1"/>
    <col min="11" max="11" width="55.28515625" customWidth="1"/>
  </cols>
  <sheetData>
    <row r="1" spans="2:11">
      <c r="B1" s="443" t="s">
        <v>0</v>
      </c>
      <c r="C1" s="445" t="s">
        <v>1</v>
      </c>
      <c r="D1" s="438"/>
      <c r="E1" s="438" t="s">
        <v>2</v>
      </c>
      <c r="F1" s="438" t="s">
        <v>3</v>
      </c>
      <c r="G1" s="438" t="s">
        <v>4</v>
      </c>
      <c r="H1" s="438" t="s">
        <v>5</v>
      </c>
      <c r="I1" s="438" t="s">
        <v>6</v>
      </c>
      <c r="J1" s="438" t="s">
        <v>7</v>
      </c>
      <c r="K1" s="440" t="s">
        <v>8</v>
      </c>
    </row>
    <row r="2" spans="2:11">
      <c r="B2" s="444"/>
      <c r="C2" s="41" t="s">
        <v>9</v>
      </c>
      <c r="D2" s="42" t="s">
        <v>10</v>
      </c>
      <c r="E2" s="439"/>
      <c r="F2" s="439"/>
      <c r="G2" s="439"/>
      <c r="H2" s="439"/>
      <c r="I2" s="439"/>
      <c r="J2" s="439"/>
      <c r="K2" s="441"/>
    </row>
    <row r="3" spans="2:11" ht="32.25">
      <c r="B3" s="79">
        <v>1</v>
      </c>
      <c r="C3" s="74">
        <v>118</v>
      </c>
      <c r="D3" s="4"/>
      <c r="E3" s="306" t="s">
        <v>123</v>
      </c>
      <c r="F3" s="1" t="s">
        <v>124</v>
      </c>
      <c r="G3" s="1" t="s">
        <v>125</v>
      </c>
      <c r="H3" s="307" t="s">
        <v>126</v>
      </c>
      <c r="I3" s="2" t="s">
        <v>127</v>
      </c>
      <c r="J3" s="38" t="s">
        <v>128</v>
      </c>
      <c r="K3" s="35" t="s">
        <v>129</v>
      </c>
    </row>
    <row r="4" spans="2:11" ht="21.75">
      <c r="B4" s="37">
        <v>2</v>
      </c>
      <c r="C4" s="37">
        <v>30</v>
      </c>
      <c r="D4" s="4"/>
      <c r="E4" s="308" t="s">
        <v>130</v>
      </c>
      <c r="F4" s="1" t="s">
        <v>131</v>
      </c>
      <c r="G4" s="1" t="s">
        <v>125</v>
      </c>
      <c r="H4" s="307" t="s">
        <v>132</v>
      </c>
      <c r="I4" s="2" t="s">
        <v>127</v>
      </c>
      <c r="J4" s="38" t="s">
        <v>133</v>
      </c>
      <c r="K4" s="35" t="s">
        <v>134</v>
      </c>
    </row>
    <row r="5" spans="2:11" ht="29.25">
      <c r="B5" s="37">
        <v>3</v>
      </c>
      <c r="C5" s="37">
        <v>121</v>
      </c>
      <c r="D5" s="4"/>
      <c r="E5" s="308" t="s">
        <v>135</v>
      </c>
      <c r="F5" s="1" t="s">
        <v>131</v>
      </c>
      <c r="G5" s="1" t="s">
        <v>125</v>
      </c>
      <c r="H5" s="307" t="s">
        <v>136</v>
      </c>
      <c r="I5" s="2" t="s">
        <v>127</v>
      </c>
      <c r="J5" s="33" t="s">
        <v>137</v>
      </c>
      <c r="K5" s="36" t="s">
        <v>138</v>
      </c>
    </row>
    <row r="6" spans="2:11" ht="21.75">
      <c r="B6" s="37">
        <v>4</v>
      </c>
      <c r="C6" s="119">
        <v>406</v>
      </c>
      <c r="D6" s="4"/>
      <c r="E6" s="308" t="s">
        <v>139</v>
      </c>
      <c r="F6" s="1" t="s">
        <v>124</v>
      </c>
      <c r="G6" s="1" t="s">
        <v>140</v>
      </c>
      <c r="H6" s="307" t="s">
        <v>141</v>
      </c>
      <c r="I6" s="2" t="s">
        <v>127</v>
      </c>
      <c r="J6" s="38" t="s">
        <v>142</v>
      </c>
      <c r="K6" s="61" t="s">
        <v>143</v>
      </c>
    </row>
    <row r="7" spans="2:11" ht="21.75">
      <c r="B7" s="37">
        <v>5</v>
      </c>
      <c r="C7" s="37">
        <v>15</v>
      </c>
      <c r="D7" s="4"/>
      <c r="E7" s="308" t="s">
        <v>144</v>
      </c>
      <c r="F7" s="1" t="s">
        <v>124</v>
      </c>
      <c r="G7" s="1" t="s">
        <v>140</v>
      </c>
      <c r="H7" s="307" t="s">
        <v>145</v>
      </c>
      <c r="I7" s="2" t="s">
        <v>146</v>
      </c>
      <c r="J7" s="38"/>
      <c r="K7" s="36"/>
    </row>
    <row r="8" spans="2:11" ht="32.25">
      <c r="B8" s="37">
        <v>6</v>
      </c>
      <c r="C8" s="37"/>
      <c r="D8" s="309">
        <v>152</v>
      </c>
      <c r="E8" s="308" t="s">
        <v>147</v>
      </c>
      <c r="F8" s="1" t="s">
        <v>131</v>
      </c>
      <c r="G8" s="1" t="s">
        <v>140</v>
      </c>
      <c r="H8" s="307" t="s">
        <v>148</v>
      </c>
      <c r="I8" s="2" t="s">
        <v>127</v>
      </c>
      <c r="J8" s="33" t="s">
        <v>149</v>
      </c>
      <c r="K8" s="36" t="s">
        <v>150</v>
      </c>
    </row>
    <row r="9" spans="2:11" ht="32.25">
      <c r="B9" s="37">
        <v>7</v>
      </c>
      <c r="C9" s="37"/>
      <c r="D9" s="310">
        <v>14</v>
      </c>
      <c r="E9" s="308" t="s">
        <v>151</v>
      </c>
      <c r="F9" s="1" t="s">
        <v>131</v>
      </c>
      <c r="G9" s="1" t="s">
        <v>152</v>
      </c>
      <c r="H9" s="307" t="s">
        <v>153</v>
      </c>
      <c r="I9" s="2" t="s">
        <v>146</v>
      </c>
      <c r="J9" s="38"/>
      <c r="K9" s="36"/>
    </row>
    <row r="10" spans="2:11" ht="29.25">
      <c r="B10" s="37">
        <v>8</v>
      </c>
      <c r="C10" s="37"/>
      <c r="D10" s="310">
        <v>105</v>
      </c>
      <c r="E10" s="308" t="s">
        <v>154</v>
      </c>
      <c r="F10" s="1" t="s">
        <v>131</v>
      </c>
      <c r="G10" s="1" t="s">
        <v>152</v>
      </c>
      <c r="H10" s="307" t="s">
        <v>155</v>
      </c>
      <c r="I10" s="2" t="s">
        <v>127</v>
      </c>
      <c r="J10" s="38" t="s">
        <v>156</v>
      </c>
      <c r="K10" s="36" t="s">
        <v>157</v>
      </c>
    </row>
    <row r="11" spans="2:11">
      <c r="B11" s="37">
        <v>9</v>
      </c>
      <c r="C11" s="37">
        <v>10</v>
      </c>
      <c r="D11" s="8"/>
      <c r="E11" s="308" t="s">
        <v>158</v>
      </c>
      <c r="F11" s="5" t="s">
        <v>159</v>
      </c>
      <c r="G11" s="1" t="s">
        <v>140</v>
      </c>
      <c r="H11" s="307" t="s">
        <v>160</v>
      </c>
      <c r="I11" s="2" t="s">
        <v>146</v>
      </c>
      <c r="J11" s="38"/>
      <c r="K11" s="36"/>
    </row>
    <row r="12" spans="2:11">
      <c r="B12" s="37">
        <v>10</v>
      </c>
      <c r="C12" s="37">
        <v>120</v>
      </c>
      <c r="D12" s="8"/>
      <c r="E12" s="308" t="s">
        <v>161</v>
      </c>
      <c r="F12" s="5" t="s">
        <v>131</v>
      </c>
      <c r="G12" s="5" t="s">
        <v>162</v>
      </c>
      <c r="H12" s="307" t="s">
        <v>163</v>
      </c>
      <c r="I12" s="2" t="s">
        <v>127</v>
      </c>
      <c r="J12" s="39" t="s">
        <v>164</v>
      </c>
      <c r="K12" s="36" t="s">
        <v>165</v>
      </c>
    </row>
    <row r="13" spans="2:11">
      <c r="B13" s="37">
        <v>11</v>
      </c>
      <c r="C13" s="37"/>
      <c r="D13" s="8">
        <v>5</v>
      </c>
      <c r="E13" s="308" t="s">
        <v>166</v>
      </c>
      <c r="F13" s="1" t="s">
        <v>131</v>
      </c>
      <c r="G13" s="1" t="s">
        <v>152</v>
      </c>
      <c r="H13" s="307" t="s">
        <v>167</v>
      </c>
      <c r="I13" s="5" t="s">
        <v>146</v>
      </c>
      <c r="J13" s="39"/>
      <c r="K13" s="36"/>
    </row>
    <row r="14" spans="2:11" ht="29.25">
      <c r="B14" s="37">
        <v>12</v>
      </c>
      <c r="C14" s="37">
        <v>120</v>
      </c>
      <c r="D14" s="8"/>
      <c r="E14" s="308" t="s">
        <v>168</v>
      </c>
      <c r="F14" s="5" t="s">
        <v>159</v>
      </c>
      <c r="G14" s="1" t="s">
        <v>140</v>
      </c>
      <c r="H14" s="307" t="s">
        <v>169</v>
      </c>
      <c r="I14" s="2" t="s">
        <v>127</v>
      </c>
      <c r="J14" s="40" t="s">
        <v>170</v>
      </c>
      <c r="K14" s="36" t="s">
        <v>171</v>
      </c>
    </row>
    <row r="15" spans="2:11">
      <c r="B15" s="37">
        <v>13</v>
      </c>
      <c r="C15" s="37">
        <v>6</v>
      </c>
      <c r="D15" s="8"/>
      <c r="E15" s="308" t="s">
        <v>172</v>
      </c>
      <c r="F15" s="5" t="s">
        <v>124</v>
      </c>
      <c r="G15" s="1" t="s">
        <v>125</v>
      </c>
      <c r="H15" s="307" t="s">
        <v>173</v>
      </c>
      <c r="I15" s="5" t="s">
        <v>146</v>
      </c>
      <c r="J15" s="39"/>
      <c r="K15" s="36"/>
    </row>
    <row r="16" spans="2:11">
      <c r="B16" s="37">
        <v>14</v>
      </c>
      <c r="C16" s="119">
        <v>248</v>
      </c>
      <c r="D16" s="8"/>
      <c r="E16" s="308" t="s">
        <v>172</v>
      </c>
      <c r="F16" s="5" t="s">
        <v>131</v>
      </c>
      <c r="G16" s="5" t="s">
        <v>174</v>
      </c>
      <c r="H16" s="307" t="s">
        <v>175</v>
      </c>
      <c r="I16" s="2" t="s">
        <v>127</v>
      </c>
      <c r="J16" s="38" t="s">
        <v>156</v>
      </c>
      <c r="K16" s="36" t="s">
        <v>176</v>
      </c>
    </row>
    <row r="17" spans="2:11">
      <c r="B17" s="37">
        <v>15</v>
      </c>
      <c r="C17" s="119">
        <v>270</v>
      </c>
      <c r="D17" s="8"/>
      <c r="E17" s="308" t="s">
        <v>177</v>
      </c>
      <c r="F17" s="5" t="s">
        <v>159</v>
      </c>
      <c r="G17" s="1" t="s">
        <v>152</v>
      </c>
      <c r="H17" s="307" t="s">
        <v>175</v>
      </c>
      <c r="I17" s="2" t="s">
        <v>127</v>
      </c>
      <c r="J17" s="38" t="s">
        <v>156</v>
      </c>
      <c r="K17" s="36" t="s">
        <v>178</v>
      </c>
    </row>
    <row r="18" spans="2:11" ht="29.25">
      <c r="B18" s="37">
        <v>16</v>
      </c>
      <c r="C18" s="37">
        <v>90</v>
      </c>
      <c r="D18" s="8"/>
      <c r="E18" s="308" t="s">
        <v>179</v>
      </c>
      <c r="F18" s="5" t="s">
        <v>131</v>
      </c>
      <c r="G18" s="5" t="s">
        <v>174</v>
      </c>
      <c r="H18" s="307" t="s">
        <v>175</v>
      </c>
      <c r="I18" s="2" t="s">
        <v>127</v>
      </c>
      <c r="J18" s="38" t="s">
        <v>156</v>
      </c>
      <c r="K18" s="36" t="s">
        <v>180</v>
      </c>
    </row>
    <row r="19" spans="2:11" ht="87">
      <c r="B19" s="37">
        <v>17</v>
      </c>
      <c r="C19" s="37">
        <v>140</v>
      </c>
      <c r="D19" s="8"/>
      <c r="E19" s="308" t="s">
        <v>181</v>
      </c>
      <c r="F19" s="5" t="s">
        <v>159</v>
      </c>
      <c r="G19" s="1" t="s">
        <v>152</v>
      </c>
      <c r="H19" s="307" t="s">
        <v>175</v>
      </c>
      <c r="I19" s="2" t="s">
        <v>127</v>
      </c>
      <c r="J19" s="38" t="s">
        <v>156</v>
      </c>
      <c r="K19" s="36" t="s">
        <v>182</v>
      </c>
    </row>
    <row r="20" spans="2:11" ht="32.25">
      <c r="B20" s="37">
        <v>18</v>
      </c>
      <c r="C20" s="37">
        <v>75</v>
      </c>
      <c r="D20" s="8"/>
      <c r="E20" s="308" t="s">
        <v>183</v>
      </c>
      <c r="F20" s="5" t="s">
        <v>131</v>
      </c>
      <c r="G20" s="1" t="s">
        <v>125</v>
      </c>
      <c r="H20" s="307" t="s">
        <v>184</v>
      </c>
      <c r="I20" s="2" t="s">
        <v>127</v>
      </c>
      <c r="J20" s="39" t="s">
        <v>185</v>
      </c>
      <c r="K20" s="36" t="s">
        <v>186</v>
      </c>
    </row>
    <row r="21" spans="2:11">
      <c r="B21" s="37">
        <v>19</v>
      </c>
      <c r="C21" s="37">
        <v>102</v>
      </c>
      <c r="D21" s="8"/>
      <c r="E21" s="308" t="s">
        <v>187</v>
      </c>
      <c r="F21" s="5" t="s">
        <v>159</v>
      </c>
      <c r="G21" s="5" t="s">
        <v>174</v>
      </c>
      <c r="H21" s="307" t="s">
        <v>175</v>
      </c>
      <c r="I21" s="2" t="s">
        <v>127</v>
      </c>
      <c r="J21" s="38" t="s">
        <v>156</v>
      </c>
      <c r="K21" s="36" t="s">
        <v>188</v>
      </c>
    </row>
    <row r="22" spans="2:11">
      <c r="B22" s="124" t="s">
        <v>11</v>
      </c>
      <c r="C22" s="94">
        <f>SUM(C3:C21)</f>
        <v>1871</v>
      </c>
      <c r="D22" s="7">
        <f>SUM(D3:D21)</f>
        <v>276</v>
      </c>
      <c r="E22" s="434"/>
      <c r="F22" s="435"/>
      <c r="G22" s="435"/>
      <c r="H22" s="435"/>
      <c r="I22" s="435"/>
      <c r="J22" s="435"/>
      <c r="K22" s="435"/>
    </row>
    <row r="23" spans="2:11">
      <c r="B23" s="9"/>
      <c r="C23" s="10"/>
      <c r="D23" s="11"/>
      <c r="E23" s="434"/>
      <c r="F23" s="435"/>
      <c r="G23" s="435"/>
      <c r="H23" s="435"/>
      <c r="I23" s="435"/>
      <c r="J23" s="435"/>
      <c r="K23" s="435"/>
    </row>
    <row r="24" spans="2:11">
      <c r="B24" s="6" t="s">
        <v>12</v>
      </c>
      <c r="C24" s="432">
        <f>SUM(C22,D22)</f>
        <v>2147</v>
      </c>
      <c r="D24" s="433"/>
      <c r="E24" s="434"/>
      <c r="F24" s="435"/>
      <c r="G24" s="435"/>
      <c r="H24" s="435"/>
      <c r="I24" s="435"/>
      <c r="J24" s="435"/>
      <c r="K24" s="435"/>
    </row>
    <row r="25" spans="2:11">
      <c r="B25" s="12"/>
      <c r="C25" s="13"/>
      <c r="D25" s="14"/>
      <c r="E25" s="436"/>
      <c r="F25" s="437"/>
      <c r="G25" s="437"/>
      <c r="H25" s="437"/>
      <c r="I25" s="437"/>
      <c r="J25" s="437"/>
      <c r="K25" s="437"/>
    </row>
  </sheetData>
  <mergeCells count="11">
    <mergeCell ref="B1:B2"/>
    <mergeCell ref="C1:D1"/>
    <mergeCell ref="E1:E2"/>
    <mergeCell ref="F1:F2"/>
    <mergeCell ref="G1:G2"/>
    <mergeCell ref="I1:I2"/>
    <mergeCell ref="J1:J2"/>
    <mergeCell ref="K1:K2"/>
    <mergeCell ref="E22:K25"/>
    <mergeCell ref="C24:D24"/>
    <mergeCell ref="H1:H2"/>
  </mergeCells>
  <dataValidations count="1">
    <dataValidation operator="equal" allowBlank="1" showErrorMessage="1" sqref="H20" xr:uid="{CC062FED-7D83-415E-8515-22156321C35B}">
      <formula1>0</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3685-39A0-4F71-A630-19371AAE42D0}">
  <sheetPr>
    <pageSetUpPr fitToPage="1"/>
  </sheetPr>
  <dimension ref="A1:P189"/>
  <sheetViews>
    <sheetView topLeftCell="A168" workbookViewId="0">
      <selection activeCell="A173" sqref="A173"/>
    </sheetView>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t="s">
        <v>972</v>
      </c>
      <c r="H2" s="536"/>
      <c r="I2" s="536"/>
      <c r="J2" s="537" t="s">
        <v>73</v>
      </c>
      <c r="K2" s="537"/>
      <c r="L2" s="538"/>
    </row>
    <row r="3" spans="1:16">
      <c r="A3" s="539" t="s">
        <v>707</v>
      </c>
      <c r="B3" s="540"/>
      <c r="C3" s="540"/>
      <c r="D3" s="540"/>
      <c r="E3" s="540"/>
      <c r="F3" s="540"/>
      <c r="G3" s="540"/>
      <c r="H3" s="540"/>
      <c r="I3" s="541"/>
      <c r="J3" s="542" t="s">
        <v>973</v>
      </c>
      <c r="K3" s="542"/>
      <c r="L3" s="542"/>
    </row>
    <row r="4" spans="1:16" ht="12.75" customHeight="1">
      <c r="A4" s="510" t="s">
        <v>708</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974</v>
      </c>
      <c r="B10" s="492"/>
      <c r="C10" s="495" t="s">
        <v>975</v>
      </c>
      <c r="D10" s="495"/>
      <c r="E10" s="492" t="s">
        <v>976</v>
      </c>
      <c r="F10" s="492"/>
      <c r="G10" s="492"/>
      <c r="H10" s="496" t="s">
        <v>977</v>
      </c>
      <c r="I10" s="495"/>
      <c r="J10" s="496" t="s">
        <v>978</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979</v>
      </c>
      <c r="F12" s="492"/>
      <c r="G12" s="492"/>
      <c r="H12" s="495"/>
      <c r="I12" s="495"/>
      <c r="J12" s="495"/>
      <c r="K12" s="499"/>
      <c r="L12" s="500"/>
    </row>
    <row r="13" spans="1:16">
      <c r="A13" s="492" t="s">
        <v>980</v>
      </c>
      <c r="B13" s="492"/>
      <c r="C13" s="495"/>
      <c r="D13" s="495"/>
      <c r="E13" s="493"/>
      <c r="F13" s="493"/>
      <c r="G13" s="493"/>
      <c r="H13" s="495"/>
      <c r="I13" s="495"/>
      <c r="J13" s="495"/>
      <c r="K13" s="499"/>
      <c r="L13" s="500"/>
    </row>
    <row r="14" spans="1:16" ht="39.75" customHeight="1">
      <c r="A14" s="492"/>
      <c r="B14" s="492"/>
      <c r="C14" s="495"/>
      <c r="D14" s="495"/>
      <c r="E14" s="492" t="s">
        <v>981</v>
      </c>
      <c r="F14" s="492"/>
      <c r="G14" s="492"/>
      <c r="H14" s="495"/>
      <c r="I14" s="495"/>
      <c r="J14" s="495"/>
      <c r="K14" s="499"/>
      <c r="L14" s="500"/>
    </row>
    <row r="15" spans="1:16" ht="12.75" customHeight="1">
      <c r="A15" s="492" t="s">
        <v>982</v>
      </c>
      <c r="B15" s="492"/>
      <c r="C15" s="495"/>
      <c r="D15" s="495"/>
      <c r="E15" s="503"/>
      <c r="F15" s="503"/>
      <c r="G15" s="503"/>
      <c r="H15" s="495"/>
      <c r="I15" s="495"/>
      <c r="J15" s="495"/>
      <c r="K15" s="499"/>
      <c r="L15" s="500"/>
    </row>
    <row r="16" spans="1:16" ht="35.25" customHeight="1">
      <c r="A16" s="492"/>
      <c r="B16" s="492"/>
      <c r="C16" s="495"/>
      <c r="D16" s="495"/>
      <c r="E16" s="492" t="s">
        <v>983</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t="s">
        <v>984</v>
      </c>
      <c r="B18" s="478"/>
      <c r="C18" s="495"/>
      <c r="D18" s="495"/>
      <c r="E18" s="493"/>
      <c r="F18" s="493"/>
      <c r="G18" s="493"/>
      <c r="H18" s="495"/>
      <c r="I18" s="495"/>
      <c r="J18" s="495"/>
      <c r="K18" s="499"/>
      <c r="L18" s="500"/>
    </row>
    <row r="19" spans="1:12" ht="29.25" customHeight="1">
      <c r="A19" s="478"/>
      <c r="B19" s="478"/>
      <c r="C19" s="495"/>
      <c r="D19" s="495"/>
      <c r="E19" s="492" t="s">
        <v>985</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986</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103</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106</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ht="15" customHeight="1">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987</v>
      </c>
      <c r="J31" s="134" t="s">
        <v>114</v>
      </c>
      <c r="K31" s="134"/>
      <c r="L31" s="134" t="s">
        <v>972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t="s">
        <v>988</v>
      </c>
      <c r="K33" s="134"/>
      <c r="L33" s="134"/>
    </row>
    <row r="34" spans="1:12">
      <c r="A34" s="488" t="s">
        <v>119</v>
      </c>
      <c r="B34" s="489"/>
      <c r="C34" s="490" t="s">
        <v>120</v>
      </c>
      <c r="D34" s="490"/>
      <c r="E34" s="491" t="s">
        <v>121</v>
      </c>
      <c r="F34" s="491"/>
      <c r="G34" s="491"/>
      <c r="H34" s="491"/>
      <c r="I34" s="133" t="s">
        <v>122</v>
      </c>
      <c r="J34" s="134"/>
      <c r="K34" s="134"/>
      <c r="L34" s="134"/>
    </row>
    <row r="37" spans="1:12" ht="19.5">
      <c r="A37" s="532" t="s">
        <v>69</v>
      </c>
      <c r="B37" s="533"/>
      <c r="C37" s="533"/>
      <c r="D37" s="533"/>
      <c r="E37" s="533"/>
      <c r="F37" s="533"/>
      <c r="G37" s="533"/>
      <c r="H37" s="533"/>
      <c r="I37" s="533"/>
      <c r="J37" s="533"/>
      <c r="K37" s="533"/>
      <c r="L37" s="534"/>
    </row>
    <row r="38" spans="1:12">
      <c r="A38" s="125" t="s">
        <v>70</v>
      </c>
      <c r="B38" s="126"/>
      <c r="C38" s="126"/>
      <c r="D38" s="126"/>
      <c r="E38" s="517" t="s">
        <v>71</v>
      </c>
      <c r="F38" s="517"/>
      <c r="G38" s="535" t="s">
        <v>989</v>
      </c>
      <c r="H38" s="536"/>
      <c r="I38" s="536"/>
      <c r="J38" s="537" t="s">
        <v>73</v>
      </c>
      <c r="K38" s="537"/>
      <c r="L38" s="538"/>
    </row>
    <row r="39" spans="1:12">
      <c r="A39" s="539" t="s">
        <v>74</v>
      </c>
      <c r="B39" s="540"/>
      <c r="C39" s="540"/>
      <c r="D39" s="540"/>
      <c r="E39" s="540"/>
      <c r="F39" s="540"/>
      <c r="G39" s="540"/>
      <c r="H39" s="540"/>
      <c r="I39" s="541"/>
      <c r="J39" s="542" t="s">
        <v>75</v>
      </c>
      <c r="K39" s="542"/>
      <c r="L39" s="542"/>
    </row>
    <row r="40" spans="1:12">
      <c r="A40" s="510" t="s">
        <v>76</v>
      </c>
      <c r="B40" s="511"/>
      <c r="C40" s="511"/>
      <c r="D40" s="511"/>
      <c r="E40" s="511"/>
      <c r="F40" s="511"/>
      <c r="G40" s="512"/>
      <c r="H40" s="516" t="s">
        <v>77</v>
      </c>
      <c r="I40" s="516"/>
      <c r="J40" s="518" t="s">
        <v>990</v>
      </c>
      <c r="K40" s="519" t="s">
        <v>991</v>
      </c>
      <c r="L40" s="520"/>
    </row>
    <row r="41" spans="1:12">
      <c r="A41" s="513"/>
      <c r="B41" s="514"/>
      <c r="C41" s="514"/>
      <c r="D41" s="514"/>
      <c r="E41" s="514"/>
      <c r="F41" s="514"/>
      <c r="G41" s="515"/>
      <c r="H41" s="517"/>
      <c r="I41" s="517"/>
      <c r="J41" s="516"/>
      <c r="K41" s="521"/>
      <c r="L41" s="522"/>
    </row>
    <row r="42" spans="1:12">
      <c r="A42" s="127" t="s">
        <v>80</v>
      </c>
      <c r="B42" s="128"/>
      <c r="C42" s="129" t="s">
        <v>81</v>
      </c>
      <c r="D42" s="129"/>
      <c r="E42" s="523" t="s">
        <v>82</v>
      </c>
      <c r="F42" s="523"/>
      <c r="G42" s="523"/>
      <c r="H42" s="523"/>
      <c r="I42" s="523"/>
      <c r="J42" s="523"/>
      <c r="K42" s="523"/>
      <c r="L42" s="524"/>
    </row>
    <row r="43" spans="1:12">
      <c r="A43" s="525" t="s">
        <v>83</v>
      </c>
      <c r="B43" s="526"/>
      <c r="C43" s="527" t="s">
        <v>84</v>
      </c>
      <c r="D43" s="528"/>
      <c r="E43" s="482" t="s">
        <v>85</v>
      </c>
      <c r="F43" s="529"/>
      <c r="G43" s="528"/>
      <c r="H43" s="482" t="s">
        <v>86</v>
      </c>
      <c r="I43" s="528"/>
      <c r="J43" s="130" t="s">
        <v>87</v>
      </c>
      <c r="K43" s="482" t="s">
        <v>88</v>
      </c>
      <c r="L43" s="528"/>
    </row>
    <row r="44" spans="1:12">
      <c r="A44" s="506" t="s">
        <v>89</v>
      </c>
      <c r="B44" s="507"/>
      <c r="C44" s="506" t="s">
        <v>90</v>
      </c>
      <c r="D44" s="507"/>
      <c r="E44" s="506" t="s">
        <v>91</v>
      </c>
      <c r="F44" s="530"/>
      <c r="G44" s="507"/>
      <c r="H44" s="506" t="s">
        <v>92</v>
      </c>
      <c r="I44" s="507"/>
      <c r="J44" s="504" t="s">
        <v>93</v>
      </c>
      <c r="K44" s="506" t="s">
        <v>94</v>
      </c>
      <c r="L44" s="507"/>
    </row>
    <row r="45" spans="1:12">
      <c r="A45" s="508"/>
      <c r="B45" s="509"/>
      <c r="C45" s="508"/>
      <c r="D45" s="509"/>
      <c r="E45" s="508"/>
      <c r="F45" s="531"/>
      <c r="G45" s="509"/>
      <c r="H45" s="508"/>
      <c r="I45" s="509"/>
      <c r="J45" s="505"/>
      <c r="K45" s="508"/>
      <c r="L45" s="509"/>
    </row>
    <row r="46" spans="1:12" ht="15" customHeight="1">
      <c r="A46" s="813" t="s">
        <v>992</v>
      </c>
      <c r="B46" s="814"/>
      <c r="C46" s="826" t="s">
        <v>993</v>
      </c>
      <c r="D46" s="827"/>
      <c r="E46" s="492" t="s">
        <v>994</v>
      </c>
      <c r="F46" s="492"/>
      <c r="G46" s="812"/>
      <c r="H46" s="496" t="s">
        <v>995</v>
      </c>
      <c r="I46" s="495"/>
      <c r="J46" s="809" t="s">
        <v>996</v>
      </c>
      <c r="K46" s="497" t="s">
        <v>997</v>
      </c>
      <c r="L46" s="498"/>
    </row>
    <row r="47" spans="1:12">
      <c r="A47" s="817"/>
      <c r="B47" s="818"/>
      <c r="C47" s="828"/>
      <c r="D47" s="829"/>
      <c r="E47" s="493"/>
      <c r="F47" s="493"/>
      <c r="G47" s="811"/>
      <c r="H47" s="495"/>
      <c r="I47" s="495"/>
      <c r="J47" s="810"/>
      <c r="K47" s="499"/>
      <c r="L47" s="500"/>
    </row>
    <row r="48" spans="1:12">
      <c r="A48" s="815"/>
      <c r="B48" s="816"/>
      <c r="C48" s="828"/>
      <c r="D48" s="829"/>
      <c r="E48" s="492" t="s">
        <v>998</v>
      </c>
      <c r="F48" s="492"/>
      <c r="G48" s="812"/>
      <c r="H48" s="495"/>
      <c r="I48" s="495"/>
      <c r="J48" s="810"/>
      <c r="K48" s="499"/>
      <c r="L48" s="500"/>
    </row>
    <row r="49" spans="1:12">
      <c r="A49" s="813" t="s">
        <v>999</v>
      </c>
      <c r="B49" s="814"/>
      <c r="C49" s="828"/>
      <c r="D49" s="829"/>
      <c r="E49" s="493"/>
      <c r="F49" s="493"/>
      <c r="G49" s="811"/>
      <c r="H49" s="495"/>
      <c r="I49" s="495"/>
      <c r="J49" s="810"/>
      <c r="K49" s="499"/>
      <c r="L49" s="500"/>
    </row>
    <row r="50" spans="1:12" ht="34.5" customHeight="1">
      <c r="A50" s="815"/>
      <c r="B50" s="816"/>
      <c r="C50" s="828"/>
      <c r="D50" s="829"/>
      <c r="E50" s="492" t="s">
        <v>1000</v>
      </c>
      <c r="F50" s="492"/>
      <c r="G50" s="812"/>
      <c r="H50" s="495"/>
      <c r="I50" s="495"/>
      <c r="J50" s="810"/>
      <c r="K50" s="499"/>
      <c r="L50" s="500"/>
    </row>
    <row r="51" spans="1:12" ht="15" customHeight="1">
      <c r="A51" s="813" t="s">
        <v>1001</v>
      </c>
      <c r="B51" s="814"/>
      <c r="C51" s="828"/>
      <c r="D51" s="829"/>
      <c r="E51" s="503"/>
      <c r="F51" s="503"/>
      <c r="G51" s="819"/>
      <c r="H51" s="495"/>
      <c r="I51" s="495"/>
      <c r="J51" s="810"/>
      <c r="K51" s="499"/>
      <c r="L51" s="500"/>
    </row>
    <row r="52" spans="1:12">
      <c r="A52" s="817"/>
      <c r="B52" s="818"/>
      <c r="C52" s="828"/>
      <c r="D52" s="829"/>
      <c r="E52" s="492" t="s">
        <v>1002</v>
      </c>
      <c r="F52" s="492"/>
      <c r="G52" s="812"/>
      <c r="H52" s="495"/>
      <c r="I52" s="495"/>
      <c r="J52" s="810"/>
      <c r="K52" s="499"/>
      <c r="L52" s="500"/>
    </row>
    <row r="53" spans="1:12">
      <c r="A53" s="815"/>
      <c r="B53" s="816"/>
      <c r="C53" s="828"/>
      <c r="D53" s="829"/>
      <c r="E53" s="492"/>
      <c r="F53" s="492"/>
      <c r="G53" s="812"/>
      <c r="H53" s="495"/>
      <c r="I53" s="495"/>
      <c r="J53" s="810"/>
      <c r="K53" s="499"/>
      <c r="L53" s="500"/>
    </row>
    <row r="54" spans="1:12" ht="15" customHeight="1">
      <c r="A54" s="820" t="s">
        <v>1003</v>
      </c>
      <c r="B54" s="821"/>
      <c r="C54" s="828"/>
      <c r="D54" s="829"/>
      <c r="E54" s="493"/>
      <c r="F54" s="493"/>
      <c r="G54" s="811"/>
      <c r="H54" s="495"/>
      <c r="I54" s="495"/>
      <c r="J54" s="810"/>
      <c r="K54" s="499"/>
      <c r="L54" s="500"/>
    </row>
    <row r="55" spans="1:12">
      <c r="A55" s="499"/>
      <c r="B55" s="822"/>
      <c r="C55" s="828"/>
      <c r="D55" s="829"/>
      <c r="E55" s="492" t="s">
        <v>1004</v>
      </c>
      <c r="F55" s="492"/>
      <c r="G55" s="812"/>
      <c r="H55" s="495"/>
      <c r="I55" s="495"/>
      <c r="J55" s="810"/>
      <c r="K55" s="499"/>
      <c r="L55" s="500"/>
    </row>
    <row r="56" spans="1:12">
      <c r="A56" s="499"/>
      <c r="B56" s="822"/>
      <c r="C56" s="828"/>
      <c r="D56" s="829"/>
      <c r="E56" s="493"/>
      <c r="F56" s="493"/>
      <c r="G56" s="811"/>
      <c r="H56" s="495"/>
      <c r="I56" s="495"/>
      <c r="J56" s="810"/>
      <c r="K56" s="499"/>
      <c r="L56" s="500"/>
    </row>
    <row r="57" spans="1:12" ht="27.75" customHeight="1">
      <c r="A57" s="499"/>
      <c r="B57" s="822"/>
      <c r="C57" s="828"/>
      <c r="D57" s="829"/>
      <c r="E57" s="492" t="s">
        <v>1005</v>
      </c>
      <c r="F57" s="492"/>
      <c r="G57" s="812"/>
      <c r="H57" s="495"/>
      <c r="I57" s="495"/>
      <c r="J57" s="810"/>
      <c r="K57" s="499"/>
      <c r="L57" s="500"/>
    </row>
    <row r="58" spans="1:12">
      <c r="A58" s="499"/>
      <c r="B58" s="822"/>
      <c r="C58" s="828"/>
      <c r="D58" s="829"/>
      <c r="E58" s="478"/>
      <c r="F58" s="478"/>
      <c r="G58" s="825"/>
      <c r="H58" s="495"/>
      <c r="I58" s="495"/>
      <c r="J58" s="810"/>
      <c r="K58" s="499"/>
      <c r="L58" s="500"/>
    </row>
    <row r="59" spans="1:12">
      <c r="A59" s="499"/>
      <c r="B59" s="822"/>
      <c r="C59" s="828"/>
      <c r="D59" s="829"/>
      <c r="E59" s="492" t="s">
        <v>103</v>
      </c>
      <c r="F59" s="492"/>
      <c r="G59" s="812"/>
      <c r="H59" s="495"/>
      <c r="I59" s="495"/>
      <c r="J59" s="810"/>
      <c r="K59" s="499"/>
      <c r="L59" s="500"/>
    </row>
    <row r="60" spans="1:12">
      <c r="A60" s="499"/>
      <c r="B60" s="822"/>
      <c r="C60" s="828"/>
      <c r="D60" s="829"/>
      <c r="E60" s="492"/>
      <c r="F60" s="492"/>
      <c r="G60" s="812"/>
      <c r="H60" s="495"/>
      <c r="I60" s="495"/>
      <c r="J60" s="810"/>
      <c r="K60" s="499"/>
      <c r="L60" s="500"/>
    </row>
    <row r="61" spans="1:12">
      <c r="A61" s="499"/>
      <c r="B61" s="822"/>
      <c r="C61" s="828"/>
      <c r="D61" s="829"/>
      <c r="E61" s="492" t="s">
        <v>106</v>
      </c>
      <c r="F61" s="492"/>
      <c r="G61" s="812"/>
      <c r="H61" s="495"/>
      <c r="I61" s="495"/>
      <c r="J61" s="810"/>
      <c r="K61" s="499"/>
      <c r="L61" s="500"/>
    </row>
    <row r="62" spans="1:12">
      <c r="A62" s="499"/>
      <c r="B62" s="822"/>
      <c r="C62" s="828"/>
      <c r="D62" s="829"/>
      <c r="E62" s="492"/>
      <c r="F62" s="492"/>
      <c r="G62" s="812"/>
      <c r="H62" s="495"/>
      <c r="I62" s="495"/>
      <c r="J62" s="810"/>
      <c r="K62" s="499"/>
      <c r="L62" s="500"/>
    </row>
    <row r="63" spans="1:12">
      <c r="A63" s="499"/>
      <c r="B63" s="822"/>
      <c r="C63" s="828"/>
      <c r="D63" s="829"/>
      <c r="E63" s="492" t="s">
        <v>103</v>
      </c>
      <c r="F63" s="492"/>
      <c r="G63" s="812"/>
      <c r="H63" s="495"/>
      <c r="I63" s="495"/>
      <c r="J63" s="810"/>
      <c r="K63" s="499"/>
      <c r="L63" s="500"/>
    </row>
    <row r="64" spans="1:12">
      <c r="A64" s="499"/>
      <c r="B64" s="822"/>
      <c r="C64" s="828"/>
      <c r="D64" s="829"/>
      <c r="E64" s="492"/>
      <c r="F64" s="492"/>
      <c r="G64" s="812"/>
      <c r="H64" s="495"/>
      <c r="I64" s="495"/>
      <c r="J64" s="810"/>
      <c r="K64" s="499"/>
      <c r="L64" s="500"/>
    </row>
    <row r="65" spans="1:12">
      <c r="A65" s="823"/>
      <c r="B65" s="824"/>
      <c r="C65" s="830"/>
      <c r="D65" s="831"/>
      <c r="E65" s="492" t="s">
        <v>107</v>
      </c>
      <c r="F65" s="492"/>
      <c r="G65" s="812"/>
      <c r="H65" s="495"/>
      <c r="I65" s="495"/>
      <c r="J65" s="810"/>
      <c r="K65" s="501"/>
      <c r="L65" s="502"/>
    </row>
    <row r="66" spans="1:12">
      <c r="A66" s="479" t="s">
        <v>108</v>
      </c>
      <c r="B66" s="480"/>
      <c r="C66" s="480"/>
      <c r="D66" s="480"/>
      <c r="E66" s="480"/>
      <c r="F66" s="480"/>
      <c r="G66" s="480"/>
      <c r="H66" s="481"/>
      <c r="I66" s="131" t="s">
        <v>109</v>
      </c>
      <c r="J66" s="131" t="s">
        <v>110</v>
      </c>
      <c r="K66" s="132" t="s">
        <v>111</v>
      </c>
      <c r="L66" s="132" t="s">
        <v>112</v>
      </c>
    </row>
    <row r="67" spans="1:12">
      <c r="A67" s="482"/>
      <c r="B67" s="483"/>
      <c r="C67" s="483"/>
      <c r="D67" s="483"/>
      <c r="E67" s="483"/>
      <c r="F67" s="483"/>
      <c r="G67" s="483"/>
      <c r="H67" s="484"/>
      <c r="I67" s="133" t="s">
        <v>113</v>
      </c>
      <c r="J67" s="134" t="s">
        <v>114</v>
      </c>
      <c r="K67" s="134"/>
      <c r="L67" s="134" t="s">
        <v>989</v>
      </c>
    </row>
    <row r="68" spans="1:12">
      <c r="A68" s="485" t="s">
        <v>115</v>
      </c>
      <c r="B68" s="486"/>
      <c r="C68" s="486"/>
      <c r="D68" s="486"/>
      <c r="E68" s="486"/>
      <c r="F68" s="486"/>
      <c r="G68" s="486"/>
      <c r="H68" s="487"/>
      <c r="I68" s="133" t="s">
        <v>116</v>
      </c>
      <c r="J68" s="134" t="s">
        <v>117</v>
      </c>
      <c r="K68" s="134"/>
      <c r="L68" s="134"/>
    </row>
    <row r="69" spans="1:12">
      <c r="A69" s="485"/>
      <c r="B69" s="486"/>
      <c r="C69" s="486"/>
      <c r="D69" s="486"/>
      <c r="E69" s="486"/>
      <c r="F69" s="486"/>
      <c r="G69" s="486"/>
      <c r="H69" s="487"/>
      <c r="I69" s="133" t="s">
        <v>118</v>
      </c>
      <c r="J69" s="134" t="s">
        <v>988</v>
      </c>
      <c r="K69" s="134"/>
      <c r="L69" s="134"/>
    </row>
    <row r="70" spans="1:12">
      <c r="A70" s="488" t="s">
        <v>119</v>
      </c>
      <c r="B70" s="489"/>
      <c r="C70" s="490" t="s">
        <v>120</v>
      </c>
      <c r="D70" s="490"/>
      <c r="E70" s="491" t="s">
        <v>121</v>
      </c>
      <c r="F70" s="491"/>
      <c r="G70" s="491"/>
      <c r="H70" s="491"/>
      <c r="I70" s="133" t="s">
        <v>122</v>
      </c>
      <c r="J70" s="134"/>
      <c r="K70" s="134"/>
      <c r="L70" s="134"/>
    </row>
    <row r="73" spans="1:12" ht="19.5" customHeight="1"/>
    <row r="74" spans="1:12" ht="19.5" customHeight="1"/>
    <row r="75" spans="1:12" ht="19.5">
      <c r="A75" s="532" t="s">
        <v>69</v>
      </c>
      <c r="B75" s="533"/>
      <c r="C75" s="533"/>
      <c r="D75" s="533"/>
      <c r="E75" s="533"/>
      <c r="F75" s="533"/>
      <c r="G75" s="533"/>
      <c r="H75" s="533"/>
      <c r="I75" s="533"/>
      <c r="J75" s="533"/>
      <c r="K75" s="533"/>
      <c r="L75" s="534"/>
    </row>
    <row r="76" spans="1:12">
      <c r="A76" s="125" t="s">
        <v>70</v>
      </c>
      <c r="B76" s="126"/>
      <c r="C76" s="126"/>
      <c r="D76" s="126"/>
      <c r="E76" s="517" t="s">
        <v>71</v>
      </c>
      <c r="F76" s="517"/>
      <c r="G76" s="535" t="s">
        <v>1006</v>
      </c>
      <c r="H76" s="536"/>
      <c r="I76" s="536"/>
      <c r="J76" s="537" t="s">
        <v>73</v>
      </c>
      <c r="K76" s="537"/>
      <c r="L76" s="538"/>
    </row>
    <row r="77" spans="1:12" ht="15" customHeight="1">
      <c r="A77" s="539" t="s">
        <v>1007</v>
      </c>
      <c r="B77" s="540"/>
      <c r="C77" s="540"/>
      <c r="D77" s="540"/>
      <c r="E77" s="540"/>
      <c r="F77" s="540"/>
      <c r="G77" s="540"/>
      <c r="H77" s="540"/>
      <c r="I77" s="541"/>
      <c r="J77" s="542" t="s">
        <v>75</v>
      </c>
      <c r="K77" s="542"/>
      <c r="L77" s="542"/>
    </row>
    <row r="78" spans="1:12">
      <c r="A78" s="510" t="s">
        <v>1008</v>
      </c>
      <c r="B78" s="511"/>
      <c r="C78" s="511"/>
      <c r="D78" s="511"/>
      <c r="E78" s="511"/>
      <c r="F78" s="511"/>
      <c r="G78" s="512"/>
      <c r="H78" s="516" t="s">
        <v>77</v>
      </c>
      <c r="I78" s="516"/>
      <c r="J78" s="518" t="s">
        <v>990</v>
      </c>
      <c r="K78" s="519" t="s">
        <v>991</v>
      </c>
      <c r="L78" s="520"/>
    </row>
    <row r="79" spans="1:12">
      <c r="A79" s="513"/>
      <c r="B79" s="514"/>
      <c r="C79" s="514"/>
      <c r="D79" s="514"/>
      <c r="E79" s="514"/>
      <c r="F79" s="514"/>
      <c r="G79" s="515"/>
      <c r="H79" s="517"/>
      <c r="I79" s="517"/>
      <c r="J79" s="516"/>
      <c r="K79" s="521"/>
      <c r="L79" s="522"/>
    </row>
    <row r="80" spans="1:12">
      <c r="A80" s="127" t="s">
        <v>80</v>
      </c>
      <c r="B80" s="128"/>
      <c r="C80" s="129" t="s">
        <v>81</v>
      </c>
      <c r="D80" s="129"/>
      <c r="E80" s="523" t="s">
        <v>82</v>
      </c>
      <c r="F80" s="523"/>
      <c r="G80" s="523"/>
      <c r="H80" s="523"/>
      <c r="I80" s="523"/>
      <c r="J80" s="523"/>
      <c r="K80" s="523"/>
      <c r="L80" s="524"/>
    </row>
    <row r="81" spans="1:12">
      <c r="A81" s="525" t="s">
        <v>83</v>
      </c>
      <c r="B81" s="526"/>
      <c r="C81" s="527" t="s">
        <v>84</v>
      </c>
      <c r="D81" s="528"/>
      <c r="E81" s="482" t="s">
        <v>85</v>
      </c>
      <c r="F81" s="529"/>
      <c r="G81" s="528"/>
      <c r="H81" s="482" t="s">
        <v>86</v>
      </c>
      <c r="I81" s="528"/>
      <c r="J81" s="130" t="s">
        <v>87</v>
      </c>
      <c r="K81" s="482" t="s">
        <v>88</v>
      </c>
      <c r="L81" s="528"/>
    </row>
    <row r="82" spans="1:12">
      <c r="A82" s="506" t="s">
        <v>89</v>
      </c>
      <c r="B82" s="507"/>
      <c r="C82" s="506" t="s">
        <v>90</v>
      </c>
      <c r="D82" s="507"/>
      <c r="E82" s="506" t="s">
        <v>91</v>
      </c>
      <c r="F82" s="530"/>
      <c r="G82" s="507"/>
      <c r="H82" s="506" t="s">
        <v>92</v>
      </c>
      <c r="I82" s="507"/>
      <c r="J82" s="504" t="s">
        <v>93</v>
      </c>
      <c r="K82" s="506" t="s">
        <v>94</v>
      </c>
      <c r="L82" s="507"/>
    </row>
    <row r="83" spans="1:12">
      <c r="A83" s="508"/>
      <c r="B83" s="509"/>
      <c r="C83" s="508"/>
      <c r="D83" s="509"/>
      <c r="E83" s="508"/>
      <c r="F83" s="531"/>
      <c r="G83" s="509"/>
      <c r="H83" s="508"/>
      <c r="I83" s="509"/>
      <c r="J83" s="505"/>
      <c r="K83" s="508"/>
      <c r="L83" s="509"/>
    </row>
    <row r="84" spans="1:12" ht="15" customHeight="1">
      <c r="A84" s="834" t="s">
        <v>1009</v>
      </c>
      <c r="B84" s="814"/>
      <c r="C84" s="826" t="s">
        <v>1010</v>
      </c>
      <c r="D84" s="827"/>
      <c r="E84" s="492" t="s">
        <v>994</v>
      </c>
      <c r="F84" s="492"/>
      <c r="G84" s="812"/>
      <c r="H84" s="496" t="s">
        <v>995</v>
      </c>
      <c r="I84" s="495"/>
      <c r="J84" s="809" t="s">
        <v>1011</v>
      </c>
      <c r="K84" s="497" t="s">
        <v>997</v>
      </c>
      <c r="L84" s="498"/>
    </row>
    <row r="85" spans="1:12">
      <c r="A85" s="817"/>
      <c r="B85" s="818"/>
      <c r="C85" s="828"/>
      <c r="D85" s="829"/>
      <c r="E85" s="493"/>
      <c r="F85" s="493"/>
      <c r="G85" s="811"/>
      <c r="H85" s="495"/>
      <c r="I85" s="495"/>
      <c r="J85" s="810"/>
      <c r="K85" s="499"/>
      <c r="L85" s="500"/>
    </row>
    <row r="86" spans="1:12">
      <c r="A86" s="815"/>
      <c r="B86" s="816"/>
      <c r="C86" s="828"/>
      <c r="D86" s="829"/>
      <c r="E86" s="492" t="s">
        <v>998</v>
      </c>
      <c r="F86" s="492"/>
      <c r="G86" s="812"/>
      <c r="H86" s="495"/>
      <c r="I86" s="495"/>
      <c r="J86" s="810"/>
      <c r="K86" s="499"/>
      <c r="L86" s="500"/>
    </row>
    <row r="87" spans="1:12" ht="15" customHeight="1">
      <c r="A87" s="813" t="s">
        <v>1012</v>
      </c>
      <c r="B87" s="814"/>
      <c r="C87" s="828"/>
      <c r="D87" s="829"/>
      <c r="E87" s="493"/>
      <c r="F87" s="493"/>
      <c r="G87" s="811"/>
      <c r="H87" s="495"/>
      <c r="I87" s="495"/>
      <c r="J87" s="810"/>
      <c r="K87" s="499"/>
      <c r="L87" s="500"/>
    </row>
    <row r="88" spans="1:12" ht="31.5" customHeight="1">
      <c r="A88" s="815"/>
      <c r="B88" s="816"/>
      <c r="C88" s="828"/>
      <c r="D88" s="829"/>
      <c r="E88" s="492" t="s">
        <v>1000</v>
      </c>
      <c r="F88" s="492"/>
      <c r="G88" s="812"/>
      <c r="H88" s="495"/>
      <c r="I88" s="495"/>
      <c r="J88" s="810"/>
      <c r="K88" s="499"/>
      <c r="L88" s="500"/>
    </row>
    <row r="89" spans="1:12" ht="15" customHeight="1">
      <c r="A89" s="813" t="s">
        <v>1001</v>
      </c>
      <c r="B89" s="814"/>
      <c r="C89" s="828"/>
      <c r="D89" s="829"/>
      <c r="E89" s="836"/>
      <c r="F89" s="836"/>
      <c r="G89" s="837"/>
      <c r="H89" s="495"/>
      <c r="I89" s="495"/>
      <c r="J89" s="810"/>
      <c r="K89" s="499"/>
      <c r="L89" s="500"/>
    </row>
    <row r="90" spans="1:12">
      <c r="A90" s="817"/>
      <c r="B90" s="818"/>
      <c r="C90" s="828"/>
      <c r="D90" s="835"/>
      <c r="E90" s="492" t="s">
        <v>1013</v>
      </c>
      <c r="F90" s="492"/>
      <c r="G90" s="492"/>
      <c r="H90" s="810"/>
      <c r="I90" s="495"/>
      <c r="J90" s="810"/>
      <c r="K90" s="499"/>
      <c r="L90" s="500"/>
    </row>
    <row r="91" spans="1:12">
      <c r="A91" s="815"/>
      <c r="B91" s="816"/>
      <c r="C91" s="828"/>
      <c r="D91" s="835"/>
      <c r="E91" s="492"/>
      <c r="F91" s="492"/>
      <c r="G91" s="492"/>
      <c r="H91" s="810"/>
      <c r="I91" s="495"/>
      <c r="J91" s="810"/>
      <c r="K91" s="499"/>
      <c r="L91" s="500"/>
    </row>
    <row r="92" spans="1:12" ht="15" customHeight="1">
      <c r="A92" s="820" t="s">
        <v>1014</v>
      </c>
      <c r="B92" s="821"/>
      <c r="C92" s="828"/>
      <c r="D92" s="829"/>
      <c r="E92" s="832"/>
      <c r="F92" s="832"/>
      <c r="G92" s="833"/>
      <c r="H92" s="495"/>
      <c r="I92" s="495"/>
      <c r="J92" s="810"/>
      <c r="K92" s="499"/>
      <c r="L92" s="500"/>
    </row>
    <row r="93" spans="1:12" ht="15" customHeight="1">
      <c r="A93" s="499"/>
      <c r="B93" s="822"/>
      <c r="C93" s="828"/>
      <c r="D93" s="829"/>
      <c r="E93" s="492" t="s">
        <v>103</v>
      </c>
      <c r="F93" s="492"/>
      <c r="G93" s="812"/>
      <c r="H93" s="495"/>
      <c r="I93" s="495"/>
      <c r="J93" s="810"/>
      <c r="K93" s="499"/>
      <c r="L93" s="500"/>
    </row>
    <row r="94" spans="1:12">
      <c r="A94" s="499"/>
      <c r="B94" s="822"/>
      <c r="C94" s="828"/>
      <c r="D94" s="829"/>
      <c r="E94" s="493"/>
      <c r="F94" s="493"/>
      <c r="G94" s="811"/>
      <c r="H94" s="495"/>
      <c r="I94" s="495"/>
      <c r="J94" s="810"/>
      <c r="K94" s="499"/>
      <c r="L94" s="500"/>
    </row>
    <row r="95" spans="1:12" ht="28.5" customHeight="1">
      <c r="A95" s="499"/>
      <c r="B95" s="822"/>
      <c r="C95" s="828"/>
      <c r="D95" s="829"/>
      <c r="E95" s="492" t="s">
        <v>101</v>
      </c>
      <c r="F95" s="492"/>
      <c r="G95" s="812"/>
      <c r="H95" s="495"/>
      <c r="I95" s="495"/>
      <c r="J95" s="810"/>
      <c r="K95" s="499"/>
      <c r="L95" s="500"/>
    </row>
    <row r="96" spans="1:12">
      <c r="A96" s="499"/>
      <c r="B96" s="822"/>
      <c r="C96" s="828"/>
      <c r="D96" s="829"/>
      <c r="E96" s="478"/>
      <c r="F96" s="478"/>
      <c r="G96" s="825"/>
      <c r="H96" s="495"/>
      <c r="I96" s="495"/>
      <c r="J96" s="810"/>
      <c r="K96" s="499"/>
      <c r="L96" s="500"/>
    </row>
    <row r="97" spans="1:12" ht="15" customHeight="1">
      <c r="A97" s="499"/>
      <c r="B97" s="822"/>
      <c r="C97" s="828"/>
      <c r="D97" s="829"/>
      <c r="E97" s="492" t="s">
        <v>103</v>
      </c>
      <c r="F97" s="492"/>
      <c r="G97" s="812"/>
      <c r="H97" s="495"/>
      <c r="I97" s="495"/>
      <c r="J97" s="810"/>
      <c r="K97" s="499"/>
      <c r="L97" s="500"/>
    </row>
    <row r="98" spans="1:12" ht="15" customHeight="1">
      <c r="A98" s="499"/>
      <c r="B98" s="822"/>
      <c r="C98" s="828"/>
      <c r="D98" s="829"/>
      <c r="E98" s="492"/>
      <c r="F98" s="492"/>
      <c r="G98" s="812"/>
      <c r="H98" s="495"/>
      <c r="I98" s="495"/>
      <c r="J98" s="810"/>
      <c r="K98" s="499"/>
      <c r="L98" s="500"/>
    </row>
    <row r="99" spans="1:12" ht="15" customHeight="1">
      <c r="A99" s="499"/>
      <c r="B99" s="822"/>
      <c r="C99" s="828"/>
      <c r="D99" s="829"/>
      <c r="E99" s="492" t="s">
        <v>106</v>
      </c>
      <c r="F99" s="492"/>
      <c r="G99" s="812"/>
      <c r="H99" s="495"/>
      <c r="I99" s="495"/>
      <c r="J99" s="810"/>
      <c r="K99" s="499"/>
      <c r="L99" s="500"/>
    </row>
    <row r="100" spans="1:12" ht="15" customHeight="1">
      <c r="A100" s="499"/>
      <c r="B100" s="822"/>
      <c r="C100" s="828"/>
      <c r="D100" s="829"/>
      <c r="E100" s="492"/>
      <c r="F100" s="492"/>
      <c r="G100" s="812"/>
      <c r="H100" s="495"/>
      <c r="I100" s="495"/>
      <c r="J100" s="810"/>
      <c r="K100" s="499"/>
      <c r="L100" s="500"/>
    </row>
    <row r="101" spans="1:12" ht="15" customHeight="1">
      <c r="A101" s="499"/>
      <c r="B101" s="822"/>
      <c r="C101" s="828"/>
      <c r="D101" s="829"/>
      <c r="E101" s="492" t="s">
        <v>103</v>
      </c>
      <c r="F101" s="492"/>
      <c r="G101" s="812"/>
      <c r="H101" s="495"/>
      <c r="I101" s="495"/>
      <c r="J101" s="810"/>
      <c r="K101" s="499"/>
      <c r="L101" s="500"/>
    </row>
    <row r="102" spans="1:12">
      <c r="A102" s="499"/>
      <c r="B102" s="822"/>
      <c r="C102" s="828"/>
      <c r="D102" s="829"/>
      <c r="E102" s="492"/>
      <c r="F102" s="492"/>
      <c r="G102" s="812"/>
      <c r="H102" s="495"/>
      <c r="I102" s="495"/>
      <c r="J102" s="810"/>
      <c r="K102" s="499"/>
      <c r="L102" s="500"/>
    </row>
    <row r="103" spans="1:12" ht="15" customHeight="1">
      <c r="A103" s="823"/>
      <c r="B103" s="824"/>
      <c r="C103" s="830"/>
      <c r="D103" s="831"/>
      <c r="E103" s="492" t="s">
        <v>107</v>
      </c>
      <c r="F103" s="492"/>
      <c r="G103" s="812"/>
      <c r="H103" s="495"/>
      <c r="I103" s="495"/>
      <c r="J103" s="810"/>
      <c r="K103" s="501"/>
      <c r="L103" s="502"/>
    </row>
    <row r="104" spans="1:12" ht="15" customHeight="1">
      <c r="A104" s="479" t="s">
        <v>108</v>
      </c>
      <c r="B104" s="480"/>
      <c r="C104" s="480"/>
      <c r="D104" s="480"/>
      <c r="E104" s="480"/>
      <c r="F104" s="480"/>
      <c r="G104" s="480"/>
      <c r="H104" s="481"/>
      <c r="I104" s="131" t="s">
        <v>109</v>
      </c>
      <c r="J104" s="131" t="s">
        <v>110</v>
      </c>
      <c r="K104" s="132" t="s">
        <v>111</v>
      </c>
      <c r="L104" s="132" t="s">
        <v>112</v>
      </c>
    </row>
    <row r="105" spans="1:12">
      <c r="A105" s="482"/>
      <c r="B105" s="483"/>
      <c r="C105" s="483"/>
      <c r="D105" s="483"/>
      <c r="E105" s="483"/>
      <c r="F105" s="483"/>
      <c r="G105" s="483"/>
      <c r="H105" s="484"/>
      <c r="I105" s="133" t="s">
        <v>113</v>
      </c>
      <c r="J105" s="134" t="s">
        <v>114</v>
      </c>
      <c r="K105" s="134"/>
      <c r="L105" s="134" t="s">
        <v>1006</v>
      </c>
    </row>
    <row r="106" spans="1:12" ht="15" customHeight="1">
      <c r="A106" s="485" t="s">
        <v>115</v>
      </c>
      <c r="B106" s="486"/>
      <c r="C106" s="486"/>
      <c r="D106" s="486"/>
      <c r="E106" s="486"/>
      <c r="F106" s="486"/>
      <c r="G106" s="486"/>
      <c r="H106" s="487"/>
      <c r="I106" s="133" t="s">
        <v>116</v>
      </c>
      <c r="J106" s="134" t="s">
        <v>117</v>
      </c>
      <c r="K106" s="134"/>
      <c r="L106" s="134"/>
    </row>
    <row r="107" spans="1:12">
      <c r="A107" s="485"/>
      <c r="B107" s="486"/>
      <c r="C107" s="486"/>
      <c r="D107" s="486"/>
      <c r="E107" s="486"/>
      <c r="F107" s="486"/>
      <c r="G107" s="486"/>
      <c r="H107" s="487"/>
      <c r="I107" s="133" t="s">
        <v>118</v>
      </c>
      <c r="J107" s="134" t="s">
        <v>988</v>
      </c>
      <c r="K107" s="134"/>
      <c r="L107" s="134"/>
    </row>
    <row r="108" spans="1:12">
      <c r="A108" s="488" t="s">
        <v>119</v>
      </c>
      <c r="B108" s="489"/>
      <c r="C108" s="490" t="s">
        <v>120</v>
      </c>
      <c r="D108" s="490"/>
      <c r="E108" s="491" t="s">
        <v>121</v>
      </c>
      <c r="F108" s="491"/>
      <c r="G108" s="491"/>
      <c r="H108" s="491"/>
      <c r="I108" s="133" t="s">
        <v>122</v>
      </c>
      <c r="J108" s="134"/>
      <c r="K108" s="134"/>
      <c r="L108" s="134"/>
    </row>
    <row r="115" spans="1:12" ht="15" customHeight="1"/>
    <row r="117" spans="1:12" ht="15" customHeight="1"/>
    <row r="119" spans="1:12" ht="19.5" customHeight="1">
      <c r="A119" s="532" t="s">
        <v>69</v>
      </c>
      <c r="B119" s="533"/>
      <c r="C119" s="533"/>
      <c r="D119" s="533"/>
      <c r="E119" s="533"/>
      <c r="F119" s="533"/>
      <c r="G119" s="533"/>
      <c r="H119" s="533"/>
      <c r="I119" s="533"/>
      <c r="J119" s="533"/>
      <c r="K119" s="533"/>
      <c r="L119" s="534"/>
    </row>
    <row r="120" spans="1:12">
      <c r="A120" s="125" t="s">
        <v>70</v>
      </c>
      <c r="B120" s="126"/>
      <c r="C120" s="126"/>
      <c r="D120" s="126"/>
      <c r="E120" s="517" t="s">
        <v>71</v>
      </c>
      <c r="F120" s="517"/>
      <c r="G120" s="535" t="s">
        <v>1006</v>
      </c>
      <c r="H120" s="536"/>
      <c r="I120" s="536"/>
      <c r="J120" s="537" t="s">
        <v>73</v>
      </c>
      <c r="K120" s="537"/>
      <c r="L120" s="538"/>
    </row>
    <row r="121" spans="1:12">
      <c r="A121" s="539" t="s">
        <v>1015</v>
      </c>
      <c r="B121" s="540"/>
      <c r="C121" s="540"/>
      <c r="D121" s="540"/>
      <c r="E121" s="540"/>
      <c r="F121" s="540"/>
      <c r="G121" s="540"/>
      <c r="H121" s="540"/>
      <c r="I121" s="541"/>
      <c r="J121" s="542" t="s">
        <v>75</v>
      </c>
      <c r="K121" s="542"/>
      <c r="L121" s="542"/>
    </row>
    <row r="122" spans="1:12">
      <c r="A122" s="510" t="s">
        <v>1016</v>
      </c>
      <c r="B122" s="511"/>
      <c r="C122" s="511"/>
      <c r="D122" s="511"/>
      <c r="E122" s="511"/>
      <c r="F122" s="511"/>
      <c r="G122" s="512"/>
      <c r="H122" s="516" t="s">
        <v>77</v>
      </c>
      <c r="I122" s="516"/>
      <c r="J122" s="518" t="s">
        <v>990</v>
      </c>
      <c r="K122" s="519" t="s">
        <v>991</v>
      </c>
      <c r="L122" s="520"/>
    </row>
    <row r="123" spans="1:12">
      <c r="A123" s="513"/>
      <c r="B123" s="514"/>
      <c r="C123" s="514"/>
      <c r="D123" s="514"/>
      <c r="E123" s="514"/>
      <c r="F123" s="514"/>
      <c r="G123" s="515"/>
      <c r="H123" s="517"/>
      <c r="I123" s="517"/>
      <c r="J123" s="516"/>
      <c r="K123" s="521"/>
      <c r="L123" s="522"/>
    </row>
    <row r="124" spans="1:12">
      <c r="A124" s="127" t="s">
        <v>80</v>
      </c>
      <c r="B124" s="128"/>
      <c r="C124" s="129" t="s">
        <v>81</v>
      </c>
      <c r="D124" s="129"/>
      <c r="E124" s="523" t="s">
        <v>82</v>
      </c>
      <c r="F124" s="523"/>
      <c r="G124" s="523"/>
      <c r="H124" s="523"/>
      <c r="I124" s="523"/>
      <c r="J124" s="523"/>
      <c r="K124" s="523"/>
      <c r="L124" s="524"/>
    </row>
    <row r="125" spans="1:12">
      <c r="A125" s="525" t="s">
        <v>83</v>
      </c>
      <c r="B125" s="526"/>
      <c r="C125" s="527" t="s">
        <v>84</v>
      </c>
      <c r="D125" s="528"/>
      <c r="E125" s="482" t="s">
        <v>85</v>
      </c>
      <c r="F125" s="529"/>
      <c r="G125" s="528"/>
      <c r="H125" s="482" t="s">
        <v>86</v>
      </c>
      <c r="I125" s="528"/>
      <c r="J125" s="130" t="s">
        <v>87</v>
      </c>
      <c r="K125" s="482" t="s">
        <v>88</v>
      </c>
      <c r="L125" s="528"/>
    </row>
    <row r="126" spans="1:12">
      <c r="A126" s="506" t="s">
        <v>89</v>
      </c>
      <c r="B126" s="507"/>
      <c r="C126" s="506" t="s">
        <v>90</v>
      </c>
      <c r="D126" s="507"/>
      <c r="E126" s="506" t="s">
        <v>91</v>
      </c>
      <c r="F126" s="530"/>
      <c r="G126" s="507"/>
      <c r="H126" s="506" t="s">
        <v>92</v>
      </c>
      <c r="I126" s="507"/>
      <c r="J126" s="504" t="s">
        <v>93</v>
      </c>
      <c r="K126" s="506" t="s">
        <v>94</v>
      </c>
      <c r="L126" s="507"/>
    </row>
    <row r="127" spans="1:12">
      <c r="A127" s="508"/>
      <c r="B127" s="509"/>
      <c r="C127" s="508"/>
      <c r="D127" s="509"/>
      <c r="E127" s="508"/>
      <c r="F127" s="531"/>
      <c r="G127" s="509"/>
      <c r="H127" s="508"/>
      <c r="I127" s="509"/>
      <c r="J127" s="505"/>
      <c r="K127" s="508"/>
      <c r="L127" s="509"/>
    </row>
    <row r="128" spans="1:12" ht="25.5" customHeight="1">
      <c r="A128" s="813" t="s">
        <v>1017</v>
      </c>
      <c r="B128" s="814"/>
      <c r="C128" s="826" t="s">
        <v>1018</v>
      </c>
      <c r="D128" s="827"/>
      <c r="E128" s="492" t="s">
        <v>1019</v>
      </c>
      <c r="F128" s="492"/>
      <c r="G128" s="812"/>
      <c r="H128" s="496" t="s">
        <v>1020</v>
      </c>
      <c r="I128" s="495"/>
      <c r="J128" s="809" t="s">
        <v>1021</v>
      </c>
      <c r="K128" s="497" t="s">
        <v>997</v>
      </c>
      <c r="L128" s="498"/>
    </row>
    <row r="129" spans="1:12">
      <c r="A129" s="817"/>
      <c r="B129" s="818"/>
      <c r="C129" s="828"/>
      <c r="D129" s="829"/>
      <c r="E129" s="493"/>
      <c r="F129" s="493"/>
      <c r="G129" s="811"/>
      <c r="H129" s="495"/>
      <c r="I129" s="495"/>
      <c r="J129" s="810"/>
      <c r="K129" s="499"/>
      <c r="L129" s="500"/>
    </row>
    <row r="130" spans="1:12" ht="62.25" customHeight="1">
      <c r="A130" s="815"/>
      <c r="B130" s="816"/>
      <c r="C130" s="828"/>
      <c r="D130" s="829"/>
      <c r="E130" s="492" t="s">
        <v>1022</v>
      </c>
      <c r="F130" s="492"/>
      <c r="G130" s="812"/>
      <c r="H130" s="495"/>
      <c r="I130" s="495"/>
      <c r="J130" s="810"/>
      <c r="K130" s="499"/>
      <c r="L130" s="500"/>
    </row>
    <row r="131" spans="1:12">
      <c r="A131" s="813" t="s">
        <v>1023</v>
      </c>
      <c r="B131" s="814"/>
      <c r="C131" s="828"/>
      <c r="D131" s="829"/>
      <c r="E131" s="493"/>
      <c r="F131" s="493"/>
      <c r="G131" s="811"/>
      <c r="H131" s="495"/>
      <c r="I131" s="495"/>
      <c r="J131" s="810"/>
      <c r="K131" s="499"/>
      <c r="L131" s="500"/>
    </row>
    <row r="132" spans="1:12" ht="26.25" customHeight="1">
      <c r="A132" s="815"/>
      <c r="B132" s="816"/>
      <c r="C132" s="828"/>
      <c r="D132" s="829"/>
      <c r="E132" s="492" t="s">
        <v>1024</v>
      </c>
      <c r="F132" s="492"/>
      <c r="G132" s="812"/>
      <c r="H132" s="495"/>
      <c r="I132" s="495"/>
      <c r="J132" s="810"/>
      <c r="K132" s="499"/>
      <c r="L132" s="500"/>
    </row>
    <row r="133" spans="1:12" ht="13.5" customHeight="1">
      <c r="A133" s="813" t="s">
        <v>1001</v>
      </c>
      <c r="B133" s="814"/>
      <c r="C133" s="828"/>
      <c r="D133" s="829"/>
      <c r="E133" s="503"/>
      <c r="F133" s="503"/>
      <c r="G133" s="819"/>
      <c r="H133" s="495"/>
      <c r="I133" s="495"/>
      <c r="J133" s="810"/>
      <c r="K133" s="499"/>
      <c r="L133" s="500"/>
    </row>
    <row r="134" spans="1:12" ht="42.75" customHeight="1">
      <c r="A134" s="817"/>
      <c r="B134" s="818"/>
      <c r="C134" s="828"/>
      <c r="D134" s="829"/>
      <c r="E134" s="492" t="s">
        <v>1025</v>
      </c>
      <c r="F134" s="492"/>
      <c r="G134" s="812"/>
      <c r="H134" s="495"/>
      <c r="I134" s="495"/>
      <c r="J134" s="810"/>
      <c r="K134" s="499"/>
      <c r="L134" s="500"/>
    </row>
    <row r="135" spans="1:12" ht="17.25" customHeight="1">
      <c r="A135" s="815"/>
      <c r="B135" s="816"/>
      <c r="C135" s="828"/>
      <c r="D135" s="829"/>
      <c r="E135" s="492"/>
      <c r="F135" s="492"/>
      <c r="G135" s="812"/>
      <c r="H135" s="495"/>
      <c r="I135" s="495"/>
      <c r="J135" s="810"/>
      <c r="K135" s="499"/>
      <c r="L135" s="500"/>
    </row>
    <row r="136" spans="1:12" ht="24.75" customHeight="1">
      <c r="A136" s="820" t="s">
        <v>1014</v>
      </c>
      <c r="B136" s="821"/>
      <c r="C136" s="828"/>
      <c r="D136" s="829"/>
      <c r="E136" s="493"/>
      <c r="F136" s="493"/>
      <c r="G136" s="811"/>
      <c r="H136" s="495"/>
      <c r="I136" s="495"/>
      <c r="J136" s="810"/>
      <c r="K136" s="499"/>
      <c r="L136" s="500"/>
    </row>
    <row r="137" spans="1:12" ht="65.25" customHeight="1">
      <c r="A137" s="499"/>
      <c r="B137" s="822"/>
      <c r="C137" s="828"/>
      <c r="D137" s="829"/>
      <c r="E137" s="492" t="s">
        <v>1026</v>
      </c>
      <c r="F137" s="492"/>
      <c r="G137" s="812"/>
      <c r="H137" s="495"/>
      <c r="I137" s="495"/>
      <c r="J137" s="810"/>
      <c r="K137" s="499"/>
      <c r="L137" s="500"/>
    </row>
    <row r="138" spans="1:12" ht="15.75" customHeight="1">
      <c r="A138" s="499"/>
      <c r="B138" s="822"/>
      <c r="C138" s="828"/>
      <c r="D138" s="829"/>
      <c r="E138" s="493"/>
      <c r="F138" s="493"/>
      <c r="G138" s="811"/>
      <c r="H138" s="495"/>
      <c r="I138" s="495"/>
      <c r="J138" s="810"/>
      <c r="K138" s="499"/>
      <c r="L138" s="500"/>
    </row>
    <row r="139" spans="1:12" ht="27.75" customHeight="1">
      <c r="A139" s="499"/>
      <c r="B139" s="822"/>
      <c r="C139" s="828"/>
      <c r="D139" s="829"/>
      <c r="E139" s="492" t="s">
        <v>1027</v>
      </c>
      <c r="F139" s="492"/>
      <c r="G139" s="812"/>
      <c r="H139" s="495"/>
      <c r="I139" s="495"/>
      <c r="J139" s="810"/>
      <c r="K139" s="499"/>
      <c r="L139" s="500"/>
    </row>
    <row r="140" spans="1:12">
      <c r="A140" s="499"/>
      <c r="B140" s="822"/>
      <c r="C140" s="828"/>
      <c r="D140" s="829"/>
      <c r="E140" s="478"/>
      <c r="F140" s="478"/>
      <c r="G140" s="825"/>
      <c r="H140" s="495"/>
      <c r="I140" s="495"/>
      <c r="J140" s="810"/>
      <c r="K140" s="499"/>
      <c r="L140" s="500"/>
    </row>
    <row r="141" spans="1:12">
      <c r="A141" s="499"/>
      <c r="B141" s="822"/>
      <c r="C141" s="828"/>
      <c r="D141" s="829"/>
      <c r="E141" s="492" t="s">
        <v>103</v>
      </c>
      <c r="F141" s="492"/>
      <c r="G141" s="812"/>
      <c r="H141" s="495"/>
      <c r="I141" s="495"/>
      <c r="J141" s="810"/>
      <c r="K141" s="499"/>
      <c r="L141" s="500"/>
    </row>
    <row r="142" spans="1:12">
      <c r="A142" s="499"/>
      <c r="B142" s="822"/>
      <c r="C142" s="828"/>
      <c r="D142" s="829"/>
      <c r="E142" s="492"/>
      <c r="F142" s="492"/>
      <c r="G142" s="812"/>
      <c r="H142" s="495"/>
      <c r="I142" s="495"/>
      <c r="J142" s="810"/>
      <c r="K142" s="499"/>
      <c r="L142" s="500"/>
    </row>
    <row r="143" spans="1:12">
      <c r="A143" s="499"/>
      <c r="B143" s="822"/>
      <c r="C143" s="828"/>
      <c r="D143" s="829"/>
      <c r="E143" s="492" t="s">
        <v>106</v>
      </c>
      <c r="F143" s="492"/>
      <c r="G143" s="812"/>
      <c r="H143" s="495"/>
      <c r="I143" s="495"/>
      <c r="J143" s="810"/>
      <c r="K143" s="499"/>
      <c r="L143" s="500"/>
    </row>
    <row r="144" spans="1:12">
      <c r="A144" s="499"/>
      <c r="B144" s="822"/>
      <c r="C144" s="828"/>
      <c r="D144" s="829"/>
      <c r="E144" s="492"/>
      <c r="F144" s="492"/>
      <c r="G144" s="812"/>
      <c r="H144" s="495"/>
      <c r="I144" s="495"/>
      <c r="J144" s="810"/>
      <c r="K144" s="499"/>
      <c r="L144" s="500"/>
    </row>
    <row r="145" spans="1:12">
      <c r="A145" s="499"/>
      <c r="B145" s="822"/>
      <c r="C145" s="828"/>
      <c r="D145" s="829"/>
      <c r="E145" s="492" t="s">
        <v>103</v>
      </c>
      <c r="F145" s="492"/>
      <c r="G145" s="812"/>
      <c r="H145" s="495"/>
      <c r="I145" s="495"/>
      <c r="J145" s="810"/>
      <c r="K145" s="499"/>
      <c r="L145" s="500"/>
    </row>
    <row r="146" spans="1:12">
      <c r="A146" s="499"/>
      <c r="B146" s="822"/>
      <c r="C146" s="828"/>
      <c r="D146" s="829"/>
      <c r="E146" s="492"/>
      <c r="F146" s="492"/>
      <c r="G146" s="812"/>
      <c r="H146" s="495"/>
      <c r="I146" s="495"/>
      <c r="J146" s="810"/>
      <c r="K146" s="499"/>
      <c r="L146" s="500"/>
    </row>
    <row r="147" spans="1:12">
      <c r="A147" s="823"/>
      <c r="B147" s="824"/>
      <c r="C147" s="830"/>
      <c r="D147" s="831"/>
      <c r="E147" s="492" t="s">
        <v>107</v>
      </c>
      <c r="F147" s="492"/>
      <c r="G147" s="812"/>
      <c r="H147" s="495"/>
      <c r="I147" s="495"/>
      <c r="J147" s="810"/>
      <c r="K147" s="501"/>
      <c r="L147" s="502"/>
    </row>
    <row r="148" spans="1:12">
      <c r="A148" s="479" t="s">
        <v>108</v>
      </c>
      <c r="B148" s="480"/>
      <c r="C148" s="480"/>
      <c r="D148" s="480"/>
      <c r="E148" s="480"/>
      <c r="F148" s="480"/>
      <c r="G148" s="480"/>
      <c r="H148" s="481"/>
      <c r="I148" s="131" t="s">
        <v>109</v>
      </c>
      <c r="J148" s="131" t="s">
        <v>110</v>
      </c>
      <c r="K148" s="132" t="s">
        <v>111</v>
      </c>
      <c r="L148" s="132" t="s">
        <v>112</v>
      </c>
    </row>
    <row r="149" spans="1:12">
      <c r="A149" s="482"/>
      <c r="B149" s="483"/>
      <c r="C149" s="483"/>
      <c r="D149" s="483"/>
      <c r="E149" s="483"/>
      <c r="F149" s="483"/>
      <c r="G149" s="483"/>
      <c r="H149" s="484"/>
      <c r="I149" s="133" t="s">
        <v>113</v>
      </c>
      <c r="J149" s="134" t="s">
        <v>114</v>
      </c>
      <c r="K149" s="134"/>
      <c r="L149" s="134" t="s">
        <v>1006</v>
      </c>
    </row>
    <row r="150" spans="1:12">
      <c r="A150" s="485" t="s">
        <v>115</v>
      </c>
      <c r="B150" s="486"/>
      <c r="C150" s="486"/>
      <c r="D150" s="486"/>
      <c r="E150" s="486"/>
      <c r="F150" s="486"/>
      <c r="G150" s="486"/>
      <c r="H150" s="487"/>
      <c r="I150" s="133" t="s">
        <v>116</v>
      </c>
      <c r="J150" s="134" t="s">
        <v>117</v>
      </c>
      <c r="K150" s="134"/>
      <c r="L150" s="134"/>
    </row>
    <row r="151" spans="1:12">
      <c r="A151" s="485"/>
      <c r="B151" s="486"/>
      <c r="C151" s="486"/>
      <c r="D151" s="486"/>
      <c r="E151" s="486"/>
      <c r="F151" s="486"/>
      <c r="G151" s="486"/>
      <c r="H151" s="487"/>
      <c r="I151" s="133" t="s">
        <v>118</v>
      </c>
      <c r="J151" s="134" t="s">
        <v>988</v>
      </c>
      <c r="K151" s="134"/>
      <c r="L151" s="134"/>
    </row>
    <row r="152" spans="1:12">
      <c r="A152" s="488" t="s">
        <v>119</v>
      </c>
      <c r="B152" s="489"/>
      <c r="C152" s="490" t="s">
        <v>120</v>
      </c>
      <c r="D152" s="490"/>
      <c r="E152" s="491" t="s">
        <v>121</v>
      </c>
      <c r="F152" s="491"/>
      <c r="G152" s="491"/>
      <c r="H152" s="491"/>
      <c r="I152" s="133" t="s">
        <v>122</v>
      </c>
      <c r="J152" s="134"/>
      <c r="K152" s="134"/>
      <c r="L152" s="134"/>
    </row>
    <row r="156" spans="1:12" ht="19.5" customHeight="1">
      <c r="A156" s="532" t="s">
        <v>69</v>
      </c>
      <c r="B156" s="533"/>
      <c r="C156" s="533"/>
      <c r="D156" s="533"/>
      <c r="E156" s="533"/>
      <c r="F156" s="533"/>
      <c r="G156" s="533"/>
      <c r="H156" s="533"/>
      <c r="I156" s="533"/>
      <c r="J156" s="533"/>
      <c r="K156" s="533"/>
      <c r="L156" s="534"/>
    </row>
    <row r="157" spans="1:12">
      <c r="A157" s="125" t="s">
        <v>70</v>
      </c>
      <c r="B157" s="126"/>
      <c r="C157" s="126"/>
      <c r="D157" s="126"/>
      <c r="E157" s="517" t="s">
        <v>71</v>
      </c>
      <c r="F157" s="517"/>
      <c r="G157" s="535" t="s">
        <v>1028</v>
      </c>
      <c r="H157" s="536"/>
      <c r="I157" s="536"/>
      <c r="J157" s="537" t="s">
        <v>73</v>
      </c>
      <c r="K157" s="537"/>
      <c r="L157" s="538"/>
    </row>
    <row r="158" spans="1:12">
      <c r="A158" s="539" t="s">
        <v>1029</v>
      </c>
      <c r="B158" s="540"/>
      <c r="C158" s="540"/>
      <c r="D158" s="540"/>
      <c r="E158" s="540"/>
      <c r="F158" s="540"/>
      <c r="G158" s="540"/>
      <c r="H158" s="540"/>
      <c r="I158" s="541"/>
      <c r="J158" s="542" t="s">
        <v>75</v>
      </c>
      <c r="K158" s="542"/>
      <c r="L158" s="542"/>
    </row>
    <row r="159" spans="1:12">
      <c r="A159" s="510" t="s">
        <v>1030</v>
      </c>
      <c r="B159" s="511"/>
      <c r="C159" s="511"/>
      <c r="D159" s="511"/>
      <c r="E159" s="511"/>
      <c r="F159" s="511"/>
      <c r="G159" s="512"/>
      <c r="H159" s="516" t="s">
        <v>77</v>
      </c>
      <c r="I159" s="516"/>
      <c r="J159" s="518" t="s">
        <v>78</v>
      </c>
      <c r="K159" s="519" t="s">
        <v>79</v>
      </c>
      <c r="L159" s="520"/>
    </row>
    <row r="160" spans="1:12" ht="21.75" customHeight="1">
      <c r="A160" s="513"/>
      <c r="B160" s="514"/>
      <c r="C160" s="514"/>
      <c r="D160" s="514"/>
      <c r="E160" s="514"/>
      <c r="F160" s="514"/>
      <c r="G160" s="515"/>
      <c r="H160" s="517"/>
      <c r="I160" s="517"/>
      <c r="J160" s="516"/>
      <c r="K160" s="521"/>
      <c r="L160" s="522"/>
    </row>
    <row r="161" spans="1:12">
      <c r="A161" s="127" t="s">
        <v>80</v>
      </c>
      <c r="B161" s="128"/>
      <c r="C161" s="129" t="s">
        <v>81</v>
      </c>
      <c r="D161" s="129"/>
      <c r="E161" s="523" t="s">
        <v>82</v>
      </c>
      <c r="F161" s="523"/>
      <c r="G161" s="523"/>
      <c r="H161" s="523"/>
      <c r="I161" s="523"/>
      <c r="J161" s="523"/>
      <c r="K161" s="523"/>
      <c r="L161" s="524"/>
    </row>
    <row r="162" spans="1:12">
      <c r="A162" s="525" t="s">
        <v>83</v>
      </c>
      <c r="B162" s="526"/>
      <c r="C162" s="527" t="s">
        <v>84</v>
      </c>
      <c r="D162" s="528"/>
      <c r="E162" s="482" t="s">
        <v>85</v>
      </c>
      <c r="F162" s="529"/>
      <c r="G162" s="528"/>
      <c r="H162" s="482" t="s">
        <v>86</v>
      </c>
      <c r="I162" s="528"/>
      <c r="J162" s="130" t="s">
        <v>87</v>
      </c>
      <c r="K162" s="482" t="s">
        <v>88</v>
      </c>
      <c r="L162" s="528"/>
    </row>
    <row r="163" spans="1:12">
      <c r="A163" s="506" t="s">
        <v>89</v>
      </c>
      <c r="B163" s="507"/>
      <c r="C163" s="506" t="s">
        <v>90</v>
      </c>
      <c r="D163" s="507"/>
      <c r="E163" s="506" t="s">
        <v>91</v>
      </c>
      <c r="F163" s="530"/>
      <c r="G163" s="507"/>
      <c r="H163" s="506" t="s">
        <v>92</v>
      </c>
      <c r="I163" s="507"/>
      <c r="J163" s="504" t="s">
        <v>93</v>
      </c>
      <c r="K163" s="506" t="s">
        <v>94</v>
      </c>
      <c r="L163" s="507"/>
    </row>
    <row r="164" spans="1:12">
      <c r="A164" s="508"/>
      <c r="B164" s="509"/>
      <c r="C164" s="508"/>
      <c r="D164" s="509"/>
      <c r="E164" s="508"/>
      <c r="F164" s="531"/>
      <c r="G164" s="509"/>
      <c r="H164" s="508"/>
      <c r="I164" s="509"/>
      <c r="J164" s="505"/>
      <c r="K164" s="508"/>
      <c r="L164" s="509"/>
    </row>
    <row r="165" spans="1:12" ht="25.5" customHeight="1">
      <c r="A165" s="813" t="s">
        <v>1031</v>
      </c>
      <c r="B165" s="814"/>
      <c r="C165" s="826" t="s">
        <v>1032</v>
      </c>
      <c r="D165" s="827"/>
      <c r="E165" s="492" t="s">
        <v>1019</v>
      </c>
      <c r="F165" s="492"/>
      <c r="G165" s="812"/>
      <c r="H165" s="496" t="s">
        <v>1033</v>
      </c>
      <c r="I165" s="495"/>
      <c r="J165" s="809" t="s">
        <v>1034</v>
      </c>
      <c r="K165" s="497" t="s">
        <v>997</v>
      </c>
      <c r="L165" s="498"/>
    </row>
    <row r="166" spans="1:12">
      <c r="A166" s="817"/>
      <c r="B166" s="818"/>
      <c r="C166" s="828"/>
      <c r="D166" s="829"/>
      <c r="E166" s="493"/>
      <c r="F166" s="493"/>
      <c r="G166" s="811"/>
      <c r="H166" s="495"/>
      <c r="I166" s="495"/>
      <c r="J166" s="810"/>
      <c r="K166" s="499"/>
      <c r="L166" s="500"/>
    </row>
    <row r="167" spans="1:12" ht="62.25" customHeight="1">
      <c r="A167" s="815"/>
      <c r="B167" s="816"/>
      <c r="C167" s="828"/>
      <c r="D167" s="829"/>
      <c r="E167" s="492" t="s">
        <v>1035</v>
      </c>
      <c r="F167" s="492"/>
      <c r="G167" s="812"/>
      <c r="H167" s="495"/>
      <c r="I167" s="495"/>
      <c r="J167" s="810"/>
      <c r="K167" s="499"/>
      <c r="L167" s="500"/>
    </row>
    <row r="168" spans="1:12">
      <c r="A168" s="813" t="s">
        <v>1036</v>
      </c>
      <c r="B168" s="814"/>
      <c r="C168" s="828"/>
      <c r="D168" s="829"/>
      <c r="E168" s="493"/>
      <c r="F168" s="493"/>
      <c r="G168" s="811"/>
      <c r="H168" s="495"/>
      <c r="I168" s="495"/>
      <c r="J168" s="810"/>
      <c r="K168" s="499"/>
      <c r="L168" s="500"/>
    </row>
    <row r="169" spans="1:12" ht="26.25" customHeight="1">
      <c r="A169" s="815"/>
      <c r="B169" s="816"/>
      <c r="C169" s="828"/>
      <c r="D169" s="829"/>
      <c r="E169" s="492" t="s">
        <v>1037</v>
      </c>
      <c r="F169" s="492"/>
      <c r="G169" s="812"/>
      <c r="H169" s="495"/>
      <c r="I169" s="495"/>
      <c r="J169" s="810"/>
      <c r="K169" s="499"/>
      <c r="L169" s="500"/>
    </row>
    <row r="170" spans="1:12" ht="13.5" customHeight="1">
      <c r="A170" s="813" t="s">
        <v>714</v>
      </c>
      <c r="B170" s="814"/>
      <c r="C170" s="828"/>
      <c r="D170" s="829"/>
      <c r="E170" s="503"/>
      <c r="F170" s="503"/>
      <c r="G170" s="819"/>
      <c r="H170" s="495"/>
      <c r="I170" s="495"/>
      <c r="J170" s="810"/>
      <c r="K170" s="499"/>
      <c r="L170" s="500"/>
    </row>
    <row r="171" spans="1:12" ht="42.75" customHeight="1">
      <c r="A171" s="817"/>
      <c r="B171" s="818"/>
      <c r="C171" s="828"/>
      <c r="D171" s="829"/>
      <c r="E171" s="492" t="s">
        <v>1038</v>
      </c>
      <c r="F171" s="492"/>
      <c r="G171" s="812"/>
      <c r="H171" s="495"/>
      <c r="I171" s="495"/>
      <c r="J171" s="810"/>
      <c r="K171" s="499"/>
      <c r="L171" s="500"/>
    </row>
    <row r="172" spans="1:12" ht="17.25" customHeight="1">
      <c r="A172" s="815"/>
      <c r="B172" s="816"/>
      <c r="C172" s="828"/>
      <c r="D172" s="829"/>
      <c r="E172" s="492"/>
      <c r="F172" s="492"/>
      <c r="G172" s="812"/>
      <c r="H172" s="495"/>
      <c r="I172" s="495"/>
      <c r="J172" s="810"/>
      <c r="K172" s="499"/>
      <c r="L172" s="500"/>
    </row>
    <row r="173" spans="1:12" ht="24.75" customHeight="1">
      <c r="A173" s="820" t="s">
        <v>1039</v>
      </c>
      <c r="B173" s="821"/>
      <c r="C173" s="828"/>
      <c r="D173" s="829"/>
      <c r="E173" s="493"/>
      <c r="F173" s="493"/>
      <c r="G173" s="811"/>
      <c r="H173" s="495"/>
      <c r="I173" s="495"/>
      <c r="J173" s="810"/>
      <c r="K173" s="499"/>
      <c r="L173" s="500"/>
    </row>
    <row r="174" spans="1:12" ht="65.25" customHeight="1">
      <c r="A174" s="499"/>
      <c r="B174" s="822"/>
      <c r="C174" s="828"/>
      <c r="D174" s="829"/>
      <c r="E174" s="492" t="s">
        <v>1040</v>
      </c>
      <c r="F174" s="492"/>
      <c r="G174" s="812"/>
      <c r="H174" s="495"/>
      <c r="I174" s="495"/>
      <c r="J174" s="810"/>
      <c r="K174" s="499"/>
      <c r="L174" s="500"/>
    </row>
    <row r="175" spans="1:12" ht="15.75" customHeight="1">
      <c r="A175" s="499"/>
      <c r="B175" s="822"/>
      <c r="C175" s="828"/>
      <c r="D175" s="829"/>
      <c r="E175" s="493"/>
      <c r="F175" s="493"/>
      <c r="G175" s="811"/>
      <c r="H175" s="495"/>
      <c r="I175" s="495"/>
      <c r="J175" s="810"/>
      <c r="K175" s="499"/>
      <c r="L175" s="500"/>
    </row>
    <row r="176" spans="1:12" ht="27.75" customHeight="1">
      <c r="A176" s="499"/>
      <c r="B176" s="822"/>
      <c r="C176" s="828"/>
      <c r="D176" s="829"/>
      <c r="E176" s="492" t="s">
        <v>1041</v>
      </c>
      <c r="F176" s="492"/>
      <c r="G176" s="812"/>
      <c r="H176" s="495"/>
      <c r="I176" s="495"/>
      <c r="J176" s="810"/>
      <c r="K176" s="499"/>
      <c r="L176" s="500"/>
    </row>
    <row r="177" spans="1:12">
      <c r="A177" s="499"/>
      <c r="B177" s="822"/>
      <c r="C177" s="828"/>
      <c r="D177" s="829"/>
      <c r="E177" s="478"/>
      <c r="F177" s="478"/>
      <c r="G177" s="825"/>
      <c r="H177" s="495"/>
      <c r="I177" s="495"/>
      <c r="J177" s="810"/>
      <c r="K177" s="499"/>
      <c r="L177" s="500"/>
    </row>
    <row r="178" spans="1:12">
      <c r="A178" s="499"/>
      <c r="B178" s="822"/>
      <c r="C178" s="828"/>
      <c r="D178" s="829"/>
      <c r="E178" s="492" t="s">
        <v>1042</v>
      </c>
      <c r="F178" s="492"/>
      <c r="G178" s="812"/>
      <c r="H178" s="495"/>
      <c r="I178" s="495"/>
      <c r="J178" s="810"/>
      <c r="K178" s="499"/>
      <c r="L178" s="500"/>
    </row>
    <row r="179" spans="1:12">
      <c r="A179" s="499"/>
      <c r="B179" s="822"/>
      <c r="C179" s="828"/>
      <c r="D179" s="829"/>
      <c r="E179" s="492"/>
      <c r="F179" s="492"/>
      <c r="G179" s="812"/>
      <c r="H179" s="495"/>
      <c r="I179" s="495"/>
      <c r="J179" s="810"/>
      <c r="K179" s="499"/>
      <c r="L179" s="500"/>
    </row>
    <row r="180" spans="1:12" ht="27.75" customHeight="1">
      <c r="A180" s="499"/>
      <c r="B180" s="822"/>
      <c r="C180" s="828"/>
      <c r="D180" s="829"/>
      <c r="E180" s="492" t="s">
        <v>1043</v>
      </c>
      <c r="F180" s="492"/>
      <c r="G180" s="812"/>
      <c r="H180" s="495"/>
      <c r="I180" s="495"/>
      <c r="J180" s="810"/>
      <c r="K180" s="499"/>
      <c r="L180" s="500"/>
    </row>
    <row r="181" spans="1:12">
      <c r="A181" s="499"/>
      <c r="B181" s="822"/>
      <c r="C181" s="828"/>
      <c r="D181" s="829"/>
      <c r="E181" s="492"/>
      <c r="F181" s="492"/>
      <c r="G181" s="812"/>
      <c r="H181" s="495"/>
      <c r="I181" s="495"/>
      <c r="J181" s="810"/>
      <c r="K181" s="499"/>
      <c r="L181" s="500"/>
    </row>
    <row r="182" spans="1:12" ht="24" customHeight="1">
      <c r="A182" s="499"/>
      <c r="B182" s="822"/>
      <c r="C182" s="828"/>
      <c r="D182" s="829"/>
      <c r="E182" s="492" t="s">
        <v>1044</v>
      </c>
      <c r="F182" s="492"/>
      <c r="G182" s="812"/>
      <c r="H182" s="495"/>
      <c r="I182" s="495"/>
      <c r="J182" s="810"/>
      <c r="K182" s="499"/>
      <c r="L182" s="500"/>
    </row>
    <row r="183" spans="1:12">
      <c r="A183" s="499"/>
      <c r="B183" s="822"/>
      <c r="C183" s="828"/>
      <c r="D183" s="829"/>
      <c r="E183" s="492"/>
      <c r="F183" s="492"/>
      <c r="G183" s="812"/>
      <c r="H183" s="495"/>
      <c r="I183" s="495"/>
      <c r="J183" s="810"/>
      <c r="K183" s="499"/>
      <c r="L183" s="500"/>
    </row>
    <row r="184" spans="1:12" ht="25.5" customHeight="1">
      <c r="A184" s="823"/>
      <c r="B184" s="824"/>
      <c r="C184" s="830"/>
      <c r="D184" s="831"/>
      <c r="E184" s="492" t="s">
        <v>1045</v>
      </c>
      <c r="F184" s="492"/>
      <c r="G184" s="812"/>
      <c r="H184" s="495"/>
      <c r="I184" s="495"/>
      <c r="J184" s="810"/>
      <c r="K184" s="501"/>
      <c r="L184" s="502"/>
    </row>
    <row r="185" spans="1:12">
      <c r="A185" s="479" t="s">
        <v>108</v>
      </c>
      <c r="B185" s="480"/>
      <c r="C185" s="480"/>
      <c r="D185" s="480"/>
      <c r="E185" s="480"/>
      <c r="F185" s="480"/>
      <c r="G185" s="480"/>
      <c r="H185" s="481"/>
      <c r="I185" s="131" t="s">
        <v>109</v>
      </c>
      <c r="J185" s="131" t="s">
        <v>110</v>
      </c>
      <c r="K185" s="132" t="s">
        <v>111</v>
      </c>
      <c r="L185" s="132" t="s">
        <v>112</v>
      </c>
    </row>
    <row r="186" spans="1:12">
      <c r="A186" s="482"/>
      <c r="B186" s="483"/>
      <c r="C186" s="483"/>
      <c r="D186" s="483"/>
      <c r="E186" s="483"/>
      <c r="F186" s="483"/>
      <c r="G186" s="483"/>
      <c r="H186" s="484"/>
      <c r="I186" s="133" t="s">
        <v>113</v>
      </c>
      <c r="J186" s="134" t="s">
        <v>114</v>
      </c>
      <c r="K186" s="134"/>
      <c r="L186" s="134" t="s">
        <v>1006</v>
      </c>
    </row>
    <row r="187" spans="1:12">
      <c r="A187" s="485" t="s">
        <v>115</v>
      </c>
      <c r="B187" s="486"/>
      <c r="C187" s="486"/>
      <c r="D187" s="486"/>
      <c r="E187" s="486"/>
      <c r="F187" s="486"/>
      <c r="G187" s="486"/>
      <c r="H187" s="487"/>
      <c r="I187" s="133" t="s">
        <v>116</v>
      </c>
      <c r="J187" s="134" t="s">
        <v>117</v>
      </c>
      <c r="K187" s="134"/>
      <c r="L187" s="134"/>
    </row>
    <row r="188" spans="1:12">
      <c r="A188" s="485"/>
      <c r="B188" s="486"/>
      <c r="C188" s="486"/>
      <c r="D188" s="486"/>
      <c r="E188" s="486"/>
      <c r="F188" s="486"/>
      <c r="G188" s="486"/>
      <c r="H188" s="487"/>
      <c r="I188" s="133" t="s">
        <v>118</v>
      </c>
      <c r="J188" s="134" t="s">
        <v>988</v>
      </c>
      <c r="K188" s="134"/>
      <c r="L188" s="134"/>
    </row>
    <row r="189" spans="1:12">
      <c r="A189" s="488" t="s">
        <v>119</v>
      </c>
      <c r="B189" s="489"/>
      <c r="C189" s="490" t="s">
        <v>120</v>
      </c>
      <c r="D189" s="490"/>
      <c r="E189" s="491" t="s">
        <v>121</v>
      </c>
      <c r="F189" s="491"/>
      <c r="G189" s="491"/>
      <c r="H189" s="491"/>
      <c r="I189" s="133" t="s">
        <v>122</v>
      </c>
      <c r="J189" s="134"/>
      <c r="K189" s="134"/>
      <c r="L189" s="134"/>
    </row>
  </sheetData>
  <mergeCells count="272">
    <mergeCell ref="A185:H186"/>
    <mergeCell ref="A187:H188"/>
    <mergeCell ref="A189:B189"/>
    <mergeCell ref="C189:D189"/>
    <mergeCell ref="E189:H189"/>
    <mergeCell ref="A165:B167"/>
    <mergeCell ref="C165:D184"/>
    <mergeCell ref="E165:G165"/>
    <mergeCell ref="H165:I184"/>
    <mergeCell ref="J165:J184"/>
    <mergeCell ref="K165:L184"/>
    <mergeCell ref="E166:G166"/>
    <mergeCell ref="E167:G167"/>
    <mergeCell ref="A168:B169"/>
    <mergeCell ref="E168:G168"/>
    <mergeCell ref="E169:G169"/>
    <mergeCell ref="A170:B172"/>
    <mergeCell ref="E170:G170"/>
    <mergeCell ref="E171:G172"/>
    <mergeCell ref="A173:B184"/>
    <mergeCell ref="E173:G173"/>
    <mergeCell ref="E174:G174"/>
    <mergeCell ref="E175:G175"/>
    <mergeCell ref="E176:G176"/>
    <mergeCell ref="E177:G177"/>
    <mergeCell ref="E178:G178"/>
    <mergeCell ref="E179:G179"/>
    <mergeCell ref="E180:G180"/>
    <mergeCell ref="E181:G181"/>
    <mergeCell ref="E182:G182"/>
    <mergeCell ref="E183:G183"/>
    <mergeCell ref="E184:G184"/>
    <mergeCell ref="E161:L161"/>
    <mergeCell ref="A162:B162"/>
    <mergeCell ref="C162:D162"/>
    <mergeCell ref="E162:G162"/>
    <mergeCell ref="H162:I162"/>
    <mergeCell ref="K162:L162"/>
    <mergeCell ref="A163:B164"/>
    <mergeCell ref="C163:D164"/>
    <mergeCell ref="E163:G164"/>
    <mergeCell ref="H163:I164"/>
    <mergeCell ref="J163:J164"/>
    <mergeCell ref="K163:L164"/>
    <mergeCell ref="A156:L156"/>
    <mergeCell ref="E157:F157"/>
    <mergeCell ref="G157:I157"/>
    <mergeCell ref="J157:L157"/>
    <mergeCell ref="A158:I158"/>
    <mergeCell ref="J158:L158"/>
    <mergeCell ref="A159:G160"/>
    <mergeCell ref="H159:I160"/>
    <mergeCell ref="J159:J160"/>
    <mergeCell ref="K159:L160"/>
    <mergeCell ref="A108:B108"/>
    <mergeCell ref="C108:D108"/>
    <mergeCell ref="E108:H108"/>
    <mergeCell ref="A84:B86"/>
    <mergeCell ref="C84:D103"/>
    <mergeCell ref="H84:I103"/>
    <mergeCell ref="J84:J103"/>
    <mergeCell ref="K84:L103"/>
    <mergeCell ref="A87:B88"/>
    <mergeCell ref="A89:B91"/>
    <mergeCell ref="E89:G89"/>
    <mergeCell ref="E90:G91"/>
    <mergeCell ref="A92:B103"/>
    <mergeCell ref="E103:G103"/>
    <mergeCell ref="A104:H105"/>
    <mergeCell ref="A106:H107"/>
    <mergeCell ref="E100:G100"/>
    <mergeCell ref="E101:G101"/>
    <mergeCell ref="E102:G102"/>
    <mergeCell ref="E84:G84"/>
    <mergeCell ref="E85:G85"/>
    <mergeCell ref="E86:G86"/>
    <mergeCell ref="E87:G87"/>
    <mergeCell ref="E88:G88"/>
    <mergeCell ref="A81:B81"/>
    <mergeCell ref="C81:D81"/>
    <mergeCell ref="E81:G81"/>
    <mergeCell ref="H81:I81"/>
    <mergeCell ref="K81:L81"/>
    <mergeCell ref="A82:B83"/>
    <mergeCell ref="C82:D83"/>
    <mergeCell ref="E82:G83"/>
    <mergeCell ref="H82:I83"/>
    <mergeCell ref="J82:J83"/>
    <mergeCell ref="K82:L83"/>
    <mergeCell ref="E92:G92"/>
    <mergeCell ref="E93:G93"/>
    <mergeCell ref="E94:G94"/>
    <mergeCell ref="E95:G95"/>
    <mergeCell ref="E96:G96"/>
    <mergeCell ref="E97:G97"/>
    <mergeCell ref="E98:G98"/>
    <mergeCell ref="E99:G99"/>
    <mergeCell ref="J76:L76"/>
    <mergeCell ref="E80:L80"/>
    <mergeCell ref="A75:L75"/>
    <mergeCell ref="E76:F76"/>
    <mergeCell ref="G76:I76"/>
    <mergeCell ref="A77:I77"/>
    <mergeCell ref="J77:L77"/>
    <mergeCell ref="A78:G79"/>
    <mergeCell ref="H78:I79"/>
    <mergeCell ref="J78:J79"/>
    <mergeCell ref="K78:L79"/>
    <mergeCell ref="A148:H149"/>
    <mergeCell ref="A150:H151"/>
    <mergeCell ref="A152:B152"/>
    <mergeCell ref="C152:D152"/>
    <mergeCell ref="E152:H152"/>
    <mergeCell ref="E129:G129"/>
    <mergeCell ref="E130:G130"/>
    <mergeCell ref="A131:B132"/>
    <mergeCell ref="E131:G131"/>
    <mergeCell ref="E132:G132"/>
    <mergeCell ref="A133:B135"/>
    <mergeCell ref="E133:G133"/>
    <mergeCell ref="E134:G135"/>
    <mergeCell ref="A136:B147"/>
    <mergeCell ref="E136:G136"/>
    <mergeCell ref="E137:G137"/>
    <mergeCell ref="E138:G138"/>
    <mergeCell ref="E139:G139"/>
    <mergeCell ref="E140:G140"/>
    <mergeCell ref="E141:G141"/>
    <mergeCell ref="E142:G142"/>
    <mergeCell ref="E143:G143"/>
    <mergeCell ref="E144:G144"/>
    <mergeCell ref="E145:G145"/>
    <mergeCell ref="J122:J123"/>
    <mergeCell ref="K122:L123"/>
    <mergeCell ref="E124:L124"/>
    <mergeCell ref="A125:B125"/>
    <mergeCell ref="C125:D125"/>
    <mergeCell ref="E125:G125"/>
    <mergeCell ref="H125:I125"/>
    <mergeCell ref="K125:L125"/>
    <mergeCell ref="A126:B127"/>
    <mergeCell ref="C126:D127"/>
    <mergeCell ref="E126:G127"/>
    <mergeCell ref="H126:I127"/>
    <mergeCell ref="J126:J127"/>
    <mergeCell ref="K126:L127"/>
    <mergeCell ref="A46:B48"/>
    <mergeCell ref="C46:D65"/>
    <mergeCell ref="E46:G46"/>
    <mergeCell ref="A128:B130"/>
    <mergeCell ref="C128:D147"/>
    <mergeCell ref="E128:G128"/>
    <mergeCell ref="H128:I147"/>
    <mergeCell ref="J128:J147"/>
    <mergeCell ref="K128:L147"/>
    <mergeCell ref="A66:H67"/>
    <mergeCell ref="A68:H69"/>
    <mergeCell ref="A70:B70"/>
    <mergeCell ref="C70:D70"/>
    <mergeCell ref="E70:H70"/>
    <mergeCell ref="E146:G146"/>
    <mergeCell ref="E147:G147"/>
    <mergeCell ref="A119:L119"/>
    <mergeCell ref="E120:F120"/>
    <mergeCell ref="G120:I120"/>
    <mergeCell ref="J120:L120"/>
    <mergeCell ref="A121:I121"/>
    <mergeCell ref="J121:L121"/>
    <mergeCell ref="A122:G123"/>
    <mergeCell ref="H122:I123"/>
    <mergeCell ref="H46:I65"/>
    <mergeCell ref="J46:J65"/>
    <mergeCell ref="K46:L65"/>
    <mergeCell ref="E47:G47"/>
    <mergeCell ref="E48:G48"/>
    <mergeCell ref="A49:B50"/>
    <mergeCell ref="E49:G49"/>
    <mergeCell ref="E50:G50"/>
    <mergeCell ref="A51:B53"/>
    <mergeCell ref="E51:G51"/>
    <mergeCell ref="E52:G53"/>
    <mergeCell ref="A54:B65"/>
    <mergeCell ref="E54:G54"/>
    <mergeCell ref="E55:G55"/>
    <mergeCell ref="E56:G56"/>
    <mergeCell ref="E57:G57"/>
    <mergeCell ref="E58:G58"/>
    <mergeCell ref="E65:G65"/>
    <mergeCell ref="E59:G59"/>
    <mergeCell ref="E60:G60"/>
    <mergeCell ref="E61:G61"/>
    <mergeCell ref="E62:G62"/>
    <mergeCell ref="E63:G63"/>
    <mergeCell ref="E64:G64"/>
    <mergeCell ref="A44:B45"/>
    <mergeCell ref="C44:D45"/>
    <mergeCell ref="E44:G45"/>
    <mergeCell ref="H44:I45"/>
    <mergeCell ref="J44:J45"/>
    <mergeCell ref="K44:L45"/>
    <mergeCell ref="E42:L42"/>
    <mergeCell ref="A43:B43"/>
    <mergeCell ref="C43:D43"/>
    <mergeCell ref="E43:G43"/>
    <mergeCell ref="H43:I43"/>
    <mergeCell ref="K43:L43"/>
    <mergeCell ref="E38:F38"/>
    <mergeCell ref="G38:I38"/>
    <mergeCell ref="J38:L38"/>
    <mergeCell ref="A39:I39"/>
    <mergeCell ref="J39:L39"/>
    <mergeCell ref="A40:G41"/>
    <mergeCell ref="H40:I41"/>
    <mergeCell ref="J40:J41"/>
    <mergeCell ref="K40:L41"/>
    <mergeCell ref="E18:G18"/>
    <mergeCell ref="E19:G19"/>
    <mergeCell ref="A37:L37"/>
    <mergeCell ref="E24:G24"/>
    <mergeCell ref="E25:G25"/>
    <mergeCell ref="E26:G26"/>
    <mergeCell ref="E27:G27"/>
    <mergeCell ref="E28:G28"/>
    <mergeCell ref="E29:G29"/>
    <mergeCell ref="C7:D7"/>
    <mergeCell ref="E7:G7"/>
    <mergeCell ref="O10:P10"/>
    <mergeCell ref="E11:G11"/>
    <mergeCell ref="O11:P11"/>
    <mergeCell ref="E12:G12"/>
    <mergeCell ref="A30:H31"/>
    <mergeCell ref="A32:H33"/>
    <mergeCell ref="A34:B34"/>
    <mergeCell ref="C34:D34"/>
    <mergeCell ref="E34:H34"/>
    <mergeCell ref="A13:B14"/>
    <mergeCell ref="E13:G13"/>
    <mergeCell ref="E14:G14"/>
    <mergeCell ref="A10:B12"/>
    <mergeCell ref="C10:D29"/>
    <mergeCell ref="E10:G10"/>
    <mergeCell ref="H10:I29"/>
    <mergeCell ref="J10:J29"/>
    <mergeCell ref="K10:L29"/>
    <mergeCell ref="A15:B17"/>
    <mergeCell ref="E15:G15"/>
    <mergeCell ref="E16:G17"/>
    <mergeCell ref="A18:B29"/>
    <mergeCell ref="H7:I7"/>
    <mergeCell ref="K7:L7"/>
    <mergeCell ref="E20:G20"/>
    <mergeCell ref="E21:G21"/>
    <mergeCell ref="E22:G22"/>
    <mergeCell ref="E23:G23"/>
    <mergeCell ref="A1:L1"/>
    <mergeCell ref="E2:F2"/>
    <mergeCell ref="G2:I2"/>
    <mergeCell ref="J2:L2"/>
    <mergeCell ref="A3:I3"/>
    <mergeCell ref="J3:L3"/>
    <mergeCell ref="A8:B9"/>
    <mergeCell ref="C8:D9"/>
    <mergeCell ref="E8:G9"/>
    <mergeCell ref="H8:I9"/>
    <mergeCell ref="J8:J9"/>
    <mergeCell ref="K8:L9"/>
    <mergeCell ref="A4:G5"/>
    <mergeCell ref="H4:I5"/>
    <mergeCell ref="J4:J5"/>
    <mergeCell ref="K4:L5"/>
    <mergeCell ref="E6:L6"/>
    <mergeCell ref="A7:B7"/>
  </mergeCells>
  <pageMargins left="0.2" right="0.2" top="0.5" bottom="0.5" header="0.05" footer="0.05"/>
  <pageSetup paperSize="9" scale="5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029F-F83B-4721-9A8D-61F041A35EFD}">
  <sheetPr>
    <pageSetUpPr fitToPage="1"/>
  </sheetPr>
  <dimension ref="A1:N792"/>
  <sheetViews>
    <sheetView topLeftCell="H15" workbookViewId="0">
      <selection activeCell="J12" sqref="J12"/>
    </sheetView>
  </sheetViews>
  <sheetFormatPr defaultRowHeight="15"/>
  <cols>
    <col min="2" max="2" width="11.5703125" bestFit="1" customWidth="1"/>
    <col min="3" max="4" width="23.85546875" customWidth="1"/>
    <col min="5" max="5" width="20" customWidth="1"/>
    <col min="6" max="6" width="28.28515625" customWidth="1"/>
    <col min="7" max="7" width="36.85546875" customWidth="1"/>
    <col min="8" max="8" width="42.42578125" customWidth="1"/>
    <col min="9" max="9" width="13.140625" customWidth="1"/>
    <col min="10" max="10" width="33.42578125" customWidth="1"/>
    <col min="11" max="11" width="55.28515625" customWidth="1"/>
    <col min="12" max="12" width="20.5703125" customWidth="1"/>
    <col min="13" max="13" width="11.28515625" customWidth="1"/>
  </cols>
  <sheetData>
    <row r="1" spans="1:14">
      <c r="A1" t="s">
        <v>1046</v>
      </c>
    </row>
    <row r="2" spans="1:14" s="135" customFormat="1">
      <c r="B2" s="443" t="s">
        <v>0</v>
      </c>
      <c r="C2" s="445" t="s">
        <v>1</v>
      </c>
      <c r="D2" s="445"/>
      <c r="E2" s="438" t="s">
        <v>2</v>
      </c>
      <c r="F2" s="438" t="s">
        <v>3</v>
      </c>
      <c r="G2" s="438" t="s">
        <v>4</v>
      </c>
      <c r="H2" s="438" t="s">
        <v>5</v>
      </c>
      <c r="I2" s="438" t="s">
        <v>6</v>
      </c>
      <c r="J2" s="438" t="s">
        <v>7</v>
      </c>
      <c r="K2" s="440" t="s">
        <v>8</v>
      </c>
      <c r="L2" s="438" t="s">
        <v>1047</v>
      </c>
    </row>
    <row r="3" spans="1:14" s="135" customFormat="1">
      <c r="B3" s="443"/>
      <c r="C3" s="41" t="s">
        <v>9</v>
      </c>
      <c r="D3" s="42" t="s">
        <v>10</v>
      </c>
      <c r="E3" s="438"/>
      <c r="F3" s="438"/>
      <c r="G3" s="438"/>
      <c r="H3" s="438"/>
      <c r="I3" s="438"/>
      <c r="J3" s="438"/>
      <c r="K3" s="440"/>
      <c r="L3" s="438"/>
    </row>
    <row r="4" spans="1:14" s="3" customFormat="1" ht="33" customHeight="1">
      <c r="B4" s="32">
        <v>1</v>
      </c>
      <c r="C4" s="106">
        <v>6</v>
      </c>
      <c r="D4" s="106"/>
      <c r="E4" s="158">
        <v>45598</v>
      </c>
      <c r="F4" s="37" t="s">
        <v>131</v>
      </c>
      <c r="G4" s="37" t="s">
        <v>1048</v>
      </c>
      <c r="H4" s="160" t="s">
        <v>1049</v>
      </c>
      <c r="I4" s="139" t="s">
        <v>146</v>
      </c>
      <c r="J4" s="139" t="s">
        <v>1050</v>
      </c>
      <c r="K4" s="139" t="s">
        <v>1051</v>
      </c>
    </row>
    <row r="5" spans="1:14" s="3" customFormat="1" ht="33" customHeight="1">
      <c r="B5" s="32">
        <v>2</v>
      </c>
      <c r="C5" s="106"/>
      <c r="D5" s="195">
        <v>49.999999999999986</v>
      </c>
      <c r="E5" s="161">
        <v>45598</v>
      </c>
      <c r="F5" s="37" t="s">
        <v>131</v>
      </c>
      <c r="G5" s="37" t="s">
        <v>1048</v>
      </c>
      <c r="H5" s="162" t="s">
        <v>1052</v>
      </c>
      <c r="I5" s="142" t="s">
        <v>127</v>
      </c>
      <c r="J5" s="159" t="s">
        <v>1053</v>
      </c>
      <c r="K5" s="146" t="s">
        <v>1054</v>
      </c>
      <c r="L5" s="717"/>
      <c r="M5" s="717"/>
      <c r="N5" s="717"/>
    </row>
    <row r="6" spans="1:14" s="3" customFormat="1" ht="33" customHeight="1">
      <c r="B6" s="32">
        <v>3</v>
      </c>
      <c r="C6" s="106"/>
      <c r="D6" s="195">
        <v>7.000000000000135</v>
      </c>
      <c r="E6" s="161">
        <v>45599</v>
      </c>
      <c r="F6" s="37" t="s">
        <v>131</v>
      </c>
      <c r="G6" s="37" t="s">
        <v>1048</v>
      </c>
      <c r="H6" s="162" t="s">
        <v>1055</v>
      </c>
      <c r="I6" s="139" t="s">
        <v>146</v>
      </c>
      <c r="J6" s="159" t="s">
        <v>1056</v>
      </c>
      <c r="K6" s="146" t="s">
        <v>1057</v>
      </c>
      <c r="L6" s="717"/>
      <c r="M6" s="717"/>
      <c r="N6" s="717"/>
    </row>
    <row r="7" spans="1:14" s="3" customFormat="1" ht="33" customHeight="1">
      <c r="B7" s="32">
        <v>4</v>
      </c>
      <c r="C7" s="106">
        <v>232</v>
      </c>
      <c r="D7" s="106"/>
      <c r="E7" s="161">
        <v>45600</v>
      </c>
      <c r="F7" s="36" t="s">
        <v>159</v>
      </c>
      <c r="G7" s="91" t="s">
        <v>1058</v>
      </c>
      <c r="H7" s="162" t="s">
        <v>1059</v>
      </c>
      <c r="I7" s="142" t="s">
        <v>127</v>
      </c>
      <c r="J7" s="167" t="s">
        <v>1060</v>
      </c>
      <c r="K7" s="146" t="s">
        <v>1061</v>
      </c>
      <c r="L7" s="717"/>
      <c r="M7" s="717"/>
      <c r="N7" s="717"/>
    </row>
    <row r="8" spans="1:14" s="3" customFormat="1" ht="33" customHeight="1">
      <c r="B8" s="32"/>
      <c r="C8" s="106"/>
      <c r="D8" s="195">
        <v>292.00000000000006</v>
      </c>
      <c r="E8" s="161">
        <v>45600</v>
      </c>
      <c r="F8" s="36" t="s">
        <v>159</v>
      </c>
      <c r="G8" s="91" t="s">
        <v>1058</v>
      </c>
      <c r="H8" s="162" t="s">
        <v>1059</v>
      </c>
      <c r="I8" s="142" t="s">
        <v>127</v>
      </c>
      <c r="J8" s="168" t="s">
        <v>1060</v>
      </c>
      <c r="K8" s="146" t="s">
        <v>1061</v>
      </c>
      <c r="L8" s="153"/>
      <c r="M8" s="153"/>
      <c r="N8" s="153"/>
    </row>
    <row r="9" spans="1:14" s="66" customFormat="1" ht="44.25" customHeight="1">
      <c r="B9" s="67">
        <v>5</v>
      </c>
      <c r="C9" s="106"/>
      <c r="D9" s="106">
        <v>80</v>
      </c>
      <c r="E9" s="169">
        <v>45601</v>
      </c>
      <c r="F9" s="62" t="s">
        <v>159</v>
      </c>
      <c r="G9" s="91" t="s">
        <v>1058</v>
      </c>
      <c r="H9" s="162" t="s">
        <v>1062</v>
      </c>
      <c r="I9" s="142" t="s">
        <v>127</v>
      </c>
      <c r="J9" s="140" t="s">
        <v>1063</v>
      </c>
      <c r="K9" s="146" t="s">
        <v>1064</v>
      </c>
    </row>
    <row r="10" spans="1:14" s="66" customFormat="1" ht="43.5">
      <c r="B10" s="67">
        <v>6</v>
      </c>
      <c r="C10" s="68"/>
      <c r="D10" s="195">
        <v>52</v>
      </c>
      <c r="E10" s="161">
        <v>45602</v>
      </c>
      <c r="F10" s="68" t="s">
        <v>131</v>
      </c>
      <c r="G10" s="37" t="s">
        <v>1048</v>
      </c>
      <c r="H10" s="160" t="s">
        <v>1065</v>
      </c>
      <c r="I10" s="142" t="s">
        <v>127</v>
      </c>
      <c r="J10" s="140" t="s">
        <v>1066</v>
      </c>
      <c r="K10" s="146" t="s">
        <v>1067</v>
      </c>
    </row>
    <row r="11" spans="1:14" s="3" customFormat="1" ht="47.25" customHeight="1">
      <c r="B11" s="32">
        <v>7</v>
      </c>
      <c r="C11" s="106"/>
      <c r="D11" s="195">
        <v>29</v>
      </c>
      <c r="E11" s="161">
        <v>45602</v>
      </c>
      <c r="F11" s="37" t="s">
        <v>131</v>
      </c>
      <c r="G11" s="37" t="s">
        <v>1048</v>
      </c>
      <c r="H11" s="160" t="s">
        <v>1068</v>
      </c>
      <c r="I11" s="142" t="s">
        <v>127</v>
      </c>
      <c r="J11" s="138" t="s">
        <v>1069</v>
      </c>
      <c r="K11" s="146" t="s">
        <v>1070</v>
      </c>
    </row>
    <row r="12" spans="1:14" s="3" customFormat="1" ht="47.25" customHeight="1">
      <c r="B12" s="32"/>
      <c r="C12" s="106"/>
      <c r="D12" s="195">
        <v>212</v>
      </c>
      <c r="E12" s="161">
        <v>45603</v>
      </c>
      <c r="F12" s="37" t="s">
        <v>124</v>
      </c>
      <c r="G12" s="37" t="s">
        <v>1071</v>
      </c>
      <c r="H12" s="160" t="s">
        <v>1068</v>
      </c>
      <c r="I12" s="142" t="s">
        <v>127</v>
      </c>
      <c r="J12" s="138" t="s">
        <v>1069</v>
      </c>
      <c r="K12" s="146" t="s">
        <v>1070</v>
      </c>
    </row>
    <row r="13" spans="1:14" s="3" customFormat="1" ht="33" customHeight="1">
      <c r="B13" s="32">
        <v>8</v>
      </c>
      <c r="C13" s="68"/>
      <c r="D13" s="195">
        <v>175</v>
      </c>
      <c r="E13" s="161">
        <v>45603</v>
      </c>
      <c r="F13" s="37" t="s">
        <v>124</v>
      </c>
      <c r="G13" s="37" t="s">
        <v>1071</v>
      </c>
      <c r="H13" s="160" t="s">
        <v>1072</v>
      </c>
      <c r="I13" s="142" t="s">
        <v>127</v>
      </c>
      <c r="J13" s="139" t="s">
        <v>1073</v>
      </c>
      <c r="K13" s="146" t="s">
        <v>1074</v>
      </c>
    </row>
    <row r="14" spans="1:14" s="66" customFormat="1" ht="46.5" customHeight="1">
      <c r="B14" s="67">
        <v>9</v>
      </c>
      <c r="C14" s="175"/>
      <c r="D14" s="176">
        <v>104</v>
      </c>
      <c r="E14" s="177">
        <v>45603</v>
      </c>
      <c r="F14" s="175" t="s">
        <v>159</v>
      </c>
      <c r="G14" s="175" t="s">
        <v>1058</v>
      </c>
      <c r="H14" s="178" t="s">
        <v>475</v>
      </c>
      <c r="I14" s="142" t="s">
        <v>127</v>
      </c>
      <c r="J14" s="139" t="s">
        <v>1075</v>
      </c>
      <c r="K14" s="139" t="s">
        <v>1076</v>
      </c>
    </row>
    <row r="15" spans="1:14" s="3" customFormat="1" ht="48.75" customHeight="1">
      <c r="B15" s="32">
        <v>10</v>
      </c>
      <c r="C15" s="68"/>
      <c r="D15" s="195">
        <v>19.999999999999968</v>
      </c>
      <c r="E15" s="158">
        <v>45606</v>
      </c>
      <c r="F15" s="37" t="s">
        <v>124</v>
      </c>
      <c r="G15" s="37" t="s">
        <v>1077</v>
      </c>
      <c r="H15" s="104" t="s">
        <v>1078</v>
      </c>
      <c r="I15" s="142" t="s">
        <v>127</v>
      </c>
      <c r="J15" s="170" t="s">
        <v>1079</v>
      </c>
      <c r="K15" s="138" t="s">
        <v>1080</v>
      </c>
    </row>
    <row r="16" spans="1:14" s="3" customFormat="1" ht="33" customHeight="1">
      <c r="B16" s="32">
        <v>12</v>
      </c>
      <c r="C16" s="68"/>
      <c r="D16" s="195">
        <v>54.999999999999964</v>
      </c>
      <c r="E16" s="158">
        <v>45606</v>
      </c>
      <c r="F16" s="62" t="s">
        <v>159</v>
      </c>
      <c r="G16" s="37" t="s">
        <v>1048</v>
      </c>
      <c r="H16" s="104" t="s">
        <v>1081</v>
      </c>
      <c r="I16" s="142" t="s">
        <v>127</v>
      </c>
      <c r="J16" s="138" t="s">
        <v>1082</v>
      </c>
      <c r="K16" s="138" t="s">
        <v>1083</v>
      </c>
    </row>
    <row r="17" spans="2:11" ht="33" customHeight="1">
      <c r="B17" s="32">
        <v>13</v>
      </c>
      <c r="C17" s="68"/>
      <c r="D17" s="195">
        <v>18.999999999999932</v>
      </c>
      <c r="E17" s="158">
        <v>45607</v>
      </c>
      <c r="F17" s="37" t="s">
        <v>131</v>
      </c>
      <c r="G17" s="37" t="s">
        <v>1071</v>
      </c>
      <c r="H17" s="104" t="s">
        <v>1081</v>
      </c>
      <c r="I17" s="142" t="s">
        <v>146</v>
      </c>
      <c r="J17" s="138" t="s">
        <v>1084</v>
      </c>
      <c r="K17" s="138" t="s">
        <v>1085</v>
      </c>
    </row>
    <row r="18" spans="2:11" s="58" customFormat="1" ht="33" customHeight="1">
      <c r="B18" s="67">
        <v>14</v>
      </c>
      <c r="C18" s="68">
        <v>53</v>
      </c>
      <c r="D18" s="68"/>
      <c r="E18" s="174">
        <v>45611</v>
      </c>
      <c r="F18" s="175" t="s">
        <v>159</v>
      </c>
      <c r="G18" s="68" t="s">
        <v>1086</v>
      </c>
      <c r="H18" s="162" t="s">
        <v>1087</v>
      </c>
      <c r="I18" s="142" t="s">
        <v>127</v>
      </c>
      <c r="J18" s="159" t="s">
        <v>1088</v>
      </c>
      <c r="K18" s="159" t="s">
        <v>1089</v>
      </c>
    </row>
    <row r="19" spans="2:11" ht="33">
      <c r="B19" s="32">
        <v>15</v>
      </c>
      <c r="C19" s="166">
        <v>139</v>
      </c>
      <c r="D19" s="166"/>
      <c r="E19" s="158">
        <v>45611</v>
      </c>
      <c r="F19" s="37" t="s">
        <v>131</v>
      </c>
      <c r="G19" s="37" t="s">
        <v>1071</v>
      </c>
      <c r="H19" s="104" t="s">
        <v>1090</v>
      </c>
      <c r="I19" s="142" t="s">
        <v>127</v>
      </c>
      <c r="J19" s="140" t="s">
        <v>1091</v>
      </c>
      <c r="K19" s="140" t="s">
        <v>1092</v>
      </c>
    </row>
    <row r="20" spans="2:11" ht="45" customHeight="1">
      <c r="B20" s="32">
        <v>16</v>
      </c>
      <c r="C20" s="68"/>
      <c r="D20" s="68">
        <v>25</v>
      </c>
      <c r="E20" s="158">
        <v>45612</v>
      </c>
      <c r="F20" s="37" t="s">
        <v>124</v>
      </c>
      <c r="G20" s="37" t="s">
        <v>1093</v>
      </c>
      <c r="H20" s="104" t="s">
        <v>1094</v>
      </c>
      <c r="I20" s="142" t="s">
        <v>127</v>
      </c>
      <c r="J20" s="36" t="s">
        <v>1095</v>
      </c>
      <c r="K20" s="37" t="s">
        <v>1096</v>
      </c>
    </row>
    <row r="21" spans="2:11" s="58" customFormat="1" ht="35.25" customHeight="1">
      <c r="B21" s="67">
        <v>17</v>
      </c>
      <c r="C21" s="68">
        <v>50</v>
      </c>
      <c r="D21" s="68"/>
      <c r="E21" s="158">
        <v>45613</v>
      </c>
      <c r="F21" s="68" t="s">
        <v>124</v>
      </c>
      <c r="G21" s="37" t="s">
        <v>1048</v>
      </c>
      <c r="H21" s="104" t="s">
        <v>1097</v>
      </c>
      <c r="I21" s="142" t="s">
        <v>127</v>
      </c>
      <c r="J21" s="62" t="s">
        <v>1098</v>
      </c>
      <c r="K21" s="62" t="s">
        <v>1099</v>
      </c>
    </row>
    <row r="22" spans="2:11" ht="35.25" customHeight="1">
      <c r="B22" s="32">
        <v>18</v>
      </c>
      <c r="C22" s="68"/>
      <c r="D22" s="68">
        <v>10</v>
      </c>
      <c r="E22" s="158">
        <v>45614</v>
      </c>
      <c r="F22" s="175" t="s">
        <v>159</v>
      </c>
      <c r="G22" s="68" t="s">
        <v>1086</v>
      </c>
      <c r="H22" s="104" t="s">
        <v>1081</v>
      </c>
      <c r="I22" s="142" t="s">
        <v>146</v>
      </c>
      <c r="J22" s="36" t="s">
        <v>1100</v>
      </c>
      <c r="K22" s="36" t="s">
        <v>1101</v>
      </c>
    </row>
    <row r="23" spans="2:11" ht="49.5" customHeight="1">
      <c r="B23" s="32">
        <v>19</v>
      </c>
      <c r="C23" s="68"/>
      <c r="D23" s="68">
        <v>40</v>
      </c>
      <c r="E23" s="174">
        <v>45615</v>
      </c>
      <c r="F23" s="68" t="s">
        <v>131</v>
      </c>
      <c r="G23" s="68" t="s">
        <v>1102</v>
      </c>
      <c r="H23" s="162" t="s">
        <v>1103</v>
      </c>
      <c r="I23" s="142" t="s">
        <v>127</v>
      </c>
      <c r="J23" s="62" t="s">
        <v>1104</v>
      </c>
      <c r="K23" s="62" t="s">
        <v>1105</v>
      </c>
    </row>
    <row r="24" spans="2:11" ht="42" customHeight="1">
      <c r="B24" s="32">
        <v>20</v>
      </c>
      <c r="C24" s="68">
        <v>50</v>
      </c>
      <c r="D24" s="68"/>
      <c r="E24" s="158">
        <v>45616</v>
      </c>
      <c r="F24" s="37" t="s">
        <v>131</v>
      </c>
      <c r="G24" s="37" t="s">
        <v>1093</v>
      </c>
      <c r="H24" s="104" t="s">
        <v>1106</v>
      </c>
      <c r="I24" s="142" t="s">
        <v>127</v>
      </c>
      <c r="J24" s="36" t="s">
        <v>1107</v>
      </c>
      <c r="K24" s="36" t="s">
        <v>1108</v>
      </c>
    </row>
    <row r="25" spans="2:11" ht="42" customHeight="1">
      <c r="B25" s="32">
        <v>21</v>
      </c>
      <c r="C25" s="175">
        <v>27</v>
      </c>
      <c r="D25" s="175"/>
      <c r="E25" s="179">
        <v>45617</v>
      </c>
      <c r="F25" s="74" t="s">
        <v>131</v>
      </c>
      <c r="G25" s="37" t="s">
        <v>1093</v>
      </c>
      <c r="H25" s="104" t="s">
        <v>1109</v>
      </c>
      <c r="I25" s="173" t="s">
        <v>146</v>
      </c>
      <c r="J25" s="171" t="s">
        <v>1110</v>
      </c>
      <c r="K25" s="74" t="s">
        <v>1111</v>
      </c>
    </row>
    <row r="26" spans="2:11" ht="42" customHeight="1">
      <c r="B26" s="32">
        <v>22</v>
      </c>
      <c r="C26" s="68"/>
      <c r="D26" s="68">
        <v>105</v>
      </c>
      <c r="E26" s="158">
        <v>45618</v>
      </c>
      <c r="F26" s="68" t="s">
        <v>159</v>
      </c>
      <c r="G26" s="37" t="s">
        <v>1071</v>
      </c>
      <c r="H26" s="104" t="s">
        <v>1112</v>
      </c>
      <c r="I26" s="142" t="s">
        <v>127</v>
      </c>
      <c r="J26" s="36" t="s">
        <v>1113</v>
      </c>
      <c r="K26" s="37" t="s">
        <v>1114</v>
      </c>
    </row>
    <row r="27" spans="2:11" ht="42" customHeight="1">
      <c r="B27" s="32">
        <v>23</v>
      </c>
      <c r="C27" s="68"/>
      <c r="D27" s="68">
        <v>10</v>
      </c>
      <c r="E27" s="158">
        <v>45620</v>
      </c>
      <c r="F27" s="37" t="s">
        <v>124</v>
      </c>
      <c r="G27" s="37" t="s">
        <v>1077</v>
      </c>
      <c r="H27" s="104" t="s">
        <v>1115</v>
      </c>
      <c r="I27" s="142" t="s">
        <v>146</v>
      </c>
      <c r="J27" s="36" t="s">
        <v>1100</v>
      </c>
      <c r="K27" s="36" t="s">
        <v>1101</v>
      </c>
    </row>
    <row r="28" spans="2:11" ht="42" customHeight="1">
      <c r="B28" s="32">
        <v>24</v>
      </c>
      <c r="C28" s="68">
        <v>21</v>
      </c>
      <c r="D28" s="68"/>
      <c r="E28" s="158">
        <v>45620</v>
      </c>
      <c r="F28" s="37" t="s">
        <v>131</v>
      </c>
      <c r="G28" s="37" t="s">
        <v>1048</v>
      </c>
      <c r="H28" s="104" t="s">
        <v>1116</v>
      </c>
      <c r="I28" s="142" t="s">
        <v>146</v>
      </c>
      <c r="J28" s="36" t="s">
        <v>1117</v>
      </c>
      <c r="K28" s="36" t="s">
        <v>1118</v>
      </c>
    </row>
    <row r="29" spans="2:11" ht="42" customHeight="1">
      <c r="B29" s="32">
        <v>25</v>
      </c>
      <c r="C29" s="68"/>
      <c r="D29" s="68">
        <v>34</v>
      </c>
      <c r="E29" s="158">
        <v>45621</v>
      </c>
      <c r="F29" s="37" t="s">
        <v>159</v>
      </c>
      <c r="G29" s="37" t="s">
        <v>1093</v>
      </c>
      <c r="H29" s="104" t="s">
        <v>1119</v>
      </c>
      <c r="I29" s="142" t="s">
        <v>127</v>
      </c>
      <c r="J29" s="36" t="s">
        <v>1120</v>
      </c>
      <c r="K29" s="36" t="s">
        <v>1121</v>
      </c>
    </row>
    <row r="30" spans="2:11" ht="42" customHeight="1">
      <c r="B30" s="32">
        <v>26</v>
      </c>
      <c r="C30" s="68"/>
      <c r="D30" s="175">
        <v>26</v>
      </c>
      <c r="E30" s="179">
        <v>45622</v>
      </c>
      <c r="F30" s="74" t="s">
        <v>131</v>
      </c>
      <c r="G30" s="74" t="s">
        <v>1048</v>
      </c>
      <c r="H30" s="160" t="s">
        <v>1122</v>
      </c>
      <c r="I30" s="173" t="s">
        <v>146</v>
      </c>
      <c r="J30" s="171" t="s">
        <v>1123</v>
      </c>
      <c r="K30" s="171" t="s">
        <v>1124</v>
      </c>
    </row>
    <row r="31" spans="2:11" ht="42" customHeight="1">
      <c r="B31" s="32">
        <v>23</v>
      </c>
      <c r="C31" s="68">
        <v>70</v>
      </c>
      <c r="D31" s="68"/>
      <c r="E31" s="158">
        <v>45623</v>
      </c>
      <c r="F31" s="37" t="s">
        <v>124</v>
      </c>
      <c r="G31" s="37" t="s">
        <v>1071</v>
      </c>
      <c r="H31" s="104" t="s">
        <v>1125</v>
      </c>
      <c r="I31" s="142" t="s">
        <v>127</v>
      </c>
      <c r="J31" s="37" t="s">
        <v>1126</v>
      </c>
      <c r="K31" s="37" t="s">
        <v>1127</v>
      </c>
    </row>
    <row r="32" spans="2:11" ht="42" customHeight="1">
      <c r="B32" s="32">
        <v>24</v>
      </c>
      <c r="C32" s="68">
        <v>23</v>
      </c>
      <c r="D32" s="68"/>
      <c r="E32" s="158">
        <v>45623</v>
      </c>
      <c r="F32" s="68" t="s">
        <v>124</v>
      </c>
      <c r="G32" s="37" t="s">
        <v>1071</v>
      </c>
      <c r="H32" s="104" t="s">
        <v>1128</v>
      </c>
      <c r="I32" s="142" t="s">
        <v>127</v>
      </c>
      <c r="J32" s="37" t="s">
        <v>1126</v>
      </c>
      <c r="K32" s="37" t="s">
        <v>1127</v>
      </c>
    </row>
    <row r="33" spans="2:11" ht="42" customHeight="1">
      <c r="B33" s="79">
        <v>27</v>
      </c>
      <c r="C33" s="37"/>
      <c r="D33" s="196">
        <v>60</v>
      </c>
      <c r="E33" s="179">
        <v>45625</v>
      </c>
      <c r="F33" s="74" t="s">
        <v>124</v>
      </c>
      <c r="G33" s="74" t="s">
        <v>1071</v>
      </c>
      <c r="H33" s="160" t="s">
        <v>1129</v>
      </c>
      <c r="I33" s="142" t="s">
        <v>127</v>
      </c>
      <c r="J33" s="74"/>
      <c r="K33" s="74"/>
    </row>
    <row r="34" spans="2:11" ht="42" customHeight="1">
      <c r="B34" s="91">
        <v>28</v>
      </c>
      <c r="C34" s="37"/>
      <c r="D34" s="119">
        <v>50</v>
      </c>
      <c r="E34" s="158">
        <v>45626</v>
      </c>
      <c r="F34" s="37" t="s">
        <v>159</v>
      </c>
      <c r="G34" s="37" t="s">
        <v>1048</v>
      </c>
      <c r="H34" s="104" t="s">
        <v>1130</v>
      </c>
      <c r="I34" s="142" t="s">
        <v>127</v>
      </c>
      <c r="J34" s="91"/>
      <c r="K34" s="37"/>
    </row>
    <row r="35" spans="2:11" ht="42" customHeight="1">
      <c r="B35" s="91">
        <v>29</v>
      </c>
      <c r="C35" s="37"/>
      <c r="D35" s="68">
        <v>82</v>
      </c>
      <c r="E35" s="158">
        <v>45626</v>
      </c>
      <c r="F35" s="37" t="s">
        <v>159</v>
      </c>
      <c r="G35" s="37" t="s">
        <v>1048</v>
      </c>
      <c r="H35" s="104" t="s">
        <v>1131</v>
      </c>
      <c r="I35" s="142" t="s">
        <v>127</v>
      </c>
      <c r="J35" s="76" t="s">
        <v>1132</v>
      </c>
      <c r="K35" s="37" t="s">
        <v>1133</v>
      </c>
    </row>
    <row r="36" spans="2:11">
      <c r="B36" s="6" t="s">
        <v>11</v>
      </c>
      <c r="C36" s="232">
        <f>SUM(C4:C32)/60</f>
        <v>11.183333333333334</v>
      </c>
      <c r="D36" s="232">
        <f>SUM(D4:D35)/60</f>
        <v>25.616666666666671</v>
      </c>
      <c r="E36" s="434"/>
      <c r="F36" s="434"/>
      <c r="G36" s="434"/>
      <c r="H36" s="434"/>
      <c r="I36" s="434"/>
      <c r="J36" s="434"/>
      <c r="K36" s="434"/>
    </row>
    <row r="37" spans="2:11">
      <c r="B37" s="9"/>
      <c r="C37" s="10"/>
      <c r="D37" s="11"/>
      <c r="E37" s="434"/>
      <c r="F37" s="434"/>
      <c r="G37" s="434"/>
      <c r="H37" s="434"/>
      <c r="I37" s="434"/>
      <c r="J37" s="434"/>
      <c r="K37" s="434"/>
    </row>
    <row r="38" spans="2:11">
      <c r="B38" s="6" t="s">
        <v>12</v>
      </c>
      <c r="C38" s="873">
        <f>SUM(C36,D36)</f>
        <v>36.800000000000004</v>
      </c>
      <c r="D38" s="873"/>
      <c r="E38" s="434"/>
      <c r="F38" s="434"/>
      <c r="G38" s="434"/>
      <c r="H38" s="434"/>
      <c r="I38" s="434"/>
      <c r="J38" s="434"/>
      <c r="K38" s="434"/>
    </row>
    <row r="39" spans="2:11">
      <c r="B39" s="12"/>
      <c r="C39" s="13"/>
      <c r="D39" s="14"/>
      <c r="E39" s="434"/>
      <c r="F39" s="434"/>
      <c r="G39" s="434"/>
      <c r="H39" s="434"/>
      <c r="I39" s="434"/>
      <c r="J39" s="434"/>
      <c r="K39" s="434"/>
    </row>
    <row r="41" spans="2:11">
      <c r="I41" t="s">
        <v>865</v>
      </c>
    </row>
    <row r="42" spans="2:11" ht="15.75">
      <c r="B42" s="543" t="s">
        <v>189</v>
      </c>
      <c r="C42" s="543"/>
      <c r="D42" s="543"/>
      <c r="E42" s="543"/>
      <c r="F42" s="543"/>
      <c r="G42" s="543"/>
      <c r="I42" t="s">
        <v>867</v>
      </c>
    </row>
    <row r="43" spans="2:11" ht="15.75">
      <c r="B43" s="546" t="s">
        <v>190</v>
      </c>
      <c r="C43" s="546"/>
      <c r="D43" s="546"/>
      <c r="E43" s="546"/>
      <c r="F43" s="546"/>
      <c r="G43" s="546"/>
    </row>
    <row r="44" spans="2:11" ht="27.75" customHeight="1">
      <c r="B44" s="549" t="s">
        <v>191</v>
      </c>
      <c r="C44" s="549"/>
      <c r="D44" s="551" t="s">
        <v>192</v>
      </c>
      <c r="E44" s="551"/>
      <c r="F44" s="555" t="s">
        <v>193</v>
      </c>
      <c r="G44" s="15" t="s">
        <v>194</v>
      </c>
    </row>
    <row r="45" spans="2:11" ht="21" customHeight="1">
      <c r="B45" s="557" t="s">
        <v>195</v>
      </c>
      <c r="C45" s="557"/>
      <c r="D45" s="551"/>
      <c r="E45" s="551"/>
      <c r="F45" s="555"/>
      <c r="G45" s="16" t="s">
        <v>1134</v>
      </c>
    </row>
    <row r="46" spans="2:11" ht="22.5">
      <c r="B46" s="559" t="s">
        <v>197</v>
      </c>
      <c r="C46" s="559"/>
      <c r="D46" s="565" t="s">
        <v>1052</v>
      </c>
      <c r="E46" s="565"/>
      <c r="F46" s="571">
        <v>50</v>
      </c>
      <c r="G46" s="17" t="s">
        <v>319</v>
      </c>
    </row>
    <row r="47" spans="2:11">
      <c r="B47" s="559"/>
      <c r="C47" s="559"/>
      <c r="D47" s="565"/>
      <c r="E47" s="565"/>
      <c r="F47" s="571"/>
      <c r="G47" s="18" t="s">
        <v>200</v>
      </c>
    </row>
    <row r="48" spans="2:11">
      <c r="B48" s="559"/>
      <c r="C48" s="559"/>
      <c r="D48" s="565"/>
      <c r="E48" s="565"/>
      <c r="F48" s="571"/>
      <c r="G48" s="17" t="s">
        <v>201</v>
      </c>
    </row>
    <row r="49" spans="2:7">
      <c r="B49" s="19" t="s">
        <v>202</v>
      </c>
      <c r="C49" s="20"/>
      <c r="D49" s="20"/>
      <c r="E49" s="20"/>
      <c r="F49" s="20"/>
      <c r="G49" s="21"/>
    </row>
    <row r="50" spans="2:7">
      <c r="B50" s="22"/>
      <c r="C50" s="23" t="s">
        <v>203</v>
      </c>
      <c r="D50" s="23" t="s">
        <v>203</v>
      </c>
      <c r="E50" s="23" t="s">
        <v>203</v>
      </c>
      <c r="F50" s="23" t="s">
        <v>203</v>
      </c>
      <c r="G50" s="23" t="s">
        <v>203</v>
      </c>
    </row>
    <row r="51" spans="2:7">
      <c r="B51" s="574" t="s">
        <v>204</v>
      </c>
      <c r="C51" s="580" t="s">
        <v>1135</v>
      </c>
      <c r="D51" s="580" t="s">
        <v>1136</v>
      </c>
      <c r="E51" s="580" t="s">
        <v>1137</v>
      </c>
      <c r="F51" s="580" t="s">
        <v>1138</v>
      </c>
      <c r="G51" s="580" t="s">
        <v>202</v>
      </c>
    </row>
    <row r="52" spans="2:7">
      <c r="B52" s="574"/>
      <c r="C52" s="580"/>
      <c r="D52" s="580"/>
      <c r="E52" s="580"/>
      <c r="F52" s="580"/>
      <c r="G52" s="580"/>
    </row>
    <row r="53" spans="2:7">
      <c r="B53" s="574"/>
      <c r="C53" s="580"/>
      <c r="D53" s="580"/>
      <c r="E53" s="580"/>
      <c r="F53" s="580"/>
      <c r="G53" s="580"/>
    </row>
    <row r="54" spans="2:7">
      <c r="B54" s="574"/>
      <c r="C54" s="580"/>
      <c r="D54" s="580"/>
      <c r="E54" s="580"/>
      <c r="F54" s="580"/>
      <c r="G54" s="580"/>
    </row>
    <row r="55" spans="2:7">
      <c r="B55" s="574" t="s">
        <v>208</v>
      </c>
      <c r="C55" s="580" t="s">
        <v>1139</v>
      </c>
      <c r="D55" s="580" t="s">
        <v>1140</v>
      </c>
      <c r="E55" s="580" t="s">
        <v>1141</v>
      </c>
      <c r="F55" s="580" t="s">
        <v>1053</v>
      </c>
      <c r="G55" s="580"/>
    </row>
    <row r="56" spans="2:7">
      <c r="B56" s="574"/>
      <c r="C56" s="580"/>
      <c r="D56" s="580"/>
      <c r="E56" s="580"/>
      <c r="F56" s="580"/>
      <c r="G56" s="580"/>
    </row>
    <row r="57" spans="2:7">
      <c r="B57" s="574"/>
      <c r="C57" s="580"/>
      <c r="D57" s="580"/>
      <c r="E57" s="580"/>
      <c r="F57" s="580"/>
      <c r="G57" s="580"/>
    </row>
    <row r="58" spans="2:7" ht="42.75" customHeight="1">
      <c r="B58" s="574"/>
      <c r="C58" s="580"/>
      <c r="D58" s="580"/>
      <c r="E58" s="580"/>
      <c r="F58" s="580"/>
      <c r="G58" s="580"/>
    </row>
    <row r="59" spans="2:7">
      <c r="B59" s="24"/>
      <c r="C59" s="20"/>
      <c r="D59" s="20"/>
      <c r="E59" s="20"/>
      <c r="F59" s="20"/>
      <c r="G59" s="21"/>
    </row>
    <row r="60" spans="2:7">
      <c r="B60" s="597" t="s">
        <v>212</v>
      </c>
      <c r="C60" s="597"/>
      <c r="D60" s="597"/>
      <c r="E60" s="599" t="s">
        <v>213</v>
      </c>
      <c r="F60" s="599"/>
      <c r="G60" s="599"/>
    </row>
    <row r="61" spans="2:7" ht="42.75" customHeight="1">
      <c r="B61" s="756" t="s">
        <v>1053</v>
      </c>
      <c r="C61" s="756"/>
      <c r="D61" s="756"/>
      <c r="E61" s="610" t="s">
        <v>1142</v>
      </c>
      <c r="F61" s="610"/>
      <c r="G61" s="610"/>
    </row>
    <row r="62" spans="2:7">
      <c r="B62" s="756"/>
      <c r="C62" s="756"/>
      <c r="D62" s="756"/>
      <c r="E62" s="610"/>
      <c r="F62" s="610"/>
      <c r="G62" s="610"/>
    </row>
    <row r="63" spans="2:7">
      <c r="B63" s="756"/>
      <c r="C63" s="756"/>
      <c r="D63" s="756"/>
      <c r="E63" s="610"/>
      <c r="F63" s="610"/>
      <c r="G63" s="610"/>
    </row>
    <row r="64" spans="2:7" ht="24.75" customHeight="1">
      <c r="B64" s="756"/>
      <c r="C64" s="756"/>
      <c r="D64" s="756"/>
      <c r="E64" s="610"/>
      <c r="F64" s="610"/>
      <c r="G64" s="610"/>
    </row>
    <row r="65" spans="2:7">
      <c r="B65" s="25"/>
      <c r="C65" s="26"/>
      <c r="D65" s="26"/>
      <c r="E65" s="26"/>
      <c r="F65" s="26"/>
      <c r="G65" s="27"/>
    </row>
    <row r="66" spans="2:7">
      <c r="B66" s="28"/>
      <c r="G66" s="29"/>
    </row>
    <row r="67" spans="2:7" ht="15.75">
      <c r="B67" s="613" t="s">
        <v>216</v>
      </c>
      <c r="C67" s="613"/>
      <c r="D67" s="613"/>
      <c r="E67" s="613"/>
      <c r="F67" s="613"/>
      <c r="G67" s="613"/>
    </row>
    <row r="68" spans="2:7">
      <c r="B68" s="616" t="s">
        <v>217</v>
      </c>
      <c r="C68" s="616"/>
      <c r="D68" s="617" t="s">
        <v>218</v>
      </c>
      <c r="E68" s="617"/>
      <c r="F68" s="595" t="s">
        <v>219</v>
      </c>
      <c r="G68" s="595"/>
    </row>
    <row r="69" spans="2:7">
      <c r="B69" s="583"/>
      <c r="C69" s="583"/>
      <c r="D69" s="587"/>
      <c r="E69" s="587"/>
      <c r="F69" s="589"/>
      <c r="G69" s="589"/>
    </row>
    <row r="70" spans="2:7">
      <c r="B70" s="583"/>
      <c r="C70" s="583"/>
      <c r="D70" s="587"/>
      <c r="E70" s="587"/>
      <c r="F70" s="589"/>
      <c r="G70" s="589"/>
    </row>
    <row r="71" spans="2:7">
      <c r="B71" s="28"/>
      <c r="G71" s="29"/>
    </row>
    <row r="72" spans="2:7">
      <c r="B72" s="593" t="s">
        <v>220</v>
      </c>
      <c r="C72" s="593"/>
      <c r="D72" s="595" t="s">
        <v>221</v>
      </c>
      <c r="E72" s="595"/>
      <c r="F72" s="595" t="s">
        <v>222</v>
      </c>
      <c r="G72" s="595"/>
    </row>
    <row r="73" spans="2:7">
      <c r="B73" s="639"/>
      <c r="C73" s="639"/>
      <c r="D73" s="641"/>
      <c r="E73" s="641"/>
      <c r="F73" s="641" t="s">
        <v>539</v>
      </c>
      <c r="G73" s="641"/>
    </row>
    <row r="74" spans="2:7">
      <c r="B74" s="43"/>
      <c r="C74" s="43"/>
      <c r="D74" s="43"/>
      <c r="E74" s="43"/>
      <c r="F74" s="43"/>
      <c r="G74" s="43"/>
    </row>
    <row r="76" spans="2:7" ht="15.75">
      <c r="B76" s="543" t="s">
        <v>189</v>
      </c>
      <c r="C76" s="543"/>
      <c r="D76" s="543"/>
      <c r="E76" s="543"/>
      <c r="F76" s="543"/>
      <c r="G76" s="543"/>
    </row>
    <row r="77" spans="2:7" ht="15.75">
      <c r="B77" s="546" t="s">
        <v>190</v>
      </c>
      <c r="C77" s="546"/>
      <c r="D77" s="546"/>
      <c r="E77" s="546"/>
      <c r="F77" s="546"/>
      <c r="G77" s="546"/>
    </row>
    <row r="78" spans="2:7">
      <c r="B78" s="549" t="s">
        <v>191</v>
      </c>
      <c r="C78" s="549"/>
      <c r="D78" s="551" t="s">
        <v>192</v>
      </c>
      <c r="E78" s="551"/>
      <c r="F78" s="555" t="s">
        <v>193</v>
      </c>
      <c r="G78" s="15" t="s">
        <v>194</v>
      </c>
    </row>
    <row r="79" spans="2:7">
      <c r="B79" s="557" t="s">
        <v>231</v>
      </c>
      <c r="C79" s="557"/>
      <c r="D79" s="551"/>
      <c r="E79" s="551"/>
      <c r="F79" s="555"/>
      <c r="G79" s="16" t="s">
        <v>1143</v>
      </c>
    </row>
    <row r="80" spans="2:7" ht="21.75">
      <c r="B80" s="559" t="s">
        <v>197</v>
      </c>
      <c r="C80" s="559"/>
      <c r="D80" s="565" t="s">
        <v>1144</v>
      </c>
      <c r="E80" s="565"/>
      <c r="F80" s="571">
        <v>292</v>
      </c>
      <c r="G80" s="17" t="s">
        <v>308</v>
      </c>
    </row>
    <row r="81" spans="2:7">
      <c r="B81" s="559"/>
      <c r="C81" s="559"/>
      <c r="D81" s="565"/>
      <c r="E81" s="565"/>
      <c r="F81" s="571"/>
      <c r="G81" s="18" t="s">
        <v>200</v>
      </c>
    </row>
    <row r="82" spans="2:7">
      <c r="B82" s="559"/>
      <c r="C82" s="559"/>
      <c r="D82" s="565"/>
      <c r="E82" s="565"/>
      <c r="F82" s="571"/>
      <c r="G82" s="17" t="s">
        <v>201</v>
      </c>
    </row>
    <row r="83" spans="2:7">
      <c r="B83" s="19" t="s">
        <v>202</v>
      </c>
      <c r="C83" s="20"/>
      <c r="D83" s="20"/>
      <c r="E83" s="20"/>
      <c r="F83" s="20"/>
      <c r="G83" s="21"/>
    </row>
    <row r="84" spans="2:7">
      <c r="B84" s="22"/>
      <c r="C84" s="23" t="s">
        <v>203</v>
      </c>
      <c r="D84" s="23" t="s">
        <v>203</v>
      </c>
      <c r="E84" s="23" t="s">
        <v>203</v>
      </c>
      <c r="F84" s="23" t="s">
        <v>203</v>
      </c>
      <c r="G84" s="23" t="s">
        <v>203</v>
      </c>
    </row>
    <row r="85" spans="2:7">
      <c r="B85" s="574" t="s">
        <v>204</v>
      </c>
      <c r="C85" s="580" t="s">
        <v>757</v>
      </c>
      <c r="D85" s="580" t="s">
        <v>1145</v>
      </c>
      <c r="E85" s="580" t="s">
        <v>1146</v>
      </c>
      <c r="F85" s="580" t="s">
        <v>1147</v>
      </c>
      <c r="G85" s="580" t="s">
        <v>1148</v>
      </c>
    </row>
    <row r="86" spans="2:7">
      <c r="B86" s="574"/>
      <c r="C86" s="580"/>
      <c r="D86" s="580"/>
      <c r="E86" s="580"/>
      <c r="F86" s="580"/>
      <c r="G86" s="580"/>
    </row>
    <row r="87" spans="2:7">
      <c r="B87" s="574"/>
      <c r="C87" s="580"/>
      <c r="D87" s="580"/>
      <c r="E87" s="580"/>
      <c r="F87" s="580"/>
      <c r="G87" s="580"/>
    </row>
    <row r="88" spans="2:7">
      <c r="B88" s="574"/>
      <c r="C88" s="580"/>
      <c r="D88" s="580"/>
      <c r="E88" s="580"/>
      <c r="F88" s="580"/>
      <c r="G88" s="580"/>
    </row>
    <row r="89" spans="2:7" ht="15" customHeight="1">
      <c r="B89" s="574" t="s">
        <v>208</v>
      </c>
      <c r="C89" s="580" t="s">
        <v>1149</v>
      </c>
      <c r="D89" s="580" t="s">
        <v>1150</v>
      </c>
      <c r="E89" s="580" t="s">
        <v>1151</v>
      </c>
      <c r="F89" s="580" t="s">
        <v>1152</v>
      </c>
      <c r="G89" s="580" t="s">
        <v>1060</v>
      </c>
    </row>
    <row r="90" spans="2:7">
      <c r="B90" s="574"/>
      <c r="C90" s="580"/>
      <c r="D90" s="580"/>
      <c r="E90" s="580"/>
      <c r="F90" s="580"/>
      <c r="G90" s="580"/>
    </row>
    <row r="91" spans="2:7">
      <c r="B91" s="574"/>
      <c r="C91" s="580"/>
      <c r="D91" s="580"/>
      <c r="E91" s="580"/>
      <c r="F91" s="580"/>
      <c r="G91" s="580"/>
    </row>
    <row r="92" spans="2:7">
      <c r="B92" s="574"/>
      <c r="C92" s="580"/>
      <c r="D92" s="580"/>
      <c r="E92" s="580"/>
      <c r="F92" s="580"/>
      <c r="G92" s="580"/>
    </row>
    <row r="93" spans="2:7">
      <c r="B93" s="24"/>
      <c r="C93" s="20"/>
      <c r="D93" s="20"/>
      <c r="E93" s="20"/>
      <c r="F93" s="20"/>
      <c r="G93" s="21"/>
    </row>
    <row r="94" spans="2:7">
      <c r="B94" s="597" t="s">
        <v>212</v>
      </c>
      <c r="C94" s="597"/>
      <c r="D94" s="597"/>
      <c r="E94" s="599" t="s">
        <v>213</v>
      </c>
      <c r="F94" s="599"/>
      <c r="G94" s="599"/>
    </row>
    <row r="95" spans="2:7" ht="15" customHeight="1">
      <c r="B95" s="756" t="s">
        <v>1060</v>
      </c>
      <c r="C95" s="756"/>
      <c r="D95" s="756"/>
      <c r="E95" s="610" t="s">
        <v>1153</v>
      </c>
      <c r="F95" s="610"/>
      <c r="G95" s="610"/>
    </row>
    <row r="96" spans="2:7">
      <c r="B96" s="756"/>
      <c r="C96" s="756"/>
      <c r="D96" s="756"/>
      <c r="E96" s="610"/>
      <c r="F96" s="610"/>
      <c r="G96" s="610"/>
    </row>
    <row r="97" spans="2:7">
      <c r="B97" s="756"/>
      <c r="C97" s="756"/>
      <c r="D97" s="756"/>
      <c r="E97" s="610"/>
      <c r="F97" s="610"/>
      <c r="G97" s="610"/>
    </row>
    <row r="98" spans="2:7">
      <c r="B98" s="756"/>
      <c r="C98" s="756"/>
      <c r="D98" s="756"/>
      <c r="E98" s="610"/>
      <c r="F98" s="610"/>
      <c r="G98" s="610"/>
    </row>
    <row r="99" spans="2:7">
      <c r="B99" s="25"/>
      <c r="C99" s="26"/>
      <c r="D99" s="26"/>
      <c r="E99" s="26"/>
      <c r="F99" s="26"/>
      <c r="G99" s="27"/>
    </row>
    <row r="100" spans="2:7">
      <c r="B100" s="28"/>
      <c r="G100" s="29"/>
    </row>
    <row r="101" spans="2:7" ht="15.75">
      <c r="B101" s="613" t="s">
        <v>216</v>
      </c>
      <c r="C101" s="613"/>
      <c r="D101" s="613"/>
      <c r="E101" s="613"/>
      <c r="F101" s="613"/>
      <c r="G101" s="613"/>
    </row>
    <row r="102" spans="2:7">
      <c r="B102" s="616" t="s">
        <v>217</v>
      </c>
      <c r="C102" s="616"/>
      <c r="D102" s="617" t="s">
        <v>218</v>
      </c>
      <c r="E102" s="617"/>
      <c r="F102" s="595" t="s">
        <v>219</v>
      </c>
      <c r="G102" s="595"/>
    </row>
    <row r="103" spans="2:7">
      <c r="B103" s="583"/>
      <c r="C103" s="583"/>
      <c r="D103" s="587"/>
      <c r="E103" s="587"/>
      <c r="F103" s="589"/>
      <c r="G103" s="589"/>
    </row>
    <row r="104" spans="2:7">
      <c r="B104" s="583"/>
      <c r="C104" s="583"/>
      <c r="D104" s="587"/>
      <c r="E104" s="587"/>
      <c r="F104" s="589"/>
      <c r="G104" s="589"/>
    </row>
    <row r="105" spans="2:7">
      <c r="B105" s="28"/>
      <c r="G105" s="29"/>
    </row>
    <row r="106" spans="2:7">
      <c r="B106" s="593" t="s">
        <v>220</v>
      </c>
      <c r="C106" s="593"/>
      <c r="D106" s="595" t="s">
        <v>221</v>
      </c>
      <c r="E106" s="595"/>
      <c r="F106" s="595" t="s">
        <v>222</v>
      </c>
      <c r="G106" s="595"/>
    </row>
    <row r="107" spans="2:7">
      <c r="B107" s="639"/>
      <c r="C107" s="639"/>
      <c r="D107" s="641"/>
      <c r="E107" s="641"/>
      <c r="F107" s="641" t="s">
        <v>1154</v>
      </c>
      <c r="G107" s="641"/>
    </row>
    <row r="111" spans="2:7" ht="15.75">
      <c r="B111" s="543" t="s">
        <v>189</v>
      </c>
      <c r="C111" s="543"/>
      <c r="D111" s="543"/>
      <c r="E111" s="543"/>
      <c r="F111" s="543"/>
      <c r="G111" s="543"/>
    </row>
    <row r="112" spans="2:7" ht="15.75">
      <c r="B112" s="546" t="s">
        <v>190</v>
      </c>
      <c r="C112" s="546"/>
      <c r="D112" s="546"/>
      <c r="E112" s="546"/>
      <c r="F112" s="546"/>
      <c r="G112" s="546"/>
    </row>
    <row r="113" spans="2:7">
      <c r="B113" s="549" t="s">
        <v>191</v>
      </c>
      <c r="C113" s="549"/>
      <c r="D113" s="551" t="s">
        <v>192</v>
      </c>
      <c r="E113" s="551"/>
      <c r="F113" s="555" t="s">
        <v>193</v>
      </c>
      <c r="G113" s="15" t="s">
        <v>194</v>
      </c>
    </row>
    <row r="114" spans="2:7">
      <c r="B114" s="557" t="s">
        <v>239</v>
      </c>
      <c r="C114" s="557"/>
      <c r="D114" s="551"/>
      <c r="E114" s="551"/>
      <c r="F114" s="555"/>
      <c r="G114" s="16" t="s">
        <v>1155</v>
      </c>
    </row>
    <row r="115" spans="2:7" ht="21.75">
      <c r="B115" s="559" t="s">
        <v>197</v>
      </c>
      <c r="C115" s="559"/>
      <c r="D115" s="565" t="s">
        <v>1156</v>
      </c>
      <c r="E115" s="565"/>
      <c r="F115" s="571">
        <v>80</v>
      </c>
      <c r="G115" s="17" t="s">
        <v>308</v>
      </c>
    </row>
    <row r="116" spans="2:7">
      <c r="B116" s="559"/>
      <c r="C116" s="559"/>
      <c r="D116" s="565"/>
      <c r="E116" s="565"/>
      <c r="F116" s="571"/>
      <c r="G116" s="18" t="s">
        <v>200</v>
      </c>
    </row>
    <row r="117" spans="2:7">
      <c r="B117" s="559"/>
      <c r="C117" s="559"/>
      <c r="D117" s="565"/>
      <c r="E117" s="565"/>
      <c r="F117" s="571"/>
      <c r="G117" s="17" t="s">
        <v>201</v>
      </c>
    </row>
    <row r="118" spans="2:7">
      <c r="B118" s="19" t="s">
        <v>202</v>
      </c>
      <c r="C118" s="20"/>
      <c r="D118" s="20"/>
      <c r="E118" s="20"/>
      <c r="F118" s="20"/>
      <c r="G118" s="21"/>
    </row>
    <row r="119" spans="2:7">
      <c r="B119" s="22"/>
      <c r="C119" s="155" t="s">
        <v>203</v>
      </c>
      <c r="D119" s="155" t="s">
        <v>203</v>
      </c>
      <c r="E119" s="155" t="s">
        <v>203</v>
      </c>
      <c r="F119" s="155" t="s">
        <v>203</v>
      </c>
      <c r="G119" s="155" t="s">
        <v>203</v>
      </c>
    </row>
    <row r="120" spans="2:7" ht="15" customHeight="1">
      <c r="B120" s="574" t="s">
        <v>204</v>
      </c>
      <c r="C120" s="580" t="s">
        <v>1135</v>
      </c>
      <c r="D120" s="580" t="s">
        <v>1157</v>
      </c>
      <c r="E120" s="580" t="s">
        <v>1158</v>
      </c>
      <c r="F120" s="580"/>
      <c r="G120" s="580"/>
    </row>
    <row r="121" spans="2:7">
      <c r="B121" s="574"/>
      <c r="C121" s="580"/>
      <c r="D121" s="580"/>
      <c r="E121" s="580"/>
      <c r="F121" s="580"/>
      <c r="G121" s="580"/>
    </row>
    <row r="122" spans="2:7">
      <c r="B122" s="574"/>
      <c r="C122" s="580"/>
      <c r="D122" s="580"/>
      <c r="E122" s="580"/>
      <c r="F122" s="580"/>
      <c r="G122" s="580"/>
    </row>
    <row r="123" spans="2:7">
      <c r="B123" s="574"/>
      <c r="C123" s="580"/>
      <c r="D123" s="580"/>
      <c r="E123" s="580"/>
      <c r="F123" s="580"/>
      <c r="G123" s="580"/>
    </row>
    <row r="124" spans="2:7">
      <c r="B124" s="574" t="s">
        <v>208</v>
      </c>
      <c r="C124" s="580" t="s">
        <v>1159</v>
      </c>
      <c r="D124" s="580" t="s">
        <v>1160</v>
      </c>
      <c r="E124" s="580" t="s">
        <v>1063</v>
      </c>
      <c r="F124" s="580"/>
      <c r="G124" s="580"/>
    </row>
    <row r="125" spans="2:7">
      <c r="B125" s="574"/>
      <c r="C125" s="580"/>
      <c r="D125" s="580"/>
      <c r="E125" s="580"/>
      <c r="F125" s="580"/>
      <c r="G125" s="580"/>
    </row>
    <row r="126" spans="2:7">
      <c r="B126" s="574"/>
      <c r="C126" s="580"/>
      <c r="D126" s="580"/>
      <c r="E126" s="580"/>
      <c r="F126" s="580"/>
      <c r="G126" s="580"/>
    </row>
    <row r="127" spans="2:7">
      <c r="B127" s="574"/>
      <c r="C127" s="580"/>
      <c r="D127" s="580"/>
      <c r="E127" s="580"/>
      <c r="F127" s="580"/>
      <c r="G127" s="580"/>
    </row>
    <row r="128" spans="2:7">
      <c r="B128" s="24"/>
      <c r="C128" s="20"/>
      <c r="D128" s="20"/>
      <c r="E128" s="20"/>
      <c r="F128" s="20"/>
      <c r="G128" s="21"/>
    </row>
    <row r="129" spans="2:7">
      <c r="B129" s="597" t="s">
        <v>212</v>
      </c>
      <c r="C129" s="597"/>
      <c r="D129" s="597"/>
      <c r="E129" s="599" t="s">
        <v>213</v>
      </c>
      <c r="F129" s="599"/>
      <c r="G129" s="599"/>
    </row>
    <row r="130" spans="2:7">
      <c r="B130" s="756" t="s">
        <v>1063</v>
      </c>
      <c r="C130" s="756"/>
      <c r="D130" s="756"/>
      <c r="E130" s="610" t="s">
        <v>1161</v>
      </c>
      <c r="F130" s="610"/>
      <c r="G130" s="610"/>
    </row>
    <row r="131" spans="2:7">
      <c r="B131" s="756"/>
      <c r="C131" s="756"/>
      <c r="D131" s="756"/>
      <c r="E131" s="610"/>
      <c r="F131" s="610"/>
      <c r="G131" s="610"/>
    </row>
    <row r="132" spans="2:7">
      <c r="B132" s="756"/>
      <c r="C132" s="756"/>
      <c r="D132" s="756"/>
      <c r="E132" s="610"/>
      <c r="F132" s="610"/>
      <c r="G132" s="610"/>
    </row>
    <row r="133" spans="2:7">
      <c r="B133" s="756"/>
      <c r="C133" s="756"/>
      <c r="D133" s="756"/>
      <c r="E133" s="610"/>
      <c r="F133" s="610"/>
      <c r="G133" s="610"/>
    </row>
    <row r="134" spans="2:7">
      <c r="B134" s="25"/>
      <c r="C134" s="26"/>
      <c r="D134" s="26"/>
      <c r="E134" s="26"/>
      <c r="F134" s="26"/>
      <c r="G134" s="27"/>
    </row>
    <row r="135" spans="2:7">
      <c r="B135" s="28"/>
      <c r="G135" s="29"/>
    </row>
    <row r="136" spans="2:7" ht="15.75">
      <c r="B136" s="613" t="s">
        <v>216</v>
      </c>
      <c r="C136" s="613"/>
      <c r="D136" s="613"/>
      <c r="E136" s="613"/>
      <c r="F136" s="613"/>
      <c r="G136" s="613"/>
    </row>
    <row r="137" spans="2:7">
      <c r="B137" s="616" t="s">
        <v>217</v>
      </c>
      <c r="C137" s="616"/>
      <c r="D137" s="617" t="s">
        <v>218</v>
      </c>
      <c r="E137" s="617"/>
      <c r="F137" s="595" t="s">
        <v>219</v>
      </c>
      <c r="G137" s="595"/>
    </row>
    <row r="138" spans="2:7">
      <c r="B138" s="583"/>
      <c r="C138" s="583"/>
      <c r="D138" s="587"/>
      <c r="E138" s="587"/>
      <c r="F138" s="589"/>
      <c r="G138" s="589"/>
    </row>
    <row r="139" spans="2:7">
      <c r="B139" s="583"/>
      <c r="C139" s="583"/>
      <c r="D139" s="587"/>
      <c r="E139" s="587"/>
      <c r="F139" s="589"/>
      <c r="G139" s="589"/>
    </row>
    <row r="140" spans="2:7">
      <c r="B140" s="28"/>
      <c r="G140" s="29"/>
    </row>
    <row r="141" spans="2:7">
      <c r="B141" s="593" t="s">
        <v>220</v>
      </c>
      <c r="C141" s="593"/>
      <c r="D141" s="595" t="s">
        <v>221</v>
      </c>
      <c r="E141" s="595"/>
      <c r="F141" s="595" t="s">
        <v>222</v>
      </c>
      <c r="G141" s="595"/>
    </row>
    <row r="142" spans="2:7">
      <c r="B142" s="639"/>
      <c r="C142" s="639"/>
      <c r="D142" s="641"/>
      <c r="E142" s="641"/>
      <c r="F142" s="641" t="s">
        <v>539</v>
      </c>
      <c r="G142" s="641"/>
    </row>
    <row r="143" spans="2:7">
      <c r="B143" s="164"/>
      <c r="C143" s="164"/>
      <c r="D143" s="164"/>
      <c r="E143" s="164"/>
      <c r="F143" s="164"/>
      <c r="G143" s="164"/>
    </row>
    <row r="145" spans="2:7" ht="15.75">
      <c r="B145" s="543" t="s">
        <v>189</v>
      </c>
      <c r="C145" s="543"/>
      <c r="D145" s="543"/>
      <c r="E145" s="543"/>
      <c r="F145" s="543"/>
      <c r="G145" s="543"/>
    </row>
    <row r="146" spans="2:7" ht="15.75">
      <c r="B146" s="860" t="s">
        <v>190</v>
      </c>
      <c r="C146" s="860"/>
      <c r="D146" s="860"/>
      <c r="E146" s="860"/>
      <c r="F146" s="860"/>
      <c r="G146" s="860"/>
    </row>
    <row r="147" spans="2:7">
      <c r="B147" s="770" t="s">
        <v>191</v>
      </c>
      <c r="C147" s="770"/>
      <c r="D147" s="788" t="s">
        <v>192</v>
      </c>
      <c r="E147" s="788"/>
      <c r="F147" s="748" t="s">
        <v>193</v>
      </c>
      <c r="G147" s="165" t="s">
        <v>194</v>
      </c>
    </row>
    <row r="148" spans="2:7">
      <c r="B148" s="557" t="s">
        <v>250</v>
      </c>
      <c r="C148" s="557"/>
      <c r="D148" s="788"/>
      <c r="E148" s="788"/>
      <c r="F148" s="748"/>
      <c r="G148" s="16" t="s">
        <v>1162</v>
      </c>
    </row>
    <row r="149" spans="2:7" ht="22.5">
      <c r="B149" s="559" t="s">
        <v>197</v>
      </c>
      <c r="C149" s="559"/>
      <c r="D149" s="565" t="s">
        <v>1163</v>
      </c>
      <c r="E149" s="565"/>
      <c r="F149" s="571">
        <v>52</v>
      </c>
      <c r="G149" s="17" t="s">
        <v>308</v>
      </c>
    </row>
    <row r="150" spans="2:7">
      <c r="B150" s="559"/>
      <c r="C150" s="559"/>
      <c r="D150" s="565"/>
      <c r="E150" s="565"/>
      <c r="F150" s="571"/>
      <c r="G150" s="18" t="s">
        <v>200</v>
      </c>
    </row>
    <row r="151" spans="2:7">
      <c r="B151" s="559"/>
      <c r="C151" s="559"/>
      <c r="D151" s="565"/>
      <c r="E151" s="565"/>
      <c r="F151" s="571"/>
      <c r="G151" s="17" t="s">
        <v>201</v>
      </c>
    </row>
    <row r="152" spans="2:7">
      <c r="B152" s="19" t="s">
        <v>202</v>
      </c>
      <c r="C152" s="20"/>
      <c r="D152" s="20"/>
      <c r="E152" s="20"/>
      <c r="F152" s="20"/>
      <c r="G152" s="21"/>
    </row>
    <row r="153" spans="2:7">
      <c r="B153" s="22"/>
      <c r="C153" s="155" t="s">
        <v>203</v>
      </c>
      <c r="D153" s="155" t="s">
        <v>203</v>
      </c>
      <c r="E153" s="155" t="s">
        <v>203</v>
      </c>
      <c r="F153" s="155" t="s">
        <v>203</v>
      </c>
      <c r="G153" s="155" t="s">
        <v>203</v>
      </c>
    </row>
    <row r="154" spans="2:7">
      <c r="B154" s="574" t="s">
        <v>204</v>
      </c>
      <c r="C154" s="580" t="s">
        <v>1135</v>
      </c>
      <c r="D154" s="580" t="s">
        <v>1164</v>
      </c>
      <c r="E154" s="580" t="s">
        <v>1165</v>
      </c>
      <c r="F154" s="580" t="s">
        <v>1166</v>
      </c>
      <c r="G154" s="580"/>
    </row>
    <row r="155" spans="2:7">
      <c r="B155" s="574"/>
      <c r="C155" s="580"/>
      <c r="D155" s="580"/>
      <c r="E155" s="580"/>
      <c r="F155" s="580"/>
      <c r="G155" s="580"/>
    </row>
    <row r="156" spans="2:7">
      <c r="B156" s="574"/>
      <c r="C156" s="580"/>
      <c r="D156" s="580"/>
      <c r="E156" s="580"/>
      <c r="F156" s="580"/>
      <c r="G156" s="580"/>
    </row>
    <row r="157" spans="2:7">
      <c r="B157" s="574"/>
      <c r="C157" s="580"/>
      <c r="D157" s="580"/>
      <c r="E157" s="580"/>
      <c r="F157" s="580"/>
      <c r="G157" s="580"/>
    </row>
    <row r="158" spans="2:7">
      <c r="B158" s="574" t="s">
        <v>208</v>
      </c>
      <c r="C158" s="580" t="s">
        <v>1167</v>
      </c>
      <c r="D158" s="580" t="s">
        <v>1168</v>
      </c>
      <c r="E158" s="580" t="s">
        <v>1169</v>
      </c>
      <c r="F158" s="580" t="s">
        <v>1170</v>
      </c>
      <c r="G158" s="580"/>
    </row>
    <row r="159" spans="2:7">
      <c r="B159" s="574"/>
      <c r="C159" s="580"/>
      <c r="D159" s="580"/>
      <c r="E159" s="580"/>
      <c r="F159" s="580"/>
      <c r="G159" s="580"/>
    </row>
    <row r="160" spans="2:7">
      <c r="B160" s="574"/>
      <c r="C160" s="580"/>
      <c r="D160" s="580"/>
      <c r="E160" s="580"/>
      <c r="F160" s="580"/>
      <c r="G160" s="580"/>
    </row>
    <row r="161" spans="2:7">
      <c r="B161" s="574"/>
      <c r="C161" s="580"/>
      <c r="D161" s="580"/>
      <c r="E161" s="580"/>
      <c r="F161" s="580"/>
      <c r="G161" s="580"/>
    </row>
    <row r="162" spans="2:7">
      <c r="B162" s="24"/>
      <c r="C162" s="20"/>
      <c r="D162" s="20"/>
      <c r="E162" s="20"/>
      <c r="F162" s="20"/>
      <c r="G162" s="21"/>
    </row>
    <row r="163" spans="2:7">
      <c r="B163" s="838" t="s">
        <v>212</v>
      </c>
      <c r="C163" s="838"/>
      <c r="D163" s="838"/>
      <c r="E163" s="841" t="s">
        <v>213</v>
      </c>
      <c r="F163" s="841"/>
      <c r="G163" s="841"/>
    </row>
    <row r="164" spans="2:7" ht="15" customHeight="1">
      <c r="B164" s="757" t="s">
        <v>1066</v>
      </c>
      <c r="C164" s="757"/>
      <c r="D164" s="757"/>
      <c r="E164" s="757" t="s">
        <v>1171</v>
      </c>
      <c r="F164" s="757"/>
      <c r="G164" s="757"/>
    </row>
    <row r="165" spans="2:7">
      <c r="B165" s="757"/>
      <c r="C165" s="757"/>
      <c r="D165" s="757"/>
      <c r="E165" s="757"/>
      <c r="F165" s="757"/>
      <c r="G165" s="757"/>
    </row>
    <row r="166" spans="2:7">
      <c r="B166" s="757"/>
      <c r="C166" s="757"/>
      <c r="D166" s="757"/>
      <c r="E166" s="757"/>
      <c r="F166" s="757"/>
      <c r="G166" s="757"/>
    </row>
    <row r="167" spans="2:7">
      <c r="B167" s="757"/>
      <c r="C167" s="757"/>
      <c r="D167" s="757"/>
      <c r="E167" s="757"/>
      <c r="F167" s="757"/>
      <c r="G167" s="757"/>
    </row>
    <row r="168" spans="2:7">
      <c r="B168" s="25"/>
      <c r="C168" s="26"/>
      <c r="D168" s="26"/>
      <c r="E168" s="26"/>
      <c r="F168" s="26"/>
      <c r="G168" s="27"/>
    </row>
    <row r="169" spans="2:7">
      <c r="B169" s="28"/>
      <c r="G169" s="29"/>
    </row>
    <row r="170" spans="2:7" ht="15.75">
      <c r="B170" s="852" t="s">
        <v>216</v>
      </c>
      <c r="C170" s="852"/>
      <c r="D170" s="852"/>
      <c r="E170" s="852"/>
      <c r="F170" s="852"/>
      <c r="G170" s="852"/>
    </row>
    <row r="171" spans="2:7">
      <c r="B171" s="855" t="s">
        <v>217</v>
      </c>
      <c r="C171" s="855"/>
      <c r="D171" s="573" t="s">
        <v>218</v>
      </c>
      <c r="E171" s="573"/>
      <c r="F171" s="569" t="s">
        <v>219</v>
      </c>
      <c r="G171" s="569"/>
    </row>
    <row r="172" spans="2:7">
      <c r="B172" s="583"/>
      <c r="C172" s="583"/>
      <c r="D172" s="587"/>
      <c r="E172" s="587"/>
      <c r="F172" s="589"/>
      <c r="G172" s="589"/>
    </row>
    <row r="173" spans="2:7">
      <c r="B173" s="583"/>
      <c r="C173" s="583"/>
      <c r="D173" s="587"/>
      <c r="E173" s="587"/>
      <c r="F173" s="589"/>
      <c r="G173" s="589"/>
    </row>
    <row r="174" spans="2:7">
      <c r="B174" s="28"/>
      <c r="G174" s="29"/>
    </row>
    <row r="175" spans="2:7">
      <c r="B175" s="593" t="s">
        <v>220</v>
      </c>
      <c r="C175" s="593"/>
      <c r="D175" s="595" t="s">
        <v>221</v>
      </c>
      <c r="E175" s="595"/>
      <c r="F175" s="595" t="s">
        <v>222</v>
      </c>
      <c r="G175" s="595"/>
    </row>
    <row r="176" spans="2:7">
      <c r="B176" s="639"/>
      <c r="C176" s="639"/>
      <c r="D176" s="641"/>
      <c r="E176" s="641"/>
      <c r="F176" s="641" t="s">
        <v>539</v>
      </c>
      <c r="G176" s="641"/>
    </row>
    <row r="181" spans="2:7" ht="15.75">
      <c r="B181" s="543" t="s">
        <v>189</v>
      </c>
      <c r="C181" s="543"/>
      <c r="D181" s="543"/>
      <c r="E181" s="543"/>
      <c r="F181" s="543"/>
      <c r="G181" s="543"/>
    </row>
    <row r="182" spans="2:7" ht="15.75">
      <c r="B182" s="860" t="s">
        <v>190</v>
      </c>
      <c r="C182" s="860"/>
      <c r="D182" s="860"/>
      <c r="E182" s="860"/>
      <c r="F182" s="860"/>
      <c r="G182" s="860"/>
    </row>
    <row r="183" spans="2:7">
      <c r="B183" s="770" t="s">
        <v>191</v>
      </c>
      <c r="C183" s="770"/>
      <c r="D183" s="788" t="s">
        <v>192</v>
      </c>
      <c r="E183" s="788"/>
      <c r="F183" s="748" t="s">
        <v>193</v>
      </c>
      <c r="G183" s="165" t="s">
        <v>194</v>
      </c>
    </row>
    <row r="184" spans="2:7">
      <c r="B184" s="557" t="s">
        <v>261</v>
      </c>
      <c r="C184" s="557"/>
      <c r="D184" s="788"/>
      <c r="E184" s="788"/>
      <c r="F184" s="748"/>
      <c r="G184" s="16" t="s">
        <v>1162</v>
      </c>
    </row>
    <row r="185" spans="2:7" ht="21.75">
      <c r="B185" s="559" t="s">
        <v>197</v>
      </c>
      <c r="C185" s="559"/>
      <c r="D185" s="565" t="s">
        <v>1172</v>
      </c>
      <c r="E185" s="565"/>
      <c r="F185" s="571" t="s">
        <v>1173</v>
      </c>
      <c r="G185" s="17" t="s">
        <v>308</v>
      </c>
    </row>
    <row r="186" spans="2:7">
      <c r="B186" s="559"/>
      <c r="C186" s="559"/>
      <c r="D186" s="565"/>
      <c r="E186" s="565"/>
      <c r="F186" s="571"/>
      <c r="G186" s="18" t="s">
        <v>200</v>
      </c>
    </row>
    <row r="187" spans="2:7">
      <c r="B187" s="559"/>
      <c r="C187" s="559"/>
      <c r="D187" s="565"/>
      <c r="E187" s="565"/>
      <c r="F187" s="571"/>
      <c r="G187" s="17" t="s">
        <v>201</v>
      </c>
    </row>
    <row r="188" spans="2:7">
      <c r="B188" s="19" t="s">
        <v>202</v>
      </c>
      <c r="C188" s="20"/>
      <c r="D188" s="20"/>
      <c r="E188" s="20"/>
      <c r="F188" s="20"/>
      <c r="G188" s="21"/>
    </row>
    <row r="189" spans="2:7" ht="24" customHeight="1">
      <c r="B189" s="22"/>
      <c r="C189" s="155" t="s">
        <v>203</v>
      </c>
      <c r="D189" s="155" t="s">
        <v>203</v>
      </c>
      <c r="E189" s="155" t="s">
        <v>203</v>
      </c>
      <c r="F189" s="155" t="s">
        <v>203</v>
      </c>
      <c r="G189" s="155" t="s">
        <v>203</v>
      </c>
    </row>
    <row r="190" spans="2:7">
      <c r="B190" s="574" t="s">
        <v>204</v>
      </c>
      <c r="C190" s="580" t="s">
        <v>757</v>
      </c>
      <c r="D190" s="580" t="s">
        <v>1174</v>
      </c>
      <c r="E190" s="580" t="s">
        <v>1175</v>
      </c>
      <c r="F190" s="580" t="s">
        <v>1176</v>
      </c>
      <c r="G190" s="580"/>
    </row>
    <row r="191" spans="2:7">
      <c r="B191" s="574"/>
      <c r="C191" s="580"/>
      <c r="D191" s="580"/>
      <c r="E191" s="580"/>
      <c r="F191" s="580"/>
      <c r="G191" s="580"/>
    </row>
    <row r="192" spans="2:7">
      <c r="B192" s="574"/>
      <c r="C192" s="580"/>
      <c r="D192" s="580"/>
      <c r="E192" s="580"/>
      <c r="F192" s="580"/>
      <c r="G192" s="580"/>
    </row>
    <row r="193" spans="2:7">
      <c r="B193" s="574"/>
      <c r="C193" s="580"/>
      <c r="D193" s="580"/>
      <c r="E193" s="580"/>
      <c r="F193" s="580"/>
      <c r="G193" s="580"/>
    </row>
    <row r="194" spans="2:7">
      <c r="B194" s="574" t="s">
        <v>208</v>
      </c>
      <c r="C194" s="580" t="s">
        <v>1177</v>
      </c>
      <c r="D194" s="580" t="s">
        <v>1178</v>
      </c>
      <c r="E194" s="580" t="s">
        <v>1179</v>
      </c>
      <c r="F194" s="580" t="s">
        <v>1069</v>
      </c>
      <c r="G194" s="580"/>
    </row>
    <row r="195" spans="2:7">
      <c r="B195" s="574"/>
      <c r="C195" s="580"/>
      <c r="D195" s="580"/>
      <c r="E195" s="580"/>
      <c r="F195" s="580"/>
      <c r="G195" s="580"/>
    </row>
    <row r="196" spans="2:7">
      <c r="B196" s="574"/>
      <c r="C196" s="580"/>
      <c r="D196" s="580"/>
      <c r="E196" s="580"/>
      <c r="F196" s="580"/>
      <c r="G196" s="580"/>
    </row>
    <row r="197" spans="2:7">
      <c r="B197" s="574"/>
      <c r="C197" s="580"/>
      <c r="D197" s="580"/>
      <c r="E197" s="580"/>
      <c r="F197" s="580"/>
      <c r="G197" s="580"/>
    </row>
    <row r="198" spans="2:7">
      <c r="B198" s="24"/>
      <c r="C198" s="20"/>
      <c r="D198" s="20"/>
      <c r="E198" s="20"/>
      <c r="F198" s="20"/>
      <c r="G198" s="21"/>
    </row>
    <row r="199" spans="2:7">
      <c r="B199" s="838" t="s">
        <v>212</v>
      </c>
      <c r="C199" s="838"/>
      <c r="D199" s="838"/>
      <c r="E199" s="841" t="s">
        <v>213</v>
      </c>
      <c r="F199" s="841"/>
      <c r="G199" s="841"/>
    </row>
    <row r="200" spans="2:7">
      <c r="B200" s="757" t="s">
        <v>1180</v>
      </c>
      <c r="C200" s="757"/>
      <c r="D200" s="757"/>
      <c r="E200" s="757" t="s">
        <v>1181</v>
      </c>
      <c r="F200" s="757"/>
      <c r="G200" s="757"/>
    </row>
    <row r="201" spans="2:7">
      <c r="B201" s="757"/>
      <c r="C201" s="757"/>
      <c r="D201" s="757"/>
      <c r="E201" s="757"/>
      <c r="F201" s="757"/>
      <c r="G201" s="757"/>
    </row>
    <row r="202" spans="2:7">
      <c r="B202" s="757"/>
      <c r="C202" s="757"/>
      <c r="D202" s="757"/>
      <c r="E202" s="757"/>
      <c r="F202" s="757"/>
      <c r="G202" s="757"/>
    </row>
    <row r="203" spans="2:7">
      <c r="B203" s="757"/>
      <c r="C203" s="757"/>
      <c r="D203" s="757"/>
      <c r="E203" s="757"/>
      <c r="F203" s="757"/>
      <c r="G203" s="757"/>
    </row>
    <row r="204" spans="2:7">
      <c r="B204" s="25"/>
      <c r="C204" s="26"/>
      <c r="D204" s="26"/>
      <c r="E204" s="26"/>
      <c r="F204" s="26"/>
      <c r="G204" s="27"/>
    </row>
    <row r="205" spans="2:7">
      <c r="B205" s="28"/>
      <c r="G205" s="29"/>
    </row>
    <row r="206" spans="2:7" ht="15.75">
      <c r="B206" s="852" t="s">
        <v>216</v>
      </c>
      <c r="C206" s="852"/>
      <c r="D206" s="852"/>
      <c r="E206" s="852"/>
      <c r="F206" s="852"/>
      <c r="G206" s="852"/>
    </row>
    <row r="207" spans="2:7">
      <c r="B207" s="855" t="s">
        <v>217</v>
      </c>
      <c r="C207" s="855"/>
      <c r="D207" s="573" t="s">
        <v>218</v>
      </c>
      <c r="E207" s="573"/>
      <c r="F207" s="569" t="s">
        <v>219</v>
      </c>
      <c r="G207" s="569"/>
    </row>
    <row r="208" spans="2:7">
      <c r="B208" s="583"/>
      <c r="C208" s="583"/>
      <c r="D208" s="587"/>
      <c r="E208" s="587"/>
      <c r="F208" s="589"/>
      <c r="G208" s="589"/>
    </row>
    <row r="209" spans="2:7">
      <c r="B209" s="583"/>
      <c r="C209" s="583"/>
      <c r="D209" s="587"/>
      <c r="E209" s="587"/>
      <c r="F209" s="589"/>
      <c r="G209" s="589"/>
    </row>
    <row r="210" spans="2:7">
      <c r="B210" s="28"/>
      <c r="G210" s="29"/>
    </row>
    <row r="211" spans="2:7">
      <c r="B211" s="593" t="s">
        <v>220</v>
      </c>
      <c r="C211" s="593"/>
      <c r="D211" s="595" t="s">
        <v>221</v>
      </c>
      <c r="E211" s="595"/>
      <c r="F211" s="595" t="s">
        <v>222</v>
      </c>
      <c r="G211" s="595"/>
    </row>
    <row r="212" spans="2:7">
      <c r="B212" s="639"/>
      <c r="C212" s="639"/>
      <c r="D212" s="641"/>
      <c r="E212" s="641"/>
      <c r="F212" s="641" t="s">
        <v>539</v>
      </c>
      <c r="G212" s="641"/>
    </row>
    <row r="215" spans="2:7" ht="15.75">
      <c r="B215" s="543" t="s">
        <v>189</v>
      </c>
      <c r="C215" s="543"/>
      <c r="D215" s="543"/>
      <c r="E215" s="543"/>
      <c r="F215" s="543"/>
      <c r="G215" s="543"/>
    </row>
    <row r="216" spans="2:7" ht="15.75">
      <c r="B216" s="860" t="s">
        <v>190</v>
      </c>
      <c r="C216" s="860"/>
      <c r="D216" s="860"/>
      <c r="E216" s="860"/>
      <c r="F216" s="860"/>
      <c r="G216" s="860"/>
    </row>
    <row r="217" spans="2:7">
      <c r="B217" s="770" t="s">
        <v>191</v>
      </c>
      <c r="C217" s="770"/>
      <c r="D217" s="788" t="s">
        <v>192</v>
      </c>
      <c r="E217" s="788"/>
      <c r="F217" s="748" t="s">
        <v>193</v>
      </c>
      <c r="G217" s="165" t="s">
        <v>194</v>
      </c>
    </row>
    <row r="218" spans="2:7">
      <c r="B218" s="557" t="s">
        <v>271</v>
      </c>
      <c r="C218" s="557"/>
      <c r="D218" s="788"/>
      <c r="E218" s="788"/>
      <c r="F218" s="748"/>
      <c r="G218" s="16" t="s">
        <v>1182</v>
      </c>
    </row>
    <row r="219" spans="2:7" ht="22.5">
      <c r="B219" s="559" t="s">
        <v>197</v>
      </c>
      <c r="C219" s="559"/>
      <c r="D219" s="565" t="s">
        <v>1183</v>
      </c>
      <c r="E219" s="565"/>
      <c r="F219" s="571">
        <v>175</v>
      </c>
      <c r="G219" s="17" t="s">
        <v>308</v>
      </c>
    </row>
    <row r="220" spans="2:7">
      <c r="B220" s="559"/>
      <c r="C220" s="559"/>
      <c r="D220" s="565"/>
      <c r="E220" s="565"/>
      <c r="F220" s="571"/>
      <c r="G220" s="18" t="s">
        <v>200</v>
      </c>
    </row>
    <row r="221" spans="2:7">
      <c r="B221" s="559"/>
      <c r="C221" s="559"/>
      <c r="D221" s="565"/>
      <c r="E221" s="565"/>
      <c r="F221" s="571"/>
      <c r="G221" s="17" t="s">
        <v>201</v>
      </c>
    </row>
    <row r="222" spans="2:7">
      <c r="B222" s="19" t="s">
        <v>202</v>
      </c>
      <c r="C222" s="20"/>
      <c r="D222" s="20"/>
      <c r="E222" s="20"/>
      <c r="F222" s="20"/>
      <c r="G222" s="21"/>
    </row>
    <row r="223" spans="2:7">
      <c r="B223" s="22"/>
      <c r="C223" s="155" t="s">
        <v>203</v>
      </c>
      <c r="D223" s="155" t="s">
        <v>203</v>
      </c>
      <c r="E223" s="155" t="s">
        <v>203</v>
      </c>
      <c r="F223" s="155" t="s">
        <v>203</v>
      </c>
      <c r="G223" s="155" t="s">
        <v>203</v>
      </c>
    </row>
    <row r="224" spans="2:7">
      <c r="B224" s="574" t="s">
        <v>204</v>
      </c>
      <c r="C224" s="580" t="s">
        <v>1184</v>
      </c>
      <c r="D224" s="859" t="s">
        <v>1185</v>
      </c>
      <c r="E224" s="580" t="s">
        <v>1186</v>
      </c>
      <c r="F224" s="580" t="s">
        <v>1187</v>
      </c>
      <c r="G224" s="580"/>
    </row>
    <row r="225" spans="2:7">
      <c r="B225" s="574"/>
      <c r="C225" s="580"/>
      <c r="D225" s="859"/>
      <c r="E225" s="580"/>
      <c r="F225" s="580"/>
      <c r="G225" s="580"/>
    </row>
    <row r="226" spans="2:7">
      <c r="B226" s="574"/>
      <c r="C226" s="580"/>
      <c r="D226" s="859"/>
      <c r="E226" s="580"/>
      <c r="F226" s="580"/>
      <c r="G226" s="580"/>
    </row>
    <row r="227" spans="2:7">
      <c r="B227" s="574"/>
      <c r="C227" s="580"/>
      <c r="D227" s="859"/>
      <c r="E227" s="580"/>
      <c r="F227" s="580"/>
      <c r="G227" s="580"/>
    </row>
    <row r="228" spans="2:7">
      <c r="B228" s="574" t="s">
        <v>208</v>
      </c>
      <c r="C228" s="580" t="s">
        <v>1188</v>
      </c>
      <c r="D228" s="580" t="s">
        <v>1189</v>
      </c>
      <c r="E228" s="580" t="s">
        <v>1190</v>
      </c>
      <c r="F228" s="580" t="s">
        <v>1073</v>
      </c>
      <c r="G228" s="580"/>
    </row>
    <row r="229" spans="2:7">
      <c r="B229" s="574"/>
      <c r="C229" s="580"/>
      <c r="D229" s="580"/>
      <c r="E229" s="580"/>
      <c r="F229" s="580"/>
      <c r="G229" s="580"/>
    </row>
    <row r="230" spans="2:7">
      <c r="B230" s="574"/>
      <c r="C230" s="580"/>
      <c r="D230" s="580"/>
      <c r="E230" s="580"/>
      <c r="F230" s="580"/>
      <c r="G230" s="580"/>
    </row>
    <row r="231" spans="2:7">
      <c r="B231" s="574"/>
      <c r="C231" s="580"/>
      <c r="D231" s="580"/>
      <c r="E231" s="580"/>
      <c r="F231" s="580"/>
      <c r="G231" s="580"/>
    </row>
    <row r="232" spans="2:7">
      <c r="B232" s="24"/>
      <c r="C232" s="20"/>
      <c r="D232" s="20"/>
      <c r="E232" s="20"/>
      <c r="F232" s="20"/>
      <c r="G232" s="21"/>
    </row>
    <row r="233" spans="2:7">
      <c r="B233" s="838" t="s">
        <v>212</v>
      </c>
      <c r="C233" s="838"/>
      <c r="D233" s="838"/>
      <c r="E233" s="841" t="s">
        <v>213</v>
      </c>
      <c r="F233" s="841"/>
      <c r="G233" s="841"/>
    </row>
    <row r="234" spans="2:7">
      <c r="B234" s="846" t="s">
        <v>1191</v>
      </c>
      <c r="C234" s="846"/>
      <c r="D234" s="846"/>
      <c r="E234" s="846" t="s">
        <v>1192</v>
      </c>
      <c r="F234" s="846"/>
      <c r="G234" s="846"/>
    </row>
    <row r="235" spans="2:7">
      <c r="B235" s="846"/>
      <c r="C235" s="846"/>
      <c r="D235" s="846"/>
      <c r="E235" s="846"/>
      <c r="F235" s="846"/>
      <c r="G235" s="846"/>
    </row>
    <row r="236" spans="2:7">
      <c r="B236" s="846"/>
      <c r="C236" s="846"/>
      <c r="D236" s="846"/>
      <c r="E236" s="846"/>
      <c r="F236" s="846"/>
      <c r="G236" s="846"/>
    </row>
    <row r="237" spans="2:7">
      <c r="B237" s="846"/>
      <c r="C237" s="846"/>
      <c r="D237" s="846"/>
      <c r="E237" s="846"/>
      <c r="F237" s="846"/>
      <c r="G237" s="846"/>
    </row>
    <row r="238" spans="2:7">
      <c r="B238" s="25"/>
      <c r="C238" s="26"/>
      <c r="D238" s="26"/>
      <c r="E238" s="26"/>
      <c r="F238" s="26"/>
      <c r="G238" s="27"/>
    </row>
    <row r="239" spans="2:7">
      <c r="B239" s="28"/>
      <c r="G239" s="29"/>
    </row>
    <row r="240" spans="2:7" ht="15.75">
      <c r="B240" s="852" t="s">
        <v>216</v>
      </c>
      <c r="C240" s="852"/>
      <c r="D240" s="852"/>
      <c r="E240" s="852"/>
      <c r="F240" s="852"/>
      <c r="G240" s="852"/>
    </row>
    <row r="241" spans="2:7">
      <c r="B241" s="855" t="s">
        <v>217</v>
      </c>
      <c r="C241" s="855"/>
      <c r="D241" s="573" t="s">
        <v>218</v>
      </c>
      <c r="E241" s="573"/>
      <c r="F241" s="569" t="s">
        <v>219</v>
      </c>
      <c r="G241" s="569"/>
    </row>
    <row r="242" spans="2:7">
      <c r="B242" s="583"/>
      <c r="C242" s="583"/>
      <c r="D242" s="587"/>
      <c r="E242" s="587"/>
      <c r="F242" s="589"/>
      <c r="G242" s="589"/>
    </row>
    <row r="243" spans="2:7">
      <c r="B243" s="583"/>
      <c r="C243" s="583"/>
      <c r="D243" s="587"/>
      <c r="E243" s="587"/>
      <c r="F243" s="589"/>
      <c r="G243" s="589"/>
    </row>
    <row r="244" spans="2:7">
      <c r="B244" s="28"/>
      <c r="G244" s="29"/>
    </row>
    <row r="245" spans="2:7">
      <c r="B245" s="593" t="s">
        <v>220</v>
      </c>
      <c r="C245" s="593"/>
      <c r="D245" s="595" t="s">
        <v>221</v>
      </c>
      <c r="E245" s="595"/>
      <c r="F245" s="595" t="s">
        <v>222</v>
      </c>
      <c r="G245" s="595"/>
    </row>
    <row r="246" spans="2:7">
      <c r="B246" s="639"/>
      <c r="C246" s="639"/>
      <c r="D246" s="641"/>
      <c r="E246" s="641"/>
      <c r="F246" s="641" t="s">
        <v>539</v>
      </c>
      <c r="G246" s="641"/>
    </row>
    <row r="249" spans="2:7" ht="15.75">
      <c r="B249" s="543" t="s">
        <v>189</v>
      </c>
      <c r="C249" s="543"/>
      <c r="D249" s="543"/>
      <c r="E249" s="543"/>
      <c r="F249" s="543"/>
      <c r="G249" s="543"/>
    </row>
    <row r="250" spans="2:7" ht="15.75">
      <c r="B250" s="860" t="s">
        <v>190</v>
      </c>
      <c r="C250" s="860"/>
      <c r="D250" s="860"/>
      <c r="E250" s="860"/>
      <c r="F250" s="860"/>
      <c r="G250" s="860"/>
    </row>
    <row r="251" spans="2:7">
      <c r="B251" s="770" t="s">
        <v>191</v>
      </c>
      <c r="C251" s="770"/>
      <c r="D251" s="788" t="s">
        <v>192</v>
      </c>
      <c r="E251" s="788"/>
      <c r="F251" s="748" t="s">
        <v>193</v>
      </c>
      <c r="G251" s="165" t="s">
        <v>194</v>
      </c>
    </row>
    <row r="252" spans="2:7">
      <c r="B252" s="557" t="s">
        <v>271</v>
      </c>
      <c r="C252" s="557"/>
      <c r="D252" s="788"/>
      <c r="E252" s="788"/>
      <c r="F252" s="748"/>
      <c r="G252" s="16" t="s">
        <v>1182</v>
      </c>
    </row>
    <row r="253" spans="2:7" ht="22.5">
      <c r="B253" s="559" t="s">
        <v>197</v>
      </c>
      <c r="C253" s="559"/>
      <c r="D253" s="565" t="s">
        <v>1193</v>
      </c>
      <c r="E253" s="565"/>
      <c r="F253" s="571">
        <v>104</v>
      </c>
      <c r="G253" s="17" t="s">
        <v>308</v>
      </c>
    </row>
    <row r="254" spans="2:7">
      <c r="B254" s="559"/>
      <c r="C254" s="559"/>
      <c r="D254" s="565"/>
      <c r="E254" s="565"/>
      <c r="F254" s="571"/>
      <c r="G254" s="18" t="s">
        <v>200</v>
      </c>
    </row>
    <row r="255" spans="2:7">
      <c r="B255" s="559"/>
      <c r="C255" s="559"/>
      <c r="D255" s="565"/>
      <c r="E255" s="565"/>
      <c r="F255" s="571"/>
      <c r="G255" s="17" t="s">
        <v>201</v>
      </c>
    </row>
    <row r="256" spans="2:7">
      <c r="B256" s="19" t="s">
        <v>202</v>
      </c>
      <c r="C256" s="20"/>
      <c r="D256" s="20"/>
      <c r="E256" s="20"/>
      <c r="F256" s="20"/>
      <c r="G256" s="21"/>
    </row>
    <row r="257" spans="2:7">
      <c r="B257" s="22"/>
      <c r="C257" s="155" t="s">
        <v>203</v>
      </c>
      <c r="D257" s="155" t="s">
        <v>203</v>
      </c>
      <c r="E257" s="155" t="s">
        <v>203</v>
      </c>
      <c r="F257" s="155" t="s">
        <v>203</v>
      </c>
      <c r="G257" s="155" t="s">
        <v>203</v>
      </c>
    </row>
    <row r="258" spans="2:7" ht="15" customHeight="1">
      <c r="B258" s="574" t="s">
        <v>204</v>
      </c>
      <c r="C258" s="580" t="s">
        <v>1184</v>
      </c>
      <c r="D258" s="859" t="s">
        <v>919</v>
      </c>
      <c r="E258" s="580" t="s">
        <v>1194</v>
      </c>
      <c r="F258" s="580" t="s">
        <v>1195</v>
      </c>
      <c r="G258" s="580"/>
    </row>
    <row r="259" spans="2:7">
      <c r="B259" s="574"/>
      <c r="C259" s="580"/>
      <c r="D259" s="859"/>
      <c r="E259" s="580"/>
      <c r="F259" s="580"/>
      <c r="G259" s="580"/>
    </row>
    <row r="260" spans="2:7">
      <c r="B260" s="574"/>
      <c r="C260" s="580"/>
      <c r="D260" s="859"/>
      <c r="E260" s="580"/>
      <c r="F260" s="580"/>
      <c r="G260" s="580"/>
    </row>
    <row r="261" spans="2:7">
      <c r="B261" s="574"/>
      <c r="C261" s="580"/>
      <c r="D261" s="859"/>
      <c r="E261" s="580"/>
      <c r="F261" s="580"/>
      <c r="G261" s="580"/>
    </row>
    <row r="262" spans="2:7" ht="24" customHeight="1">
      <c r="B262" s="574" t="s">
        <v>208</v>
      </c>
      <c r="C262" s="580" t="s">
        <v>1196</v>
      </c>
      <c r="D262" s="580" t="s">
        <v>1197</v>
      </c>
      <c r="E262" s="580" t="s">
        <v>1198</v>
      </c>
      <c r="F262" s="580" t="s">
        <v>1075</v>
      </c>
      <c r="G262" s="580"/>
    </row>
    <row r="263" spans="2:7" ht="24" customHeight="1">
      <c r="B263" s="574"/>
      <c r="C263" s="580"/>
      <c r="D263" s="580"/>
      <c r="E263" s="580"/>
      <c r="F263" s="580"/>
      <c r="G263" s="580"/>
    </row>
    <row r="264" spans="2:7" ht="24" customHeight="1">
      <c r="B264" s="574"/>
      <c r="C264" s="580"/>
      <c r="D264" s="580"/>
      <c r="E264" s="580"/>
      <c r="F264" s="580"/>
      <c r="G264" s="580"/>
    </row>
    <row r="265" spans="2:7" ht="24" customHeight="1">
      <c r="B265" s="574"/>
      <c r="C265" s="580"/>
      <c r="D265" s="580"/>
      <c r="E265" s="580"/>
      <c r="F265" s="580"/>
      <c r="G265" s="580"/>
    </row>
    <row r="266" spans="2:7">
      <c r="B266" s="24"/>
      <c r="C266" s="20"/>
      <c r="D266" s="20"/>
      <c r="E266" s="20"/>
      <c r="F266" s="20"/>
      <c r="G266" s="21"/>
    </row>
    <row r="267" spans="2:7">
      <c r="B267" s="838" t="s">
        <v>212</v>
      </c>
      <c r="C267" s="838"/>
      <c r="D267" s="838"/>
      <c r="E267" s="841" t="s">
        <v>213</v>
      </c>
      <c r="F267" s="841"/>
      <c r="G267" s="841"/>
    </row>
    <row r="268" spans="2:7">
      <c r="B268" s="846" t="s">
        <v>1199</v>
      </c>
      <c r="C268" s="846"/>
      <c r="D268" s="846"/>
      <c r="E268" s="846" t="s">
        <v>1200</v>
      </c>
      <c r="F268" s="846"/>
      <c r="G268" s="846"/>
    </row>
    <row r="269" spans="2:7">
      <c r="B269" s="846"/>
      <c r="C269" s="846"/>
      <c r="D269" s="846"/>
      <c r="E269" s="846"/>
      <c r="F269" s="846"/>
      <c r="G269" s="846"/>
    </row>
    <row r="270" spans="2:7">
      <c r="B270" s="846"/>
      <c r="C270" s="846"/>
      <c r="D270" s="846"/>
      <c r="E270" s="846"/>
      <c r="F270" s="846"/>
      <c r="G270" s="846"/>
    </row>
    <row r="271" spans="2:7">
      <c r="B271" s="846"/>
      <c r="C271" s="846"/>
      <c r="D271" s="846"/>
      <c r="E271" s="846"/>
      <c r="F271" s="846"/>
      <c r="G271" s="846"/>
    </row>
    <row r="272" spans="2:7">
      <c r="B272" s="25"/>
      <c r="C272" s="26"/>
      <c r="D272" s="26"/>
      <c r="E272" s="26"/>
      <c r="F272" s="26"/>
      <c r="G272" s="27"/>
    </row>
    <row r="273" spans="2:7">
      <c r="B273" s="28"/>
      <c r="G273" s="29"/>
    </row>
    <row r="274" spans="2:7" ht="15.75">
      <c r="B274" s="852" t="s">
        <v>216</v>
      </c>
      <c r="C274" s="852"/>
      <c r="D274" s="852"/>
      <c r="E274" s="852"/>
      <c r="F274" s="852"/>
      <c r="G274" s="852"/>
    </row>
    <row r="275" spans="2:7">
      <c r="B275" s="855" t="s">
        <v>217</v>
      </c>
      <c r="C275" s="855"/>
      <c r="D275" s="573" t="s">
        <v>218</v>
      </c>
      <c r="E275" s="573"/>
      <c r="F275" s="569" t="s">
        <v>219</v>
      </c>
      <c r="G275" s="569"/>
    </row>
    <row r="276" spans="2:7">
      <c r="B276" s="583"/>
      <c r="C276" s="583"/>
      <c r="D276" s="587"/>
      <c r="E276" s="587"/>
      <c r="F276" s="589"/>
      <c r="G276" s="589"/>
    </row>
    <row r="277" spans="2:7">
      <c r="B277" s="583"/>
      <c r="C277" s="583"/>
      <c r="D277" s="587"/>
      <c r="E277" s="587"/>
      <c r="F277" s="589"/>
      <c r="G277" s="589"/>
    </row>
    <row r="278" spans="2:7">
      <c r="B278" s="28"/>
      <c r="G278" s="29"/>
    </row>
    <row r="279" spans="2:7">
      <c r="B279" s="593" t="s">
        <v>220</v>
      </c>
      <c r="C279" s="593"/>
      <c r="D279" s="595" t="s">
        <v>221</v>
      </c>
      <c r="E279" s="595"/>
      <c r="F279" s="595" t="s">
        <v>222</v>
      </c>
      <c r="G279" s="595"/>
    </row>
    <row r="280" spans="2:7">
      <c r="B280" s="639"/>
      <c r="C280" s="639"/>
      <c r="D280" s="641"/>
      <c r="E280" s="641"/>
      <c r="F280" s="641" t="s">
        <v>539</v>
      </c>
      <c r="G280" s="641"/>
    </row>
    <row r="284" spans="2:7" ht="15.75">
      <c r="B284" s="543" t="s">
        <v>189</v>
      </c>
      <c r="C284" s="543"/>
      <c r="D284" s="543"/>
      <c r="E284" s="543"/>
      <c r="F284" s="543"/>
      <c r="G284" s="543"/>
    </row>
    <row r="285" spans="2:7" ht="15.75">
      <c r="B285" s="860" t="s">
        <v>190</v>
      </c>
      <c r="C285" s="860"/>
      <c r="D285" s="860"/>
      <c r="E285" s="860"/>
      <c r="F285" s="860"/>
      <c r="G285" s="860"/>
    </row>
    <row r="286" spans="2:7">
      <c r="B286" s="770" t="s">
        <v>191</v>
      </c>
      <c r="C286" s="770"/>
      <c r="D286" s="788" t="s">
        <v>192</v>
      </c>
      <c r="E286" s="788"/>
      <c r="F286" s="748" t="s">
        <v>193</v>
      </c>
      <c r="G286" s="165" t="s">
        <v>194</v>
      </c>
    </row>
    <row r="287" spans="2:7">
      <c r="B287" s="557" t="s">
        <v>897</v>
      </c>
      <c r="C287" s="557"/>
      <c r="D287" s="788"/>
      <c r="E287" s="788"/>
      <c r="F287" s="748"/>
      <c r="G287" s="16" t="s">
        <v>1201</v>
      </c>
    </row>
    <row r="288" spans="2:7" ht="22.5">
      <c r="B288" s="559" t="s">
        <v>197</v>
      </c>
      <c r="C288" s="559"/>
      <c r="D288" s="565" t="s">
        <v>1163</v>
      </c>
      <c r="E288" s="565"/>
      <c r="F288" s="571">
        <v>20</v>
      </c>
      <c r="G288" s="17" t="s">
        <v>308</v>
      </c>
    </row>
    <row r="289" spans="2:7">
      <c r="B289" s="559"/>
      <c r="C289" s="559"/>
      <c r="D289" s="565"/>
      <c r="E289" s="565"/>
      <c r="F289" s="571"/>
      <c r="G289" s="18" t="s">
        <v>200</v>
      </c>
    </row>
    <row r="290" spans="2:7">
      <c r="B290" s="559"/>
      <c r="C290" s="559"/>
      <c r="D290" s="565"/>
      <c r="E290" s="565"/>
      <c r="F290" s="571"/>
      <c r="G290" s="17" t="s">
        <v>201</v>
      </c>
    </row>
    <row r="291" spans="2:7">
      <c r="B291" s="19" t="s">
        <v>202</v>
      </c>
      <c r="C291" s="20"/>
      <c r="D291" s="20"/>
      <c r="E291" s="20"/>
      <c r="F291" s="20"/>
      <c r="G291" s="21"/>
    </row>
    <row r="292" spans="2:7">
      <c r="B292" s="22"/>
      <c r="C292" s="155" t="s">
        <v>203</v>
      </c>
      <c r="D292" s="155" t="s">
        <v>203</v>
      </c>
      <c r="E292" s="155" t="s">
        <v>203</v>
      </c>
      <c r="F292" s="155" t="s">
        <v>203</v>
      </c>
      <c r="G292" s="155" t="s">
        <v>203</v>
      </c>
    </row>
    <row r="293" spans="2:7">
      <c r="B293" s="574" t="s">
        <v>204</v>
      </c>
      <c r="C293" s="580" t="s">
        <v>1135</v>
      </c>
      <c r="D293" s="580" t="s">
        <v>1164</v>
      </c>
      <c r="E293" s="859" t="s">
        <v>1202</v>
      </c>
      <c r="F293" s="580"/>
      <c r="G293" s="580"/>
    </row>
    <row r="294" spans="2:7">
      <c r="B294" s="574"/>
      <c r="C294" s="580"/>
      <c r="D294" s="580"/>
      <c r="E294" s="859"/>
      <c r="F294" s="580"/>
      <c r="G294" s="580"/>
    </row>
    <row r="295" spans="2:7">
      <c r="B295" s="574"/>
      <c r="C295" s="580"/>
      <c r="D295" s="580"/>
      <c r="E295" s="859"/>
      <c r="F295" s="580"/>
      <c r="G295" s="580"/>
    </row>
    <row r="296" spans="2:7">
      <c r="B296" s="574"/>
      <c r="C296" s="580"/>
      <c r="D296" s="580"/>
      <c r="E296" s="859"/>
      <c r="F296" s="580"/>
      <c r="G296" s="580"/>
    </row>
    <row r="297" spans="2:7">
      <c r="B297" s="574" t="s">
        <v>208</v>
      </c>
      <c r="C297" s="580" t="s">
        <v>1167</v>
      </c>
      <c r="D297" s="580" t="s">
        <v>1203</v>
      </c>
      <c r="E297" s="580" t="s">
        <v>1079</v>
      </c>
      <c r="F297" s="580"/>
      <c r="G297" s="580"/>
    </row>
    <row r="298" spans="2:7">
      <c r="B298" s="574"/>
      <c r="C298" s="580"/>
      <c r="D298" s="580"/>
      <c r="E298" s="580"/>
      <c r="F298" s="580"/>
      <c r="G298" s="580"/>
    </row>
    <row r="299" spans="2:7">
      <c r="B299" s="574"/>
      <c r="C299" s="580"/>
      <c r="D299" s="580"/>
      <c r="E299" s="580"/>
      <c r="F299" s="580"/>
      <c r="G299" s="580"/>
    </row>
    <row r="300" spans="2:7">
      <c r="B300" s="574"/>
      <c r="C300" s="580"/>
      <c r="D300" s="580"/>
      <c r="E300" s="580"/>
      <c r="F300" s="580"/>
      <c r="G300" s="580"/>
    </row>
    <row r="301" spans="2:7">
      <c r="B301" s="24"/>
      <c r="C301" s="20"/>
      <c r="D301" s="20"/>
      <c r="E301" s="20"/>
      <c r="F301" s="20"/>
      <c r="G301" s="21"/>
    </row>
    <row r="302" spans="2:7">
      <c r="B302" s="838" t="s">
        <v>212</v>
      </c>
      <c r="C302" s="838"/>
      <c r="D302" s="838"/>
      <c r="E302" s="841" t="s">
        <v>213</v>
      </c>
      <c r="F302" s="841"/>
      <c r="G302" s="841"/>
    </row>
    <row r="303" spans="2:7">
      <c r="B303" s="757" t="s">
        <v>1066</v>
      </c>
      <c r="C303" s="757"/>
      <c r="D303" s="757"/>
      <c r="E303" s="846" t="s">
        <v>1204</v>
      </c>
      <c r="F303" s="846"/>
      <c r="G303" s="846"/>
    </row>
    <row r="304" spans="2:7">
      <c r="B304" s="757"/>
      <c r="C304" s="757"/>
      <c r="D304" s="757"/>
      <c r="E304" s="846"/>
      <c r="F304" s="846"/>
      <c r="G304" s="846"/>
    </row>
    <row r="305" spans="2:7">
      <c r="B305" s="757"/>
      <c r="C305" s="757"/>
      <c r="D305" s="757"/>
      <c r="E305" s="846"/>
      <c r="F305" s="846"/>
      <c r="G305" s="846"/>
    </row>
    <row r="306" spans="2:7">
      <c r="B306" s="757"/>
      <c r="C306" s="757"/>
      <c r="D306" s="757"/>
      <c r="E306" s="846"/>
      <c r="F306" s="846"/>
      <c r="G306" s="846"/>
    </row>
    <row r="307" spans="2:7">
      <c r="B307" s="25"/>
      <c r="C307" s="26"/>
      <c r="D307" s="26"/>
      <c r="E307" s="26"/>
      <c r="F307" s="26"/>
      <c r="G307" s="27"/>
    </row>
    <row r="308" spans="2:7">
      <c r="B308" s="28"/>
      <c r="G308" s="29"/>
    </row>
    <row r="309" spans="2:7" ht="15.75">
      <c r="B309" s="852" t="s">
        <v>216</v>
      </c>
      <c r="C309" s="852"/>
      <c r="D309" s="852"/>
      <c r="E309" s="852"/>
      <c r="F309" s="852"/>
      <c r="G309" s="852"/>
    </row>
    <row r="310" spans="2:7">
      <c r="B310" s="855" t="s">
        <v>217</v>
      </c>
      <c r="C310" s="855"/>
      <c r="D310" s="573" t="s">
        <v>218</v>
      </c>
      <c r="E310" s="573"/>
      <c r="F310" s="569" t="s">
        <v>219</v>
      </c>
      <c r="G310" s="569"/>
    </row>
    <row r="311" spans="2:7">
      <c r="B311" s="583"/>
      <c r="C311" s="583"/>
      <c r="D311" s="587"/>
      <c r="E311" s="587"/>
      <c r="F311" s="589"/>
      <c r="G311" s="589"/>
    </row>
    <row r="312" spans="2:7">
      <c r="B312" s="583"/>
      <c r="C312" s="583"/>
      <c r="D312" s="587"/>
      <c r="E312" s="587"/>
      <c r="F312" s="589"/>
      <c r="G312" s="589"/>
    </row>
    <row r="313" spans="2:7">
      <c r="B313" s="28"/>
      <c r="G313" s="29"/>
    </row>
    <row r="314" spans="2:7">
      <c r="B314" s="593" t="s">
        <v>220</v>
      </c>
      <c r="C314" s="593"/>
      <c r="D314" s="595" t="s">
        <v>221</v>
      </c>
      <c r="E314" s="595"/>
      <c r="F314" s="595" t="s">
        <v>222</v>
      </c>
      <c r="G314" s="595"/>
    </row>
    <row r="315" spans="2:7">
      <c r="B315" s="639"/>
      <c r="C315" s="639"/>
      <c r="D315" s="641"/>
      <c r="E315" s="641"/>
      <c r="F315" s="641" t="s">
        <v>539</v>
      </c>
      <c r="G315" s="641"/>
    </row>
    <row r="318" spans="2:7" ht="15.75">
      <c r="B318" s="543" t="s">
        <v>189</v>
      </c>
      <c r="C318" s="543"/>
      <c r="D318" s="543"/>
      <c r="E318" s="543"/>
      <c r="F318" s="543"/>
      <c r="G318" s="543"/>
    </row>
    <row r="319" spans="2:7" ht="15.75">
      <c r="B319" s="860" t="s">
        <v>190</v>
      </c>
      <c r="C319" s="860"/>
      <c r="D319" s="860"/>
      <c r="E319" s="860"/>
      <c r="F319" s="860"/>
      <c r="G319" s="860"/>
    </row>
    <row r="320" spans="2:7">
      <c r="B320" s="770" t="s">
        <v>191</v>
      </c>
      <c r="C320" s="770"/>
      <c r="D320" s="788" t="s">
        <v>192</v>
      </c>
      <c r="E320" s="788"/>
      <c r="F320" s="748" t="s">
        <v>193</v>
      </c>
      <c r="G320" s="165" t="s">
        <v>194</v>
      </c>
    </row>
    <row r="321" spans="2:7">
      <c r="B321" s="557" t="s">
        <v>281</v>
      </c>
      <c r="C321" s="557"/>
      <c r="D321" s="788"/>
      <c r="E321" s="788"/>
      <c r="F321" s="748"/>
      <c r="G321" s="16" t="s">
        <v>1205</v>
      </c>
    </row>
    <row r="322" spans="2:7" ht="22.5">
      <c r="B322" s="559" t="s">
        <v>197</v>
      </c>
      <c r="C322" s="559"/>
      <c r="D322" s="565" t="s">
        <v>1081</v>
      </c>
      <c r="E322" s="565"/>
      <c r="F322" s="571">
        <v>55</v>
      </c>
      <c r="G322" s="17" t="s">
        <v>308</v>
      </c>
    </row>
    <row r="323" spans="2:7">
      <c r="B323" s="559"/>
      <c r="C323" s="559"/>
      <c r="D323" s="565"/>
      <c r="E323" s="565"/>
      <c r="F323" s="571"/>
      <c r="G323" s="18" t="s">
        <v>200</v>
      </c>
    </row>
    <row r="324" spans="2:7">
      <c r="B324" s="559"/>
      <c r="C324" s="559"/>
      <c r="D324" s="565"/>
      <c r="E324" s="565"/>
      <c r="F324" s="571"/>
      <c r="G324" s="17" t="s">
        <v>201</v>
      </c>
    </row>
    <row r="325" spans="2:7">
      <c r="B325" s="19" t="s">
        <v>202</v>
      </c>
      <c r="C325" s="20"/>
      <c r="D325" s="20"/>
      <c r="E325" s="20"/>
      <c r="F325" s="20"/>
      <c r="G325" s="21"/>
    </row>
    <row r="326" spans="2:7">
      <c r="B326" s="22"/>
      <c r="C326" s="155" t="s">
        <v>203</v>
      </c>
      <c r="D326" s="155" t="s">
        <v>203</v>
      </c>
      <c r="E326" s="155" t="s">
        <v>203</v>
      </c>
      <c r="F326" s="155" t="s">
        <v>203</v>
      </c>
      <c r="G326" s="155" t="s">
        <v>203</v>
      </c>
    </row>
    <row r="327" spans="2:7">
      <c r="B327" s="574" t="s">
        <v>204</v>
      </c>
      <c r="C327" s="580" t="s">
        <v>1135</v>
      </c>
      <c r="D327" s="580" t="s">
        <v>1206</v>
      </c>
      <c r="E327" s="859" t="s">
        <v>1207</v>
      </c>
      <c r="F327" s="580"/>
      <c r="G327" s="580"/>
    </row>
    <row r="328" spans="2:7">
      <c r="B328" s="574"/>
      <c r="C328" s="580"/>
      <c r="D328" s="580"/>
      <c r="E328" s="859"/>
      <c r="F328" s="580"/>
      <c r="G328" s="580"/>
    </row>
    <row r="329" spans="2:7">
      <c r="B329" s="574"/>
      <c r="C329" s="580"/>
      <c r="D329" s="580"/>
      <c r="E329" s="859"/>
      <c r="F329" s="580"/>
      <c r="G329" s="580"/>
    </row>
    <row r="330" spans="2:7">
      <c r="B330" s="574"/>
      <c r="C330" s="580"/>
      <c r="D330" s="580"/>
      <c r="E330" s="859"/>
      <c r="F330" s="580"/>
      <c r="G330" s="580"/>
    </row>
    <row r="331" spans="2:7">
      <c r="B331" s="574" t="s">
        <v>208</v>
      </c>
      <c r="C331" s="580" t="s">
        <v>1208</v>
      </c>
      <c r="D331" s="580" t="s">
        <v>1209</v>
      </c>
      <c r="E331" s="580" t="s">
        <v>1082</v>
      </c>
      <c r="F331" s="580"/>
      <c r="G331" s="580"/>
    </row>
    <row r="332" spans="2:7">
      <c r="B332" s="574"/>
      <c r="C332" s="580"/>
      <c r="D332" s="580"/>
      <c r="E332" s="580"/>
      <c r="F332" s="580"/>
      <c r="G332" s="580"/>
    </row>
    <row r="333" spans="2:7">
      <c r="B333" s="574"/>
      <c r="C333" s="580"/>
      <c r="D333" s="580"/>
      <c r="E333" s="580"/>
      <c r="F333" s="580"/>
      <c r="G333" s="580"/>
    </row>
    <row r="334" spans="2:7">
      <c r="B334" s="574"/>
      <c r="C334" s="580"/>
      <c r="D334" s="580"/>
      <c r="E334" s="580"/>
      <c r="F334" s="580"/>
      <c r="G334" s="580"/>
    </row>
    <row r="335" spans="2:7">
      <c r="B335" s="24"/>
      <c r="C335" s="20"/>
      <c r="D335" s="20"/>
      <c r="E335" s="20"/>
      <c r="F335" s="20"/>
      <c r="G335" s="21"/>
    </row>
    <row r="336" spans="2:7">
      <c r="B336" s="838" t="s">
        <v>212</v>
      </c>
      <c r="C336" s="838"/>
      <c r="D336" s="838"/>
      <c r="E336" s="841" t="s">
        <v>213</v>
      </c>
      <c r="F336" s="841"/>
      <c r="G336" s="841"/>
    </row>
    <row r="337" spans="2:7">
      <c r="B337" s="757" t="s">
        <v>1082</v>
      </c>
      <c r="C337" s="757"/>
      <c r="D337" s="757"/>
      <c r="E337" s="846" t="s">
        <v>1210</v>
      </c>
      <c r="F337" s="846"/>
      <c r="G337" s="846"/>
    </row>
    <row r="338" spans="2:7">
      <c r="B338" s="757"/>
      <c r="C338" s="757"/>
      <c r="D338" s="757"/>
      <c r="E338" s="846"/>
      <c r="F338" s="846"/>
      <c r="G338" s="846"/>
    </row>
    <row r="339" spans="2:7">
      <c r="B339" s="757"/>
      <c r="C339" s="757"/>
      <c r="D339" s="757"/>
      <c r="E339" s="846"/>
      <c r="F339" s="846"/>
      <c r="G339" s="846"/>
    </row>
    <row r="340" spans="2:7">
      <c r="B340" s="757"/>
      <c r="C340" s="757"/>
      <c r="D340" s="757"/>
      <c r="E340" s="846"/>
      <c r="F340" s="846"/>
      <c r="G340" s="846"/>
    </row>
    <row r="341" spans="2:7">
      <c r="B341" s="25"/>
      <c r="C341" s="26"/>
      <c r="D341" s="26"/>
      <c r="E341" s="26"/>
      <c r="F341" s="26"/>
      <c r="G341" s="27"/>
    </row>
    <row r="342" spans="2:7">
      <c r="B342" s="28"/>
      <c r="G342" s="29"/>
    </row>
    <row r="343" spans="2:7" ht="15.75">
      <c r="B343" s="852" t="s">
        <v>216</v>
      </c>
      <c r="C343" s="852"/>
      <c r="D343" s="852"/>
      <c r="E343" s="852"/>
      <c r="F343" s="852"/>
      <c r="G343" s="852"/>
    </row>
    <row r="344" spans="2:7">
      <c r="B344" s="855" t="s">
        <v>217</v>
      </c>
      <c r="C344" s="855"/>
      <c r="D344" s="573" t="s">
        <v>218</v>
      </c>
      <c r="E344" s="573"/>
      <c r="F344" s="569" t="s">
        <v>219</v>
      </c>
      <c r="G344" s="569"/>
    </row>
    <row r="345" spans="2:7">
      <c r="B345" s="583"/>
      <c r="C345" s="583"/>
      <c r="D345" s="587"/>
      <c r="E345" s="587"/>
      <c r="F345" s="589"/>
      <c r="G345" s="589"/>
    </row>
    <row r="346" spans="2:7">
      <c r="B346" s="583"/>
      <c r="C346" s="583"/>
      <c r="D346" s="587"/>
      <c r="E346" s="587"/>
      <c r="F346" s="589"/>
      <c r="G346" s="589"/>
    </row>
    <row r="347" spans="2:7">
      <c r="B347" s="28"/>
      <c r="G347" s="29"/>
    </row>
    <row r="348" spans="2:7">
      <c r="B348" s="593" t="s">
        <v>220</v>
      </c>
      <c r="C348" s="593"/>
      <c r="D348" s="595" t="s">
        <v>221</v>
      </c>
      <c r="E348" s="595"/>
      <c r="F348" s="595" t="s">
        <v>222</v>
      </c>
      <c r="G348" s="595"/>
    </row>
    <row r="349" spans="2:7">
      <c r="B349" s="639"/>
      <c r="C349" s="639"/>
      <c r="D349" s="641"/>
      <c r="E349" s="641"/>
      <c r="F349" s="641" t="s">
        <v>1211</v>
      </c>
      <c r="G349" s="641"/>
    </row>
    <row r="352" spans="2:7" ht="15.75">
      <c r="B352" s="543" t="s">
        <v>189</v>
      </c>
      <c r="C352" s="544"/>
      <c r="D352" s="544"/>
      <c r="E352" s="544"/>
      <c r="F352" s="544"/>
      <c r="G352" s="545"/>
    </row>
    <row r="353" spans="2:7" ht="15.75">
      <c r="B353" s="860" t="s">
        <v>190</v>
      </c>
      <c r="C353" s="861"/>
      <c r="D353" s="861"/>
      <c r="E353" s="861"/>
      <c r="F353" s="861"/>
      <c r="G353" s="862"/>
    </row>
    <row r="354" spans="2:7">
      <c r="B354" s="770" t="s">
        <v>191</v>
      </c>
      <c r="C354" s="771"/>
      <c r="D354" s="788" t="s">
        <v>192</v>
      </c>
      <c r="E354" s="728"/>
      <c r="F354" s="748" t="s">
        <v>193</v>
      </c>
      <c r="G354" s="165" t="s">
        <v>194</v>
      </c>
    </row>
    <row r="355" spans="2:7">
      <c r="B355" s="557" t="s">
        <v>281</v>
      </c>
      <c r="C355" s="558"/>
      <c r="D355" s="553"/>
      <c r="E355" s="554"/>
      <c r="F355" s="556"/>
      <c r="G355" s="16" t="s">
        <v>1212</v>
      </c>
    </row>
    <row r="356" spans="2:7" ht="21.75">
      <c r="B356" s="559" t="s">
        <v>197</v>
      </c>
      <c r="C356" s="560"/>
      <c r="D356" s="565" t="s">
        <v>1094</v>
      </c>
      <c r="E356" s="566"/>
      <c r="F356" s="571">
        <v>25</v>
      </c>
      <c r="G356" s="17" t="s">
        <v>1213</v>
      </c>
    </row>
    <row r="357" spans="2:7">
      <c r="B357" s="561"/>
      <c r="C357" s="562"/>
      <c r="D357" s="567"/>
      <c r="E357" s="568"/>
      <c r="F357" s="572"/>
      <c r="G357" s="18" t="s">
        <v>200</v>
      </c>
    </row>
    <row r="358" spans="2:7">
      <c r="B358" s="563"/>
      <c r="C358" s="564"/>
      <c r="D358" s="569"/>
      <c r="E358" s="570"/>
      <c r="F358" s="573"/>
      <c r="G358" s="17" t="s">
        <v>201</v>
      </c>
    </row>
    <row r="359" spans="2:7">
      <c r="B359" s="19" t="s">
        <v>202</v>
      </c>
      <c r="C359" s="20"/>
      <c r="D359" s="20"/>
      <c r="E359" s="20"/>
      <c r="F359" s="20"/>
      <c r="G359" s="21"/>
    </row>
    <row r="360" spans="2:7">
      <c r="B360" s="22"/>
      <c r="C360" s="155" t="s">
        <v>203</v>
      </c>
      <c r="D360" s="155" t="s">
        <v>203</v>
      </c>
      <c r="E360" s="155" t="s">
        <v>203</v>
      </c>
      <c r="F360" s="155" t="s">
        <v>203</v>
      </c>
      <c r="G360" s="155" t="s">
        <v>203</v>
      </c>
    </row>
    <row r="361" spans="2:7" ht="15" customHeight="1">
      <c r="B361" s="574" t="s">
        <v>204</v>
      </c>
      <c r="C361" s="580" t="s">
        <v>1135</v>
      </c>
      <c r="D361" s="580" t="s">
        <v>1214</v>
      </c>
      <c r="E361" s="580" t="s">
        <v>1215</v>
      </c>
      <c r="F361" s="580" t="s">
        <v>1216</v>
      </c>
      <c r="G361" s="580"/>
    </row>
    <row r="362" spans="2:7">
      <c r="B362" s="575"/>
      <c r="C362" s="581"/>
      <c r="D362" s="581"/>
      <c r="E362" s="581"/>
      <c r="F362" s="581"/>
      <c r="G362" s="581"/>
    </row>
    <row r="363" spans="2:7">
      <c r="B363" s="575"/>
      <c r="C363" s="581"/>
      <c r="D363" s="581"/>
      <c r="E363" s="581"/>
      <c r="F363" s="581"/>
      <c r="G363" s="581"/>
    </row>
    <row r="364" spans="2:7">
      <c r="B364" s="576"/>
      <c r="C364" s="582"/>
      <c r="D364" s="582"/>
      <c r="E364" s="582"/>
      <c r="F364" s="582"/>
      <c r="G364" s="582"/>
    </row>
    <row r="365" spans="2:7">
      <c r="B365" s="574" t="s">
        <v>208</v>
      </c>
      <c r="C365" s="580" t="s">
        <v>1214</v>
      </c>
      <c r="D365" s="580" t="s">
        <v>1215</v>
      </c>
      <c r="E365" s="580" t="s">
        <v>1216</v>
      </c>
      <c r="F365" s="859" t="s">
        <v>1217</v>
      </c>
      <c r="G365" s="580"/>
    </row>
    <row r="366" spans="2:7">
      <c r="B366" s="575"/>
      <c r="C366" s="581"/>
      <c r="D366" s="581"/>
      <c r="E366" s="581"/>
      <c r="F366" s="581"/>
      <c r="G366" s="581"/>
    </row>
    <row r="367" spans="2:7">
      <c r="B367" s="575"/>
      <c r="C367" s="581"/>
      <c r="D367" s="581"/>
      <c r="E367" s="581"/>
      <c r="F367" s="581"/>
      <c r="G367" s="581"/>
    </row>
    <row r="368" spans="2:7" ht="15" customHeight="1">
      <c r="B368" s="576"/>
      <c r="C368" s="582"/>
      <c r="D368" s="582"/>
      <c r="E368" s="582"/>
      <c r="F368" s="582"/>
      <c r="G368" s="582"/>
    </row>
    <row r="369" spans="2:7" ht="15" customHeight="1">
      <c r="B369" s="24"/>
      <c r="C369" s="20"/>
      <c r="D369" s="20"/>
      <c r="E369" s="20"/>
      <c r="F369" s="20"/>
      <c r="G369" s="21"/>
    </row>
    <row r="370" spans="2:7" ht="21.75" customHeight="1">
      <c r="B370" s="838" t="s">
        <v>212</v>
      </c>
      <c r="C370" s="839"/>
      <c r="D370" s="840"/>
      <c r="E370" s="841" t="s">
        <v>213</v>
      </c>
      <c r="F370" s="842"/>
      <c r="G370" s="843"/>
    </row>
    <row r="371" spans="2:7">
      <c r="B371" s="872" t="s">
        <v>1217</v>
      </c>
      <c r="C371" s="722"/>
      <c r="D371" s="715"/>
      <c r="E371" s="846" t="s">
        <v>1218</v>
      </c>
      <c r="F371" s="847"/>
      <c r="G371" s="848"/>
    </row>
    <row r="372" spans="2:7">
      <c r="B372" s="757"/>
      <c r="C372" s="722"/>
      <c r="D372" s="715"/>
      <c r="E372" s="846"/>
      <c r="F372" s="847"/>
      <c r="G372" s="848"/>
    </row>
    <row r="373" spans="2:7">
      <c r="B373" s="757"/>
      <c r="C373" s="722"/>
      <c r="D373" s="715"/>
      <c r="E373" s="846"/>
      <c r="F373" s="847"/>
      <c r="G373" s="848"/>
    </row>
    <row r="374" spans="2:7">
      <c r="B374" s="758"/>
      <c r="C374" s="845"/>
      <c r="D374" s="716"/>
      <c r="E374" s="849"/>
      <c r="F374" s="850"/>
      <c r="G374" s="851"/>
    </row>
    <row r="375" spans="2:7" ht="15" customHeight="1">
      <c r="B375" s="25"/>
      <c r="C375" s="26"/>
      <c r="D375" s="26"/>
      <c r="E375" s="26"/>
      <c r="F375" s="26"/>
      <c r="G375" s="27"/>
    </row>
    <row r="376" spans="2:7">
      <c r="B376" s="28"/>
      <c r="G376" s="29"/>
    </row>
    <row r="377" spans="2:7" ht="15.75">
      <c r="B377" s="852" t="s">
        <v>216</v>
      </c>
      <c r="C377" s="853"/>
      <c r="D377" s="853"/>
      <c r="E377" s="853"/>
      <c r="F377" s="853"/>
      <c r="G377" s="854"/>
    </row>
    <row r="378" spans="2:7">
      <c r="B378" s="855" t="s">
        <v>217</v>
      </c>
      <c r="C378" s="573"/>
      <c r="D378" s="573" t="s">
        <v>218</v>
      </c>
      <c r="E378" s="573"/>
      <c r="F378" s="569" t="s">
        <v>219</v>
      </c>
      <c r="G378" s="856"/>
    </row>
    <row r="379" spans="2:7" ht="15" customHeight="1">
      <c r="B379" s="583"/>
      <c r="C379" s="584"/>
      <c r="D379" s="587"/>
      <c r="E379" s="584"/>
      <c r="F379" s="589"/>
      <c r="G379" s="590"/>
    </row>
    <row r="380" spans="2:7">
      <c r="B380" s="585"/>
      <c r="C380" s="586"/>
      <c r="D380" s="588"/>
      <c r="E380" s="586"/>
      <c r="F380" s="591"/>
      <c r="G380" s="592"/>
    </row>
    <row r="381" spans="2:7">
      <c r="B381" s="28"/>
      <c r="G381" s="29"/>
    </row>
    <row r="382" spans="2:7">
      <c r="B382" s="593" t="s">
        <v>220</v>
      </c>
      <c r="C382" s="594"/>
      <c r="D382" s="595" t="s">
        <v>221</v>
      </c>
      <c r="E382" s="594"/>
      <c r="F382" s="595" t="s">
        <v>222</v>
      </c>
      <c r="G382" s="596"/>
    </row>
    <row r="383" spans="2:7">
      <c r="B383" s="639"/>
      <c r="C383" s="640"/>
      <c r="D383" s="641"/>
      <c r="E383" s="640"/>
      <c r="F383" s="641" t="s">
        <v>539</v>
      </c>
      <c r="G383" s="642"/>
    </row>
    <row r="384" spans="2:7">
      <c r="B384" s="838" t="s">
        <v>212</v>
      </c>
      <c r="C384" s="839"/>
      <c r="D384" s="840"/>
      <c r="E384" s="841" t="s">
        <v>213</v>
      </c>
      <c r="F384" s="842"/>
      <c r="G384" s="843"/>
    </row>
    <row r="385" spans="2:8">
      <c r="B385" s="188"/>
      <c r="C385" s="188"/>
      <c r="D385" s="188"/>
      <c r="E385" s="189"/>
      <c r="F385" s="189"/>
      <c r="G385" s="189"/>
    </row>
    <row r="386" spans="2:8">
      <c r="B386" s="188"/>
      <c r="C386" s="188"/>
      <c r="D386" s="188"/>
      <c r="E386" s="189"/>
      <c r="F386" s="189"/>
      <c r="G386" s="189"/>
    </row>
    <row r="387" spans="2:8" ht="15.75">
      <c r="B387" s="543" t="s">
        <v>189</v>
      </c>
      <c r="C387" s="544"/>
      <c r="D387" s="544"/>
      <c r="E387" s="544"/>
      <c r="F387" s="544"/>
      <c r="G387" s="545"/>
      <c r="H387" t="s">
        <v>1219</v>
      </c>
    </row>
    <row r="388" spans="2:8" ht="15.75">
      <c r="B388" s="860" t="s">
        <v>190</v>
      </c>
      <c r="C388" s="861"/>
      <c r="D388" s="861"/>
      <c r="E388" s="861"/>
      <c r="F388" s="861"/>
      <c r="G388" s="862"/>
    </row>
    <row r="389" spans="2:8">
      <c r="B389" s="770" t="s">
        <v>191</v>
      </c>
      <c r="C389" s="771"/>
      <c r="D389" s="788" t="s">
        <v>192</v>
      </c>
      <c r="E389" s="728"/>
      <c r="F389" s="748" t="s">
        <v>193</v>
      </c>
      <c r="G389" s="165" t="s">
        <v>194</v>
      </c>
    </row>
    <row r="390" spans="2:8">
      <c r="B390" s="557" t="s">
        <v>281</v>
      </c>
      <c r="C390" s="558"/>
      <c r="D390" s="553"/>
      <c r="E390" s="554"/>
      <c r="F390" s="556"/>
      <c r="G390" s="16" t="s">
        <v>1220</v>
      </c>
    </row>
    <row r="391" spans="2:8" ht="21.75">
      <c r="B391" s="559" t="s">
        <v>197</v>
      </c>
      <c r="C391" s="560"/>
      <c r="D391" s="565" t="s">
        <v>1221</v>
      </c>
      <c r="E391" s="566"/>
      <c r="F391" s="571">
        <v>40</v>
      </c>
      <c r="G391" s="17" t="s">
        <v>1213</v>
      </c>
    </row>
    <row r="392" spans="2:8">
      <c r="B392" s="561"/>
      <c r="C392" s="562"/>
      <c r="D392" s="567"/>
      <c r="E392" s="568"/>
      <c r="F392" s="572"/>
      <c r="G392" s="18" t="s">
        <v>200</v>
      </c>
    </row>
    <row r="393" spans="2:8">
      <c r="B393" s="563"/>
      <c r="C393" s="564"/>
      <c r="D393" s="569"/>
      <c r="E393" s="570"/>
      <c r="F393" s="573"/>
      <c r="G393" s="17" t="s">
        <v>201</v>
      </c>
    </row>
    <row r="394" spans="2:8">
      <c r="B394" s="19" t="s">
        <v>202</v>
      </c>
      <c r="C394" s="20"/>
      <c r="D394" s="20"/>
      <c r="E394" s="20"/>
      <c r="F394" s="20"/>
      <c r="G394" s="21"/>
    </row>
    <row r="395" spans="2:8">
      <c r="B395" s="22"/>
      <c r="C395" s="155" t="s">
        <v>203</v>
      </c>
      <c r="D395" s="155" t="s">
        <v>203</v>
      </c>
      <c r="E395" s="155" t="s">
        <v>203</v>
      </c>
      <c r="F395" s="155" t="s">
        <v>203</v>
      </c>
      <c r="G395" s="155" t="s">
        <v>203</v>
      </c>
    </row>
    <row r="396" spans="2:8">
      <c r="B396" s="574" t="s">
        <v>204</v>
      </c>
      <c r="C396" s="580" t="s">
        <v>1135</v>
      </c>
      <c r="D396" s="857" t="s">
        <v>1222</v>
      </c>
      <c r="E396" s="858" t="s">
        <v>1223</v>
      </c>
      <c r="F396" s="580" t="s">
        <v>1224</v>
      </c>
      <c r="G396" s="580"/>
    </row>
    <row r="397" spans="2:8">
      <c r="B397" s="575"/>
      <c r="C397" s="581"/>
      <c r="D397" s="581"/>
      <c r="E397" s="581"/>
      <c r="F397" s="581"/>
      <c r="G397" s="581"/>
    </row>
    <row r="398" spans="2:8">
      <c r="B398" s="575"/>
      <c r="C398" s="581"/>
      <c r="D398" s="581"/>
      <c r="E398" s="581"/>
      <c r="F398" s="581"/>
      <c r="G398" s="581"/>
    </row>
    <row r="399" spans="2:8">
      <c r="B399" s="576"/>
      <c r="C399" s="582"/>
      <c r="D399" s="582"/>
      <c r="E399" s="582"/>
      <c r="F399" s="582"/>
      <c r="G399" s="582"/>
    </row>
    <row r="400" spans="2:8">
      <c r="B400" s="574" t="s">
        <v>208</v>
      </c>
      <c r="C400" s="858" t="s">
        <v>1225</v>
      </c>
      <c r="D400" s="858" t="s">
        <v>1226</v>
      </c>
      <c r="E400" s="858" t="s">
        <v>1227</v>
      </c>
      <c r="F400" s="859" t="s">
        <v>1228</v>
      </c>
      <c r="G400" s="580"/>
    </row>
    <row r="401" spans="2:7">
      <c r="B401" s="575"/>
      <c r="C401" s="581"/>
      <c r="D401" s="581"/>
      <c r="E401" s="581"/>
      <c r="F401" s="581"/>
      <c r="G401" s="581"/>
    </row>
    <row r="402" spans="2:7">
      <c r="B402" s="575"/>
      <c r="C402" s="581"/>
      <c r="D402" s="581"/>
      <c r="E402" s="581"/>
      <c r="F402" s="581"/>
      <c r="G402" s="581"/>
    </row>
    <row r="403" spans="2:7">
      <c r="B403" s="576"/>
      <c r="C403" s="582"/>
      <c r="D403" s="582"/>
      <c r="E403" s="582"/>
      <c r="F403" s="582"/>
      <c r="G403" s="582"/>
    </row>
    <row r="404" spans="2:7">
      <c r="B404" s="24"/>
      <c r="C404" s="20"/>
      <c r="D404" s="20"/>
      <c r="E404" s="20"/>
      <c r="F404" s="20"/>
      <c r="G404" s="21"/>
    </row>
    <row r="405" spans="2:7">
      <c r="B405" s="838" t="s">
        <v>212</v>
      </c>
      <c r="C405" s="839"/>
      <c r="D405" s="840"/>
      <c r="E405" s="841" t="s">
        <v>213</v>
      </c>
      <c r="F405" s="842"/>
      <c r="G405" s="843"/>
    </row>
    <row r="406" spans="2:7">
      <c r="B406" s="844" t="s">
        <v>1229</v>
      </c>
      <c r="C406" s="722"/>
      <c r="D406" s="715"/>
      <c r="E406" s="846" t="s">
        <v>1230</v>
      </c>
      <c r="F406" s="847"/>
      <c r="G406" s="848"/>
    </row>
    <row r="407" spans="2:7">
      <c r="B407" s="757"/>
      <c r="C407" s="722"/>
      <c r="D407" s="715"/>
      <c r="E407" s="846"/>
      <c r="F407" s="847"/>
      <c r="G407" s="848"/>
    </row>
    <row r="408" spans="2:7">
      <c r="B408" s="757"/>
      <c r="C408" s="722"/>
      <c r="D408" s="715"/>
      <c r="E408" s="846"/>
      <c r="F408" s="847"/>
      <c r="G408" s="848"/>
    </row>
    <row r="409" spans="2:7">
      <c r="B409" s="758"/>
      <c r="C409" s="845"/>
      <c r="D409" s="716"/>
      <c r="E409" s="849"/>
      <c r="F409" s="850"/>
      <c r="G409" s="851"/>
    </row>
    <row r="410" spans="2:7">
      <c r="B410" s="25"/>
      <c r="C410" s="26"/>
      <c r="D410" s="26"/>
      <c r="E410" s="26"/>
      <c r="F410" s="26"/>
      <c r="G410" s="27"/>
    </row>
    <row r="411" spans="2:7">
      <c r="B411" s="28"/>
      <c r="G411" s="29"/>
    </row>
    <row r="412" spans="2:7" ht="15.75">
      <c r="B412" s="852" t="s">
        <v>216</v>
      </c>
      <c r="C412" s="853"/>
      <c r="D412" s="853"/>
      <c r="E412" s="853"/>
      <c r="F412" s="853"/>
      <c r="G412" s="854"/>
    </row>
    <row r="413" spans="2:7">
      <c r="B413" s="855" t="s">
        <v>217</v>
      </c>
      <c r="C413" s="573"/>
      <c r="D413" s="573" t="s">
        <v>218</v>
      </c>
      <c r="E413" s="573"/>
      <c r="F413" s="569" t="s">
        <v>219</v>
      </c>
      <c r="G413" s="856"/>
    </row>
    <row r="414" spans="2:7">
      <c r="B414" s="583"/>
      <c r="C414" s="584"/>
      <c r="D414" s="587"/>
      <c r="E414" s="584"/>
      <c r="F414" s="589"/>
      <c r="G414" s="590"/>
    </row>
    <row r="415" spans="2:7">
      <c r="B415" s="585"/>
      <c r="C415" s="586"/>
      <c r="D415" s="588"/>
      <c r="E415" s="586"/>
      <c r="F415" s="591"/>
      <c r="G415" s="592"/>
    </row>
    <row r="416" spans="2:7">
      <c r="B416" s="28"/>
      <c r="G416" s="29"/>
    </row>
    <row r="417" spans="2:7">
      <c r="B417" s="593" t="s">
        <v>220</v>
      </c>
      <c r="C417" s="594"/>
      <c r="D417" s="595" t="s">
        <v>221</v>
      </c>
      <c r="E417" s="594"/>
      <c r="F417" s="595" t="s">
        <v>222</v>
      </c>
      <c r="G417" s="596"/>
    </row>
    <row r="418" spans="2:7">
      <c r="B418" s="639"/>
      <c r="C418" s="640"/>
      <c r="D418" s="641"/>
      <c r="E418" s="640"/>
      <c r="F418" s="641" t="s">
        <v>539</v>
      </c>
      <c r="G418" s="642"/>
    </row>
    <row r="419" spans="2:7">
      <c r="B419" s="188"/>
      <c r="C419" s="188"/>
      <c r="D419" s="188"/>
      <c r="E419" s="189"/>
      <c r="F419" s="189"/>
      <c r="G419" s="189"/>
    </row>
    <row r="420" spans="2:7">
      <c r="B420" s="188"/>
      <c r="C420" s="188"/>
      <c r="D420" s="188"/>
      <c r="E420" s="189"/>
      <c r="F420" s="189"/>
      <c r="G420" s="189"/>
    </row>
    <row r="421" spans="2:7" ht="15.75">
      <c r="B421" s="543" t="s">
        <v>189</v>
      </c>
      <c r="C421" s="544"/>
      <c r="D421" s="544"/>
      <c r="E421" s="544"/>
      <c r="F421" s="544"/>
      <c r="G421" s="545"/>
    </row>
    <row r="422" spans="2:7" ht="15.75">
      <c r="B422" s="860" t="s">
        <v>190</v>
      </c>
      <c r="C422" s="861"/>
      <c r="D422" s="861"/>
      <c r="E422" s="861"/>
      <c r="F422" s="861"/>
      <c r="G422" s="862"/>
    </row>
    <row r="423" spans="2:7" ht="15" customHeight="1">
      <c r="B423" s="770" t="s">
        <v>191</v>
      </c>
      <c r="C423" s="771"/>
      <c r="D423" s="788" t="s">
        <v>192</v>
      </c>
      <c r="E423" s="728"/>
      <c r="F423" s="748" t="s">
        <v>193</v>
      </c>
      <c r="G423" s="165" t="s">
        <v>194</v>
      </c>
    </row>
    <row r="424" spans="2:7" ht="15" customHeight="1">
      <c r="B424" s="557" t="s">
        <v>281</v>
      </c>
      <c r="C424" s="558"/>
      <c r="D424" s="553"/>
      <c r="E424" s="554"/>
      <c r="F424" s="556"/>
      <c r="G424" s="16" t="s">
        <v>1231</v>
      </c>
    </row>
    <row r="425" spans="2:7" ht="15" customHeight="1">
      <c r="B425" s="559" t="s">
        <v>197</v>
      </c>
      <c r="C425" s="560"/>
      <c r="D425" s="896" t="s">
        <v>1112</v>
      </c>
      <c r="E425" s="897"/>
      <c r="F425" s="902">
        <v>105</v>
      </c>
      <c r="G425" s="190" t="s">
        <v>1213</v>
      </c>
    </row>
    <row r="426" spans="2:7">
      <c r="B426" s="561"/>
      <c r="C426" s="562"/>
      <c r="D426" s="898"/>
      <c r="E426" s="899"/>
      <c r="F426" s="903"/>
      <c r="G426" s="191" t="s">
        <v>200</v>
      </c>
    </row>
    <row r="427" spans="2:7">
      <c r="B427" s="563"/>
      <c r="C427" s="564"/>
      <c r="D427" s="900"/>
      <c r="E427" s="901"/>
      <c r="F427" s="904"/>
      <c r="G427" s="190" t="s">
        <v>201</v>
      </c>
    </row>
    <row r="428" spans="2:7">
      <c r="B428" s="19" t="s">
        <v>202</v>
      </c>
      <c r="C428" s="192"/>
      <c r="D428" s="192"/>
      <c r="E428" s="192"/>
      <c r="F428" s="192"/>
      <c r="G428" s="193"/>
    </row>
    <row r="429" spans="2:7">
      <c r="B429" s="22"/>
      <c r="C429" s="155" t="s">
        <v>203</v>
      </c>
      <c r="D429" s="155" t="s">
        <v>203</v>
      </c>
      <c r="E429" s="155" t="s">
        <v>203</v>
      </c>
      <c r="F429" s="155" t="s">
        <v>203</v>
      </c>
      <c r="G429" s="155" t="s">
        <v>203</v>
      </c>
    </row>
    <row r="430" spans="2:7" ht="15" customHeight="1">
      <c r="B430" s="574" t="s">
        <v>204</v>
      </c>
      <c r="C430" s="580" t="s">
        <v>1135</v>
      </c>
      <c r="D430" s="857" t="s">
        <v>1232</v>
      </c>
      <c r="E430" s="858" t="s">
        <v>1233</v>
      </c>
      <c r="F430" s="580" t="s">
        <v>1234</v>
      </c>
      <c r="G430" s="580"/>
    </row>
    <row r="431" spans="2:7">
      <c r="B431" s="575"/>
      <c r="C431" s="581"/>
      <c r="D431" s="581"/>
      <c r="E431" s="581"/>
      <c r="F431" s="581"/>
      <c r="G431" s="581"/>
    </row>
    <row r="432" spans="2:7">
      <c r="B432" s="575"/>
      <c r="C432" s="581"/>
      <c r="D432" s="581"/>
      <c r="E432" s="581"/>
      <c r="F432" s="581"/>
      <c r="G432" s="581"/>
    </row>
    <row r="433" spans="2:7">
      <c r="B433" s="576"/>
      <c r="C433" s="582"/>
      <c r="D433" s="582"/>
      <c r="E433" s="582"/>
      <c r="F433" s="582"/>
      <c r="G433" s="582"/>
    </row>
    <row r="434" spans="2:7" ht="15" customHeight="1">
      <c r="B434" s="574" t="s">
        <v>208</v>
      </c>
      <c r="C434" s="858" t="s">
        <v>1235</v>
      </c>
      <c r="D434" s="858" t="s">
        <v>1236</v>
      </c>
      <c r="E434" s="858" t="s">
        <v>1237</v>
      </c>
      <c r="F434" s="859" t="s">
        <v>1238</v>
      </c>
      <c r="G434" s="580"/>
    </row>
    <row r="435" spans="2:7">
      <c r="B435" s="575"/>
      <c r="C435" s="581"/>
      <c r="D435" s="581"/>
      <c r="E435" s="581"/>
      <c r="F435" s="581"/>
      <c r="G435" s="581"/>
    </row>
    <row r="436" spans="2:7">
      <c r="B436" s="575"/>
      <c r="C436" s="581"/>
      <c r="D436" s="581"/>
      <c r="E436" s="581"/>
      <c r="F436" s="581"/>
      <c r="G436" s="581"/>
    </row>
    <row r="437" spans="2:7">
      <c r="B437" s="576"/>
      <c r="C437" s="582"/>
      <c r="D437" s="582"/>
      <c r="E437" s="582"/>
      <c r="F437" s="582"/>
      <c r="G437" s="582"/>
    </row>
    <row r="438" spans="2:7">
      <c r="B438" s="24"/>
      <c r="C438" s="192"/>
      <c r="D438" s="192"/>
      <c r="E438" s="192"/>
      <c r="F438" s="192"/>
      <c r="G438" s="193"/>
    </row>
    <row r="439" spans="2:7">
      <c r="B439" s="838" t="s">
        <v>212</v>
      </c>
      <c r="C439" s="839"/>
      <c r="D439" s="840"/>
      <c r="E439" s="913" t="s">
        <v>213</v>
      </c>
      <c r="F439" s="914"/>
      <c r="G439" s="915"/>
    </row>
    <row r="440" spans="2:7" ht="15" customHeight="1">
      <c r="B440" s="844" t="s">
        <v>1238</v>
      </c>
      <c r="C440" s="722"/>
      <c r="D440" s="715"/>
      <c r="E440" s="846" t="s">
        <v>1239</v>
      </c>
      <c r="F440" s="847"/>
      <c r="G440" s="848"/>
    </row>
    <row r="441" spans="2:7">
      <c r="B441" s="757"/>
      <c r="C441" s="722"/>
      <c r="D441" s="715"/>
      <c r="E441" s="846"/>
      <c r="F441" s="847"/>
      <c r="G441" s="848"/>
    </row>
    <row r="442" spans="2:7">
      <c r="B442" s="757"/>
      <c r="C442" s="722"/>
      <c r="D442" s="715"/>
      <c r="E442" s="846"/>
      <c r="F442" s="847"/>
      <c r="G442" s="848"/>
    </row>
    <row r="443" spans="2:7">
      <c r="B443" s="758"/>
      <c r="C443" s="845"/>
      <c r="D443" s="716"/>
      <c r="E443" s="849"/>
      <c r="F443" s="850"/>
      <c r="G443" s="851"/>
    </row>
    <row r="444" spans="2:7">
      <c r="B444" s="25"/>
      <c r="C444" s="26"/>
      <c r="D444" s="26"/>
      <c r="E444" s="26"/>
      <c r="F444" s="26"/>
      <c r="G444" s="27"/>
    </row>
    <row r="445" spans="2:7">
      <c r="B445" s="28"/>
      <c r="G445" s="29"/>
    </row>
    <row r="446" spans="2:7" ht="15.75">
      <c r="B446" s="916" t="s">
        <v>216</v>
      </c>
      <c r="C446" s="917"/>
      <c r="D446" s="917"/>
      <c r="E446" s="917"/>
      <c r="F446" s="917"/>
      <c r="G446" s="918"/>
    </row>
    <row r="447" spans="2:7">
      <c r="B447" s="919" t="s">
        <v>217</v>
      </c>
      <c r="C447" s="904"/>
      <c r="D447" s="904" t="s">
        <v>218</v>
      </c>
      <c r="E447" s="904"/>
      <c r="F447" s="900" t="s">
        <v>219</v>
      </c>
      <c r="G447" s="920"/>
    </row>
    <row r="448" spans="2:7">
      <c r="B448" s="583"/>
      <c r="C448" s="584"/>
      <c r="D448" s="587"/>
      <c r="E448" s="584"/>
      <c r="F448" s="589"/>
      <c r="G448" s="590"/>
    </row>
    <row r="449" spans="2:8">
      <c r="B449" s="585"/>
      <c r="C449" s="586"/>
      <c r="D449" s="588"/>
      <c r="E449" s="586"/>
      <c r="F449" s="591"/>
      <c r="G449" s="592"/>
    </row>
    <row r="450" spans="2:8">
      <c r="B450" s="28"/>
      <c r="G450" s="29"/>
    </row>
    <row r="451" spans="2:8">
      <c r="B451" s="905" t="s">
        <v>220</v>
      </c>
      <c r="C451" s="906"/>
      <c r="D451" s="907" t="s">
        <v>221</v>
      </c>
      <c r="E451" s="906"/>
      <c r="F451" s="907" t="s">
        <v>222</v>
      </c>
      <c r="G451" s="908"/>
    </row>
    <row r="452" spans="2:8">
      <c r="B452" s="909"/>
      <c r="C452" s="910"/>
      <c r="D452" s="911"/>
      <c r="E452" s="910"/>
      <c r="F452" s="911" t="s">
        <v>539</v>
      </c>
      <c r="G452" s="912"/>
    </row>
    <row r="453" spans="2:8">
      <c r="B453" s="194"/>
      <c r="C453" s="194"/>
      <c r="D453" s="194"/>
      <c r="E453" s="194"/>
      <c r="F453" s="194"/>
      <c r="G453" s="194"/>
    </row>
    <row r="455" spans="2:8" ht="15.75">
      <c r="B455" s="543" t="s">
        <v>189</v>
      </c>
      <c r="C455" s="544"/>
      <c r="D455" s="544"/>
      <c r="E455" s="544"/>
      <c r="F455" s="544"/>
      <c r="G455" s="545"/>
      <c r="H455" t="s">
        <v>1240</v>
      </c>
    </row>
    <row r="456" spans="2:8" ht="15.75">
      <c r="B456" s="860" t="s">
        <v>190</v>
      </c>
      <c r="C456" s="861"/>
      <c r="D456" s="861"/>
      <c r="E456" s="861"/>
      <c r="F456" s="861"/>
      <c r="G456" s="862"/>
    </row>
    <row r="457" spans="2:8">
      <c r="B457" s="770" t="s">
        <v>191</v>
      </c>
      <c r="C457" s="771"/>
      <c r="D457" s="788" t="s">
        <v>192</v>
      </c>
      <c r="E457" s="728"/>
      <c r="F457" s="748" t="s">
        <v>193</v>
      </c>
      <c r="G457" s="165" t="s">
        <v>194</v>
      </c>
    </row>
    <row r="458" spans="2:8">
      <c r="B458" s="557" t="s">
        <v>281</v>
      </c>
      <c r="C458" s="558"/>
      <c r="D458" s="553"/>
      <c r="E458" s="554"/>
      <c r="F458" s="556"/>
      <c r="G458" s="16" t="s">
        <v>1241</v>
      </c>
    </row>
    <row r="459" spans="2:8" ht="21.75">
      <c r="B459" s="559" t="s">
        <v>197</v>
      </c>
      <c r="C459" s="560"/>
      <c r="D459" s="565" t="s">
        <v>1242</v>
      </c>
      <c r="E459" s="566"/>
      <c r="F459" s="571">
        <v>34</v>
      </c>
      <c r="G459" s="17" t="s">
        <v>1213</v>
      </c>
    </row>
    <row r="460" spans="2:8">
      <c r="B460" s="561"/>
      <c r="C460" s="562"/>
      <c r="D460" s="567"/>
      <c r="E460" s="568"/>
      <c r="F460" s="572"/>
      <c r="G460" s="18" t="s">
        <v>200</v>
      </c>
    </row>
    <row r="461" spans="2:8">
      <c r="B461" s="563"/>
      <c r="C461" s="564"/>
      <c r="D461" s="569"/>
      <c r="E461" s="570"/>
      <c r="F461" s="573"/>
      <c r="G461" s="17" t="s">
        <v>201</v>
      </c>
    </row>
    <row r="462" spans="2:8">
      <c r="B462" s="19" t="s">
        <v>202</v>
      </c>
      <c r="C462" s="20"/>
      <c r="D462" s="20"/>
      <c r="E462" s="20"/>
      <c r="F462" s="20"/>
      <c r="G462" s="21"/>
    </row>
    <row r="463" spans="2:8">
      <c r="B463" s="22"/>
      <c r="C463" s="155" t="s">
        <v>203</v>
      </c>
      <c r="D463" s="155" t="s">
        <v>203</v>
      </c>
      <c r="E463" s="155" t="s">
        <v>203</v>
      </c>
      <c r="F463" s="155" t="s">
        <v>203</v>
      </c>
      <c r="G463" s="155" t="s">
        <v>203</v>
      </c>
    </row>
    <row r="464" spans="2:8" ht="15" customHeight="1">
      <c r="B464" s="574" t="s">
        <v>204</v>
      </c>
      <c r="C464" s="580" t="s">
        <v>1135</v>
      </c>
      <c r="D464" s="580" t="s">
        <v>1243</v>
      </c>
      <c r="E464" s="580" t="s">
        <v>1244</v>
      </c>
      <c r="F464" s="580"/>
      <c r="G464" s="580"/>
    </row>
    <row r="465" spans="2:7">
      <c r="B465" s="575"/>
      <c r="C465" s="581"/>
      <c r="D465" s="581"/>
      <c r="E465" s="581"/>
      <c r="F465" s="581"/>
      <c r="G465" s="581"/>
    </row>
    <row r="466" spans="2:7">
      <c r="B466" s="575"/>
      <c r="C466" s="581"/>
      <c r="D466" s="581"/>
      <c r="E466" s="581"/>
      <c r="F466" s="581"/>
      <c r="G466" s="581"/>
    </row>
    <row r="467" spans="2:7">
      <c r="B467" s="576"/>
      <c r="C467" s="582"/>
      <c r="D467" s="582"/>
      <c r="E467" s="582"/>
      <c r="F467" s="582"/>
      <c r="G467" s="582"/>
    </row>
    <row r="468" spans="2:7">
      <c r="B468" s="574" t="s">
        <v>208</v>
      </c>
      <c r="C468" s="580" t="s">
        <v>1243</v>
      </c>
      <c r="D468" s="580" t="s">
        <v>1245</v>
      </c>
      <c r="E468" s="580" t="s">
        <v>1120</v>
      </c>
      <c r="F468" s="859"/>
      <c r="G468" s="580"/>
    </row>
    <row r="469" spans="2:7">
      <c r="B469" s="575"/>
      <c r="C469" s="581"/>
      <c r="D469" s="581"/>
      <c r="E469" s="581"/>
      <c r="F469" s="581"/>
      <c r="G469" s="581"/>
    </row>
    <row r="470" spans="2:7">
      <c r="B470" s="575"/>
      <c r="C470" s="581"/>
      <c r="D470" s="581"/>
      <c r="E470" s="581"/>
      <c r="F470" s="581"/>
      <c r="G470" s="581"/>
    </row>
    <row r="471" spans="2:7">
      <c r="B471" s="576"/>
      <c r="C471" s="582"/>
      <c r="D471" s="582"/>
      <c r="E471" s="582"/>
      <c r="F471" s="582"/>
      <c r="G471" s="582"/>
    </row>
    <row r="472" spans="2:7">
      <c r="B472" s="24"/>
      <c r="C472" s="20"/>
      <c r="D472" s="20"/>
      <c r="E472" s="20"/>
      <c r="F472" s="20"/>
      <c r="G472" s="21"/>
    </row>
    <row r="473" spans="2:7">
      <c r="B473" s="838" t="s">
        <v>212</v>
      </c>
      <c r="C473" s="839"/>
      <c r="D473" s="840"/>
      <c r="E473" s="841" t="s">
        <v>213</v>
      </c>
      <c r="F473" s="842"/>
      <c r="G473" s="843"/>
    </row>
    <row r="474" spans="2:7">
      <c r="B474" s="872" t="s">
        <v>1120</v>
      </c>
      <c r="C474" s="722"/>
      <c r="D474" s="715"/>
      <c r="E474" s="846" t="s">
        <v>1246</v>
      </c>
      <c r="F474" s="847"/>
      <c r="G474" s="848"/>
    </row>
    <row r="475" spans="2:7">
      <c r="B475" s="757"/>
      <c r="C475" s="722"/>
      <c r="D475" s="715"/>
      <c r="E475" s="846"/>
      <c r="F475" s="847"/>
      <c r="G475" s="848"/>
    </row>
    <row r="476" spans="2:7">
      <c r="B476" s="757"/>
      <c r="C476" s="722"/>
      <c r="D476" s="715"/>
      <c r="E476" s="846"/>
      <c r="F476" s="847"/>
      <c r="G476" s="848"/>
    </row>
    <row r="477" spans="2:7">
      <c r="B477" s="758"/>
      <c r="C477" s="845"/>
      <c r="D477" s="716"/>
      <c r="E477" s="849"/>
      <c r="F477" s="850"/>
      <c r="G477" s="851"/>
    </row>
    <row r="478" spans="2:7">
      <c r="B478" s="25"/>
      <c r="C478" s="26"/>
      <c r="D478" s="26"/>
      <c r="E478" s="26"/>
      <c r="F478" s="26"/>
      <c r="G478" s="27"/>
    </row>
    <row r="479" spans="2:7">
      <c r="B479" s="28"/>
      <c r="G479" s="29"/>
    </row>
    <row r="480" spans="2:7" ht="15.75">
      <c r="B480" s="852" t="s">
        <v>216</v>
      </c>
      <c r="C480" s="853"/>
      <c r="D480" s="853"/>
      <c r="E480" s="853"/>
      <c r="F480" s="853"/>
      <c r="G480" s="854"/>
    </row>
    <row r="481" spans="2:7">
      <c r="B481" s="855" t="s">
        <v>217</v>
      </c>
      <c r="C481" s="573"/>
      <c r="D481" s="573" t="s">
        <v>218</v>
      </c>
      <c r="E481" s="573"/>
      <c r="F481" s="569" t="s">
        <v>219</v>
      </c>
      <c r="G481" s="856"/>
    </row>
    <row r="482" spans="2:7">
      <c r="B482" s="583"/>
      <c r="C482" s="584"/>
      <c r="D482" s="587"/>
      <c r="E482" s="584"/>
      <c r="F482" s="589"/>
      <c r="G482" s="590"/>
    </row>
    <row r="483" spans="2:7">
      <c r="B483" s="585"/>
      <c r="C483" s="586"/>
      <c r="D483" s="588"/>
      <c r="E483" s="586"/>
      <c r="F483" s="591"/>
      <c r="G483" s="592"/>
    </row>
    <row r="484" spans="2:7">
      <c r="B484" s="28"/>
      <c r="G484" s="29"/>
    </row>
    <row r="485" spans="2:7">
      <c r="B485" s="593" t="s">
        <v>220</v>
      </c>
      <c r="C485" s="594"/>
      <c r="D485" s="595" t="s">
        <v>221</v>
      </c>
      <c r="E485" s="594"/>
      <c r="F485" s="595" t="s">
        <v>222</v>
      </c>
      <c r="G485" s="596"/>
    </row>
    <row r="486" spans="2:7">
      <c r="B486" s="639"/>
      <c r="C486" s="640"/>
      <c r="D486" s="641"/>
      <c r="E486" s="640"/>
      <c r="F486" s="641" t="s">
        <v>539</v>
      </c>
      <c r="G486" s="642"/>
    </row>
    <row r="489" spans="2:7" ht="15.75">
      <c r="B489" s="543" t="s">
        <v>189</v>
      </c>
      <c r="C489" s="544"/>
      <c r="D489" s="544"/>
      <c r="E489" s="544"/>
      <c r="F489" s="544"/>
      <c r="G489" s="545"/>
    </row>
    <row r="490" spans="2:7" ht="15.75">
      <c r="B490" s="860" t="s">
        <v>190</v>
      </c>
      <c r="C490" s="861"/>
      <c r="D490" s="861"/>
      <c r="E490" s="861"/>
      <c r="F490" s="861"/>
      <c r="G490" s="862"/>
    </row>
    <row r="491" spans="2:7">
      <c r="B491" s="770" t="s">
        <v>191</v>
      </c>
      <c r="C491" s="771"/>
      <c r="D491" s="788" t="s">
        <v>192</v>
      </c>
      <c r="E491" s="728"/>
      <c r="F491" s="748" t="s">
        <v>193</v>
      </c>
      <c r="G491" s="165" t="s">
        <v>194</v>
      </c>
    </row>
    <row r="492" spans="2:7">
      <c r="B492" s="557" t="s">
        <v>281</v>
      </c>
      <c r="C492" s="558"/>
      <c r="D492" s="553"/>
      <c r="E492" s="554"/>
      <c r="F492" s="556"/>
      <c r="G492" s="16" t="s">
        <v>1247</v>
      </c>
    </row>
    <row r="493" spans="2:7" ht="21.75">
      <c r="B493" s="559" t="s">
        <v>197</v>
      </c>
      <c r="C493" s="560"/>
      <c r="D493" s="565" t="s">
        <v>1248</v>
      </c>
      <c r="E493" s="566"/>
      <c r="F493" s="863">
        <v>30</v>
      </c>
      <c r="G493" s="17" t="s">
        <v>1213</v>
      </c>
    </row>
    <row r="494" spans="2:7">
      <c r="B494" s="561"/>
      <c r="C494" s="562"/>
      <c r="D494" s="567"/>
      <c r="E494" s="568"/>
      <c r="F494" s="864"/>
      <c r="G494" s="18" t="s">
        <v>200</v>
      </c>
    </row>
    <row r="495" spans="2:7">
      <c r="B495" s="563"/>
      <c r="C495" s="564"/>
      <c r="D495" s="569"/>
      <c r="E495" s="570"/>
      <c r="F495" s="865"/>
      <c r="G495" s="17" t="s">
        <v>201</v>
      </c>
    </row>
    <row r="496" spans="2:7">
      <c r="B496" s="19" t="s">
        <v>202</v>
      </c>
      <c r="C496" s="20"/>
      <c r="D496" s="20"/>
      <c r="E496" s="20"/>
      <c r="F496" s="20"/>
      <c r="G496" s="21"/>
    </row>
    <row r="497" spans="2:7">
      <c r="B497" s="22"/>
      <c r="C497" s="155" t="s">
        <v>203</v>
      </c>
      <c r="D497" s="155" t="s">
        <v>203</v>
      </c>
      <c r="E497" s="155" t="s">
        <v>203</v>
      </c>
      <c r="F497" s="155" t="s">
        <v>203</v>
      </c>
      <c r="G497" s="155" t="s">
        <v>203</v>
      </c>
    </row>
    <row r="498" spans="2:7">
      <c r="B498" s="574" t="s">
        <v>204</v>
      </c>
      <c r="C498" s="580" t="s">
        <v>1135</v>
      </c>
      <c r="D498" s="857" t="s">
        <v>1249</v>
      </c>
      <c r="E498" s="858" t="s">
        <v>1250</v>
      </c>
      <c r="F498" s="580" t="s">
        <v>1251</v>
      </c>
      <c r="G498" s="580"/>
    </row>
    <row r="499" spans="2:7">
      <c r="B499" s="575"/>
      <c r="C499" s="581"/>
      <c r="D499" s="581"/>
      <c r="E499" s="581"/>
      <c r="F499" s="581"/>
      <c r="G499" s="581"/>
    </row>
    <row r="500" spans="2:7">
      <c r="B500" s="575"/>
      <c r="C500" s="581"/>
      <c r="D500" s="581"/>
      <c r="E500" s="581"/>
      <c r="F500" s="581"/>
      <c r="G500" s="581"/>
    </row>
    <row r="501" spans="2:7">
      <c r="B501" s="576"/>
      <c r="C501" s="582"/>
      <c r="D501" s="582"/>
      <c r="E501" s="582"/>
      <c r="F501" s="582"/>
      <c r="G501" s="582"/>
    </row>
    <row r="502" spans="2:7">
      <c r="B502" s="574" t="s">
        <v>208</v>
      </c>
      <c r="C502" s="858" t="s">
        <v>1252</v>
      </c>
      <c r="D502" s="858" t="s">
        <v>1253</v>
      </c>
      <c r="E502" s="858" t="s">
        <v>1254</v>
      </c>
      <c r="F502" s="859" t="s">
        <v>1255</v>
      </c>
      <c r="G502" s="580"/>
    </row>
    <row r="503" spans="2:7">
      <c r="B503" s="575"/>
      <c r="C503" s="581"/>
      <c r="D503" s="581"/>
      <c r="E503" s="581"/>
      <c r="F503" s="581"/>
      <c r="G503" s="581"/>
    </row>
    <row r="504" spans="2:7">
      <c r="B504" s="575"/>
      <c r="C504" s="581"/>
      <c r="D504" s="581"/>
      <c r="E504" s="581"/>
      <c r="F504" s="581"/>
      <c r="G504" s="581"/>
    </row>
    <row r="505" spans="2:7">
      <c r="B505" s="576"/>
      <c r="C505" s="582"/>
      <c r="D505" s="582"/>
      <c r="E505" s="582"/>
      <c r="F505" s="582"/>
      <c r="G505" s="582"/>
    </row>
    <row r="506" spans="2:7">
      <c r="B506" s="24"/>
      <c r="C506" s="20"/>
      <c r="D506" s="20"/>
      <c r="E506" s="20"/>
      <c r="F506" s="20"/>
      <c r="G506" s="21"/>
    </row>
    <row r="507" spans="2:7">
      <c r="B507" s="838" t="s">
        <v>212</v>
      </c>
      <c r="C507" s="839"/>
      <c r="D507" s="840"/>
      <c r="E507" s="841" t="s">
        <v>213</v>
      </c>
      <c r="F507" s="842"/>
      <c r="G507" s="843"/>
    </row>
    <row r="508" spans="2:7">
      <c r="B508" s="844" t="s">
        <v>1256</v>
      </c>
      <c r="C508" s="722"/>
      <c r="D508" s="715"/>
      <c r="E508" s="846" t="s">
        <v>1257</v>
      </c>
      <c r="F508" s="847"/>
      <c r="G508" s="848"/>
    </row>
    <row r="509" spans="2:7">
      <c r="B509" s="757"/>
      <c r="C509" s="722"/>
      <c r="D509" s="715"/>
      <c r="E509" s="846"/>
      <c r="F509" s="847"/>
      <c r="G509" s="848"/>
    </row>
    <row r="510" spans="2:7">
      <c r="B510" s="757"/>
      <c r="C510" s="722"/>
      <c r="D510" s="715"/>
      <c r="E510" s="846"/>
      <c r="F510" s="847"/>
      <c r="G510" s="848"/>
    </row>
    <row r="511" spans="2:7">
      <c r="B511" s="758"/>
      <c r="C511" s="845"/>
      <c r="D511" s="716"/>
      <c r="E511" s="849"/>
      <c r="F511" s="850"/>
      <c r="G511" s="851"/>
    </row>
    <row r="512" spans="2:7">
      <c r="B512" s="25"/>
      <c r="C512" s="26"/>
      <c r="D512" s="26"/>
      <c r="E512" s="26"/>
      <c r="F512" s="26"/>
      <c r="G512" s="27"/>
    </row>
    <row r="513" spans="2:8">
      <c r="B513" s="28"/>
      <c r="G513" s="29"/>
    </row>
    <row r="514" spans="2:8" ht="15.75">
      <c r="B514" s="852" t="s">
        <v>216</v>
      </c>
      <c r="C514" s="853"/>
      <c r="D514" s="853"/>
      <c r="E514" s="853"/>
      <c r="F514" s="853"/>
      <c r="G514" s="854"/>
    </row>
    <row r="515" spans="2:8">
      <c r="B515" s="855" t="s">
        <v>217</v>
      </c>
      <c r="C515" s="573"/>
      <c r="D515" s="573" t="s">
        <v>218</v>
      </c>
      <c r="E515" s="573"/>
      <c r="F515" s="569" t="s">
        <v>219</v>
      </c>
      <c r="G515" s="856"/>
    </row>
    <row r="516" spans="2:8">
      <c r="B516" s="583"/>
      <c r="C516" s="584"/>
      <c r="D516" s="587"/>
      <c r="E516" s="584"/>
      <c r="F516" s="589"/>
      <c r="G516" s="590"/>
    </row>
    <row r="517" spans="2:8">
      <c r="B517" s="585"/>
      <c r="C517" s="586"/>
      <c r="D517" s="588"/>
      <c r="E517" s="586"/>
      <c r="F517" s="591"/>
      <c r="G517" s="592"/>
    </row>
    <row r="518" spans="2:8">
      <c r="B518" s="28"/>
      <c r="G518" s="29"/>
    </row>
    <row r="519" spans="2:8">
      <c r="B519" s="593" t="s">
        <v>220</v>
      </c>
      <c r="C519" s="594"/>
      <c r="D519" s="595" t="s">
        <v>221</v>
      </c>
      <c r="E519" s="594"/>
      <c r="F519" s="595" t="s">
        <v>222</v>
      </c>
      <c r="G519" s="596"/>
    </row>
    <row r="520" spans="2:8">
      <c r="B520" s="639"/>
      <c r="C520" s="640"/>
      <c r="D520" s="641"/>
      <c r="E520" s="640"/>
      <c r="F520" s="641" t="s">
        <v>539</v>
      </c>
      <c r="G520" s="642"/>
    </row>
    <row r="523" spans="2:8" ht="15.75">
      <c r="B523" s="543" t="s">
        <v>189</v>
      </c>
      <c r="C523" s="544"/>
      <c r="D523" s="544"/>
      <c r="E523" s="544"/>
      <c r="F523" s="544"/>
      <c r="G523" s="545"/>
      <c r="H523" t="s">
        <v>1258</v>
      </c>
    </row>
    <row r="524" spans="2:8" ht="15.75">
      <c r="B524" s="860" t="s">
        <v>190</v>
      </c>
      <c r="C524" s="861"/>
      <c r="D524" s="861"/>
      <c r="E524" s="861"/>
      <c r="F524" s="861"/>
      <c r="G524" s="862"/>
    </row>
    <row r="525" spans="2:8">
      <c r="B525" s="770" t="s">
        <v>191</v>
      </c>
      <c r="C525" s="771"/>
      <c r="D525" s="788" t="s">
        <v>192</v>
      </c>
      <c r="E525" s="728"/>
      <c r="F525" s="748" t="s">
        <v>193</v>
      </c>
      <c r="G525" s="165" t="s">
        <v>194</v>
      </c>
    </row>
    <row r="526" spans="2:8">
      <c r="B526" s="557" t="s">
        <v>281</v>
      </c>
      <c r="C526" s="558"/>
      <c r="D526" s="553"/>
      <c r="E526" s="554"/>
      <c r="F526" s="556"/>
      <c r="G526" s="16" t="s">
        <v>1259</v>
      </c>
    </row>
    <row r="527" spans="2:8" ht="21.75">
      <c r="B527" s="559" t="s">
        <v>197</v>
      </c>
      <c r="C527" s="560"/>
      <c r="D527" s="565" t="s">
        <v>1260</v>
      </c>
      <c r="E527" s="566"/>
      <c r="F527" s="571">
        <v>82</v>
      </c>
      <c r="G527" s="17" t="s">
        <v>1213</v>
      </c>
    </row>
    <row r="528" spans="2:8">
      <c r="B528" s="561"/>
      <c r="C528" s="562"/>
      <c r="D528" s="567"/>
      <c r="E528" s="568"/>
      <c r="F528" s="572"/>
      <c r="G528" s="18" t="s">
        <v>200</v>
      </c>
    </row>
    <row r="529" spans="2:7">
      <c r="B529" s="563"/>
      <c r="C529" s="564"/>
      <c r="D529" s="569"/>
      <c r="E529" s="570"/>
      <c r="F529" s="573"/>
      <c r="G529" s="17" t="s">
        <v>201</v>
      </c>
    </row>
    <row r="530" spans="2:7">
      <c r="B530" s="19" t="s">
        <v>202</v>
      </c>
      <c r="C530" s="20"/>
      <c r="D530" s="20"/>
      <c r="E530" s="20"/>
      <c r="F530" s="20"/>
      <c r="G530" s="21"/>
    </row>
    <row r="531" spans="2:7">
      <c r="B531" s="22"/>
      <c r="C531" s="155" t="s">
        <v>203</v>
      </c>
      <c r="D531" s="155" t="s">
        <v>203</v>
      </c>
      <c r="E531" s="156" t="s">
        <v>203</v>
      </c>
      <c r="F531" s="156" t="s">
        <v>203</v>
      </c>
      <c r="G531" s="155" t="s">
        <v>203</v>
      </c>
    </row>
    <row r="532" spans="2:7" ht="15" customHeight="1">
      <c r="B532" s="574" t="s">
        <v>204</v>
      </c>
      <c r="C532" s="875" t="s">
        <v>1261</v>
      </c>
      <c r="D532" s="875" t="s">
        <v>1262</v>
      </c>
      <c r="E532" s="875" t="s">
        <v>1263</v>
      </c>
      <c r="F532" s="875" t="s">
        <v>1264</v>
      </c>
      <c r="G532" s="714"/>
    </row>
    <row r="533" spans="2:7">
      <c r="B533" s="575"/>
      <c r="C533" s="876"/>
      <c r="D533" s="876"/>
      <c r="E533" s="876"/>
      <c r="F533" s="876"/>
      <c r="G533" s="715"/>
    </row>
    <row r="534" spans="2:7">
      <c r="B534" s="575"/>
      <c r="C534" s="876"/>
      <c r="D534" s="876"/>
      <c r="E534" s="876"/>
      <c r="F534" s="876"/>
      <c r="G534" s="715"/>
    </row>
    <row r="535" spans="2:7">
      <c r="B535" s="576"/>
      <c r="C535" s="877"/>
      <c r="D535" s="878"/>
      <c r="E535" s="877"/>
      <c r="F535" s="877"/>
      <c r="G535" s="716"/>
    </row>
    <row r="536" spans="2:7" ht="15" customHeight="1">
      <c r="B536" s="574" t="s">
        <v>208</v>
      </c>
      <c r="C536" s="879" t="s">
        <v>1265</v>
      </c>
      <c r="D536" s="875" t="s">
        <v>1266</v>
      </c>
      <c r="E536" s="882" t="s">
        <v>1267</v>
      </c>
      <c r="F536" s="875" t="s">
        <v>1268</v>
      </c>
      <c r="G536" s="714"/>
    </row>
    <row r="537" spans="2:7">
      <c r="B537" s="575"/>
      <c r="C537" s="880"/>
      <c r="D537" s="876"/>
      <c r="E537" s="883"/>
      <c r="F537" s="876"/>
      <c r="G537" s="715"/>
    </row>
    <row r="538" spans="2:7">
      <c r="B538" s="575"/>
      <c r="C538" s="880"/>
      <c r="D538" s="876"/>
      <c r="E538" s="883"/>
      <c r="F538" s="876"/>
      <c r="G538" s="715"/>
    </row>
    <row r="539" spans="2:7">
      <c r="B539" s="576"/>
      <c r="C539" s="881"/>
      <c r="D539" s="877"/>
      <c r="E539" s="884"/>
      <c r="F539" s="877"/>
      <c r="G539" s="716"/>
    </row>
    <row r="540" spans="2:7">
      <c r="B540" s="24"/>
      <c r="C540" s="20"/>
      <c r="D540" s="20"/>
      <c r="E540" s="20"/>
      <c r="F540" s="20"/>
      <c r="G540" s="21"/>
    </row>
    <row r="541" spans="2:7">
      <c r="B541" s="885" t="s">
        <v>212</v>
      </c>
      <c r="C541" s="886"/>
      <c r="D541" s="887"/>
      <c r="E541" s="841" t="s">
        <v>213</v>
      </c>
      <c r="F541" s="842"/>
      <c r="G541" s="843"/>
    </row>
    <row r="542" spans="2:7" ht="15" customHeight="1">
      <c r="B542" s="794" t="s">
        <v>1269</v>
      </c>
      <c r="C542" s="888"/>
      <c r="D542" s="889"/>
      <c r="E542" s="847" t="s">
        <v>1270</v>
      </c>
      <c r="F542" s="847"/>
      <c r="G542" s="848"/>
    </row>
    <row r="543" spans="2:7">
      <c r="B543" s="890"/>
      <c r="C543" s="891"/>
      <c r="D543" s="892"/>
      <c r="E543" s="847"/>
      <c r="F543" s="847"/>
      <c r="G543" s="848"/>
    </row>
    <row r="544" spans="2:7">
      <c r="B544" s="890"/>
      <c r="C544" s="891"/>
      <c r="D544" s="892"/>
      <c r="E544" s="847"/>
      <c r="F544" s="847"/>
      <c r="G544" s="848"/>
    </row>
    <row r="545" spans="2:7">
      <c r="B545" s="893"/>
      <c r="C545" s="894"/>
      <c r="D545" s="895"/>
      <c r="E545" s="850"/>
      <c r="F545" s="850"/>
      <c r="G545" s="851"/>
    </row>
    <row r="546" spans="2:7">
      <c r="B546" s="25"/>
      <c r="C546" s="26"/>
      <c r="D546" s="26"/>
      <c r="E546" s="26"/>
      <c r="F546" s="26"/>
      <c r="G546" s="27"/>
    </row>
    <row r="547" spans="2:7">
      <c r="B547" s="28"/>
      <c r="G547" s="29"/>
    </row>
    <row r="548" spans="2:7" ht="15.75">
      <c r="B548" s="852" t="s">
        <v>216</v>
      </c>
      <c r="C548" s="853"/>
      <c r="D548" s="853"/>
      <c r="E548" s="853"/>
      <c r="F548" s="853"/>
      <c r="G548" s="854"/>
    </row>
    <row r="549" spans="2:7">
      <c r="B549" s="855" t="s">
        <v>217</v>
      </c>
      <c r="C549" s="573"/>
      <c r="D549" s="573" t="s">
        <v>218</v>
      </c>
      <c r="E549" s="573"/>
      <c r="F549" s="569" t="s">
        <v>219</v>
      </c>
      <c r="G549" s="856"/>
    </row>
    <row r="550" spans="2:7">
      <c r="B550" s="583"/>
      <c r="C550" s="584"/>
      <c r="D550" s="587"/>
      <c r="E550" s="584"/>
      <c r="F550" s="589"/>
      <c r="G550" s="590"/>
    </row>
    <row r="551" spans="2:7">
      <c r="B551" s="585"/>
      <c r="C551" s="586"/>
      <c r="D551" s="588"/>
      <c r="E551" s="586"/>
      <c r="F551" s="591"/>
      <c r="G551" s="592"/>
    </row>
    <row r="552" spans="2:7">
      <c r="B552" s="28"/>
      <c r="G552" s="29"/>
    </row>
    <row r="553" spans="2:7">
      <c r="B553" s="593" t="s">
        <v>220</v>
      </c>
      <c r="C553" s="594"/>
      <c r="D553" s="595" t="s">
        <v>221</v>
      </c>
      <c r="E553" s="594"/>
      <c r="F553" s="595" t="s">
        <v>222</v>
      </c>
      <c r="G553" s="596"/>
    </row>
    <row r="554" spans="2:7">
      <c r="B554" s="639"/>
      <c r="C554" s="640"/>
      <c r="D554" s="641"/>
      <c r="E554" s="640"/>
      <c r="F554" s="641" t="s">
        <v>539</v>
      </c>
      <c r="G554" s="642"/>
    </row>
    <row r="557" spans="2:7" ht="15.75">
      <c r="B557" s="543" t="s">
        <v>189</v>
      </c>
      <c r="C557" s="544"/>
      <c r="D557" s="544"/>
      <c r="E557" s="544"/>
      <c r="F557" s="544"/>
      <c r="G557" s="545"/>
    </row>
    <row r="558" spans="2:7" ht="15.75">
      <c r="B558" s="546" t="s">
        <v>190</v>
      </c>
      <c r="C558" s="547"/>
      <c r="D558" s="547"/>
      <c r="E558" s="547"/>
      <c r="F558" s="547"/>
      <c r="G558" s="548"/>
    </row>
    <row r="559" spans="2:7">
      <c r="B559" s="549" t="s">
        <v>191</v>
      </c>
      <c r="C559" s="550"/>
      <c r="D559" s="551" t="s">
        <v>192</v>
      </c>
      <c r="E559" s="552"/>
      <c r="F559" s="555" t="s">
        <v>193</v>
      </c>
      <c r="G559" s="15" t="s">
        <v>194</v>
      </c>
    </row>
    <row r="560" spans="2:7">
      <c r="B560" s="557" t="s">
        <v>224</v>
      </c>
      <c r="C560" s="558"/>
      <c r="D560" s="553"/>
      <c r="E560" s="554"/>
      <c r="F560" s="556"/>
      <c r="G560" s="16" t="s">
        <v>1143</v>
      </c>
    </row>
    <row r="561" spans="2:7" ht="21.75">
      <c r="B561" s="559" t="s">
        <v>197</v>
      </c>
      <c r="C561" s="560"/>
      <c r="D561" s="565" t="s">
        <v>1271</v>
      </c>
      <c r="E561" s="566"/>
      <c r="F561" s="571">
        <v>232</v>
      </c>
      <c r="G561" s="17" t="s">
        <v>1272</v>
      </c>
    </row>
    <row r="562" spans="2:7">
      <c r="B562" s="561"/>
      <c r="C562" s="562"/>
      <c r="D562" s="567"/>
      <c r="E562" s="568"/>
      <c r="F562" s="572"/>
      <c r="G562" s="18" t="s">
        <v>200</v>
      </c>
    </row>
    <row r="563" spans="2:7">
      <c r="B563" s="563"/>
      <c r="C563" s="564"/>
      <c r="D563" s="569"/>
      <c r="E563" s="570"/>
      <c r="F563" s="573"/>
      <c r="G563" s="17" t="s">
        <v>201</v>
      </c>
    </row>
    <row r="564" spans="2:7">
      <c r="B564" s="19" t="s">
        <v>202</v>
      </c>
      <c r="C564" s="20"/>
      <c r="D564" s="20"/>
      <c r="E564" s="20"/>
      <c r="F564" s="20"/>
      <c r="G564" s="21"/>
    </row>
    <row r="565" spans="2:7">
      <c r="B565" s="22"/>
      <c r="C565" s="23" t="s">
        <v>203</v>
      </c>
      <c r="D565" s="23" t="s">
        <v>203</v>
      </c>
      <c r="E565" s="23" t="s">
        <v>203</v>
      </c>
      <c r="F565" s="23" t="s">
        <v>203</v>
      </c>
      <c r="G565" s="23" t="s">
        <v>203</v>
      </c>
    </row>
    <row r="566" spans="2:7">
      <c r="B566" s="574" t="s">
        <v>204</v>
      </c>
      <c r="C566" s="580" t="s">
        <v>757</v>
      </c>
      <c r="D566" s="580" t="s">
        <v>1145</v>
      </c>
      <c r="E566" s="580" t="s">
        <v>1146</v>
      </c>
      <c r="F566" s="580" t="s">
        <v>1147</v>
      </c>
      <c r="G566" s="580" t="s">
        <v>1273</v>
      </c>
    </row>
    <row r="567" spans="2:7">
      <c r="B567" s="575"/>
      <c r="C567" s="581"/>
      <c r="D567" s="581"/>
      <c r="E567" s="581"/>
      <c r="F567" s="581"/>
      <c r="G567" s="581"/>
    </row>
    <row r="568" spans="2:7">
      <c r="B568" s="575"/>
      <c r="C568" s="581"/>
      <c r="D568" s="581"/>
      <c r="E568" s="581"/>
      <c r="F568" s="581"/>
      <c r="G568" s="581"/>
    </row>
    <row r="569" spans="2:7">
      <c r="B569" s="576"/>
      <c r="C569" s="582"/>
      <c r="D569" s="582"/>
      <c r="E569" s="582"/>
      <c r="F569" s="582"/>
      <c r="G569" s="582"/>
    </row>
    <row r="570" spans="2:7">
      <c r="B570" s="574" t="s">
        <v>208</v>
      </c>
      <c r="C570" s="580" t="s">
        <v>1274</v>
      </c>
      <c r="D570" s="580" t="s">
        <v>1275</v>
      </c>
      <c r="E570" s="580" t="s">
        <v>1151</v>
      </c>
      <c r="F570" s="580" t="s">
        <v>1152</v>
      </c>
      <c r="G570" s="580" t="s">
        <v>1060</v>
      </c>
    </row>
    <row r="571" spans="2:7">
      <c r="B571" s="575"/>
      <c r="C571" s="581"/>
      <c r="D571" s="581"/>
      <c r="E571" s="581"/>
      <c r="F571" s="581"/>
      <c r="G571" s="581"/>
    </row>
    <row r="572" spans="2:7">
      <c r="B572" s="575"/>
      <c r="C572" s="581"/>
      <c r="D572" s="581"/>
      <c r="E572" s="581"/>
      <c r="F572" s="581"/>
      <c r="G572" s="581"/>
    </row>
    <row r="573" spans="2:7">
      <c r="B573" s="576"/>
      <c r="C573" s="582"/>
      <c r="D573" s="582"/>
      <c r="E573" s="582"/>
      <c r="F573" s="582"/>
      <c r="G573" s="582"/>
    </row>
    <row r="574" spans="2:7">
      <c r="B574" s="24"/>
      <c r="C574" s="20"/>
      <c r="D574" s="20"/>
      <c r="E574" s="20"/>
      <c r="F574" s="20"/>
      <c r="G574" s="21"/>
    </row>
    <row r="575" spans="2:7">
      <c r="B575" s="597" t="s">
        <v>212</v>
      </c>
      <c r="C575" s="598"/>
      <c r="D575" s="598"/>
      <c r="E575" s="599" t="s">
        <v>213</v>
      </c>
      <c r="F575" s="599"/>
      <c r="G575" s="600"/>
    </row>
    <row r="576" spans="2:7">
      <c r="B576" s="756" t="s">
        <v>1060</v>
      </c>
      <c r="C576" s="874"/>
      <c r="D576" s="714"/>
      <c r="E576" s="610" t="s">
        <v>1153</v>
      </c>
      <c r="F576" s="611"/>
      <c r="G576" s="612"/>
    </row>
    <row r="577" spans="2:7">
      <c r="B577" s="757"/>
      <c r="C577" s="722"/>
      <c r="D577" s="715"/>
      <c r="E577" s="611"/>
      <c r="F577" s="611"/>
      <c r="G577" s="612"/>
    </row>
    <row r="578" spans="2:7">
      <c r="B578" s="757"/>
      <c r="C578" s="722"/>
      <c r="D578" s="715"/>
      <c r="E578" s="611"/>
      <c r="F578" s="611"/>
      <c r="G578" s="612"/>
    </row>
    <row r="579" spans="2:7">
      <c r="B579" s="758"/>
      <c r="C579" s="845"/>
      <c r="D579" s="716"/>
      <c r="E579" s="611"/>
      <c r="F579" s="611"/>
      <c r="G579" s="612"/>
    </row>
    <row r="580" spans="2:7">
      <c r="B580" s="25"/>
      <c r="C580" s="26"/>
      <c r="D580" s="26"/>
      <c r="E580" s="26"/>
      <c r="F580" s="26"/>
      <c r="G580" s="27"/>
    </row>
    <row r="581" spans="2:7">
      <c r="B581" s="28"/>
      <c r="G581" s="29"/>
    </row>
    <row r="582" spans="2:7" ht="15.75">
      <c r="B582" s="613" t="s">
        <v>216</v>
      </c>
      <c r="C582" s="614"/>
      <c r="D582" s="614"/>
      <c r="E582" s="614"/>
      <c r="F582" s="614"/>
      <c r="G582" s="615"/>
    </row>
    <row r="583" spans="2:7">
      <c r="B583" s="616" t="s">
        <v>217</v>
      </c>
      <c r="C583" s="617"/>
      <c r="D583" s="617" t="s">
        <v>218</v>
      </c>
      <c r="E583" s="617"/>
      <c r="F583" s="595" t="s">
        <v>219</v>
      </c>
      <c r="G583" s="596"/>
    </row>
    <row r="584" spans="2:7">
      <c r="B584" s="583"/>
      <c r="C584" s="584"/>
      <c r="D584" s="587"/>
      <c r="E584" s="584"/>
      <c r="F584" s="589"/>
      <c r="G584" s="590"/>
    </row>
    <row r="585" spans="2:7">
      <c r="B585" s="585"/>
      <c r="C585" s="586"/>
      <c r="D585" s="588"/>
      <c r="E585" s="586"/>
      <c r="F585" s="591"/>
      <c r="G585" s="592"/>
    </row>
    <row r="586" spans="2:7">
      <c r="B586" s="28"/>
      <c r="G586" s="29"/>
    </row>
    <row r="587" spans="2:7">
      <c r="B587" s="593" t="s">
        <v>220</v>
      </c>
      <c r="C587" s="594"/>
      <c r="D587" s="595" t="s">
        <v>221</v>
      </c>
      <c r="E587" s="594"/>
      <c r="F587" s="595" t="s">
        <v>222</v>
      </c>
      <c r="G587" s="596"/>
    </row>
    <row r="588" spans="2:7">
      <c r="B588" s="639"/>
      <c r="C588" s="640"/>
      <c r="D588" s="641"/>
      <c r="E588" s="640"/>
      <c r="F588" s="641" t="s">
        <v>539</v>
      </c>
      <c r="G588" s="642"/>
    </row>
    <row r="591" spans="2:7" ht="15.75">
      <c r="B591" s="543" t="s">
        <v>189</v>
      </c>
      <c r="C591" s="544"/>
      <c r="D591" s="544"/>
      <c r="E591" s="544"/>
      <c r="F591" s="544"/>
      <c r="G591" s="545"/>
    </row>
    <row r="592" spans="2:7" ht="15.75">
      <c r="B592" s="860" t="s">
        <v>190</v>
      </c>
      <c r="C592" s="861"/>
      <c r="D592" s="861"/>
      <c r="E592" s="861"/>
      <c r="F592" s="861"/>
      <c r="G592" s="862"/>
    </row>
    <row r="593" spans="2:7">
      <c r="B593" s="770" t="s">
        <v>191</v>
      </c>
      <c r="C593" s="771"/>
      <c r="D593" s="788" t="s">
        <v>192</v>
      </c>
      <c r="E593" s="728"/>
      <c r="F593" s="748" t="s">
        <v>193</v>
      </c>
      <c r="G593" s="165" t="s">
        <v>194</v>
      </c>
    </row>
    <row r="594" spans="2:7">
      <c r="B594" s="557" t="s">
        <v>281</v>
      </c>
      <c r="C594" s="558"/>
      <c r="D594" s="553"/>
      <c r="E594" s="554"/>
      <c r="F594" s="556"/>
      <c r="G594" s="16" t="s">
        <v>1276</v>
      </c>
    </row>
    <row r="595" spans="2:7" ht="21.75">
      <c r="B595" s="559" t="s">
        <v>197</v>
      </c>
      <c r="C595" s="560"/>
      <c r="D595" s="565" t="s">
        <v>1087</v>
      </c>
      <c r="E595" s="566"/>
      <c r="F595" s="571">
        <v>53</v>
      </c>
      <c r="G595" s="17" t="s">
        <v>1277</v>
      </c>
    </row>
    <row r="596" spans="2:7">
      <c r="B596" s="561"/>
      <c r="C596" s="562"/>
      <c r="D596" s="567"/>
      <c r="E596" s="568"/>
      <c r="F596" s="572"/>
      <c r="G596" s="18" t="s">
        <v>200</v>
      </c>
    </row>
    <row r="597" spans="2:7">
      <c r="B597" s="563"/>
      <c r="C597" s="564"/>
      <c r="D597" s="569"/>
      <c r="E597" s="570"/>
      <c r="F597" s="573"/>
      <c r="G597" s="17" t="s">
        <v>201</v>
      </c>
    </row>
    <row r="598" spans="2:7">
      <c r="B598" s="19" t="s">
        <v>202</v>
      </c>
      <c r="C598" s="20"/>
      <c r="D598" s="20"/>
      <c r="E598" s="20"/>
      <c r="F598" s="20"/>
      <c r="G598" s="21"/>
    </row>
    <row r="599" spans="2:7">
      <c r="B599" s="22"/>
      <c r="C599" s="155" t="s">
        <v>203</v>
      </c>
      <c r="D599" s="155" t="s">
        <v>203</v>
      </c>
      <c r="E599" s="155" t="s">
        <v>203</v>
      </c>
      <c r="F599" s="155" t="s">
        <v>203</v>
      </c>
      <c r="G599" s="155" t="s">
        <v>203</v>
      </c>
    </row>
    <row r="600" spans="2:7">
      <c r="B600" s="574" t="s">
        <v>204</v>
      </c>
      <c r="C600" s="580" t="s">
        <v>1135</v>
      </c>
      <c r="D600" s="580" t="s">
        <v>1278</v>
      </c>
      <c r="E600" s="580" t="s">
        <v>1279</v>
      </c>
      <c r="F600" s="580" t="s">
        <v>1280</v>
      </c>
      <c r="G600" s="580"/>
    </row>
    <row r="601" spans="2:7">
      <c r="B601" s="575"/>
      <c r="C601" s="581"/>
      <c r="D601" s="581"/>
      <c r="E601" s="581"/>
      <c r="F601" s="581"/>
      <c r="G601" s="581"/>
    </row>
    <row r="602" spans="2:7">
      <c r="B602" s="575"/>
      <c r="C602" s="581"/>
      <c r="D602" s="581"/>
      <c r="E602" s="581"/>
      <c r="F602" s="581"/>
      <c r="G602" s="581"/>
    </row>
    <row r="603" spans="2:7">
      <c r="B603" s="576"/>
      <c r="C603" s="582"/>
      <c r="D603" s="582"/>
      <c r="E603" s="582"/>
      <c r="F603" s="582"/>
      <c r="G603" s="582"/>
    </row>
    <row r="604" spans="2:7">
      <c r="B604" s="574" t="s">
        <v>208</v>
      </c>
      <c r="C604" s="580" t="s">
        <v>1281</v>
      </c>
      <c r="D604" s="580" t="s">
        <v>1282</v>
      </c>
      <c r="E604" s="580" t="s">
        <v>1283</v>
      </c>
      <c r="F604" s="859" t="s">
        <v>1088</v>
      </c>
      <c r="G604" s="580"/>
    </row>
    <row r="605" spans="2:7">
      <c r="B605" s="575"/>
      <c r="C605" s="581"/>
      <c r="D605" s="581"/>
      <c r="E605" s="581"/>
      <c r="F605" s="581"/>
      <c r="G605" s="581"/>
    </row>
    <row r="606" spans="2:7">
      <c r="B606" s="575"/>
      <c r="C606" s="581"/>
      <c r="D606" s="581"/>
      <c r="E606" s="581"/>
      <c r="F606" s="581"/>
      <c r="G606" s="581"/>
    </row>
    <row r="607" spans="2:7">
      <c r="B607" s="576"/>
      <c r="C607" s="582"/>
      <c r="D607" s="582"/>
      <c r="E607" s="582"/>
      <c r="F607" s="582"/>
      <c r="G607" s="582"/>
    </row>
    <row r="608" spans="2:7">
      <c r="B608" s="24"/>
      <c r="C608" s="20"/>
      <c r="D608" s="20"/>
      <c r="E608" s="20"/>
      <c r="F608" s="20"/>
      <c r="G608" s="21"/>
    </row>
    <row r="609" spans="2:7">
      <c r="B609" s="838" t="s">
        <v>212</v>
      </c>
      <c r="C609" s="839"/>
      <c r="D609" s="840"/>
      <c r="E609" s="841" t="s">
        <v>213</v>
      </c>
      <c r="F609" s="842"/>
      <c r="G609" s="843"/>
    </row>
    <row r="610" spans="2:7">
      <c r="B610" s="872" t="s">
        <v>1284</v>
      </c>
      <c r="C610" s="722"/>
      <c r="D610" s="715"/>
      <c r="E610" s="846" t="s">
        <v>1285</v>
      </c>
      <c r="F610" s="847"/>
      <c r="G610" s="848"/>
    </row>
    <row r="611" spans="2:7">
      <c r="B611" s="757"/>
      <c r="C611" s="722"/>
      <c r="D611" s="715"/>
      <c r="E611" s="846"/>
      <c r="F611" s="847"/>
      <c r="G611" s="848"/>
    </row>
    <row r="612" spans="2:7">
      <c r="B612" s="757"/>
      <c r="C612" s="722"/>
      <c r="D612" s="715"/>
      <c r="E612" s="846"/>
      <c r="F612" s="847"/>
      <c r="G612" s="848"/>
    </row>
    <row r="613" spans="2:7">
      <c r="B613" s="758"/>
      <c r="C613" s="845"/>
      <c r="D613" s="716"/>
      <c r="E613" s="849"/>
      <c r="F613" s="850"/>
      <c r="G613" s="851"/>
    </row>
    <row r="614" spans="2:7">
      <c r="B614" s="25"/>
      <c r="C614" s="26"/>
      <c r="D614" s="26"/>
      <c r="E614" s="26"/>
      <c r="F614" s="26"/>
      <c r="G614" s="27"/>
    </row>
    <row r="615" spans="2:7">
      <c r="B615" s="28"/>
      <c r="G615" s="29"/>
    </row>
    <row r="616" spans="2:7" ht="15.75">
      <c r="B616" s="852" t="s">
        <v>216</v>
      </c>
      <c r="C616" s="853"/>
      <c r="D616" s="853"/>
      <c r="E616" s="853"/>
      <c r="F616" s="853"/>
      <c r="G616" s="854"/>
    </row>
    <row r="617" spans="2:7">
      <c r="B617" s="855" t="s">
        <v>217</v>
      </c>
      <c r="C617" s="573"/>
      <c r="D617" s="573" t="s">
        <v>218</v>
      </c>
      <c r="E617" s="573"/>
      <c r="F617" s="569" t="s">
        <v>219</v>
      </c>
      <c r="G617" s="856"/>
    </row>
    <row r="618" spans="2:7">
      <c r="B618" s="583"/>
      <c r="C618" s="584"/>
      <c r="D618" s="587"/>
      <c r="E618" s="584"/>
      <c r="F618" s="589"/>
      <c r="G618" s="590"/>
    </row>
    <row r="619" spans="2:7">
      <c r="B619" s="585"/>
      <c r="C619" s="586"/>
      <c r="D619" s="588"/>
      <c r="E619" s="586"/>
      <c r="F619" s="591"/>
      <c r="G619" s="592"/>
    </row>
    <row r="620" spans="2:7">
      <c r="B620" s="28"/>
      <c r="G620" s="29"/>
    </row>
    <row r="621" spans="2:7">
      <c r="B621" s="593" t="s">
        <v>220</v>
      </c>
      <c r="C621" s="594"/>
      <c r="D621" s="595" t="s">
        <v>221</v>
      </c>
      <c r="E621" s="594"/>
      <c r="F621" s="595" t="s">
        <v>222</v>
      </c>
      <c r="G621" s="596"/>
    </row>
    <row r="622" spans="2:7">
      <c r="B622" s="639"/>
      <c r="C622" s="640"/>
      <c r="D622" s="641"/>
      <c r="E622" s="640"/>
      <c r="F622" s="641" t="s">
        <v>539</v>
      </c>
      <c r="G622" s="642"/>
    </row>
    <row r="625" spans="2:7" ht="15.75">
      <c r="B625" s="543" t="s">
        <v>189</v>
      </c>
      <c r="C625" s="544"/>
      <c r="D625" s="544"/>
      <c r="E625" s="544"/>
      <c r="F625" s="544"/>
      <c r="G625" s="545"/>
    </row>
    <row r="626" spans="2:7" ht="15.75">
      <c r="B626" s="860" t="s">
        <v>190</v>
      </c>
      <c r="C626" s="861"/>
      <c r="D626" s="861"/>
      <c r="E626" s="861"/>
      <c r="F626" s="861"/>
      <c r="G626" s="862"/>
    </row>
    <row r="627" spans="2:7">
      <c r="B627" s="770" t="s">
        <v>191</v>
      </c>
      <c r="C627" s="771"/>
      <c r="D627" s="788" t="s">
        <v>192</v>
      </c>
      <c r="E627" s="728"/>
      <c r="F627" s="748" t="s">
        <v>193</v>
      </c>
      <c r="G627" s="165" t="s">
        <v>194</v>
      </c>
    </row>
    <row r="628" spans="2:7">
      <c r="B628" s="557" t="s">
        <v>281</v>
      </c>
      <c r="C628" s="558"/>
      <c r="D628" s="553"/>
      <c r="E628" s="554"/>
      <c r="F628" s="556"/>
      <c r="G628" s="16" t="s">
        <v>1276</v>
      </c>
    </row>
    <row r="629" spans="2:7" ht="21.75">
      <c r="B629" s="559" t="s">
        <v>197</v>
      </c>
      <c r="C629" s="560"/>
      <c r="D629" s="565" t="s">
        <v>1090</v>
      </c>
      <c r="E629" s="566"/>
      <c r="F629" s="571">
        <v>139</v>
      </c>
      <c r="G629" s="17" t="s">
        <v>1286</v>
      </c>
    </row>
    <row r="630" spans="2:7">
      <c r="B630" s="561"/>
      <c r="C630" s="562"/>
      <c r="D630" s="567"/>
      <c r="E630" s="568"/>
      <c r="F630" s="572"/>
      <c r="G630" s="18" t="s">
        <v>200</v>
      </c>
    </row>
    <row r="631" spans="2:7">
      <c r="B631" s="563"/>
      <c r="C631" s="564"/>
      <c r="D631" s="569"/>
      <c r="E631" s="570"/>
      <c r="F631" s="573"/>
      <c r="G631" s="17" t="s">
        <v>201</v>
      </c>
    </row>
    <row r="632" spans="2:7">
      <c r="B632" s="19" t="s">
        <v>202</v>
      </c>
      <c r="C632" s="20"/>
      <c r="D632" s="20"/>
      <c r="E632" s="20"/>
      <c r="F632" s="20"/>
      <c r="G632" s="21"/>
    </row>
    <row r="633" spans="2:7">
      <c r="B633" s="22"/>
      <c r="C633" s="155" t="s">
        <v>203</v>
      </c>
      <c r="D633" s="155" t="s">
        <v>203</v>
      </c>
      <c r="E633" s="155" t="s">
        <v>203</v>
      </c>
      <c r="F633" s="155" t="s">
        <v>203</v>
      </c>
      <c r="G633" s="155" t="s">
        <v>203</v>
      </c>
    </row>
    <row r="634" spans="2:7">
      <c r="B634" s="574" t="s">
        <v>204</v>
      </c>
      <c r="C634" s="580" t="s">
        <v>757</v>
      </c>
      <c r="D634" s="580" t="s">
        <v>1287</v>
      </c>
      <c r="E634" s="859" t="s">
        <v>1288</v>
      </c>
      <c r="F634" s="580" t="s">
        <v>1289</v>
      </c>
      <c r="G634" s="580" t="s">
        <v>1290</v>
      </c>
    </row>
    <row r="635" spans="2:7">
      <c r="B635" s="575"/>
      <c r="C635" s="581"/>
      <c r="D635" s="581"/>
      <c r="E635" s="581"/>
      <c r="F635" s="581"/>
      <c r="G635" s="581"/>
    </row>
    <row r="636" spans="2:7">
      <c r="B636" s="575"/>
      <c r="C636" s="581"/>
      <c r="D636" s="581"/>
      <c r="E636" s="581"/>
      <c r="F636" s="581"/>
      <c r="G636" s="581"/>
    </row>
    <row r="637" spans="2:7">
      <c r="B637" s="576"/>
      <c r="C637" s="582"/>
      <c r="D637" s="582"/>
      <c r="E637" s="582"/>
      <c r="F637" s="582"/>
      <c r="G637" s="582"/>
    </row>
    <row r="638" spans="2:7">
      <c r="B638" s="574" t="s">
        <v>208</v>
      </c>
      <c r="C638" s="580" t="s">
        <v>1291</v>
      </c>
      <c r="D638" s="580" t="s">
        <v>1292</v>
      </c>
      <c r="E638" s="580" t="s">
        <v>1293</v>
      </c>
      <c r="F638" s="580" t="s">
        <v>1294</v>
      </c>
      <c r="G638" s="580" t="s">
        <v>1091</v>
      </c>
    </row>
    <row r="639" spans="2:7">
      <c r="B639" s="575"/>
      <c r="C639" s="581"/>
      <c r="D639" s="581"/>
      <c r="E639" s="581"/>
      <c r="F639" s="581"/>
      <c r="G639" s="581"/>
    </row>
    <row r="640" spans="2:7">
      <c r="B640" s="575"/>
      <c r="C640" s="581"/>
      <c r="D640" s="581"/>
      <c r="E640" s="581"/>
      <c r="F640" s="581"/>
      <c r="G640" s="581"/>
    </row>
    <row r="641" spans="2:7">
      <c r="B641" s="576"/>
      <c r="C641" s="582"/>
      <c r="D641" s="582"/>
      <c r="E641" s="582"/>
      <c r="F641" s="582"/>
      <c r="G641" s="582"/>
    </row>
    <row r="642" spans="2:7">
      <c r="B642" s="24"/>
      <c r="C642" s="20"/>
      <c r="D642" s="20"/>
      <c r="E642" s="20"/>
      <c r="F642" s="20"/>
      <c r="G642" s="21"/>
    </row>
    <row r="643" spans="2:7">
      <c r="B643" s="838" t="s">
        <v>212</v>
      </c>
      <c r="C643" s="839"/>
      <c r="D643" s="840"/>
      <c r="E643" s="841" t="s">
        <v>213</v>
      </c>
      <c r="F643" s="842"/>
      <c r="G643" s="843"/>
    </row>
    <row r="644" spans="2:7">
      <c r="B644" s="757" t="s">
        <v>1295</v>
      </c>
      <c r="C644" s="722"/>
      <c r="D644" s="715"/>
      <c r="E644" s="846" t="s">
        <v>1296</v>
      </c>
      <c r="F644" s="847"/>
      <c r="G644" s="848"/>
    </row>
    <row r="645" spans="2:7">
      <c r="B645" s="757"/>
      <c r="C645" s="722"/>
      <c r="D645" s="715"/>
      <c r="E645" s="846"/>
      <c r="F645" s="847"/>
      <c r="G645" s="848"/>
    </row>
    <row r="646" spans="2:7">
      <c r="B646" s="757"/>
      <c r="C646" s="722"/>
      <c r="D646" s="715"/>
      <c r="E646" s="846"/>
      <c r="F646" s="847"/>
      <c r="G646" s="848"/>
    </row>
    <row r="647" spans="2:7">
      <c r="B647" s="758"/>
      <c r="C647" s="845"/>
      <c r="D647" s="716"/>
      <c r="E647" s="849"/>
      <c r="F647" s="850"/>
      <c r="G647" s="851"/>
    </row>
    <row r="648" spans="2:7">
      <c r="B648" s="25"/>
      <c r="C648" s="26"/>
      <c r="D648" s="26"/>
      <c r="E648" s="26"/>
      <c r="F648" s="26"/>
      <c r="G648" s="27"/>
    </row>
    <row r="649" spans="2:7">
      <c r="B649" s="28"/>
      <c r="G649" s="29"/>
    </row>
    <row r="650" spans="2:7" ht="15.75">
      <c r="B650" s="852" t="s">
        <v>216</v>
      </c>
      <c r="C650" s="853"/>
      <c r="D650" s="853"/>
      <c r="E650" s="853"/>
      <c r="F650" s="853"/>
      <c r="G650" s="854"/>
    </row>
    <row r="651" spans="2:7">
      <c r="B651" s="855" t="s">
        <v>217</v>
      </c>
      <c r="C651" s="573"/>
      <c r="D651" s="573" t="s">
        <v>218</v>
      </c>
      <c r="E651" s="573"/>
      <c r="F651" s="569" t="s">
        <v>219</v>
      </c>
      <c r="G651" s="856"/>
    </row>
    <row r="652" spans="2:7">
      <c r="B652" s="583"/>
      <c r="C652" s="584"/>
      <c r="D652" s="587"/>
      <c r="E652" s="584"/>
      <c r="F652" s="589"/>
      <c r="G652" s="590"/>
    </row>
    <row r="653" spans="2:7">
      <c r="B653" s="585"/>
      <c r="C653" s="586"/>
      <c r="D653" s="588"/>
      <c r="E653" s="586"/>
      <c r="F653" s="591"/>
      <c r="G653" s="592"/>
    </row>
    <row r="654" spans="2:7">
      <c r="B654" s="28"/>
      <c r="G654" s="29"/>
    </row>
    <row r="655" spans="2:7">
      <c r="B655" s="593" t="s">
        <v>220</v>
      </c>
      <c r="C655" s="594"/>
      <c r="D655" s="595" t="s">
        <v>221</v>
      </c>
      <c r="E655" s="594"/>
      <c r="F655" s="595" t="s">
        <v>222</v>
      </c>
      <c r="G655" s="596"/>
    </row>
    <row r="656" spans="2:7">
      <c r="B656" s="639"/>
      <c r="C656" s="640"/>
      <c r="D656" s="641"/>
      <c r="E656" s="640"/>
      <c r="F656" s="641" t="s">
        <v>539</v>
      </c>
      <c r="G656" s="642"/>
    </row>
    <row r="659" spans="2:7" ht="15.75">
      <c r="B659" s="543" t="s">
        <v>189</v>
      </c>
      <c r="C659" s="544"/>
      <c r="D659" s="544"/>
      <c r="E659" s="544"/>
      <c r="F659" s="544"/>
      <c r="G659" s="545"/>
    </row>
    <row r="660" spans="2:7" ht="15.75">
      <c r="B660" s="860" t="s">
        <v>190</v>
      </c>
      <c r="C660" s="861"/>
      <c r="D660" s="861"/>
      <c r="E660" s="861"/>
      <c r="F660" s="861"/>
      <c r="G660" s="862"/>
    </row>
    <row r="661" spans="2:7">
      <c r="B661" s="770" t="s">
        <v>191</v>
      </c>
      <c r="C661" s="771"/>
      <c r="D661" s="788" t="s">
        <v>192</v>
      </c>
      <c r="E661" s="728"/>
      <c r="F661" s="748" t="s">
        <v>193</v>
      </c>
      <c r="G661" s="165" t="s">
        <v>194</v>
      </c>
    </row>
    <row r="662" spans="2:7">
      <c r="B662" s="557" t="s">
        <v>281</v>
      </c>
      <c r="C662" s="558"/>
      <c r="D662" s="553"/>
      <c r="E662" s="554"/>
      <c r="F662" s="556"/>
      <c r="G662" s="16" t="s">
        <v>1297</v>
      </c>
    </row>
    <row r="663" spans="2:7" ht="21.75">
      <c r="B663" s="559" t="s">
        <v>197</v>
      </c>
      <c r="C663" s="560"/>
      <c r="D663" s="565" t="s">
        <v>1097</v>
      </c>
      <c r="E663" s="566"/>
      <c r="F663" s="571">
        <v>50</v>
      </c>
      <c r="G663" s="17" t="s">
        <v>1277</v>
      </c>
    </row>
    <row r="664" spans="2:7">
      <c r="B664" s="561"/>
      <c r="C664" s="562"/>
      <c r="D664" s="567"/>
      <c r="E664" s="568"/>
      <c r="F664" s="572"/>
      <c r="G664" s="18" t="s">
        <v>200</v>
      </c>
    </row>
    <row r="665" spans="2:7">
      <c r="B665" s="563"/>
      <c r="C665" s="564"/>
      <c r="D665" s="569"/>
      <c r="E665" s="570"/>
      <c r="F665" s="573"/>
      <c r="G665" s="17" t="s">
        <v>201</v>
      </c>
    </row>
    <row r="666" spans="2:7">
      <c r="B666" s="19" t="s">
        <v>202</v>
      </c>
      <c r="C666" s="20"/>
      <c r="D666" s="20"/>
      <c r="E666" s="20"/>
      <c r="F666" s="20"/>
      <c r="G666" s="21"/>
    </row>
    <row r="667" spans="2:7">
      <c r="B667" s="22"/>
      <c r="C667" s="155" t="s">
        <v>203</v>
      </c>
      <c r="D667" s="155" t="s">
        <v>203</v>
      </c>
      <c r="E667" s="155" t="s">
        <v>203</v>
      </c>
      <c r="F667" s="155" t="s">
        <v>203</v>
      </c>
      <c r="G667" s="155" t="s">
        <v>203</v>
      </c>
    </row>
    <row r="668" spans="2:7">
      <c r="B668" s="574" t="s">
        <v>204</v>
      </c>
      <c r="C668" s="580" t="s">
        <v>1135</v>
      </c>
      <c r="D668" s="580" t="s">
        <v>1298</v>
      </c>
      <c r="E668" s="580" t="s">
        <v>1299</v>
      </c>
      <c r="F668" s="580"/>
      <c r="G668" s="580"/>
    </row>
    <row r="669" spans="2:7">
      <c r="B669" s="575"/>
      <c r="C669" s="581"/>
      <c r="D669" s="581"/>
      <c r="E669" s="581"/>
      <c r="F669" s="581"/>
      <c r="G669" s="581"/>
    </row>
    <row r="670" spans="2:7">
      <c r="B670" s="575"/>
      <c r="C670" s="581"/>
      <c r="D670" s="581"/>
      <c r="E670" s="581"/>
      <c r="F670" s="581"/>
      <c r="G670" s="581"/>
    </row>
    <row r="671" spans="2:7">
      <c r="B671" s="576"/>
      <c r="C671" s="582"/>
      <c r="D671" s="582"/>
      <c r="E671" s="582"/>
      <c r="F671" s="582"/>
      <c r="G671" s="582"/>
    </row>
    <row r="672" spans="2:7">
      <c r="B672" s="574" t="s">
        <v>208</v>
      </c>
      <c r="C672" s="580" t="s">
        <v>1300</v>
      </c>
      <c r="D672" s="580" t="s">
        <v>1301</v>
      </c>
      <c r="E672" s="580" t="s">
        <v>1302</v>
      </c>
      <c r="F672" s="859"/>
      <c r="G672" s="580"/>
    </row>
    <row r="673" spans="2:7">
      <c r="B673" s="575"/>
      <c r="C673" s="581"/>
      <c r="D673" s="581"/>
      <c r="E673" s="581"/>
      <c r="F673" s="581"/>
      <c r="G673" s="581"/>
    </row>
    <row r="674" spans="2:7">
      <c r="B674" s="575"/>
      <c r="C674" s="581"/>
      <c r="D674" s="581"/>
      <c r="E674" s="581"/>
      <c r="F674" s="581"/>
      <c r="G674" s="581"/>
    </row>
    <row r="675" spans="2:7">
      <c r="B675" s="576"/>
      <c r="C675" s="582"/>
      <c r="D675" s="582"/>
      <c r="E675" s="582"/>
      <c r="F675" s="582"/>
      <c r="G675" s="582"/>
    </row>
    <row r="676" spans="2:7">
      <c r="B676" s="24"/>
      <c r="C676" s="20"/>
      <c r="D676" s="20"/>
      <c r="E676" s="20"/>
      <c r="F676" s="20"/>
      <c r="G676" s="21"/>
    </row>
    <row r="677" spans="2:7">
      <c r="B677" s="838" t="s">
        <v>212</v>
      </c>
      <c r="C677" s="839"/>
      <c r="D677" s="840"/>
      <c r="E677" s="841" t="s">
        <v>213</v>
      </c>
      <c r="F677" s="842"/>
      <c r="G677" s="843"/>
    </row>
    <row r="678" spans="2:7">
      <c r="B678" s="872" t="s">
        <v>1303</v>
      </c>
      <c r="C678" s="722"/>
      <c r="D678" s="715"/>
      <c r="E678" s="846" t="s">
        <v>1304</v>
      </c>
      <c r="F678" s="847"/>
      <c r="G678" s="848"/>
    </row>
    <row r="679" spans="2:7">
      <c r="B679" s="757"/>
      <c r="C679" s="722"/>
      <c r="D679" s="715"/>
      <c r="E679" s="846"/>
      <c r="F679" s="847"/>
      <c r="G679" s="848"/>
    </row>
    <row r="680" spans="2:7">
      <c r="B680" s="757"/>
      <c r="C680" s="722"/>
      <c r="D680" s="715"/>
      <c r="E680" s="846"/>
      <c r="F680" s="847"/>
      <c r="G680" s="848"/>
    </row>
    <row r="681" spans="2:7">
      <c r="B681" s="758"/>
      <c r="C681" s="845"/>
      <c r="D681" s="716"/>
      <c r="E681" s="849"/>
      <c r="F681" s="850"/>
      <c r="G681" s="851"/>
    </row>
    <row r="682" spans="2:7">
      <c r="B682" s="25"/>
      <c r="C682" s="26"/>
      <c r="D682" s="26"/>
      <c r="E682" s="26"/>
      <c r="F682" s="26"/>
      <c r="G682" s="27"/>
    </row>
    <row r="683" spans="2:7">
      <c r="B683" s="28"/>
      <c r="G683" s="29"/>
    </row>
    <row r="684" spans="2:7" ht="15.75">
      <c r="B684" s="852" t="s">
        <v>216</v>
      </c>
      <c r="C684" s="853"/>
      <c r="D684" s="853"/>
      <c r="E684" s="853"/>
      <c r="F684" s="853"/>
      <c r="G684" s="854"/>
    </row>
    <row r="685" spans="2:7">
      <c r="B685" s="855" t="s">
        <v>217</v>
      </c>
      <c r="C685" s="573"/>
      <c r="D685" s="573" t="s">
        <v>218</v>
      </c>
      <c r="E685" s="573"/>
      <c r="F685" s="569" t="s">
        <v>219</v>
      </c>
      <c r="G685" s="856"/>
    </row>
    <row r="686" spans="2:7">
      <c r="B686" s="583"/>
      <c r="C686" s="584"/>
      <c r="D686" s="587"/>
      <c r="E686" s="584"/>
      <c r="F686" s="589"/>
      <c r="G686" s="590"/>
    </row>
    <row r="687" spans="2:7">
      <c r="B687" s="585"/>
      <c r="C687" s="586"/>
      <c r="D687" s="588"/>
      <c r="E687" s="586"/>
      <c r="F687" s="591"/>
      <c r="G687" s="592"/>
    </row>
    <row r="688" spans="2:7">
      <c r="B688" s="28"/>
      <c r="G688" s="29"/>
    </row>
    <row r="689" spans="2:8">
      <c r="B689" s="593" t="s">
        <v>220</v>
      </c>
      <c r="C689" s="594"/>
      <c r="D689" s="595" t="s">
        <v>221</v>
      </c>
      <c r="E689" s="594"/>
      <c r="F689" s="595" t="s">
        <v>222</v>
      </c>
      <c r="G689" s="596"/>
    </row>
    <row r="690" spans="2:8">
      <c r="B690" s="639"/>
      <c r="C690" s="640"/>
      <c r="D690" s="641"/>
      <c r="E690" s="640"/>
      <c r="F690" s="641" t="s">
        <v>539</v>
      </c>
      <c r="G690" s="642"/>
    </row>
    <row r="693" spans="2:8" ht="15.75">
      <c r="B693" s="543" t="s">
        <v>189</v>
      </c>
      <c r="C693" s="544"/>
      <c r="D693" s="544"/>
      <c r="E693" s="544"/>
      <c r="F693" s="544"/>
      <c r="G693" s="545"/>
      <c r="H693" t="s">
        <v>1305</v>
      </c>
    </row>
    <row r="694" spans="2:8" ht="15.75">
      <c r="B694" s="860" t="s">
        <v>190</v>
      </c>
      <c r="C694" s="861"/>
      <c r="D694" s="861"/>
      <c r="E694" s="861"/>
      <c r="F694" s="861"/>
      <c r="G694" s="862"/>
    </row>
    <row r="695" spans="2:8">
      <c r="B695" s="770" t="s">
        <v>191</v>
      </c>
      <c r="C695" s="771"/>
      <c r="D695" s="788" t="s">
        <v>192</v>
      </c>
      <c r="E695" s="728"/>
      <c r="F695" s="748" t="s">
        <v>193</v>
      </c>
      <c r="G695" s="165" t="s">
        <v>194</v>
      </c>
    </row>
    <row r="696" spans="2:8">
      <c r="B696" s="557" t="s">
        <v>281</v>
      </c>
      <c r="C696" s="558"/>
      <c r="D696" s="553"/>
      <c r="E696" s="554"/>
      <c r="F696" s="556"/>
      <c r="G696" s="16" t="s">
        <v>1306</v>
      </c>
    </row>
    <row r="697" spans="2:8" ht="21.75">
      <c r="B697" s="559" t="s">
        <v>197</v>
      </c>
      <c r="C697" s="560"/>
      <c r="D697" s="624" t="s">
        <v>1307</v>
      </c>
      <c r="E697" s="687"/>
      <c r="F697" s="571">
        <v>50</v>
      </c>
      <c r="G697" s="17" t="s">
        <v>1277</v>
      </c>
    </row>
    <row r="698" spans="2:8">
      <c r="B698" s="561"/>
      <c r="C698" s="562"/>
      <c r="D698" s="626"/>
      <c r="E698" s="688"/>
      <c r="F698" s="572"/>
      <c r="G698" s="18" t="s">
        <v>200</v>
      </c>
    </row>
    <row r="699" spans="2:8">
      <c r="B699" s="563"/>
      <c r="C699" s="564"/>
      <c r="D699" s="628"/>
      <c r="E699" s="703"/>
      <c r="F699" s="573"/>
      <c r="G699" s="17" t="s">
        <v>201</v>
      </c>
    </row>
    <row r="700" spans="2:8">
      <c r="B700" s="19" t="s">
        <v>202</v>
      </c>
      <c r="C700" s="20"/>
      <c r="D700" s="20"/>
      <c r="E700" s="20"/>
      <c r="F700" s="20"/>
      <c r="G700" s="21"/>
    </row>
    <row r="701" spans="2:8">
      <c r="B701" s="22"/>
      <c r="C701" s="155" t="s">
        <v>203</v>
      </c>
      <c r="D701" s="155" t="s">
        <v>203</v>
      </c>
      <c r="E701" s="155" t="s">
        <v>203</v>
      </c>
      <c r="F701" s="155" t="s">
        <v>203</v>
      </c>
      <c r="G701" s="155" t="s">
        <v>203</v>
      </c>
    </row>
    <row r="702" spans="2:8">
      <c r="B702" s="574" t="s">
        <v>204</v>
      </c>
      <c r="C702" s="580" t="s">
        <v>1135</v>
      </c>
      <c r="D702" s="580" t="s">
        <v>1308</v>
      </c>
      <c r="E702" s="580" t="s">
        <v>1309</v>
      </c>
      <c r="F702" s="580" t="s">
        <v>1310</v>
      </c>
      <c r="G702" s="580"/>
    </row>
    <row r="703" spans="2:8">
      <c r="B703" s="575"/>
      <c r="C703" s="581"/>
      <c r="D703" s="581"/>
      <c r="E703" s="581"/>
      <c r="F703" s="581"/>
      <c r="G703" s="581"/>
    </row>
    <row r="704" spans="2:8">
      <c r="B704" s="575"/>
      <c r="C704" s="581"/>
      <c r="D704" s="581"/>
      <c r="E704" s="581"/>
      <c r="F704" s="581"/>
      <c r="G704" s="581"/>
    </row>
    <row r="705" spans="2:7">
      <c r="B705" s="576"/>
      <c r="C705" s="582"/>
      <c r="D705" s="582"/>
      <c r="E705" s="582"/>
      <c r="F705" s="582"/>
      <c r="G705" s="582"/>
    </row>
    <row r="706" spans="2:7">
      <c r="B706" s="574" t="s">
        <v>208</v>
      </c>
      <c r="C706" s="580" t="s">
        <v>1311</v>
      </c>
      <c r="D706" s="580" t="s">
        <v>1312</v>
      </c>
      <c r="E706" s="580" t="s">
        <v>1313</v>
      </c>
      <c r="F706" s="859" t="s">
        <v>1314</v>
      </c>
      <c r="G706" s="580"/>
    </row>
    <row r="707" spans="2:7">
      <c r="B707" s="575"/>
      <c r="C707" s="581"/>
      <c r="D707" s="581"/>
      <c r="E707" s="581"/>
      <c r="F707" s="581"/>
      <c r="G707" s="581"/>
    </row>
    <row r="708" spans="2:7">
      <c r="B708" s="575"/>
      <c r="C708" s="581"/>
      <c r="D708" s="581"/>
      <c r="E708" s="581"/>
      <c r="F708" s="581"/>
      <c r="G708" s="581"/>
    </row>
    <row r="709" spans="2:7">
      <c r="B709" s="576"/>
      <c r="C709" s="582"/>
      <c r="D709" s="582"/>
      <c r="E709" s="582"/>
      <c r="F709" s="582"/>
      <c r="G709" s="582"/>
    </row>
    <row r="710" spans="2:7">
      <c r="B710" s="24"/>
      <c r="C710" s="20"/>
      <c r="D710" s="20"/>
      <c r="E710" s="20"/>
      <c r="F710" s="20"/>
      <c r="G710" s="21"/>
    </row>
    <row r="711" spans="2:7">
      <c r="B711" s="838" t="s">
        <v>212</v>
      </c>
      <c r="C711" s="839"/>
      <c r="D711" s="840"/>
      <c r="E711" s="841" t="s">
        <v>213</v>
      </c>
      <c r="F711" s="842"/>
      <c r="G711" s="843"/>
    </row>
    <row r="712" spans="2:7">
      <c r="B712" s="872" t="s">
        <v>1314</v>
      </c>
      <c r="C712" s="722"/>
      <c r="D712" s="715"/>
      <c r="E712" s="846" t="s">
        <v>1315</v>
      </c>
      <c r="F712" s="847"/>
      <c r="G712" s="848"/>
    </row>
    <row r="713" spans="2:7">
      <c r="B713" s="757"/>
      <c r="C713" s="722"/>
      <c r="D713" s="715"/>
      <c r="E713" s="846"/>
      <c r="F713" s="847"/>
      <c r="G713" s="848"/>
    </row>
    <row r="714" spans="2:7">
      <c r="B714" s="757"/>
      <c r="C714" s="722"/>
      <c r="D714" s="715"/>
      <c r="E714" s="846"/>
      <c r="F714" s="847"/>
      <c r="G714" s="848"/>
    </row>
    <row r="715" spans="2:7">
      <c r="B715" s="758"/>
      <c r="C715" s="845"/>
      <c r="D715" s="716"/>
      <c r="E715" s="849"/>
      <c r="F715" s="850"/>
      <c r="G715" s="851"/>
    </row>
    <row r="716" spans="2:7">
      <c r="B716" s="25"/>
      <c r="C716" s="26"/>
      <c r="D716" s="26"/>
      <c r="E716" s="26"/>
      <c r="F716" s="26"/>
      <c r="G716" s="27"/>
    </row>
    <row r="717" spans="2:7">
      <c r="B717" s="28"/>
      <c r="G717" s="29"/>
    </row>
    <row r="718" spans="2:7" ht="15.75">
      <c r="B718" s="852" t="s">
        <v>216</v>
      </c>
      <c r="C718" s="853"/>
      <c r="D718" s="853"/>
      <c r="E718" s="853"/>
      <c r="F718" s="853"/>
      <c r="G718" s="854"/>
    </row>
    <row r="719" spans="2:7">
      <c r="B719" s="855" t="s">
        <v>217</v>
      </c>
      <c r="C719" s="573"/>
      <c r="D719" s="573" t="s">
        <v>218</v>
      </c>
      <c r="E719" s="573"/>
      <c r="F719" s="569" t="s">
        <v>219</v>
      </c>
      <c r="G719" s="856"/>
    </row>
    <row r="720" spans="2:7">
      <c r="B720" s="583"/>
      <c r="C720" s="584"/>
      <c r="D720" s="587"/>
      <c r="E720" s="584"/>
      <c r="F720" s="589"/>
      <c r="G720" s="590"/>
    </row>
    <row r="721" spans="2:8">
      <c r="B721" s="585"/>
      <c r="C721" s="586"/>
      <c r="D721" s="588"/>
      <c r="E721" s="586"/>
      <c r="F721" s="591"/>
      <c r="G721" s="592"/>
    </row>
    <row r="722" spans="2:8">
      <c r="B722" s="28"/>
      <c r="G722" s="29"/>
    </row>
    <row r="723" spans="2:8">
      <c r="B723" s="593" t="s">
        <v>220</v>
      </c>
      <c r="C723" s="594"/>
      <c r="D723" s="595" t="s">
        <v>221</v>
      </c>
      <c r="E723" s="594"/>
      <c r="F723" s="595" t="s">
        <v>222</v>
      </c>
      <c r="G723" s="596"/>
    </row>
    <row r="724" spans="2:8">
      <c r="B724" s="639"/>
      <c r="C724" s="640"/>
      <c r="D724" s="641"/>
      <c r="E724" s="640"/>
      <c r="F724" s="641" t="s">
        <v>539</v>
      </c>
      <c r="G724" s="642"/>
    </row>
    <row r="727" spans="2:8" ht="15.75">
      <c r="B727" s="543" t="s">
        <v>189</v>
      </c>
      <c r="C727" s="544"/>
      <c r="D727" s="544"/>
      <c r="E727" s="544"/>
      <c r="F727" s="544"/>
      <c r="G727" s="545"/>
      <c r="H727" t="s">
        <v>1316</v>
      </c>
    </row>
    <row r="728" spans="2:8" ht="15.75">
      <c r="B728" s="860" t="s">
        <v>190</v>
      </c>
      <c r="C728" s="861"/>
      <c r="D728" s="861"/>
      <c r="E728" s="861"/>
      <c r="F728" s="861"/>
      <c r="G728" s="862"/>
    </row>
    <row r="729" spans="2:8">
      <c r="B729" s="770" t="s">
        <v>191</v>
      </c>
      <c r="C729" s="771"/>
      <c r="D729" s="788" t="s">
        <v>192</v>
      </c>
      <c r="E729" s="728"/>
      <c r="F729" s="748" t="s">
        <v>193</v>
      </c>
      <c r="G729" s="165" t="s">
        <v>194</v>
      </c>
    </row>
    <row r="730" spans="2:8">
      <c r="B730" s="557" t="s">
        <v>281</v>
      </c>
      <c r="C730" s="558"/>
      <c r="D730" s="553"/>
      <c r="E730" s="554"/>
      <c r="F730" s="556"/>
      <c r="G730" s="16" t="s">
        <v>1317</v>
      </c>
    </row>
    <row r="731" spans="2:8" ht="21.75">
      <c r="B731" s="559" t="s">
        <v>197</v>
      </c>
      <c r="C731" s="560"/>
      <c r="D731" s="565" t="s">
        <v>1318</v>
      </c>
      <c r="E731" s="566"/>
      <c r="F731" s="571">
        <v>70</v>
      </c>
      <c r="G731" s="17" t="s">
        <v>1277</v>
      </c>
    </row>
    <row r="732" spans="2:8">
      <c r="B732" s="561"/>
      <c r="C732" s="562"/>
      <c r="D732" s="567"/>
      <c r="E732" s="568"/>
      <c r="F732" s="572"/>
      <c r="G732" s="18" t="s">
        <v>200</v>
      </c>
    </row>
    <row r="733" spans="2:8">
      <c r="B733" s="563"/>
      <c r="C733" s="564"/>
      <c r="D733" s="569"/>
      <c r="E733" s="570"/>
      <c r="F733" s="573"/>
      <c r="G733" s="17" t="s">
        <v>201</v>
      </c>
    </row>
    <row r="734" spans="2:8">
      <c r="B734" s="19" t="s">
        <v>202</v>
      </c>
      <c r="C734" s="20"/>
      <c r="D734" s="20"/>
      <c r="E734" s="20"/>
      <c r="F734" s="20"/>
      <c r="G734" s="21"/>
    </row>
    <row r="735" spans="2:8">
      <c r="B735" s="22"/>
      <c r="C735" s="155" t="s">
        <v>203</v>
      </c>
      <c r="D735" s="155" t="s">
        <v>203</v>
      </c>
      <c r="E735" s="155" t="s">
        <v>203</v>
      </c>
      <c r="F735" s="155" t="s">
        <v>203</v>
      </c>
      <c r="G735" s="155" t="s">
        <v>203</v>
      </c>
    </row>
    <row r="736" spans="2:8">
      <c r="B736" s="574" t="s">
        <v>204</v>
      </c>
      <c r="C736" s="580" t="s">
        <v>1135</v>
      </c>
      <c r="D736" s="857" t="s">
        <v>1319</v>
      </c>
      <c r="E736" s="858" t="s">
        <v>1320</v>
      </c>
      <c r="F736" s="580" t="s">
        <v>1321</v>
      </c>
      <c r="G736" s="580" t="s">
        <v>1322</v>
      </c>
    </row>
    <row r="737" spans="2:7">
      <c r="B737" s="575"/>
      <c r="C737" s="581"/>
      <c r="D737" s="581"/>
      <c r="E737" s="581"/>
      <c r="F737" s="581"/>
      <c r="G737" s="581"/>
    </row>
    <row r="738" spans="2:7">
      <c r="B738" s="575"/>
      <c r="C738" s="581"/>
      <c r="D738" s="581"/>
      <c r="E738" s="581"/>
      <c r="F738" s="581"/>
      <c r="G738" s="581"/>
    </row>
    <row r="739" spans="2:7">
      <c r="B739" s="576"/>
      <c r="C739" s="582"/>
      <c r="D739" s="582"/>
      <c r="E739" s="582"/>
      <c r="F739" s="582"/>
      <c r="G739" s="582"/>
    </row>
    <row r="740" spans="2:7">
      <c r="B740" s="574" t="s">
        <v>208</v>
      </c>
      <c r="C740" s="858" t="s">
        <v>1323</v>
      </c>
      <c r="D740" s="858" t="s">
        <v>1324</v>
      </c>
      <c r="E740" s="858" t="s">
        <v>1325</v>
      </c>
      <c r="F740" s="859" t="s">
        <v>1326</v>
      </c>
      <c r="G740" s="580"/>
    </row>
    <row r="741" spans="2:7">
      <c r="B741" s="575"/>
      <c r="C741" s="581"/>
      <c r="D741" s="581"/>
      <c r="E741" s="581"/>
      <c r="F741" s="581"/>
      <c r="G741" s="581"/>
    </row>
    <row r="742" spans="2:7">
      <c r="B742" s="575"/>
      <c r="C742" s="581"/>
      <c r="D742" s="581"/>
      <c r="E742" s="581"/>
      <c r="F742" s="581"/>
      <c r="G742" s="581"/>
    </row>
    <row r="743" spans="2:7">
      <c r="B743" s="576"/>
      <c r="C743" s="582"/>
      <c r="D743" s="582"/>
      <c r="E743" s="582"/>
      <c r="F743" s="582"/>
      <c r="G743" s="582"/>
    </row>
    <row r="744" spans="2:7">
      <c r="B744" s="24"/>
      <c r="C744" s="20"/>
      <c r="D744" s="20"/>
      <c r="E744" s="20"/>
      <c r="F744" s="20"/>
      <c r="G744" s="21"/>
    </row>
    <row r="745" spans="2:7">
      <c r="B745" s="838" t="s">
        <v>212</v>
      </c>
      <c r="C745" s="839"/>
      <c r="D745" s="840"/>
      <c r="E745" s="841" t="s">
        <v>213</v>
      </c>
      <c r="F745" s="842"/>
      <c r="G745" s="843"/>
    </row>
    <row r="746" spans="2:7">
      <c r="B746" s="844" t="s">
        <v>1327</v>
      </c>
      <c r="C746" s="722"/>
      <c r="D746" s="715"/>
      <c r="E746" s="866" t="s">
        <v>1328</v>
      </c>
      <c r="F746" s="867"/>
      <c r="G746" s="868"/>
    </row>
    <row r="747" spans="2:7">
      <c r="B747" s="757"/>
      <c r="C747" s="722"/>
      <c r="D747" s="715"/>
      <c r="E747" s="866"/>
      <c r="F747" s="867"/>
      <c r="G747" s="868"/>
    </row>
    <row r="748" spans="2:7">
      <c r="B748" s="757"/>
      <c r="C748" s="722"/>
      <c r="D748" s="715"/>
      <c r="E748" s="866"/>
      <c r="F748" s="867"/>
      <c r="G748" s="868"/>
    </row>
    <row r="749" spans="2:7">
      <c r="B749" s="758"/>
      <c r="C749" s="845"/>
      <c r="D749" s="716"/>
      <c r="E749" s="869"/>
      <c r="F749" s="870"/>
      <c r="G749" s="871"/>
    </row>
    <row r="750" spans="2:7">
      <c r="B750" s="25"/>
      <c r="C750" s="26"/>
      <c r="D750" s="26"/>
      <c r="E750" s="26"/>
      <c r="F750" s="26"/>
      <c r="G750" s="27"/>
    </row>
    <row r="751" spans="2:7">
      <c r="B751" s="28"/>
      <c r="G751" s="29"/>
    </row>
    <row r="752" spans="2:7" ht="15.75">
      <c r="B752" s="852" t="s">
        <v>216</v>
      </c>
      <c r="C752" s="853"/>
      <c r="D752" s="853"/>
      <c r="E752" s="853"/>
      <c r="F752" s="853"/>
      <c r="G752" s="854"/>
    </row>
    <row r="753" spans="2:7">
      <c r="B753" s="855" t="s">
        <v>217</v>
      </c>
      <c r="C753" s="573"/>
      <c r="D753" s="573" t="s">
        <v>218</v>
      </c>
      <c r="E753" s="573"/>
      <c r="F753" s="569" t="s">
        <v>219</v>
      </c>
      <c r="G753" s="856"/>
    </row>
    <row r="754" spans="2:7">
      <c r="B754" s="583"/>
      <c r="C754" s="584"/>
      <c r="D754" s="587"/>
      <c r="E754" s="584"/>
      <c r="F754" s="589"/>
      <c r="G754" s="590"/>
    </row>
    <row r="755" spans="2:7">
      <c r="B755" s="585"/>
      <c r="C755" s="586"/>
      <c r="D755" s="588"/>
      <c r="E755" s="586"/>
      <c r="F755" s="591"/>
      <c r="G755" s="592"/>
    </row>
    <row r="756" spans="2:7">
      <c r="B756" s="28"/>
      <c r="G756" s="29"/>
    </row>
    <row r="757" spans="2:7">
      <c r="B757" s="593" t="s">
        <v>220</v>
      </c>
      <c r="C757" s="594"/>
      <c r="D757" s="595" t="s">
        <v>221</v>
      </c>
      <c r="E757" s="594"/>
      <c r="F757" s="595" t="s">
        <v>222</v>
      </c>
      <c r="G757" s="596"/>
    </row>
    <row r="758" spans="2:7">
      <c r="B758" s="639"/>
      <c r="C758" s="640"/>
      <c r="D758" s="641"/>
      <c r="E758" s="640"/>
      <c r="F758" s="641" t="s">
        <v>539</v>
      </c>
      <c r="G758" s="642"/>
    </row>
    <row r="761" spans="2:7" ht="15.75">
      <c r="B761" s="543" t="s">
        <v>189</v>
      </c>
      <c r="C761" s="544"/>
      <c r="D761" s="544"/>
      <c r="E761" s="544"/>
      <c r="F761" s="544"/>
      <c r="G761" s="545"/>
    </row>
    <row r="762" spans="2:7" ht="15.75">
      <c r="B762" s="860" t="s">
        <v>190</v>
      </c>
      <c r="C762" s="861"/>
      <c r="D762" s="861"/>
      <c r="E762" s="861"/>
      <c r="F762" s="861"/>
      <c r="G762" s="862"/>
    </row>
    <row r="763" spans="2:7">
      <c r="B763" s="770" t="s">
        <v>191</v>
      </c>
      <c r="C763" s="771"/>
      <c r="D763" s="788" t="s">
        <v>192</v>
      </c>
      <c r="E763" s="728"/>
      <c r="F763" s="748" t="s">
        <v>193</v>
      </c>
      <c r="G763" s="165" t="s">
        <v>194</v>
      </c>
    </row>
    <row r="764" spans="2:7">
      <c r="B764" s="557" t="s">
        <v>281</v>
      </c>
      <c r="C764" s="558"/>
      <c r="D764" s="553"/>
      <c r="E764" s="554"/>
      <c r="F764" s="556"/>
      <c r="G764" s="16" t="s">
        <v>1317</v>
      </c>
    </row>
    <row r="765" spans="2:7" ht="21.75">
      <c r="B765" s="559" t="s">
        <v>197</v>
      </c>
      <c r="C765" s="560"/>
      <c r="D765" s="565" t="s">
        <v>1128</v>
      </c>
      <c r="E765" s="566"/>
      <c r="F765" s="571">
        <v>23</v>
      </c>
      <c r="G765" s="17" t="s">
        <v>1277</v>
      </c>
    </row>
    <row r="766" spans="2:7">
      <c r="B766" s="561"/>
      <c r="C766" s="562"/>
      <c r="D766" s="567"/>
      <c r="E766" s="568"/>
      <c r="F766" s="572"/>
      <c r="G766" s="18" t="s">
        <v>200</v>
      </c>
    </row>
    <row r="767" spans="2:7">
      <c r="B767" s="563"/>
      <c r="C767" s="564"/>
      <c r="D767" s="569"/>
      <c r="E767" s="570"/>
      <c r="F767" s="573"/>
      <c r="G767" s="17" t="s">
        <v>201</v>
      </c>
    </row>
    <row r="768" spans="2:7">
      <c r="B768" s="19" t="s">
        <v>202</v>
      </c>
      <c r="C768" s="20"/>
      <c r="D768" s="20"/>
      <c r="E768" s="20"/>
      <c r="F768" s="20"/>
      <c r="G768" s="21"/>
    </row>
    <row r="769" spans="2:7">
      <c r="B769" s="22"/>
      <c r="C769" s="155" t="s">
        <v>203</v>
      </c>
      <c r="D769" s="155" t="s">
        <v>203</v>
      </c>
      <c r="E769" s="155" t="s">
        <v>203</v>
      </c>
      <c r="F769" s="155" t="s">
        <v>203</v>
      </c>
      <c r="G769" s="155" t="s">
        <v>203</v>
      </c>
    </row>
    <row r="770" spans="2:7">
      <c r="B770" s="574" t="s">
        <v>204</v>
      </c>
      <c r="C770" s="580" t="s">
        <v>1329</v>
      </c>
      <c r="D770" s="857" t="s">
        <v>1330</v>
      </c>
      <c r="E770" s="858" t="s">
        <v>1331</v>
      </c>
      <c r="F770" s="580"/>
      <c r="G770" s="580"/>
    </row>
    <row r="771" spans="2:7">
      <c r="B771" s="575"/>
      <c r="C771" s="581"/>
      <c r="D771" s="581"/>
      <c r="E771" s="581"/>
      <c r="F771" s="581"/>
      <c r="G771" s="581"/>
    </row>
    <row r="772" spans="2:7">
      <c r="B772" s="575"/>
      <c r="C772" s="581"/>
      <c r="D772" s="581"/>
      <c r="E772" s="581"/>
      <c r="F772" s="581"/>
      <c r="G772" s="581"/>
    </row>
    <row r="773" spans="2:7">
      <c r="B773" s="576"/>
      <c r="C773" s="582"/>
      <c r="D773" s="582"/>
      <c r="E773" s="582"/>
      <c r="F773" s="582"/>
      <c r="G773" s="582"/>
    </row>
    <row r="774" spans="2:7">
      <c r="B774" s="574" t="s">
        <v>208</v>
      </c>
      <c r="C774" s="858" t="s">
        <v>1332</v>
      </c>
      <c r="D774" s="858" t="s">
        <v>1333</v>
      </c>
      <c r="E774" s="858"/>
      <c r="F774" s="859"/>
      <c r="G774" s="580"/>
    </row>
    <row r="775" spans="2:7">
      <c r="B775" s="575"/>
      <c r="C775" s="581"/>
      <c r="D775" s="581"/>
      <c r="E775" s="581"/>
      <c r="F775" s="581"/>
      <c r="G775" s="581"/>
    </row>
    <row r="776" spans="2:7">
      <c r="B776" s="575"/>
      <c r="C776" s="581"/>
      <c r="D776" s="581"/>
      <c r="E776" s="581"/>
      <c r="F776" s="581"/>
      <c r="G776" s="581"/>
    </row>
    <row r="777" spans="2:7">
      <c r="B777" s="576"/>
      <c r="C777" s="582"/>
      <c r="D777" s="582"/>
      <c r="E777" s="582"/>
      <c r="F777" s="582"/>
      <c r="G777" s="582"/>
    </row>
    <row r="778" spans="2:7">
      <c r="B778" s="24"/>
      <c r="C778" s="20"/>
      <c r="D778" s="20"/>
      <c r="E778" s="20"/>
      <c r="F778" s="20"/>
      <c r="G778" s="21"/>
    </row>
    <row r="779" spans="2:7">
      <c r="B779" s="838" t="s">
        <v>212</v>
      </c>
      <c r="C779" s="839"/>
      <c r="D779" s="840"/>
      <c r="E779" s="841" t="s">
        <v>213</v>
      </c>
      <c r="F779" s="842"/>
      <c r="G779" s="843"/>
    </row>
    <row r="780" spans="2:7">
      <c r="B780" s="844" t="s">
        <v>1327</v>
      </c>
      <c r="C780" s="722"/>
      <c r="D780" s="715"/>
      <c r="E780" s="846" t="s">
        <v>1328</v>
      </c>
      <c r="F780" s="847"/>
      <c r="G780" s="848"/>
    </row>
    <row r="781" spans="2:7">
      <c r="B781" s="757"/>
      <c r="C781" s="722"/>
      <c r="D781" s="715"/>
      <c r="E781" s="846"/>
      <c r="F781" s="847"/>
      <c r="G781" s="848"/>
    </row>
    <row r="782" spans="2:7">
      <c r="B782" s="757"/>
      <c r="C782" s="722"/>
      <c r="D782" s="715"/>
      <c r="E782" s="846"/>
      <c r="F782" s="847"/>
      <c r="G782" s="848"/>
    </row>
    <row r="783" spans="2:7">
      <c r="B783" s="758"/>
      <c r="C783" s="845"/>
      <c r="D783" s="716"/>
      <c r="E783" s="849"/>
      <c r="F783" s="850"/>
      <c r="G783" s="851"/>
    </row>
    <row r="784" spans="2:7">
      <c r="B784" s="25"/>
      <c r="C784" s="26"/>
      <c r="D784" s="26"/>
      <c r="E784" s="26"/>
      <c r="F784" s="26"/>
      <c r="G784" s="27"/>
    </row>
    <row r="785" spans="2:7">
      <c r="B785" s="28"/>
      <c r="G785" s="29"/>
    </row>
    <row r="786" spans="2:7" ht="15.75">
      <c r="B786" s="852" t="s">
        <v>216</v>
      </c>
      <c r="C786" s="853"/>
      <c r="D786" s="853"/>
      <c r="E786" s="853"/>
      <c r="F786" s="853"/>
      <c r="G786" s="854"/>
    </row>
    <row r="787" spans="2:7">
      <c r="B787" s="855" t="s">
        <v>217</v>
      </c>
      <c r="C787" s="573"/>
      <c r="D787" s="573" t="s">
        <v>218</v>
      </c>
      <c r="E787" s="573"/>
      <c r="F787" s="569" t="s">
        <v>219</v>
      </c>
      <c r="G787" s="856"/>
    </row>
    <row r="788" spans="2:7">
      <c r="B788" s="583"/>
      <c r="C788" s="584"/>
      <c r="D788" s="587"/>
      <c r="E788" s="584"/>
      <c r="F788" s="589"/>
      <c r="G788" s="590"/>
    </row>
    <row r="789" spans="2:7">
      <c r="B789" s="585"/>
      <c r="C789" s="586"/>
      <c r="D789" s="588"/>
      <c r="E789" s="586"/>
      <c r="F789" s="591"/>
      <c r="G789" s="592"/>
    </row>
    <row r="790" spans="2:7">
      <c r="B790" s="28"/>
      <c r="G790" s="29"/>
    </row>
    <row r="791" spans="2:7">
      <c r="B791" s="593" t="s">
        <v>220</v>
      </c>
      <c r="C791" s="594"/>
      <c r="D791" s="595" t="s">
        <v>221</v>
      </c>
      <c r="E791" s="594"/>
      <c r="F791" s="595" t="s">
        <v>222</v>
      </c>
      <c r="G791" s="596"/>
    </row>
    <row r="792" spans="2:7">
      <c r="B792" s="639"/>
      <c r="C792" s="640"/>
      <c r="D792" s="641"/>
      <c r="E792" s="640"/>
      <c r="F792" s="641" t="s">
        <v>539</v>
      </c>
      <c r="G792" s="642"/>
    </row>
  </sheetData>
  <autoFilter ref="A2:N36" xr:uid="{297BA5AA-F31B-4557-81B4-34A4B87C846B}">
    <filterColumn colId="2" showButton="0"/>
  </autoFilter>
  <mergeCells count="851">
    <mergeCell ref="B451:C451"/>
    <mergeCell ref="D451:E451"/>
    <mergeCell ref="F451:G451"/>
    <mergeCell ref="B452:C452"/>
    <mergeCell ref="D452:E452"/>
    <mergeCell ref="F452:G452"/>
    <mergeCell ref="B439:D439"/>
    <mergeCell ref="E439:G439"/>
    <mergeCell ref="B440:D443"/>
    <mergeCell ref="E440:G443"/>
    <mergeCell ref="B446:G446"/>
    <mergeCell ref="B447:C447"/>
    <mergeCell ref="D447:E447"/>
    <mergeCell ref="F447:G447"/>
    <mergeCell ref="B448:C449"/>
    <mergeCell ref="D448:E449"/>
    <mergeCell ref="F448:G449"/>
    <mergeCell ref="B430:B433"/>
    <mergeCell ref="C430:C433"/>
    <mergeCell ref="D430:D433"/>
    <mergeCell ref="E430:E433"/>
    <mergeCell ref="F430:F433"/>
    <mergeCell ref="G430:G433"/>
    <mergeCell ref="B434:B437"/>
    <mergeCell ref="C434:C437"/>
    <mergeCell ref="D434:D437"/>
    <mergeCell ref="E434:E437"/>
    <mergeCell ref="F434:F437"/>
    <mergeCell ref="G434:G437"/>
    <mergeCell ref="B421:G421"/>
    <mergeCell ref="B422:G422"/>
    <mergeCell ref="B423:C423"/>
    <mergeCell ref="D423:E424"/>
    <mergeCell ref="F423:F424"/>
    <mergeCell ref="B424:C424"/>
    <mergeCell ref="B425:C427"/>
    <mergeCell ref="D425:E427"/>
    <mergeCell ref="F425:F427"/>
    <mergeCell ref="B553:C553"/>
    <mergeCell ref="D553:E553"/>
    <mergeCell ref="F553:G553"/>
    <mergeCell ref="B554:C554"/>
    <mergeCell ref="D554:E554"/>
    <mergeCell ref="F554:G554"/>
    <mergeCell ref="B541:D541"/>
    <mergeCell ref="E541:G541"/>
    <mergeCell ref="B542:D545"/>
    <mergeCell ref="E542:G545"/>
    <mergeCell ref="B548:G548"/>
    <mergeCell ref="B549:C549"/>
    <mergeCell ref="D549:E549"/>
    <mergeCell ref="F549:G549"/>
    <mergeCell ref="B550:C551"/>
    <mergeCell ref="D550:E551"/>
    <mergeCell ref="F550:G551"/>
    <mergeCell ref="B532:B535"/>
    <mergeCell ref="C532:C535"/>
    <mergeCell ref="D532:D535"/>
    <mergeCell ref="E532:E535"/>
    <mergeCell ref="F532:F535"/>
    <mergeCell ref="G532:G535"/>
    <mergeCell ref="B536:B539"/>
    <mergeCell ref="C536:C539"/>
    <mergeCell ref="D536:D539"/>
    <mergeCell ref="E536:E539"/>
    <mergeCell ref="F536:F539"/>
    <mergeCell ref="G536:G539"/>
    <mergeCell ref="B523:G523"/>
    <mergeCell ref="B524:G524"/>
    <mergeCell ref="B525:C525"/>
    <mergeCell ref="D525:E526"/>
    <mergeCell ref="F525:F526"/>
    <mergeCell ref="B526:C526"/>
    <mergeCell ref="B527:C529"/>
    <mergeCell ref="D527:E529"/>
    <mergeCell ref="F527:F529"/>
    <mergeCell ref="B417:C417"/>
    <mergeCell ref="D417:E417"/>
    <mergeCell ref="F417:G417"/>
    <mergeCell ref="B418:C418"/>
    <mergeCell ref="D418:E418"/>
    <mergeCell ref="F418:G418"/>
    <mergeCell ref="B405:D405"/>
    <mergeCell ref="E405:G405"/>
    <mergeCell ref="B406:D409"/>
    <mergeCell ref="E406:G409"/>
    <mergeCell ref="B412:G412"/>
    <mergeCell ref="B413:C413"/>
    <mergeCell ref="D413:E413"/>
    <mergeCell ref="F413:G413"/>
    <mergeCell ref="B414:C415"/>
    <mergeCell ref="D414:E415"/>
    <mergeCell ref="F414:G415"/>
    <mergeCell ref="B396:B399"/>
    <mergeCell ref="C396:C399"/>
    <mergeCell ref="D396:D399"/>
    <mergeCell ref="E396:E399"/>
    <mergeCell ref="F396:F399"/>
    <mergeCell ref="G396:G399"/>
    <mergeCell ref="B400:B403"/>
    <mergeCell ref="C400:C403"/>
    <mergeCell ref="D400:D403"/>
    <mergeCell ref="E400:E403"/>
    <mergeCell ref="F400:F403"/>
    <mergeCell ref="G400:G403"/>
    <mergeCell ref="B387:G387"/>
    <mergeCell ref="B388:G388"/>
    <mergeCell ref="B389:C389"/>
    <mergeCell ref="D389:E390"/>
    <mergeCell ref="F389:F390"/>
    <mergeCell ref="B390:C390"/>
    <mergeCell ref="B391:C393"/>
    <mergeCell ref="D391:E393"/>
    <mergeCell ref="F391:F393"/>
    <mergeCell ref="F672:F675"/>
    <mergeCell ref="G672:G675"/>
    <mergeCell ref="B677:D677"/>
    <mergeCell ref="E677:G677"/>
    <mergeCell ref="B678:D681"/>
    <mergeCell ref="E678:G681"/>
    <mergeCell ref="B690:C690"/>
    <mergeCell ref="D690:E690"/>
    <mergeCell ref="F690:G690"/>
    <mergeCell ref="B684:G684"/>
    <mergeCell ref="B685:C685"/>
    <mergeCell ref="D685:E685"/>
    <mergeCell ref="F685:G685"/>
    <mergeCell ref="B686:C687"/>
    <mergeCell ref="D686:E687"/>
    <mergeCell ref="F686:G687"/>
    <mergeCell ref="B689:C689"/>
    <mergeCell ref="D689:E689"/>
    <mergeCell ref="F689:G689"/>
    <mergeCell ref="B668:B671"/>
    <mergeCell ref="C668:C671"/>
    <mergeCell ref="D668:D671"/>
    <mergeCell ref="E668:E671"/>
    <mergeCell ref="F668:F671"/>
    <mergeCell ref="G668:G671"/>
    <mergeCell ref="B672:B675"/>
    <mergeCell ref="B382:C382"/>
    <mergeCell ref="D382:E382"/>
    <mergeCell ref="F382:G382"/>
    <mergeCell ref="B384:D384"/>
    <mergeCell ref="E384:G384"/>
    <mergeCell ref="B659:G659"/>
    <mergeCell ref="B660:G660"/>
    <mergeCell ref="B661:C661"/>
    <mergeCell ref="D661:E662"/>
    <mergeCell ref="F661:F662"/>
    <mergeCell ref="B662:C662"/>
    <mergeCell ref="B663:C665"/>
    <mergeCell ref="D663:E665"/>
    <mergeCell ref="F663:F665"/>
    <mergeCell ref="C672:C675"/>
    <mergeCell ref="D672:D675"/>
    <mergeCell ref="E672:E675"/>
    <mergeCell ref="B370:D370"/>
    <mergeCell ref="E370:G370"/>
    <mergeCell ref="B371:D374"/>
    <mergeCell ref="E371:G374"/>
    <mergeCell ref="B377:G377"/>
    <mergeCell ref="B378:C378"/>
    <mergeCell ref="D378:E378"/>
    <mergeCell ref="F378:G378"/>
    <mergeCell ref="B379:C380"/>
    <mergeCell ref="D379:E380"/>
    <mergeCell ref="F379:G380"/>
    <mergeCell ref="B621:C621"/>
    <mergeCell ref="D621:E621"/>
    <mergeCell ref="F621:G621"/>
    <mergeCell ref="B622:C622"/>
    <mergeCell ref="D622:E622"/>
    <mergeCell ref="F622:G622"/>
    <mergeCell ref="B609:D609"/>
    <mergeCell ref="E609:G609"/>
    <mergeCell ref="B610:D613"/>
    <mergeCell ref="E610:G613"/>
    <mergeCell ref="B616:G616"/>
    <mergeCell ref="B617:C617"/>
    <mergeCell ref="D617:E617"/>
    <mergeCell ref="F617:G617"/>
    <mergeCell ref="B618:C619"/>
    <mergeCell ref="D618:E619"/>
    <mergeCell ref="F618:G619"/>
    <mergeCell ref="B600:B603"/>
    <mergeCell ref="C600:C603"/>
    <mergeCell ref="D600:D603"/>
    <mergeCell ref="E600:E603"/>
    <mergeCell ref="F600:F603"/>
    <mergeCell ref="G600:G603"/>
    <mergeCell ref="B604:B607"/>
    <mergeCell ref="C604:C607"/>
    <mergeCell ref="D604:D607"/>
    <mergeCell ref="E604:E607"/>
    <mergeCell ref="F604:F607"/>
    <mergeCell ref="G604:G607"/>
    <mergeCell ref="B591:G591"/>
    <mergeCell ref="B592:G592"/>
    <mergeCell ref="B593:C593"/>
    <mergeCell ref="D593:E594"/>
    <mergeCell ref="F593:F594"/>
    <mergeCell ref="B594:C594"/>
    <mergeCell ref="B595:C597"/>
    <mergeCell ref="D595:E597"/>
    <mergeCell ref="F595:F597"/>
    <mergeCell ref="B348:C348"/>
    <mergeCell ref="D348:E348"/>
    <mergeCell ref="F348:G348"/>
    <mergeCell ref="B349:C349"/>
    <mergeCell ref="D349:E349"/>
    <mergeCell ref="F349:G349"/>
    <mergeCell ref="B336:D336"/>
    <mergeCell ref="E336:G336"/>
    <mergeCell ref="B337:D340"/>
    <mergeCell ref="E337:G340"/>
    <mergeCell ref="B343:G343"/>
    <mergeCell ref="B344:C344"/>
    <mergeCell ref="D344:E344"/>
    <mergeCell ref="F344:G344"/>
    <mergeCell ref="B345:C346"/>
    <mergeCell ref="D345:E346"/>
    <mergeCell ref="F345:G346"/>
    <mergeCell ref="B327:B330"/>
    <mergeCell ref="C327:C330"/>
    <mergeCell ref="D327:D330"/>
    <mergeCell ref="E327:E330"/>
    <mergeCell ref="F327:F330"/>
    <mergeCell ref="G327:G330"/>
    <mergeCell ref="B331:B334"/>
    <mergeCell ref="C331:C334"/>
    <mergeCell ref="D331:D334"/>
    <mergeCell ref="E331:E334"/>
    <mergeCell ref="F331:F334"/>
    <mergeCell ref="G331:G334"/>
    <mergeCell ref="B318:G318"/>
    <mergeCell ref="B319:G319"/>
    <mergeCell ref="B320:C320"/>
    <mergeCell ref="D320:E321"/>
    <mergeCell ref="F320:F321"/>
    <mergeCell ref="B321:C321"/>
    <mergeCell ref="B322:C324"/>
    <mergeCell ref="D322:E324"/>
    <mergeCell ref="F322:F324"/>
    <mergeCell ref="B212:C212"/>
    <mergeCell ref="D212:E212"/>
    <mergeCell ref="F212:G212"/>
    <mergeCell ref="B199:D199"/>
    <mergeCell ref="E199:G199"/>
    <mergeCell ref="B200:D203"/>
    <mergeCell ref="E200:G203"/>
    <mergeCell ref="B206:G206"/>
    <mergeCell ref="B207:C207"/>
    <mergeCell ref="D207:E207"/>
    <mergeCell ref="F207:G207"/>
    <mergeCell ref="B208:C209"/>
    <mergeCell ref="D208:E209"/>
    <mergeCell ref="F208:G209"/>
    <mergeCell ref="F190:F193"/>
    <mergeCell ref="G190:G193"/>
    <mergeCell ref="B194:B197"/>
    <mergeCell ref="C194:C197"/>
    <mergeCell ref="D194:D197"/>
    <mergeCell ref="E194:E197"/>
    <mergeCell ref="F194:F197"/>
    <mergeCell ref="G194:G197"/>
    <mergeCell ref="B211:C211"/>
    <mergeCell ref="D211:E211"/>
    <mergeCell ref="F211:G211"/>
    <mergeCell ref="B245:C245"/>
    <mergeCell ref="D245:E245"/>
    <mergeCell ref="F245:G245"/>
    <mergeCell ref="B246:C246"/>
    <mergeCell ref="D246:E246"/>
    <mergeCell ref="F246:G246"/>
    <mergeCell ref="B233:D233"/>
    <mergeCell ref="E233:G233"/>
    <mergeCell ref="B234:D237"/>
    <mergeCell ref="E234:G237"/>
    <mergeCell ref="B240:G240"/>
    <mergeCell ref="B241:C241"/>
    <mergeCell ref="D241:E241"/>
    <mergeCell ref="F241:G241"/>
    <mergeCell ref="B242:C243"/>
    <mergeCell ref="D242:E243"/>
    <mergeCell ref="F242:G243"/>
    <mergeCell ref="B224:B227"/>
    <mergeCell ref="C224:C227"/>
    <mergeCell ref="D224:D227"/>
    <mergeCell ref="E224:E227"/>
    <mergeCell ref="F224:F227"/>
    <mergeCell ref="G224:G227"/>
    <mergeCell ref="B228:B231"/>
    <mergeCell ref="C228:C231"/>
    <mergeCell ref="D228:D231"/>
    <mergeCell ref="E228:E231"/>
    <mergeCell ref="F228:F231"/>
    <mergeCell ref="G228:G231"/>
    <mergeCell ref="B164:D167"/>
    <mergeCell ref="E164:G167"/>
    <mergeCell ref="B215:G215"/>
    <mergeCell ref="B216:G216"/>
    <mergeCell ref="B217:C217"/>
    <mergeCell ref="D217:E218"/>
    <mergeCell ref="F217:F218"/>
    <mergeCell ref="B218:C218"/>
    <mergeCell ref="B219:C221"/>
    <mergeCell ref="D219:E221"/>
    <mergeCell ref="F219:F221"/>
    <mergeCell ref="B181:G181"/>
    <mergeCell ref="B182:G182"/>
    <mergeCell ref="B183:C183"/>
    <mergeCell ref="D183:E184"/>
    <mergeCell ref="F183:F184"/>
    <mergeCell ref="B184:C184"/>
    <mergeCell ref="B185:C187"/>
    <mergeCell ref="D185:E187"/>
    <mergeCell ref="F185:F187"/>
    <mergeCell ref="B190:B193"/>
    <mergeCell ref="C190:C193"/>
    <mergeCell ref="D190:D193"/>
    <mergeCell ref="E190:E193"/>
    <mergeCell ref="F154:F157"/>
    <mergeCell ref="G154:G157"/>
    <mergeCell ref="B176:C176"/>
    <mergeCell ref="D176:E176"/>
    <mergeCell ref="F176:G176"/>
    <mergeCell ref="B145:G145"/>
    <mergeCell ref="B170:G170"/>
    <mergeCell ref="B171:C171"/>
    <mergeCell ref="D171:E171"/>
    <mergeCell ref="F171:G171"/>
    <mergeCell ref="B172:C173"/>
    <mergeCell ref="D172:E173"/>
    <mergeCell ref="F172:G173"/>
    <mergeCell ref="B175:C175"/>
    <mergeCell ref="D175:E175"/>
    <mergeCell ref="F175:G175"/>
    <mergeCell ref="B158:B161"/>
    <mergeCell ref="C158:C161"/>
    <mergeCell ref="D158:D161"/>
    <mergeCell ref="E158:E161"/>
    <mergeCell ref="F158:F161"/>
    <mergeCell ref="G158:G161"/>
    <mergeCell ref="B163:D163"/>
    <mergeCell ref="E163:G163"/>
    <mergeCell ref="B587:C587"/>
    <mergeCell ref="D587:E587"/>
    <mergeCell ref="F587:G587"/>
    <mergeCell ref="B588:C588"/>
    <mergeCell ref="D588:E588"/>
    <mergeCell ref="F588:G588"/>
    <mergeCell ref="B575:D575"/>
    <mergeCell ref="E575:G575"/>
    <mergeCell ref="B576:D579"/>
    <mergeCell ref="E576:G579"/>
    <mergeCell ref="B582:G582"/>
    <mergeCell ref="B583:C583"/>
    <mergeCell ref="D583:E583"/>
    <mergeCell ref="F583:G583"/>
    <mergeCell ref="B584:C585"/>
    <mergeCell ref="D584:E585"/>
    <mergeCell ref="F584:G585"/>
    <mergeCell ref="B566:B569"/>
    <mergeCell ref="C566:C569"/>
    <mergeCell ref="D566:D569"/>
    <mergeCell ref="E566:E569"/>
    <mergeCell ref="F566:F569"/>
    <mergeCell ref="G566:G569"/>
    <mergeCell ref="B570:B573"/>
    <mergeCell ref="C570:C573"/>
    <mergeCell ref="D570:D573"/>
    <mergeCell ref="E570:E573"/>
    <mergeCell ref="F570:F573"/>
    <mergeCell ref="G570:G573"/>
    <mergeCell ref="B557:G557"/>
    <mergeCell ref="B558:G558"/>
    <mergeCell ref="B559:C559"/>
    <mergeCell ref="D559:E560"/>
    <mergeCell ref="F559:F560"/>
    <mergeCell ref="B560:C560"/>
    <mergeCell ref="B561:C563"/>
    <mergeCell ref="D561:E563"/>
    <mergeCell ref="F561:F563"/>
    <mergeCell ref="B73:C73"/>
    <mergeCell ref="D73:E73"/>
    <mergeCell ref="F73:G73"/>
    <mergeCell ref="B69:C70"/>
    <mergeCell ref="D69:E70"/>
    <mergeCell ref="F69:G70"/>
    <mergeCell ref="B72:C72"/>
    <mergeCell ref="D72:E72"/>
    <mergeCell ref="F72:G72"/>
    <mergeCell ref="B46:C48"/>
    <mergeCell ref="D46:E48"/>
    <mergeCell ref="F46:F48"/>
    <mergeCell ref="B51:B54"/>
    <mergeCell ref="C51:C54"/>
    <mergeCell ref="D51:D54"/>
    <mergeCell ref="E51:E54"/>
    <mergeCell ref="F51:F54"/>
    <mergeCell ref="B68:C68"/>
    <mergeCell ref="D68:E68"/>
    <mergeCell ref="F68:G68"/>
    <mergeCell ref="G51:G54"/>
    <mergeCell ref="B55:B58"/>
    <mergeCell ref="C55:C58"/>
    <mergeCell ref="D55:D58"/>
    <mergeCell ref="E55:E58"/>
    <mergeCell ref="F55:F58"/>
    <mergeCell ref="G55:G58"/>
    <mergeCell ref="B60:D60"/>
    <mergeCell ref="E60:G60"/>
    <mergeCell ref="B61:D64"/>
    <mergeCell ref="E61:G64"/>
    <mergeCell ref="B67:G67"/>
    <mergeCell ref="L5:N7"/>
    <mergeCell ref="E36:K39"/>
    <mergeCell ref="B42:G42"/>
    <mergeCell ref="B43:G43"/>
    <mergeCell ref="B44:C44"/>
    <mergeCell ref="D44:E45"/>
    <mergeCell ref="F44:F45"/>
    <mergeCell ref="B45:C45"/>
    <mergeCell ref="B2:B3"/>
    <mergeCell ref="C2:D2"/>
    <mergeCell ref="E2:E3"/>
    <mergeCell ref="F2:F3"/>
    <mergeCell ref="G2:G3"/>
    <mergeCell ref="C38:D38"/>
    <mergeCell ref="I2:I3"/>
    <mergeCell ref="J2:J3"/>
    <mergeCell ref="K2:K3"/>
    <mergeCell ref="H2:H3"/>
    <mergeCell ref="L2:L3"/>
    <mergeCell ref="B80:C82"/>
    <mergeCell ref="D80:E82"/>
    <mergeCell ref="F80:F82"/>
    <mergeCell ref="B85:B88"/>
    <mergeCell ref="C85:C88"/>
    <mergeCell ref="D85:D88"/>
    <mergeCell ref="E85:E88"/>
    <mergeCell ref="F85:F88"/>
    <mergeCell ref="B76:G76"/>
    <mergeCell ref="B77:G77"/>
    <mergeCell ref="B78:C78"/>
    <mergeCell ref="D78:E79"/>
    <mergeCell ref="F78:F79"/>
    <mergeCell ref="B79:C79"/>
    <mergeCell ref="B94:D94"/>
    <mergeCell ref="E94:G94"/>
    <mergeCell ref="B95:D98"/>
    <mergeCell ref="E95:G98"/>
    <mergeCell ref="B101:G101"/>
    <mergeCell ref="G85:G88"/>
    <mergeCell ref="B89:B92"/>
    <mergeCell ref="C89:C92"/>
    <mergeCell ref="D89:D92"/>
    <mergeCell ref="E89:E92"/>
    <mergeCell ref="F89:F92"/>
    <mergeCell ref="G89:G92"/>
    <mergeCell ref="B106:C106"/>
    <mergeCell ref="D106:E106"/>
    <mergeCell ref="F106:G106"/>
    <mergeCell ref="B107:C107"/>
    <mergeCell ref="D107:E107"/>
    <mergeCell ref="F107:G107"/>
    <mergeCell ref="B102:C102"/>
    <mergeCell ref="D102:E102"/>
    <mergeCell ref="F102:G102"/>
    <mergeCell ref="B103:C104"/>
    <mergeCell ref="D103:E104"/>
    <mergeCell ref="F103:G104"/>
    <mergeCell ref="B111:G111"/>
    <mergeCell ref="B112:G112"/>
    <mergeCell ref="B113:C113"/>
    <mergeCell ref="D113:E114"/>
    <mergeCell ref="F113:F114"/>
    <mergeCell ref="B114:C114"/>
    <mergeCell ref="B115:C117"/>
    <mergeCell ref="D115:E117"/>
    <mergeCell ref="F115:F117"/>
    <mergeCell ref="B120:B123"/>
    <mergeCell ref="C120:C123"/>
    <mergeCell ref="D120:D123"/>
    <mergeCell ref="E120:E123"/>
    <mergeCell ref="F120:F123"/>
    <mergeCell ref="G120:G123"/>
    <mergeCell ref="B124:B127"/>
    <mergeCell ref="C124:C127"/>
    <mergeCell ref="D124:D127"/>
    <mergeCell ref="E124:E127"/>
    <mergeCell ref="F124:F127"/>
    <mergeCell ref="G124:G127"/>
    <mergeCell ref="B129:D129"/>
    <mergeCell ref="E129:G129"/>
    <mergeCell ref="B130:D133"/>
    <mergeCell ref="E130:G133"/>
    <mergeCell ref="B136:G136"/>
    <mergeCell ref="B137:C137"/>
    <mergeCell ref="D137:E137"/>
    <mergeCell ref="F137:G137"/>
    <mergeCell ref="B138:C139"/>
    <mergeCell ref="D138:E139"/>
    <mergeCell ref="F138:G139"/>
    <mergeCell ref="B284:G284"/>
    <mergeCell ref="B285:G285"/>
    <mergeCell ref="B286:C286"/>
    <mergeCell ref="D286:E287"/>
    <mergeCell ref="F286:F287"/>
    <mergeCell ref="B287:C287"/>
    <mergeCell ref="B141:C141"/>
    <mergeCell ref="D141:E141"/>
    <mergeCell ref="F141:G141"/>
    <mergeCell ref="B142:C142"/>
    <mergeCell ref="D142:E142"/>
    <mergeCell ref="F142:G142"/>
    <mergeCell ref="B146:G146"/>
    <mergeCell ref="B147:C147"/>
    <mergeCell ref="D147:E148"/>
    <mergeCell ref="F147:F148"/>
    <mergeCell ref="B148:C148"/>
    <mergeCell ref="B149:C151"/>
    <mergeCell ref="D149:E151"/>
    <mergeCell ref="F149:F151"/>
    <mergeCell ref="B154:B157"/>
    <mergeCell ref="C154:C157"/>
    <mergeCell ref="D154:D157"/>
    <mergeCell ref="E154:E157"/>
    <mergeCell ref="B288:C290"/>
    <mergeCell ref="D288:E290"/>
    <mergeCell ref="F288:F290"/>
    <mergeCell ref="B293:B296"/>
    <mergeCell ref="C293:C296"/>
    <mergeCell ref="D293:D296"/>
    <mergeCell ref="E293:E296"/>
    <mergeCell ref="F293:F296"/>
    <mergeCell ref="G293:G296"/>
    <mergeCell ref="B297:B300"/>
    <mergeCell ref="C297:C300"/>
    <mergeCell ref="D297:D300"/>
    <mergeCell ref="E297:E300"/>
    <mergeCell ref="F297:F300"/>
    <mergeCell ref="G297:G300"/>
    <mergeCell ref="B302:D302"/>
    <mergeCell ref="E302:G302"/>
    <mergeCell ref="B303:D306"/>
    <mergeCell ref="E303:G306"/>
    <mergeCell ref="B315:C315"/>
    <mergeCell ref="D315:E315"/>
    <mergeCell ref="F315:G315"/>
    <mergeCell ref="B309:G309"/>
    <mergeCell ref="B310:C310"/>
    <mergeCell ref="D310:E310"/>
    <mergeCell ref="F310:G310"/>
    <mergeCell ref="B311:C312"/>
    <mergeCell ref="D311:E312"/>
    <mergeCell ref="F311:G312"/>
    <mergeCell ref="B314:C314"/>
    <mergeCell ref="D314:E314"/>
    <mergeCell ref="F314:G314"/>
    <mergeCell ref="B625:G625"/>
    <mergeCell ref="B626:G626"/>
    <mergeCell ref="B627:C627"/>
    <mergeCell ref="D627:E628"/>
    <mergeCell ref="F627:F628"/>
    <mergeCell ref="B628:C628"/>
    <mergeCell ref="B629:C631"/>
    <mergeCell ref="D629:E631"/>
    <mergeCell ref="F629:F631"/>
    <mergeCell ref="B634:B637"/>
    <mergeCell ref="C634:C637"/>
    <mergeCell ref="D634:D637"/>
    <mergeCell ref="E634:E637"/>
    <mergeCell ref="F634:F637"/>
    <mergeCell ref="G634:G637"/>
    <mergeCell ref="B638:B641"/>
    <mergeCell ref="C638:C641"/>
    <mergeCell ref="D638:D641"/>
    <mergeCell ref="E638:E641"/>
    <mergeCell ref="F638:F641"/>
    <mergeCell ref="G638:G641"/>
    <mergeCell ref="B655:C655"/>
    <mergeCell ref="D655:E655"/>
    <mergeCell ref="F655:G655"/>
    <mergeCell ref="B656:C656"/>
    <mergeCell ref="D656:E656"/>
    <mergeCell ref="F656:G656"/>
    <mergeCell ref="B643:D643"/>
    <mergeCell ref="E643:G643"/>
    <mergeCell ref="B644:D647"/>
    <mergeCell ref="E644:G647"/>
    <mergeCell ref="B650:G650"/>
    <mergeCell ref="B651:C651"/>
    <mergeCell ref="D651:E651"/>
    <mergeCell ref="F651:G651"/>
    <mergeCell ref="B652:C653"/>
    <mergeCell ref="D652:E653"/>
    <mergeCell ref="F652:G653"/>
    <mergeCell ref="B249:G249"/>
    <mergeCell ref="B250:G250"/>
    <mergeCell ref="B251:C251"/>
    <mergeCell ref="D251:E252"/>
    <mergeCell ref="F251:F252"/>
    <mergeCell ref="B252:C252"/>
    <mergeCell ref="B253:C255"/>
    <mergeCell ref="D253:E255"/>
    <mergeCell ref="F253:F255"/>
    <mergeCell ref="B258:B261"/>
    <mergeCell ref="C258:C261"/>
    <mergeCell ref="D258:D261"/>
    <mergeCell ref="E258:E261"/>
    <mergeCell ref="F258:F261"/>
    <mergeCell ref="G258:G261"/>
    <mergeCell ref="B262:B265"/>
    <mergeCell ref="C262:C265"/>
    <mergeCell ref="D262:D265"/>
    <mergeCell ref="E262:E265"/>
    <mergeCell ref="F262:F265"/>
    <mergeCell ref="G262:G265"/>
    <mergeCell ref="B279:C279"/>
    <mergeCell ref="D279:E279"/>
    <mergeCell ref="F279:G279"/>
    <mergeCell ref="B280:C280"/>
    <mergeCell ref="D280:E280"/>
    <mergeCell ref="F280:G280"/>
    <mergeCell ref="B267:D267"/>
    <mergeCell ref="E267:G267"/>
    <mergeCell ref="B268:D271"/>
    <mergeCell ref="E268:G271"/>
    <mergeCell ref="B274:G274"/>
    <mergeCell ref="B275:C275"/>
    <mergeCell ref="D275:E275"/>
    <mergeCell ref="F275:G275"/>
    <mergeCell ref="B276:C277"/>
    <mergeCell ref="D276:E277"/>
    <mergeCell ref="F276:G277"/>
    <mergeCell ref="B693:G693"/>
    <mergeCell ref="B694:G694"/>
    <mergeCell ref="B695:C695"/>
    <mergeCell ref="D695:E696"/>
    <mergeCell ref="F695:F696"/>
    <mergeCell ref="B696:C696"/>
    <mergeCell ref="B697:C699"/>
    <mergeCell ref="D697:E699"/>
    <mergeCell ref="F697:F699"/>
    <mergeCell ref="E702:E705"/>
    <mergeCell ref="F702:F705"/>
    <mergeCell ref="G702:G705"/>
    <mergeCell ref="B706:B709"/>
    <mergeCell ref="C706:C709"/>
    <mergeCell ref="D706:D709"/>
    <mergeCell ref="E706:E709"/>
    <mergeCell ref="F706:F709"/>
    <mergeCell ref="G706:G709"/>
    <mergeCell ref="B361:B364"/>
    <mergeCell ref="C361:C364"/>
    <mergeCell ref="D361:D364"/>
    <mergeCell ref="E361:E364"/>
    <mergeCell ref="F361:F364"/>
    <mergeCell ref="G361:G364"/>
    <mergeCell ref="B365:B368"/>
    <mergeCell ref="C365:C368"/>
    <mergeCell ref="D365:D368"/>
    <mergeCell ref="E365:E368"/>
    <mergeCell ref="F365:F368"/>
    <mergeCell ref="G365:G368"/>
    <mergeCell ref="B352:G352"/>
    <mergeCell ref="B353:G353"/>
    <mergeCell ref="B354:C354"/>
    <mergeCell ref="D354:E355"/>
    <mergeCell ref="F354:F355"/>
    <mergeCell ref="B355:C355"/>
    <mergeCell ref="B356:C358"/>
    <mergeCell ref="D356:E358"/>
    <mergeCell ref="F356:F358"/>
    <mergeCell ref="G464:G467"/>
    <mergeCell ref="B383:C383"/>
    <mergeCell ref="D383:E383"/>
    <mergeCell ref="F383:G383"/>
    <mergeCell ref="B723:C723"/>
    <mergeCell ref="D723:E723"/>
    <mergeCell ref="F723:G723"/>
    <mergeCell ref="B486:C486"/>
    <mergeCell ref="D486:E486"/>
    <mergeCell ref="F486:G486"/>
    <mergeCell ref="B481:C481"/>
    <mergeCell ref="D481:E481"/>
    <mergeCell ref="F481:G481"/>
    <mergeCell ref="B482:C483"/>
    <mergeCell ref="D482:E483"/>
    <mergeCell ref="F482:G483"/>
    <mergeCell ref="B455:G455"/>
    <mergeCell ref="B456:G456"/>
    <mergeCell ref="B457:C457"/>
    <mergeCell ref="D457:E458"/>
    <mergeCell ref="F720:G721"/>
    <mergeCell ref="B702:B705"/>
    <mergeCell ref="C702:C705"/>
    <mergeCell ref="D702:D705"/>
    <mergeCell ref="B724:C724"/>
    <mergeCell ref="D724:E724"/>
    <mergeCell ref="F724:G724"/>
    <mergeCell ref="B711:D711"/>
    <mergeCell ref="E711:G711"/>
    <mergeCell ref="B712:D715"/>
    <mergeCell ref="E712:G715"/>
    <mergeCell ref="B718:G718"/>
    <mergeCell ref="B719:C719"/>
    <mergeCell ref="D719:E719"/>
    <mergeCell ref="F719:G719"/>
    <mergeCell ref="B720:C721"/>
    <mergeCell ref="D720:E721"/>
    <mergeCell ref="F457:F458"/>
    <mergeCell ref="B458:C458"/>
    <mergeCell ref="B485:C485"/>
    <mergeCell ref="D485:E485"/>
    <mergeCell ref="F485:G485"/>
    <mergeCell ref="B473:D473"/>
    <mergeCell ref="E473:G473"/>
    <mergeCell ref="B474:D477"/>
    <mergeCell ref="E474:G477"/>
    <mergeCell ref="B480:G480"/>
    <mergeCell ref="B468:B471"/>
    <mergeCell ref="C468:C471"/>
    <mergeCell ref="D468:D471"/>
    <mergeCell ref="E468:E471"/>
    <mergeCell ref="F468:F471"/>
    <mergeCell ref="G468:G471"/>
    <mergeCell ref="B459:C461"/>
    <mergeCell ref="D459:E461"/>
    <mergeCell ref="F459:F461"/>
    <mergeCell ref="B464:B467"/>
    <mergeCell ref="C464:C467"/>
    <mergeCell ref="D464:D467"/>
    <mergeCell ref="E464:E467"/>
    <mergeCell ref="F464:F467"/>
    <mergeCell ref="B761:G761"/>
    <mergeCell ref="B762:G762"/>
    <mergeCell ref="B763:C763"/>
    <mergeCell ref="D763:E764"/>
    <mergeCell ref="F763:F764"/>
    <mergeCell ref="B764:C764"/>
    <mergeCell ref="B765:C767"/>
    <mergeCell ref="D765:E767"/>
    <mergeCell ref="F765:F767"/>
    <mergeCell ref="B770:B773"/>
    <mergeCell ref="C770:C773"/>
    <mergeCell ref="D770:D773"/>
    <mergeCell ref="E770:E773"/>
    <mergeCell ref="F770:F773"/>
    <mergeCell ref="G770:G773"/>
    <mergeCell ref="B774:B777"/>
    <mergeCell ref="C774:C777"/>
    <mergeCell ref="D774:D777"/>
    <mergeCell ref="E774:E777"/>
    <mergeCell ref="F774:F777"/>
    <mergeCell ref="G774:G777"/>
    <mergeCell ref="B791:C791"/>
    <mergeCell ref="D791:E791"/>
    <mergeCell ref="F791:G791"/>
    <mergeCell ref="B792:C792"/>
    <mergeCell ref="D792:E792"/>
    <mergeCell ref="F792:G792"/>
    <mergeCell ref="B779:D779"/>
    <mergeCell ref="E779:G779"/>
    <mergeCell ref="B780:D783"/>
    <mergeCell ref="E780:G783"/>
    <mergeCell ref="B786:G786"/>
    <mergeCell ref="B787:C787"/>
    <mergeCell ref="D787:E787"/>
    <mergeCell ref="F787:G787"/>
    <mergeCell ref="B788:C789"/>
    <mergeCell ref="D788:E789"/>
    <mergeCell ref="F788:G789"/>
    <mergeCell ref="B727:G727"/>
    <mergeCell ref="B728:G728"/>
    <mergeCell ref="B729:C729"/>
    <mergeCell ref="D729:E730"/>
    <mergeCell ref="F729:F730"/>
    <mergeCell ref="B730:C730"/>
    <mergeCell ref="B731:C733"/>
    <mergeCell ref="D731:E733"/>
    <mergeCell ref="F731:F733"/>
    <mergeCell ref="B736:B739"/>
    <mergeCell ref="C736:C739"/>
    <mergeCell ref="D736:D739"/>
    <mergeCell ref="E736:E739"/>
    <mergeCell ref="F736:F739"/>
    <mergeCell ref="G736:G739"/>
    <mergeCell ref="B740:B743"/>
    <mergeCell ref="C740:C743"/>
    <mergeCell ref="D740:D743"/>
    <mergeCell ref="E740:E743"/>
    <mergeCell ref="F740:F743"/>
    <mergeCell ref="G740:G743"/>
    <mergeCell ref="B757:C757"/>
    <mergeCell ref="D757:E757"/>
    <mergeCell ref="F757:G757"/>
    <mergeCell ref="B758:C758"/>
    <mergeCell ref="D758:E758"/>
    <mergeCell ref="F758:G758"/>
    <mergeCell ref="B745:D745"/>
    <mergeCell ref="E745:G745"/>
    <mergeCell ref="B746:D749"/>
    <mergeCell ref="E746:G749"/>
    <mergeCell ref="B752:G752"/>
    <mergeCell ref="B753:C753"/>
    <mergeCell ref="D753:E753"/>
    <mergeCell ref="F753:G753"/>
    <mergeCell ref="B754:C755"/>
    <mergeCell ref="D754:E755"/>
    <mergeCell ref="F754:G755"/>
    <mergeCell ref="B489:G489"/>
    <mergeCell ref="B490:G490"/>
    <mergeCell ref="B491:C491"/>
    <mergeCell ref="D491:E492"/>
    <mergeCell ref="F491:F492"/>
    <mergeCell ref="B492:C492"/>
    <mergeCell ref="B493:C495"/>
    <mergeCell ref="D493:E495"/>
    <mergeCell ref="F493:F495"/>
    <mergeCell ref="B498:B501"/>
    <mergeCell ref="C498:C501"/>
    <mergeCell ref="D498:D501"/>
    <mergeCell ref="E498:E501"/>
    <mergeCell ref="F498:F501"/>
    <mergeCell ref="G498:G501"/>
    <mergeCell ref="B502:B505"/>
    <mergeCell ref="C502:C505"/>
    <mergeCell ref="D502:D505"/>
    <mergeCell ref="E502:E505"/>
    <mergeCell ref="F502:F505"/>
    <mergeCell ref="G502:G505"/>
    <mergeCell ref="B519:C519"/>
    <mergeCell ref="D519:E519"/>
    <mergeCell ref="F519:G519"/>
    <mergeCell ref="B520:C520"/>
    <mergeCell ref="D520:E520"/>
    <mergeCell ref="F520:G520"/>
    <mergeCell ref="B507:D507"/>
    <mergeCell ref="E507:G507"/>
    <mergeCell ref="B508:D511"/>
    <mergeCell ref="E508:G511"/>
    <mergeCell ref="B514:G514"/>
    <mergeCell ref="B515:C515"/>
    <mergeCell ref="D515:E515"/>
    <mergeCell ref="F515:G515"/>
    <mergeCell ref="B516:C517"/>
    <mergeCell ref="D516:E517"/>
    <mergeCell ref="F516:G517"/>
  </mergeCells>
  <phoneticPr fontId="0" type="noConversion"/>
  <printOptions horizontalCentered="1" verticalCentered="1"/>
  <pageMargins left="0.7" right="0.7" top="0.75" bottom="0.75" header="0.3" footer="0.3"/>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F916-08BB-47D6-A5BB-5E0B7CEB89C2}">
  <sheetPr>
    <pageSetUpPr fitToPage="1"/>
  </sheetPr>
  <dimension ref="A2:M186"/>
  <sheetViews>
    <sheetView workbookViewId="0">
      <selection activeCell="L126" sqref="L126"/>
    </sheetView>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59.85546875" customWidth="1"/>
    <col min="11" max="11" width="23.85546875" customWidth="1"/>
    <col min="12" max="12" width="20.28515625" customWidth="1"/>
    <col min="13" max="13" width="12" customWidth="1"/>
  </cols>
  <sheetData>
    <row r="2" spans="1:12" ht="19.5" customHeight="1">
      <c r="A2" s="532" t="s">
        <v>69</v>
      </c>
      <c r="B2" s="533"/>
      <c r="C2" s="533"/>
      <c r="D2" s="533"/>
      <c r="E2" s="533"/>
      <c r="F2" s="533"/>
      <c r="G2" s="533"/>
      <c r="H2" s="533"/>
      <c r="I2" s="533"/>
      <c r="J2" s="533"/>
      <c r="K2" s="533"/>
      <c r="L2" s="534"/>
    </row>
    <row r="3" spans="1:12">
      <c r="A3" s="125" t="s">
        <v>70</v>
      </c>
      <c r="B3" s="126"/>
      <c r="C3" s="126"/>
      <c r="D3" s="126"/>
      <c r="E3" s="517" t="s">
        <v>71</v>
      </c>
      <c r="F3" s="517"/>
      <c r="G3" s="535" t="s">
        <v>1334</v>
      </c>
      <c r="H3" s="536"/>
      <c r="I3" s="536"/>
      <c r="J3" s="537" t="s">
        <v>73</v>
      </c>
      <c r="K3" s="537"/>
      <c r="L3" s="538"/>
    </row>
    <row r="4" spans="1:12">
      <c r="A4" s="539" t="s">
        <v>1029</v>
      </c>
      <c r="B4" s="540"/>
      <c r="C4" s="540"/>
      <c r="D4" s="540"/>
      <c r="E4" s="540"/>
      <c r="F4" s="540"/>
      <c r="G4" s="540"/>
      <c r="H4" s="540"/>
      <c r="I4" s="541"/>
      <c r="J4" s="542" t="s">
        <v>75</v>
      </c>
      <c r="K4" s="542"/>
      <c r="L4" s="542"/>
    </row>
    <row r="5" spans="1:12">
      <c r="A5" s="510" t="s">
        <v>1335</v>
      </c>
      <c r="B5" s="511"/>
      <c r="C5" s="511"/>
      <c r="D5" s="511"/>
      <c r="E5" s="511"/>
      <c r="F5" s="511"/>
      <c r="G5" s="512"/>
      <c r="H5" s="516" t="s">
        <v>77</v>
      </c>
      <c r="I5" s="516"/>
      <c r="J5" s="518" t="s">
        <v>990</v>
      </c>
      <c r="K5" s="519" t="s">
        <v>991</v>
      </c>
      <c r="L5" s="520"/>
    </row>
    <row r="6" spans="1:12" ht="21.75" customHeight="1">
      <c r="A6" s="513"/>
      <c r="B6" s="514"/>
      <c r="C6" s="514"/>
      <c r="D6" s="514"/>
      <c r="E6" s="514"/>
      <c r="F6" s="514"/>
      <c r="G6" s="515"/>
      <c r="H6" s="517"/>
      <c r="I6" s="517"/>
      <c r="J6" s="516"/>
      <c r="K6" s="521"/>
      <c r="L6" s="522"/>
    </row>
    <row r="7" spans="1:12">
      <c r="A7" s="127" t="s">
        <v>80</v>
      </c>
      <c r="B7" s="128"/>
      <c r="C7" s="129" t="s">
        <v>81</v>
      </c>
      <c r="D7" s="129"/>
      <c r="E7" s="523" t="s">
        <v>82</v>
      </c>
      <c r="F7" s="523"/>
      <c r="G7" s="523"/>
      <c r="H7" s="523"/>
      <c r="I7" s="523"/>
      <c r="J7" s="523"/>
      <c r="K7" s="523"/>
      <c r="L7" s="524"/>
    </row>
    <row r="8" spans="1:12">
      <c r="A8" s="525" t="s">
        <v>83</v>
      </c>
      <c r="B8" s="526"/>
      <c r="C8" s="527" t="s">
        <v>84</v>
      </c>
      <c r="D8" s="528"/>
      <c r="E8" s="482" t="s">
        <v>85</v>
      </c>
      <c r="F8" s="529"/>
      <c r="G8" s="528"/>
      <c r="H8" s="482" t="s">
        <v>86</v>
      </c>
      <c r="I8" s="528"/>
      <c r="J8" s="130" t="s">
        <v>87</v>
      </c>
      <c r="K8" s="482" t="s">
        <v>88</v>
      </c>
      <c r="L8" s="528"/>
    </row>
    <row r="9" spans="1:12">
      <c r="A9" s="506" t="s">
        <v>89</v>
      </c>
      <c r="B9" s="507"/>
      <c r="C9" s="506" t="s">
        <v>90</v>
      </c>
      <c r="D9" s="507"/>
      <c r="E9" s="506" t="s">
        <v>91</v>
      </c>
      <c r="F9" s="530"/>
      <c r="G9" s="507"/>
      <c r="H9" s="506" t="s">
        <v>92</v>
      </c>
      <c r="I9" s="507"/>
      <c r="J9" s="504" t="s">
        <v>93</v>
      </c>
      <c r="K9" s="506" t="s">
        <v>94</v>
      </c>
      <c r="L9" s="507"/>
    </row>
    <row r="10" spans="1:12">
      <c r="A10" s="508"/>
      <c r="B10" s="509"/>
      <c r="C10" s="508"/>
      <c r="D10" s="509"/>
      <c r="E10" s="508"/>
      <c r="F10" s="531"/>
      <c r="G10" s="509"/>
      <c r="H10" s="508"/>
      <c r="I10" s="509"/>
      <c r="J10" s="505"/>
      <c r="K10" s="508"/>
      <c r="L10" s="509"/>
    </row>
    <row r="11" spans="1:12" ht="25.5" customHeight="1">
      <c r="A11" s="813" t="s">
        <v>1336</v>
      </c>
      <c r="B11" s="814"/>
      <c r="C11" s="826" t="s">
        <v>1337</v>
      </c>
      <c r="D11" s="827"/>
      <c r="E11" s="492" t="s">
        <v>1019</v>
      </c>
      <c r="F11" s="492"/>
      <c r="G11" s="812"/>
      <c r="H11" s="496" t="s">
        <v>1338</v>
      </c>
      <c r="I11" s="495"/>
      <c r="J11" s="809" t="s">
        <v>1339</v>
      </c>
      <c r="K11" s="497" t="s">
        <v>997</v>
      </c>
      <c r="L11" s="498"/>
    </row>
    <row r="12" spans="1:12">
      <c r="A12" s="817"/>
      <c r="B12" s="818"/>
      <c r="C12" s="828"/>
      <c r="D12" s="829"/>
      <c r="E12" s="493"/>
      <c r="F12" s="493"/>
      <c r="G12" s="811"/>
      <c r="H12" s="495"/>
      <c r="I12" s="495"/>
      <c r="J12" s="810"/>
      <c r="K12" s="499"/>
      <c r="L12" s="500"/>
    </row>
    <row r="13" spans="1:12" ht="62.25" customHeight="1">
      <c r="A13" s="815"/>
      <c r="B13" s="816"/>
      <c r="C13" s="828"/>
      <c r="D13" s="829"/>
      <c r="E13" s="492" t="s">
        <v>1035</v>
      </c>
      <c r="F13" s="492"/>
      <c r="G13" s="812"/>
      <c r="H13" s="495"/>
      <c r="I13" s="495"/>
      <c r="J13" s="810"/>
      <c r="K13" s="499"/>
      <c r="L13" s="500"/>
    </row>
    <row r="14" spans="1:12">
      <c r="A14" s="813" t="s">
        <v>1340</v>
      </c>
      <c r="B14" s="814"/>
      <c r="C14" s="828"/>
      <c r="D14" s="829"/>
      <c r="E14" s="493"/>
      <c r="F14" s="493"/>
      <c r="G14" s="811"/>
      <c r="H14" s="495"/>
      <c r="I14" s="495"/>
      <c r="J14" s="810"/>
      <c r="K14" s="499"/>
      <c r="L14" s="500"/>
    </row>
    <row r="15" spans="1:12" ht="26.25" customHeight="1">
      <c r="A15" s="815"/>
      <c r="B15" s="816"/>
      <c r="C15" s="828"/>
      <c r="D15" s="829"/>
      <c r="E15" s="492" t="s">
        <v>1037</v>
      </c>
      <c r="F15" s="492"/>
      <c r="G15" s="812"/>
      <c r="H15" s="495"/>
      <c r="I15" s="495"/>
      <c r="J15" s="810"/>
      <c r="K15" s="499"/>
      <c r="L15" s="500"/>
    </row>
    <row r="16" spans="1:12" ht="13.5" customHeight="1">
      <c r="A16" s="813" t="s">
        <v>1001</v>
      </c>
      <c r="B16" s="814"/>
      <c r="C16" s="828"/>
      <c r="D16" s="829"/>
      <c r="E16" s="503"/>
      <c r="F16" s="503"/>
      <c r="G16" s="819"/>
      <c r="H16" s="495"/>
      <c r="I16" s="495"/>
      <c r="J16" s="810"/>
      <c r="K16" s="499"/>
      <c r="L16" s="500"/>
    </row>
    <row r="17" spans="1:12" ht="33.75" customHeight="1">
      <c r="A17" s="817"/>
      <c r="B17" s="818"/>
      <c r="C17" s="828"/>
      <c r="D17" s="829"/>
      <c r="E17" s="478" t="s">
        <v>1341</v>
      </c>
      <c r="F17" s="478"/>
      <c r="G17" s="825"/>
      <c r="H17" s="495"/>
      <c r="I17" s="495"/>
      <c r="J17" s="810"/>
      <c r="K17" s="499"/>
      <c r="L17" s="500"/>
    </row>
    <row r="18" spans="1:12" ht="17.25" customHeight="1">
      <c r="A18" s="815"/>
      <c r="B18" s="816"/>
      <c r="C18" s="828"/>
      <c r="D18" s="829"/>
      <c r="E18" s="478"/>
      <c r="F18" s="478"/>
      <c r="G18" s="825"/>
      <c r="H18" s="495"/>
      <c r="I18" s="495"/>
      <c r="J18" s="810"/>
      <c r="K18" s="499"/>
      <c r="L18" s="500"/>
    </row>
    <row r="19" spans="1:12" ht="24.75" customHeight="1">
      <c r="A19" s="820" t="s">
        <v>1342</v>
      </c>
      <c r="B19" s="821"/>
      <c r="C19" s="828"/>
      <c r="D19" s="829"/>
      <c r="E19" s="493"/>
      <c r="F19" s="493"/>
      <c r="G19" s="811"/>
      <c r="H19" s="495"/>
      <c r="I19" s="495"/>
      <c r="J19" s="810"/>
      <c r="K19" s="499"/>
      <c r="L19" s="500"/>
    </row>
    <row r="20" spans="1:12" ht="65.25" customHeight="1">
      <c r="A20" s="499"/>
      <c r="B20" s="822"/>
      <c r="C20" s="828"/>
      <c r="D20" s="829"/>
      <c r="E20" s="492" t="s">
        <v>1343</v>
      </c>
      <c r="F20" s="492"/>
      <c r="G20" s="812"/>
      <c r="H20" s="495"/>
      <c r="I20" s="495"/>
      <c r="J20" s="810"/>
      <c r="K20" s="499"/>
      <c r="L20" s="500"/>
    </row>
    <row r="21" spans="1:12" ht="15.75" customHeight="1">
      <c r="A21" s="499"/>
      <c r="B21" s="822"/>
      <c r="C21" s="828"/>
      <c r="D21" s="829"/>
      <c r="E21" s="493"/>
      <c r="F21" s="493"/>
      <c r="G21" s="811"/>
      <c r="H21" s="495"/>
      <c r="I21" s="495"/>
      <c r="J21" s="810"/>
      <c r="K21" s="499"/>
      <c r="L21" s="500"/>
    </row>
    <row r="22" spans="1:12" ht="27.75" customHeight="1">
      <c r="A22" s="499"/>
      <c r="B22" s="822"/>
      <c r="C22" s="828"/>
      <c r="D22" s="829"/>
      <c r="E22" s="492" t="s">
        <v>1344</v>
      </c>
      <c r="F22" s="492"/>
      <c r="G22" s="812"/>
      <c r="H22" s="495"/>
      <c r="I22" s="495"/>
      <c r="J22" s="810"/>
      <c r="K22" s="499"/>
      <c r="L22" s="500"/>
    </row>
    <row r="23" spans="1:12">
      <c r="A23" s="499"/>
      <c r="B23" s="822"/>
      <c r="C23" s="828"/>
      <c r="D23" s="829"/>
      <c r="E23" s="478"/>
      <c r="F23" s="478"/>
      <c r="G23" s="825"/>
      <c r="H23" s="495"/>
      <c r="I23" s="495"/>
      <c r="J23" s="810"/>
      <c r="K23" s="499"/>
      <c r="L23" s="500"/>
    </row>
    <row r="24" spans="1:12">
      <c r="A24" s="499"/>
      <c r="B24" s="822"/>
      <c r="C24" s="828"/>
      <c r="D24" s="829"/>
      <c r="E24" s="492" t="s">
        <v>1345</v>
      </c>
      <c r="F24" s="492"/>
      <c r="G24" s="812"/>
      <c r="H24" s="495"/>
      <c r="I24" s="495"/>
      <c r="J24" s="810"/>
      <c r="K24" s="499"/>
      <c r="L24" s="500"/>
    </row>
    <row r="25" spans="1:12">
      <c r="A25" s="499"/>
      <c r="B25" s="822"/>
      <c r="C25" s="828"/>
      <c r="D25" s="829"/>
      <c r="E25" s="492"/>
      <c r="F25" s="492"/>
      <c r="G25" s="812"/>
      <c r="H25" s="495"/>
      <c r="I25" s="495"/>
      <c r="J25" s="810"/>
      <c r="K25" s="499"/>
      <c r="L25" s="500"/>
    </row>
    <row r="26" spans="1:12" ht="27.75" customHeight="1">
      <c r="A26" s="499"/>
      <c r="B26" s="822"/>
      <c r="C26" s="828"/>
      <c r="D26" s="829"/>
      <c r="E26" s="492" t="s">
        <v>1346</v>
      </c>
      <c r="F26" s="492"/>
      <c r="G26" s="812"/>
      <c r="H26" s="495"/>
      <c r="I26" s="495"/>
      <c r="J26" s="810"/>
      <c r="K26" s="499"/>
      <c r="L26" s="500"/>
    </row>
    <row r="27" spans="1:12">
      <c r="A27" s="499"/>
      <c r="B27" s="822"/>
      <c r="C27" s="828"/>
      <c r="D27" s="829"/>
      <c r="E27" s="492"/>
      <c r="F27" s="492"/>
      <c r="G27" s="812"/>
      <c r="H27" s="495"/>
      <c r="I27" s="495"/>
      <c r="J27" s="810"/>
      <c r="K27" s="499"/>
      <c r="L27" s="500"/>
    </row>
    <row r="28" spans="1:12" ht="24" customHeight="1">
      <c r="A28" s="499"/>
      <c r="B28" s="822"/>
      <c r="C28" s="828"/>
      <c r="D28" s="829"/>
      <c r="E28" s="492" t="s">
        <v>1347</v>
      </c>
      <c r="F28" s="492"/>
      <c r="G28" s="812"/>
      <c r="H28" s="495"/>
      <c r="I28" s="495"/>
      <c r="J28" s="810"/>
      <c r="K28" s="499"/>
      <c r="L28" s="500"/>
    </row>
    <row r="29" spans="1:12">
      <c r="A29" s="499"/>
      <c r="B29" s="822"/>
      <c r="C29" s="828"/>
      <c r="D29" s="829"/>
      <c r="E29" s="492"/>
      <c r="F29" s="492"/>
      <c r="G29" s="812"/>
      <c r="H29" s="495"/>
      <c r="I29" s="495"/>
      <c r="J29" s="810"/>
      <c r="K29" s="499"/>
      <c r="L29" s="500"/>
    </row>
    <row r="30" spans="1:12" ht="46.5" customHeight="1">
      <c r="A30" s="823"/>
      <c r="B30" s="824"/>
      <c r="C30" s="830"/>
      <c r="D30" s="831"/>
      <c r="E30" s="492" t="s">
        <v>1348</v>
      </c>
      <c r="F30" s="492"/>
      <c r="G30" s="812"/>
      <c r="H30" s="495"/>
      <c r="I30" s="495"/>
      <c r="J30" s="810"/>
      <c r="K30" s="501"/>
      <c r="L30" s="502"/>
    </row>
    <row r="31" spans="1:12">
      <c r="A31" s="479" t="s">
        <v>108</v>
      </c>
      <c r="B31" s="480"/>
      <c r="C31" s="480"/>
      <c r="D31" s="480"/>
      <c r="E31" s="480"/>
      <c r="F31" s="480"/>
      <c r="G31" s="480"/>
      <c r="H31" s="481"/>
      <c r="I31" s="131" t="s">
        <v>109</v>
      </c>
      <c r="J31" s="131" t="s">
        <v>110</v>
      </c>
      <c r="K31" s="132" t="s">
        <v>111</v>
      </c>
      <c r="L31" s="132" t="s">
        <v>112</v>
      </c>
    </row>
    <row r="32" spans="1:12">
      <c r="A32" s="482"/>
      <c r="B32" s="483"/>
      <c r="C32" s="483"/>
      <c r="D32" s="483"/>
      <c r="E32" s="483"/>
      <c r="F32" s="483"/>
      <c r="G32" s="483"/>
      <c r="H32" s="484"/>
      <c r="I32" s="133" t="s">
        <v>113</v>
      </c>
      <c r="J32" s="134" t="s">
        <v>114</v>
      </c>
      <c r="K32" s="134"/>
      <c r="L32" s="134" t="s">
        <v>1334</v>
      </c>
    </row>
    <row r="33" spans="1:12">
      <c r="A33" s="485" t="s">
        <v>115</v>
      </c>
      <c r="B33" s="486"/>
      <c r="C33" s="486"/>
      <c r="D33" s="486"/>
      <c r="E33" s="486"/>
      <c r="F33" s="486"/>
      <c r="G33" s="486"/>
      <c r="H33" s="487"/>
      <c r="I33" s="133" t="s">
        <v>116</v>
      </c>
      <c r="J33" s="134" t="s">
        <v>117</v>
      </c>
      <c r="K33" s="134"/>
      <c r="L33" s="134"/>
    </row>
    <row r="34" spans="1:12">
      <c r="A34" s="485"/>
      <c r="B34" s="486"/>
      <c r="C34" s="486"/>
      <c r="D34" s="486"/>
      <c r="E34" s="486"/>
      <c r="F34" s="486"/>
      <c r="G34" s="486"/>
      <c r="H34" s="487"/>
      <c r="I34" s="133" t="s">
        <v>118</v>
      </c>
      <c r="J34" s="134" t="s">
        <v>988</v>
      </c>
      <c r="K34" s="134"/>
      <c r="L34" s="134"/>
    </row>
    <row r="35" spans="1:12">
      <c r="A35" s="488" t="s">
        <v>119</v>
      </c>
      <c r="B35" s="489"/>
      <c r="C35" s="490" t="s">
        <v>120</v>
      </c>
      <c r="D35" s="490"/>
      <c r="E35" s="491" t="s">
        <v>121</v>
      </c>
      <c r="F35" s="491"/>
      <c r="G35" s="491"/>
      <c r="H35" s="491"/>
      <c r="I35" s="133" t="s">
        <v>122</v>
      </c>
      <c r="J35" s="134"/>
      <c r="K35" s="134"/>
      <c r="L35" s="134"/>
    </row>
    <row r="41" spans="1:12" ht="19.5">
      <c r="A41" s="532" t="s">
        <v>69</v>
      </c>
      <c r="B41" s="533"/>
      <c r="C41" s="533"/>
      <c r="D41" s="533"/>
      <c r="E41" s="533"/>
      <c r="F41" s="533"/>
      <c r="G41" s="533"/>
      <c r="H41" s="533"/>
      <c r="I41" s="533"/>
      <c r="J41" s="533"/>
      <c r="K41" s="533"/>
      <c r="L41" s="534"/>
    </row>
    <row r="42" spans="1:12">
      <c r="A42" s="125" t="s">
        <v>70</v>
      </c>
      <c r="B42" s="126"/>
      <c r="C42" s="126"/>
      <c r="D42" s="126"/>
      <c r="E42" s="517" t="s">
        <v>71</v>
      </c>
      <c r="F42" s="517"/>
      <c r="G42" s="535" t="s">
        <v>1349</v>
      </c>
      <c r="H42" s="536"/>
      <c r="I42" s="536"/>
      <c r="J42" s="537" t="s">
        <v>73</v>
      </c>
      <c r="K42" s="537"/>
      <c r="L42" s="538"/>
    </row>
    <row r="43" spans="1:12">
      <c r="A43" s="539" t="s">
        <v>1029</v>
      </c>
      <c r="B43" s="540"/>
      <c r="C43" s="540"/>
      <c r="D43" s="540"/>
      <c r="E43" s="540"/>
      <c r="F43" s="540"/>
      <c r="G43" s="540"/>
      <c r="H43" s="540"/>
      <c r="I43" s="541"/>
      <c r="J43" s="542" t="s">
        <v>75</v>
      </c>
      <c r="K43" s="542"/>
      <c r="L43" s="542"/>
    </row>
    <row r="44" spans="1:12">
      <c r="A44" s="510" t="s">
        <v>1335</v>
      </c>
      <c r="B44" s="511"/>
      <c r="C44" s="511"/>
      <c r="D44" s="511"/>
      <c r="E44" s="511"/>
      <c r="F44" s="511"/>
      <c r="G44" s="512"/>
      <c r="H44" s="516" t="s">
        <v>77</v>
      </c>
      <c r="I44" s="516"/>
      <c r="J44" s="518" t="s">
        <v>990</v>
      </c>
      <c r="K44" s="519" t="s">
        <v>991</v>
      </c>
      <c r="L44" s="520"/>
    </row>
    <row r="45" spans="1:12">
      <c r="A45" s="513"/>
      <c r="B45" s="514"/>
      <c r="C45" s="514"/>
      <c r="D45" s="514"/>
      <c r="E45" s="514"/>
      <c r="F45" s="514"/>
      <c r="G45" s="515"/>
      <c r="H45" s="517"/>
      <c r="I45" s="517"/>
      <c r="J45" s="516"/>
      <c r="K45" s="521"/>
      <c r="L45" s="522"/>
    </row>
    <row r="46" spans="1:12">
      <c r="A46" s="127" t="s">
        <v>80</v>
      </c>
      <c r="B46" s="128"/>
      <c r="C46" s="129" t="s">
        <v>81</v>
      </c>
      <c r="D46" s="129"/>
      <c r="E46" s="523" t="s">
        <v>82</v>
      </c>
      <c r="F46" s="523"/>
      <c r="G46" s="523"/>
      <c r="H46" s="523"/>
      <c r="I46" s="523"/>
      <c r="J46" s="523"/>
      <c r="K46" s="523"/>
      <c r="L46" s="524"/>
    </row>
    <row r="47" spans="1:12">
      <c r="A47" s="525" t="s">
        <v>83</v>
      </c>
      <c r="B47" s="526"/>
      <c r="C47" s="527" t="s">
        <v>84</v>
      </c>
      <c r="D47" s="528"/>
      <c r="E47" s="482" t="s">
        <v>85</v>
      </c>
      <c r="F47" s="529"/>
      <c r="G47" s="528"/>
      <c r="H47" s="482" t="s">
        <v>86</v>
      </c>
      <c r="I47" s="528"/>
      <c r="J47" s="130" t="s">
        <v>87</v>
      </c>
      <c r="K47" s="482" t="s">
        <v>88</v>
      </c>
      <c r="L47" s="528"/>
    </row>
    <row r="48" spans="1:12">
      <c r="A48" s="506" t="s">
        <v>89</v>
      </c>
      <c r="B48" s="507"/>
      <c r="C48" s="506" t="s">
        <v>90</v>
      </c>
      <c r="D48" s="507"/>
      <c r="E48" s="506" t="s">
        <v>91</v>
      </c>
      <c r="F48" s="530"/>
      <c r="G48" s="507"/>
      <c r="H48" s="506" t="s">
        <v>92</v>
      </c>
      <c r="I48" s="507"/>
      <c r="J48" s="504" t="s">
        <v>93</v>
      </c>
      <c r="K48" s="506" t="s">
        <v>94</v>
      </c>
      <c r="L48" s="507"/>
    </row>
    <row r="49" spans="1:12">
      <c r="A49" s="508"/>
      <c r="B49" s="509"/>
      <c r="C49" s="508"/>
      <c r="D49" s="509"/>
      <c r="E49" s="508"/>
      <c r="F49" s="531"/>
      <c r="G49" s="509"/>
      <c r="H49" s="508"/>
      <c r="I49" s="509"/>
      <c r="J49" s="505"/>
      <c r="K49" s="508"/>
      <c r="L49" s="509"/>
    </row>
    <row r="50" spans="1:12" ht="15" customHeight="1">
      <c r="A50" s="834" t="s">
        <v>1068</v>
      </c>
      <c r="B50" s="814"/>
      <c r="C50" s="826" t="s">
        <v>1350</v>
      </c>
      <c r="D50" s="827"/>
      <c r="E50" s="492" t="s">
        <v>994</v>
      </c>
      <c r="F50" s="492"/>
      <c r="G50" s="812"/>
      <c r="H50" s="496" t="s">
        <v>1351</v>
      </c>
      <c r="I50" s="495"/>
      <c r="J50" s="809" t="s">
        <v>1352</v>
      </c>
      <c r="K50" s="497" t="s">
        <v>1353</v>
      </c>
      <c r="L50" s="498"/>
    </row>
    <row r="51" spans="1:12">
      <c r="A51" s="817"/>
      <c r="B51" s="818"/>
      <c r="C51" s="828"/>
      <c r="D51" s="829"/>
      <c r="E51" s="493"/>
      <c r="F51" s="493"/>
      <c r="G51" s="811"/>
      <c r="H51" s="495"/>
      <c r="I51" s="495"/>
      <c r="J51" s="810"/>
      <c r="K51" s="499"/>
      <c r="L51" s="500"/>
    </row>
    <row r="52" spans="1:12" ht="26.25" customHeight="1">
      <c r="A52" s="815"/>
      <c r="B52" s="816"/>
      <c r="C52" s="828"/>
      <c r="D52" s="829"/>
      <c r="E52" s="492" t="s">
        <v>1354</v>
      </c>
      <c r="F52" s="492"/>
      <c r="G52" s="812"/>
      <c r="H52" s="495"/>
      <c r="I52" s="495"/>
      <c r="J52" s="810"/>
      <c r="K52" s="499"/>
      <c r="L52" s="500"/>
    </row>
    <row r="53" spans="1:12" ht="25.5" customHeight="1">
      <c r="A53" s="813" t="s">
        <v>1355</v>
      </c>
      <c r="B53" s="814"/>
      <c r="C53" s="828"/>
      <c r="D53" s="829"/>
      <c r="E53" s="493"/>
      <c r="F53" s="493"/>
      <c r="G53" s="811"/>
      <c r="H53" s="495"/>
      <c r="I53" s="495"/>
      <c r="J53" s="810"/>
      <c r="K53" s="499"/>
      <c r="L53" s="500"/>
    </row>
    <row r="54" spans="1:12" ht="30.75" customHeight="1">
      <c r="A54" s="815"/>
      <c r="B54" s="816"/>
      <c r="C54" s="828"/>
      <c r="D54" s="829"/>
      <c r="E54" s="492" t="s">
        <v>1356</v>
      </c>
      <c r="F54" s="492"/>
      <c r="G54" s="812"/>
      <c r="H54" s="495"/>
      <c r="I54" s="495"/>
      <c r="J54" s="810"/>
      <c r="K54" s="499"/>
      <c r="L54" s="500"/>
    </row>
    <row r="55" spans="1:12" ht="15" customHeight="1">
      <c r="A55" s="813" t="s">
        <v>1001</v>
      </c>
      <c r="B55" s="814"/>
      <c r="C55" s="828"/>
      <c r="D55" s="829"/>
      <c r="E55" s="503"/>
      <c r="F55" s="503"/>
      <c r="G55" s="819"/>
      <c r="H55" s="495"/>
      <c r="I55" s="495"/>
      <c r="J55" s="810"/>
      <c r="K55" s="499"/>
      <c r="L55" s="500"/>
    </row>
    <row r="56" spans="1:12">
      <c r="A56" s="817"/>
      <c r="B56" s="818"/>
      <c r="C56" s="828"/>
      <c r="D56" s="829"/>
      <c r="E56" s="478" t="s">
        <v>1357</v>
      </c>
      <c r="F56" s="478"/>
      <c r="G56" s="825"/>
      <c r="H56" s="495"/>
      <c r="I56" s="495"/>
      <c r="J56" s="810"/>
      <c r="K56" s="499"/>
      <c r="L56" s="500"/>
    </row>
    <row r="57" spans="1:12">
      <c r="A57" s="815"/>
      <c r="B57" s="816"/>
      <c r="C57" s="828"/>
      <c r="D57" s="829"/>
      <c r="E57" s="478"/>
      <c r="F57" s="478"/>
      <c r="G57" s="825"/>
      <c r="H57" s="495"/>
      <c r="I57" s="495"/>
      <c r="J57" s="810"/>
      <c r="K57" s="499"/>
      <c r="L57" s="500"/>
    </row>
    <row r="58" spans="1:12" ht="15" customHeight="1">
      <c r="A58" s="820" t="s">
        <v>1358</v>
      </c>
      <c r="B58" s="821"/>
      <c r="C58" s="828"/>
      <c r="D58" s="829"/>
      <c r="E58" s="493"/>
      <c r="F58" s="493"/>
      <c r="G58" s="811"/>
      <c r="H58" s="495"/>
      <c r="I58" s="495"/>
      <c r="J58" s="810"/>
      <c r="K58" s="499"/>
      <c r="L58" s="500"/>
    </row>
    <row r="59" spans="1:12" ht="29.25" customHeight="1">
      <c r="A59" s="499"/>
      <c r="B59" s="822"/>
      <c r="C59" s="828"/>
      <c r="D59" s="829"/>
      <c r="E59" s="492" t="s">
        <v>1359</v>
      </c>
      <c r="F59" s="492"/>
      <c r="G59" s="812"/>
      <c r="H59" s="495"/>
      <c r="I59" s="495"/>
      <c r="J59" s="810"/>
      <c r="K59" s="499"/>
      <c r="L59" s="500"/>
    </row>
    <row r="60" spans="1:12">
      <c r="A60" s="499"/>
      <c r="B60" s="822"/>
      <c r="C60" s="828"/>
      <c r="D60" s="829"/>
      <c r="E60" s="493"/>
      <c r="F60" s="493"/>
      <c r="G60" s="811"/>
      <c r="H60" s="495"/>
      <c r="I60" s="495"/>
      <c r="J60" s="810"/>
      <c r="K60" s="499"/>
      <c r="L60" s="500"/>
    </row>
    <row r="61" spans="1:12" ht="34.5" customHeight="1">
      <c r="A61" s="499"/>
      <c r="B61" s="822"/>
      <c r="C61" s="828"/>
      <c r="D61" s="829"/>
      <c r="E61" s="492" t="s">
        <v>1360</v>
      </c>
      <c r="F61" s="492"/>
      <c r="G61" s="812"/>
      <c r="H61" s="495"/>
      <c r="I61" s="495"/>
      <c r="J61" s="810"/>
      <c r="K61" s="499"/>
      <c r="L61" s="500"/>
    </row>
    <row r="62" spans="1:12">
      <c r="A62" s="499"/>
      <c r="B62" s="822"/>
      <c r="C62" s="828"/>
      <c r="D62" s="829"/>
      <c r="E62" s="972"/>
      <c r="F62" s="478"/>
      <c r="G62" s="825"/>
      <c r="H62" s="495"/>
      <c r="I62" s="495"/>
      <c r="J62" s="810"/>
      <c r="K62" s="499"/>
      <c r="L62" s="500"/>
    </row>
    <row r="63" spans="1:12" ht="29.25" customHeight="1">
      <c r="A63" s="499"/>
      <c r="B63" s="822"/>
      <c r="C63" s="828"/>
      <c r="D63" s="829"/>
      <c r="E63" s="492" t="s">
        <v>1361</v>
      </c>
      <c r="F63" s="492"/>
      <c r="G63" s="812"/>
      <c r="H63" s="495"/>
      <c r="I63" s="495"/>
      <c r="J63" s="810"/>
      <c r="K63" s="499"/>
      <c r="L63" s="500"/>
    </row>
    <row r="64" spans="1:12">
      <c r="A64" s="499"/>
      <c r="B64" s="822"/>
      <c r="C64" s="828"/>
      <c r="D64" s="829"/>
      <c r="E64" s="492"/>
      <c r="F64" s="492"/>
      <c r="G64" s="812"/>
      <c r="H64" s="495"/>
      <c r="I64" s="495"/>
      <c r="J64" s="810"/>
      <c r="K64" s="499"/>
      <c r="L64" s="500"/>
    </row>
    <row r="65" spans="1:13">
      <c r="A65" s="499"/>
      <c r="B65" s="822"/>
      <c r="C65" s="828"/>
      <c r="D65" s="829"/>
      <c r="E65" s="492" t="s">
        <v>1362</v>
      </c>
      <c r="F65" s="492"/>
      <c r="G65" s="812"/>
      <c r="H65" s="495"/>
      <c r="I65" s="495"/>
      <c r="J65" s="810"/>
      <c r="K65" s="499"/>
      <c r="L65" s="500"/>
    </row>
    <row r="66" spans="1:13">
      <c r="A66" s="499"/>
      <c r="B66" s="822"/>
      <c r="C66" s="828"/>
      <c r="D66" s="829"/>
      <c r="E66" s="492"/>
      <c r="F66" s="492"/>
      <c r="G66" s="812"/>
      <c r="H66" s="495"/>
      <c r="I66" s="495"/>
      <c r="J66" s="810"/>
      <c r="K66" s="499"/>
      <c r="L66" s="500"/>
    </row>
    <row r="67" spans="1:13">
      <c r="A67" s="499"/>
      <c r="B67" s="822"/>
      <c r="C67" s="828"/>
      <c r="D67" s="829"/>
      <c r="E67" s="492"/>
      <c r="F67" s="492"/>
      <c r="G67" s="812"/>
      <c r="H67" s="495"/>
      <c r="I67" s="495"/>
      <c r="J67" s="810"/>
      <c r="K67" s="499"/>
      <c r="L67" s="500"/>
    </row>
    <row r="68" spans="1:13">
      <c r="A68" s="499"/>
      <c r="B68" s="822"/>
      <c r="C68" s="828"/>
      <c r="D68" s="829"/>
      <c r="E68" s="492"/>
      <c r="F68" s="492"/>
      <c r="G68" s="812"/>
      <c r="H68" s="495"/>
      <c r="I68" s="495"/>
      <c r="J68" s="810"/>
      <c r="K68" s="499"/>
      <c r="L68" s="500"/>
    </row>
    <row r="69" spans="1:13">
      <c r="A69" s="823"/>
      <c r="B69" s="824"/>
      <c r="C69" s="830"/>
      <c r="D69" s="831"/>
      <c r="E69" s="492"/>
      <c r="F69" s="492"/>
      <c r="G69" s="812"/>
      <c r="H69" s="495"/>
      <c r="I69" s="495"/>
      <c r="J69" s="810"/>
      <c r="K69" s="501"/>
      <c r="L69" s="502"/>
    </row>
    <row r="70" spans="1:13">
      <c r="A70" s="479" t="s">
        <v>108</v>
      </c>
      <c r="B70" s="480"/>
      <c r="C70" s="480"/>
      <c r="D70" s="480"/>
      <c r="E70" s="480"/>
      <c r="F70" s="480"/>
      <c r="G70" s="480"/>
      <c r="H70" s="481"/>
      <c r="I70" s="131" t="s">
        <v>109</v>
      </c>
      <c r="J70" s="131" t="s">
        <v>110</v>
      </c>
      <c r="K70" s="132" t="s">
        <v>111</v>
      </c>
      <c r="L70" s="132" t="s">
        <v>112</v>
      </c>
    </row>
    <row r="71" spans="1:13">
      <c r="A71" s="482"/>
      <c r="B71" s="483"/>
      <c r="C71" s="483"/>
      <c r="D71" s="483"/>
      <c r="E71" s="483"/>
      <c r="F71" s="483"/>
      <c r="G71" s="483"/>
      <c r="H71" s="484"/>
      <c r="I71" s="133" t="s">
        <v>113</v>
      </c>
      <c r="J71" s="134" t="s">
        <v>114</v>
      </c>
      <c r="K71" s="134"/>
      <c r="L71" s="134" t="s">
        <v>1363</v>
      </c>
    </row>
    <row r="72" spans="1:13">
      <c r="A72" s="485" t="s">
        <v>115</v>
      </c>
      <c r="B72" s="486"/>
      <c r="C72" s="486"/>
      <c r="D72" s="486"/>
      <c r="E72" s="486"/>
      <c r="F72" s="486"/>
      <c r="G72" s="486"/>
      <c r="H72" s="487"/>
      <c r="I72" s="133" t="s">
        <v>116</v>
      </c>
      <c r="J72" s="134" t="s">
        <v>117</v>
      </c>
      <c r="K72" s="134"/>
      <c r="L72" s="134"/>
    </row>
    <row r="73" spans="1:13">
      <c r="A73" s="485"/>
      <c r="B73" s="486"/>
      <c r="C73" s="486"/>
      <c r="D73" s="486"/>
      <c r="E73" s="486"/>
      <c r="F73" s="486"/>
      <c r="G73" s="486"/>
      <c r="H73" s="487"/>
      <c r="I73" s="133" t="s">
        <v>118</v>
      </c>
      <c r="J73" s="134" t="s">
        <v>988</v>
      </c>
      <c r="K73" s="134"/>
      <c r="L73" s="134"/>
    </row>
    <row r="74" spans="1:13">
      <c r="A74" s="488" t="s">
        <v>119</v>
      </c>
      <c r="B74" s="489"/>
      <c r="C74" s="490" t="s">
        <v>120</v>
      </c>
      <c r="D74" s="490"/>
      <c r="E74" s="491" t="s">
        <v>121</v>
      </c>
      <c r="F74" s="491"/>
      <c r="G74" s="491"/>
      <c r="H74" s="491"/>
      <c r="I74" s="133" t="s">
        <v>122</v>
      </c>
      <c r="J74" s="134"/>
      <c r="K74" s="134"/>
      <c r="L74" s="134"/>
    </row>
    <row r="78" spans="1:13" ht="19.5" customHeight="1">
      <c r="B78" s="532" t="s">
        <v>69</v>
      </c>
      <c r="C78" s="533"/>
      <c r="D78" s="533"/>
      <c r="E78" s="533"/>
      <c r="F78" s="533"/>
      <c r="G78" s="533"/>
      <c r="H78" s="533"/>
      <c r="I78" s="533"/>
      <c r="J78" s="533"/>
      <c r="K78" s="533"/>
      <c r="L78" s="533"/>
      <c r="M78" s="534"/>
    </row>
    <row r="79" spans="1:13" ht="25.5" customHeight="1">
      <c r="B79" s="125" t="s">
        <v>70</v>
      </c>
      <c r="C79" s="126"/>
      <c r="D79" s="126"/>
      <c r="E79" s="126"/>
      <c r="F79" s="961" t="s">
        <v>71</v>
      </c>
      <c r="G79" s="962"/>
      <c r="H79" s="963" t="s">
        <v>1363</v>
      </c>
      <c r="I79" s="535"/>
      <c r="J79" s="535"/>
      <c r="K79" s="537" t="s">
        <v>73</v>
      </c>
      <c r="L79" s="537"/>
      <c r="M79" s="538"/>
    </row>
    <row r="80" spans="1:13">
      <c r="B80" s="539" t="s">
        <v>1364</v>
      </c>
      <c r="C80" s="540"/>
      <c r="D80" s="540"/>
      <c r="E80" s="540"/>
      <c r="F80" s="540"/>
      <c r="G80" s="540"/>
      <c r="H80" s="540"/>
      <c r="I80" s="540"/>
      <c r="J80" s="541"/>
      <c r="K80" s="539" t="s">
        <v>75</v>
      </c>
      <c r="L80" s="540"/>
      <c r="M80" s="541"/>
    </row>
    <row r="81" spans="2:13" ht="15" customHeight="1">
      <c r="B81" s="510" t="s">
        <v>1365</v>
      </c>
      <c r="C81" s="964"/>
      <c r="D81" s="964"/>
      <c r="E81" s="964"/>
      <c r="F81" s="964"/>
      <c r="G81" s="964"/>
      <c r="H81" s="965"/>
      <c r="I81" s="968" t="s">
        <v>77</v>
      </c>
      <c r="J81" s="520"/>
      <c r="K81" s="518" t="s">
        <v>990</v>
      </c>
      <c r="L81" s="519" t="s">
        <v>991</v>
      </c>
      <c r="M81" s="969"/>
    </row>
    <row r="82" spans="2:13">
      <c r="B82" s="527"/>
      <c r="C82" s="966"/>
      <c r="D82" s="966"/>
      <c r="E82" s="966"/>
      <c r="F82" s="966"/>
      <c r="G82" s="966"/>
      <c r="H82" s="967"/>
      <c r="I82" s="521"/>
      <c r="J82" s="522"/>
      <c r="K82" s="516"/>
      <c r="L82" s="970"/>
      <c r="M82" s="971"/>
    </row>
    <row r="83" spans="2:13">
      <c r="B83" s="127" t="s">
        <v>80</v>
      </c>
      <c r="C83" s="128"/>
      <c r="D83" s="129" t="s">
        <v>81</v>
      </c>
      <c r="E83" s="129"/>
      <c r="F83" s="523" t="s">
        <v>82</v>
      </c>
      <c r="G83" s="523"/>
      <c r="H83" s="523"/>
      <c r="I83" s="523"/>
      <c r="J83" s="523"/>
      <c r="K83" s="523"/>
      <c r="L83" s="523"/>
      <c r="M83" s="524"/>
    </row>
    <row r="84" spans="2:13" ht="63" customHeight="1">
      <c r="B84" s="525" t="s">
        <v>83</v>
      </c>
      <c r="C84" s="526"/>
      <c r="D84" s="952" t="s">
        <v>84</v>
      </c>
      <c r="E84" s="953"/>
      <c r="F84" s="525" t="s">
        <v>85</v>
      </c>
      <c r="G84" s="954"/>
      <c r="H84" s="526"/>
      <c r="I84" s="525" t="s">
        <v>86</v>
      </c>
      <c r="J84" s="526"/>
      <c r="K84" s="130" t="s">
        <v>87</v>
      </c>
      <c r="L84" s="525" t="s">
        <v>88</v>
      </c>
      <c r="M84" s="526"/>
    </row>
    <row r="85" spans="2:13" ht="25.5" customHeight="1">
      <c r="B85" s="506" t="s">
        <v>89</v>
      </c>
      <c r="C85" s="507"/>
      <c r="D85" s="506" t="s">
        <v>90</v>
      </c>
      <c r="E85" s="507"/>
      <c r="F85" s="506" t="s">
        <v>91</v>
      </c>
      <c r="G85" s="530"/>
      <c r="H85" s="507"/>
      <c r="I85" s="506" t="s">
        <v>92</v>
      </c>
      <c r="J85" s="507"/>
      <c r="K85" s="505" t="s">
        <v>93</v>
      </c>
      <c r="L85" s="506" t="s">
        <v>94</v>
      </c>
      <c r="M85" s="507"/>
    </row>
    <row r="86" spans="2:13" ht="25.5" customHeight="1">
      <c r="B86" s="955"/>
      <c r="C86" s="956"/>
      <c r="D86" s="955"/>
      <c r="E86" s="956"/>
      <c r="F86" s="955"/>
      <c r="G86" s="957"/>
      <c r="H86" s="956"/>
      <c r="I86" s="955"/>
      <c r="J86" s="956"/>
      <c r="K86" s="958"/>
      <c r="L86" s="959"/>
      <c r="M86" s="960"/>
    </row>
    <row r="87" spans="2:13" ht="15" customHeight="1">
      <c r="B87" s="834" t="s">
        <v>1366</v>
      </c>
      <c r="C87" s="814"/>
      <c r="D87" s="826" t="s">
        <v>1367</v>
      </c>
      <c r="E87" s="827"/>
      <c r="F87" s="812" t="s">
        <v>994</v>
      </c>
      <c r="G87" s="922"/>
      <c r="H87" s="923"/>
      <c r="I87" s="936" t="s">
        <v>1368</v>
      </c>
      <c r="J87" s="937"/>
      <c r="K87" s="942" t="s">
        <v>1369</v>
      </c>
      <c r="L87" s="497" t="s">
        <v>997</v>
      </c>
      <c r="M87" s="498"/>
    </row>
    <row r="88" spans="2:13">
      <c r="B88" s="817"/>
      <c r="C88" s="818"/>
      <c r="D88" s="828"/>
      <c r="E88" s="829"/>
      <c r="F88" s="811"/>
      <c r="G88" s="945"/>
      <c r="H88" s="946"/>
      <c r="I88" s="938"/>
      <c r="J88" s="939"/>
      <c r="K88" s="943"/>
      <c r="L88" s="499"/>
      <c r="M88" s="500"/>
    </row>
    <row r="89" spans="2:13" ht="19.5" customHeight="1">
      <c r="B89" s="815"/>
      <c r="C89" s="816"/>
      <c r="D89" s="828"/>
      <c r="E89" s="829"/>
      <c r="F89" s="812" t="s">
        <v>1370</v>
      </c>
      <c r="G89" s="922"/>
      <c r="H89" s="923"/>
      <c r="I89" s="938"/>
      <c r="J89" s="939"/>
      <c r="K89" s="943"/>
      <c r="L89" s="499"/>
      <c r="M89" s="500"/>
    </row>
    <row r="90" spans="2:13" ht="15" customHeight="1">
      <c r="B90" s="813" t="s">
        <v>1371</v>
      </c>
      <c r="C90" s="814"/>
      <c r="D90" s="828"/>
      <c r="E90" s="829"/>
      <c r="F90" s="811"/>
      <c r="G90" s="945"/>
      <c r="H90" s="946"/>
      <c r="I90" s="938"/>
      <c r="J90" s="939"/>
      <c r="K90" s="943"/>
      <c r="L90" s="499"/>
      <c r="M90" s="500"/>
    </row>
    <row r="91" spans="2:13" ht="22.5" customHeight="1">
      <c r="B91" s="815"/>
      <c r="C91" s="816"/>
      <c r="D91" s="828"/>
      <c r="E91" s="829"/>
      <c r="F91" s="812" t="s">
        <v>1372</v>
      </c>
      <c r="G91" s="922"/>
      <c r="H91" s="923"/>
      <c r="I91" s="938"/>
      <c r="J91" s="939"/>
      <c r="K91" s="943"/>
      <c r="L91" s="499"/>
      <c r="M91" s="500"/>
    </row>
    <row r="92" spans="2:13" ht="22.5" customHeight="1">
      <c r="B92" s="813" t="s">
        <v>1001</v>
      </c>
      <c r="C92" s="814"/>
      <c r="D92" s="828"/>
      <c r="E92" s="829"/>
      <c r="F92" s="819"/>
      <c r="G92" s="947"/>
      <c r="H92" s="948"/>
      <c r="I92" s="938"/>
      <c r="J92" s="939"/>
      <c r="K92" s="943"/>
      <c r="L92" s="499"/>
      <c r="M92" s="500"/>
    </row>
    <row r="93" spans="2:13" ht="15" customHeight="1">
      <c r="B93" s="817"/>
      <c r="C93" s="818"/>
      <c r="D93" s="828"/>
      <c r="E93" s="829"/>
      <c r="F93" s="820" t="s">
        <v>1373</v>
      </c>
      <c r="G93" s="924"/>
      <c r="H93" s="821"/>
      <c r="I93" s="938"/>
      <c r="J93" s="939"/>
      <c r="K93" s="943"/>
      <c r="L93" s="499"/>
      <c r="M93" s="500"/>
    </row>
    <row r="94" spans="2:13">
      <c r="B94" s="815"/>
      <c r="C94" s="816"/>
      <c r="D94" s="828"/>
      <c r="E94" s="829"/>
      <c r="F94" s="823"/>
      <c r="G94" s="949"/>
      <c r="H94" s="824"/>
      <c r="I94" s="938"/>
      <c r="J94" s="939"/>
      <c r="K94" s="943"/>
      <c r="L94" s="499"/>
      <c r="M94" s="500"/>
    </row>
    <row r="95" spans="2:13" ht="15" customHeight="1">
      <c r="B95" s="820" t="s">
        <v>1374</v>
      </c>
      <c r="C95" s="821"/>
      <c r="D95" s="828"/>
      <c r="E95" s="829"/>
      <c r="F95" s="811"/>
      <c r="G95" s="945"/>
      <c r="H95" s="946"/>
      <c r="I95" s="938"/>
      <c r="J95" s="939"/>
      <c r="K95" s="943"/>
      <c r="L95" s="499"/>
      <c r="M95" s="500"/>
    </row>
    <row r="96" spans="2:13" ht="27.75" customHeight="1">
      <c r="B96" s="499"/>
      <c r="C96" s="822"/>
      <c r="D96" s="828"/>
      <c r="E96" s="829"/>
      <c r="F96" s="812" t="s">
        <v>1375</v>
      </c>
      <c r="G96" s="922"/>
      <c r="H96" s="923"/>
      <c r="I96" s="938"/>
      <c r="J96" s="939"/>
      <c r="K96" s="943"/>
      <c r="L96" s="499"/>
      <c r="M96" s="500"/>
    </row>
    <row r="97" spans="2:13">
      <c r="B97" s="499"/>
      <c r="C97" s="822"/>
      <c r="D97" s="828"/>
      <c r="E97" s="829"/>
      <c r="F97" s="811"/>
      <c r="G97" s="945"/>
      <c r="H97" s="946"/>
      <c r="I97" s="938"/>
      <c r="J97" s="939"/>
      <c r="K97" s="943"/>
      <c r="L97" s="499"/>
      <c r="M97" s="500"/>
    </row>
    <row r="98" spans="2:13" ht="30" customHeight="1">
      <c r="B98" s="499"/>
      <c r="C98" s="822"/>
      <c r="D98" s="828"/>
      <c r="E98" s="829"/>
      <c r="F98" s="812" t="s">
        <v>1376</v>
      </c>
      <c r="G98" s="922"/>
      <c r="H98" s="923"/>
      <c r="I98" s="938"/>
      <c r="J98" s="939"/>
      <c r="K98" s="943"/>
      <c r="L98" s="499"/>
      <c r="M98" s="500"/>
    </row>
    <row r="99" spans="2:13" ht="20.25" customHeight="1">
      <c r="B99" s="499"/>
      <c r="C99" s="822"/>
      <c r="D99" s="828"/>
      <c r="E99" s="829"/>
      <c r="F99" s="825"/>
      <c r="G99" s="950"/>
      <c r="H99" s="951"/>
      <c r="I99" s="938"/>
      <c r="J99" s="939"/>
      <c r="K99" s="943"/>
      <c r="L99" s="499"/>
      <c r="M99" s="500"/>
    </row>
    <row r="100" spans="2:13" ht="25.5" customHeight="1">
      <c r="B100" s="499"/>
      <c r="C100" s="822"/>
      <c r="D100" s="828"/>
      <c r="E100" s="829"/>
      <c r="F100" s="812" t="s">
        <v>1377</v>
      </c>
      <c r="G100" s="922"/>
      <c r="H100" s="923"/>
      <c r="I100" s="938"/>
      <c r="J100" s="939"/>
      <c r="K100" s="943"/>
      <c r="L100" s="499"/>
      <c r="M100" s="500"/>
    </row>
    <row r="101" spans="2:13">
      <c r="B101" s="499"/>
      <c r="C101" s="822"/>
      <c r="D101" s="828"/>
      <c r="E101" s="829"/>
      <c r="F101" s="812"/>
      <c r="G101" s="922"/>
      <c r="H101" s="923"/>
      <c r="I101" s="938"/>
      <c r="J101" s="939"/>
      <c r="K101" s="943"/>
      <c r="L101" s="499"/>
      <c r="M101" s="500"/>
    </row>
    <row r="102" spans="2:13" ht="30.75" customHeight="1">
      <c r="B102" s="499"/>
      <c r="C102" s="822"/>
      <c r="D102" s="828"/>
      <c r="E102" s="829"/>
      <c r="F102" s="921" t="s">
        <v>1378</v>
      </c>
      <c r="G102" s="922"/>
      <c r="H102" s="923"/>
      <c r="I102" s="938"/>
      <c r="J102" s="939"/>
      <c r="K102" s="943"/>
      <c r="L102" s="499"/>
      <c r="M102" s="500"/>
    </row>
    <row r="103" spans="2:13">
      <c r="B103" s="499"/>
      <c r="C103" s="822"/>
      <c r="D103" s="828"/>
      <c r="E103" s="829"/>
      <c r="F103" s="812"/>
      <c r="G103" s="922"/>
      <c r="H103" s="923"/>
      <c r="I103" s="938"/>
      <c r="J103" s="939"/>
      <c r="K103" s="943"/>
      <c r="L103" s="499"/>
      <c r="M103" s="500"/>
    </row>
    <row r="104" spans="2:13" ht="15" customHeight="1">
      <c r="B104" s="499"/>
      <c r="C104" s="822"/>
      <c r="D104" s="828"/>
      <c r="E104" s="829"/>
      <c r="F104" s="812"/>
      <c r="G104" s="922"/>
      <c r="H104" s="923"/>
      <c r="I104" s="938"/>
      <c r="J104" s="939"/>
      <c r="K104" s="943"/>
      <c r="L104" s="499"/>
      <c r="M104" s="500"/>
    </row>
    <row r="105" spans="2:13">
      <c r="B105" s="499"/>
      <c r="C105" s="822"/>
      <c r="D105" s="828"/>
      <c r="E105" s="829"/>
      <c r="F105" s="812"/>
      <c r="G105" s="922"/>
      <c r="H105" s="923"/>
      <c r="I105" s="938"/>
      <c r="J105" s="939"/>
      <c r="K105" s="943"/>
      <c r="L105" s="499"/>
      <c r="M105" s="500"/>
    </row>
    <row r="106" spans="2:13" ht="15" customHeight="1">
      <c r="B106" s="823"/>
      <c r="C106" s="824"/>
      <c r="D106" s="830"/>
      <c r="E106" s="831"/>
      <c r="F106" s="812"/>
      <c r="G106" s="922"/>
      <c r="H106" s="923"/>
      <c r="I106" s="940"/>
      <c r="J106" s="941"/>
      <c r="K106" s="944"/>
      <c r="L106" s="501"/>
      <c r="M106" s="502"/>
    </row>
    <row r="107" spans="2:13" ht="15" customHeight="1">
      <c r="B107" s="925" t="s">
        <v>108</v>
      </c>
      <c r="C107" s="926"/>
      <c r="D107" s="926"/>
      <c r="E107" s="926"/>
      <c r="F107" s="926"/>
      <c r="G107" s="926"/>
      <c r="H107" s="926"/>
      <c r="I107" s="927"/>
      <c r="J107" s="131" t="s">
        <v>109</v>
      </c>
      <c r="K107" s="131" t="s">
        <v>110</v>
      </c>
      <c r="L107" s="132" t="s">
        <v>111</v>
      </c>
      <c r="M107" s="132" t="s">
        <v>112</v>
      </c>
    </row>
    <row r="108" spans="2:13">
      <c r="B108" s="482"/>
      <c r="C108" s="483"/>
      <c r="D108" s="483"/>
      <c r="E108" s="483"/>
      <c r="F108" s="483"/>
      <c r="G108" s="483"/>
      <c r="H108" s="483"/>
      <c r="I108" s="484"/>
      <c r="J108" s="133" t="s">
        <v>113</v>
      </c>
      <c r="K108" s="134" t="s">
        <v>114</v>
      </c>
      <c r="L108" s="134"/>
      <c r="M108" s="134" t="s">
        <v>1334</v>
      </c>
    </row>
    <row r="109" spans="2:13" ht="15" customHeight="1">
      <c r="B109" s="928" t="s">
        <v>115</v>
      </c>
      <c r="C109" s="929"/>
      <c r="D109" s="929"/>
      <c r="E109" s="929"/>
      <c r="F109" s="929"/>
      <c r="G109" s="929"/>
      <c r="H109" s="929"/>
      <c r="I109" s="930"/>
      <c r="J109" s="133" t="s">
        <v>116</v>
      </c>
      <c r="K109" s="134" t="s">
        <v>117</v>
      </c>
      <c r="L109" s="134"/>
      <c r="M109" s="134"/>
    </row>
    <row r="110" spans="2:13">
      <c r="B110" s="931"/>
      <c r="C110" s="932"/>
      <c r="D110" s="932"/>
      <c r="E110" s="932"/>
      <c r="F110" s="932"/>
      <c r="G110" s="932"/>
      <c r="H110" s="932"/>
      <c r="I110" s="933"/>
      <c r="J110" s="133" t="s">
        <v>118</v>
      </c>
      <c r="K110" s="134" t="s">
        <v>988</v>
      </c>
      <c r="L110" s="134"/>
      <c r="M110" s="134"/>
    </row>
    <row r="111" spans="2:13">
      <c r="B111" s="488" t="s">
        <v>119</v>
      </c>
      <c r="C111" s="489"/>
      <c r="D111" s="490" t="s">
        <v>120</v>
      </c>
      <c r="E111" s="490"/>
      <c r="F111" s="491" t="s">
        <v>121</v>
      </c>
      <c r="G111" s="491"/>
      <c r="H111" s="491"/>
      <c r="I111" s="491"/>
      <c r="J111" s="133" t="s">
        <v>122</v>
      </c>
      <c r="K111" s="134"/>
      <c r="L111" s="134"/>
      <c r="M111" s="134"/>
    </row>
    <row r="117" spans="2:13" ht="19.5">
      <c r="B117" s="532" t="s">
        <v>69</v>
      </c>
      <c r="C117" s="533"/>
      <c r="D117" s="533"/>
      <c r="E117" s="533"/>
      <c r="F117" s="533"/>
      <c r="G117" s="533"/>
      <c r="H117" s="533"/>
      <c r="I117" s="533"/>
      <c r="J117" s="533"/>
      <c r="K117" s="533"/>
      <c r="L117" s="533"/>
      <c r="M117" s="534"/>
    </row>
    <row r="118" spans="2:13">
      <c r="B118" s="125" t="s">
        <v>70</v>
      </c>
      <c r="C118" s="126"/>
      <c r="D118" s="126"/>
      <c r="E118" s="126"/>
      <c r="F118" s="961" t="s">
        <v>71</v>
      </c>
      <c r="G118" s="962"/>
      <c r="H118" s="963" t="s">
        <v>1379</v>
      </c>
      <c r="I118" s="535"/>
      <c r="J118" s="535"/>
      <c r="K118" s="537" t="s">
        <v>73</v>
      </c>
      <c r="L118" s="537"/>
      <c r="M118" s="538"/>
    </row>
    <row r="119" spans="2:13">
      <c r="B119" s="539" t="s">
        <v>1364</v>
      </c>
      <c r="C119" s="540"/>
      <c r="D119" s="540"/>
      <c r="E119" s="540"/>
      <c r="F119" s="540"/>
      <c r="G119" s="540"/>
      <c r="H119" s="540"/>
      <c r="I119" s="540"/>
      <c r="J119" s="541"/>
      <c r="K119" s="539" t="s">
        <v>75</v>
      </c>
      <c r="L119" s="540"/>
      <c r="M119" s="541"/>
    </row>
    <row r="120" spans="2:13">
      <c r="B120" s="510" t="s">
        <v>1365</v>
      </c>
      <c r="C120" s="964"/>
      <c r="D120" s="964"/>
      <c r="E120" s="964"/>
      <c r="F120" s="964"/>
      <c r="G120" s="964"/>
      <c r="H120" s="965"/>
      <c r="I120" s="968" t="s">
        <v>77</v>
      </c>
      <c r="J120" s="520"/>
      <c r="K120" s="518" t="s">
        <v>990</v>
      </c>
      <c r="L120" s="519" t="s">
        <v>991</v>
      </c>
      <c r="M120" s="969"/>
    </row>
    <row r="121" spans="2:13">
      <c r="B121" s="527"/>
      <c r="C121" s="966"/>
      <c r="D121" s="966"/>
      <c r="E121" s="966"/>
      <c r="F121" s="966"/>
      <c r="G121" s="966"/>
      <c r="H121" s="967"/>
      <c r="I121" s="521"/>
      <c r="J121" s="522"/>
      <c r="K121" s="516"/>
      <c r="L121" s="970"/>
      <c r="M121" s="971"/>
    </row>
    <row r="122" spans="2:13">
      <c r="B122" s="127" t="s">
        <v>80</v>
      </c>
      <c r="C122" s="128"/>
      <c r="D122" s="129" t="s">
        <v>81</v>
      </c>
      <c r="E122" s="129"/>
      <c r="F122" s="523" t="s">
        <v>82</v>
      </c>
      <c r="G122" s="523"/>
      <c r="H122" s="523"/>
      <c r="I122" s="523"/>
      <c r="J122" s="523"/>
      <c r="K122" s="523"/>
      <c r="L122" s="523"/>
      <c r="M122" s="524"/>
    </row>
    <row r="123" spans="2:13" ht="63">
      <c r="B123" s="525" t="s">
        <v>83</v>
      </c>
      <c r="C123" s="526"/>
      <c r="D123" s="952" t="s">
        <v>84</v>
      </c>
      <c r="E123" s="953"/>
      <c r="F123" s="525" t="s">
        <v>85</v>
      </c>
      <c r="G123" s="954"/>
      <c r="H123" s="526"/>
      <c r="I123" s="525" t="s">
        <v>86</v>
      </c>
      <c r="J123" s="526"/>
      <c r="K123" s="130" t="s">
        <v>87</v>
      </c>
      <c r="L123" s="525" t="s">
        <v>88</v>
      </c>
      <c r="M123" s="526"/>
    </row>
    <row r="124" spans="2:13">
      <c r="B124" s="506" t="s">
        <v>89</v>
      </c>
      <c r="C124" s="507"/>
      <c r="D124" s="506" t="s">
        <v>90</v>
      </c>
      <c r="E124" s="507"/>
      <c r="F124" s="506" t="s">
        <v>91</v>
      </c>
      <c r="G124" s="530"/>
      <c r="H124" s="507"/>
      <c r="I124" s="506" t="s">
        <v>92</v>
      </c>
      <c r="J124" s="507"/>
      <c r="K124" s="505" t="s">
        <v>93</v>
      </c>
      <c r="L124" s="506" t="s">
        <v>94</v>
      </c>
      <c r="M124" s="507"/>
    </row>
    <row r="125" spans="2:13">
      <c r="B125" s="955"/>
      <c r="C125" s="956"/>
      <c r="D125" s="955"/>
      <c r="E125" s="956"/>
      <c r="F125" s="955"/>
      <c r="G125" s="957"/>
      <c r="H125" s="956"/>
      <c r="I125" s="955"/>
      <c r="J125" s="956"/>
      <c r="K125" s="958"/>
      <c r="L125" s="959"/>
      <c r="M125" s="960"/>
    </row>
    <row r="126" spans="2:13">
      <c r="B126" s="834" t="s">
        <v>1380</v>
      </c>
      <c r="C126" s="814"/>
      <c r="D126" s="826" t="s">
        <v>1381</v>
      </c>
      <c r="E126" s="827"/>
      <c r="F126" s="812" t="s">
        <v>994</v>
      </c>
      <c r="G126" s="922"/>
      <c r="H126" s="923"/>
      <c r="I126" s="936" t="s">
        <v>1382</v>
      </c>
      <c r="J126" s="937"/>
      <c r="K126" s="942" t="s">
        <v>1383</v>
      </c>
      <c r="L126" s="497" t="s">
        <v>997</v>
      </c>
      <c r="M126" s="498"/>
    </row>
    <row r="127" spans="2:13">
      <c r="B127" s="817"/>
      <c r="C127" s="818"/>
      <c r="D127" s="828"/>
      <c r="E127" s="829"/>
      <c r="F127" s="811"/>
      <c r="G127" s="945"/>
      <c r="H127" s="946"/>
      <c r="I127" s="938"/>
      <c r="J127" s="939"/>
      <c r="K127" s="943"/>
      <c r="L127" s="499"/>
      <c r="M127" s="500"/>
    </row>
    <row r="128" spans="2:13">
      <c r="B128" s="815"/>
      <c r="C128" s="816"/>
      <c r="D128" s="828"/>
      <c r="E128" s="829"/>
      <c r="F128" s="812" t="s">
        <v>1384</v>
      </c>
      <c r="G128" s="922"/>
      <c r="H128" s="923"/>
      <c r="I128" s="938"/>
      <c r="J128" s="939"/>
      <c r="K128" s="943"/>
      <c r="L128" s="499"/>
      <c r="M128" s="500"/>
    </row>
    <row r="129" spans="2:13">
      <c r="B129" s="813" t="s">
        <v>1385</v>
      </c>
      <c r="C129" s="814"/>
      <c r="D129" s="828"/>
      <c r="E129" s="829"/>
      <c r="F129" s="811"/>
      <c r="G129" s="945"/>
      <c r="H129" s="946"/>
      <c r="I129" s="938"/>
      <c r="J129" s="939"/>
      <c r="K129" s="943"/>
      <c r="L129" s="499"/>
      <c r="M129" s="500"/>
    </row>
    <row r="130" spans="2:13">
      <c r="B130" s="815"/>
      <c r="C130" s="816"/>
      <c r="D130" s="828"/>
      <c r="E130" s="829"/>
      <c r="F130" s="812" t="s">
        <v>1386</v>
      </c>
      <c r="G130" s="922"/>
      <c r="H130" s="923"/>
      <c r="I130" s="938"/>
      <c r="J130" s="939"/>
      <c r="K130" s="943"/>
      <c r="L130" s="499"/>
      <c r="M130" s="500"/>
    </row>
    <row r="131" spans="2:13">
      <c r="B131" s="813" t="s">
        <v>714</v>
      </c>
      <c r="C131" s="814"/>
      <c r="D131" s="828"/>
      <c r="E131" s="829"/>
      <c r="F131" s="819"/>
      <c r="G131" s="947"/>
      <c r="H131" s="948"/>
      <c r="I131" s="938"/>
      <c r="J131" s="939"/>
      <c r="K131" s="943"/>
      <c r="L131" s="499"/>
      <c r="M131" s="500"/>
    </row>
    <row r="132" spans="2:13">
      <c r="B132" s="817"/>
      <c r="C132" s="818"/>
      <c r="D132" s="828"/>
      <c r="E132" s="829"/>
      <c r="F132" s="820" t="s">
        <v>1387</v>
      </c>
      <c r="G132" s="924"/>
      <c r="H132" s="821"/>
      <c r="I132" s="938"/>
      <c r="J132" s="939"/>
      <c r="K132" s="943"/>
      <c r="L132" s="499"/>
      <c r="M132" s="500"/>
    </row>
    <row r="133" spans="2:13">
      <c r="B133" s="815"/>
      <c r="C133" s="816"/>
      <c r="D133" s="828"/>
      <c r="E133" s="829"/>
      <c r="F133" s="823"/>
      <c r="G133" s="949"/>
      <c r="H133" s="824"/>
      <c r="I133" s="938"/>
      <c r="J133" s="939"/>
      <c r="K133" s="943"/>
      <c r="L133" s="499"/>
      <c r="M133" s="500"/>
    </row>
    <row r="134" spans="2:13">
      <c r="B134" s="820" t="s">
        <v>1388</v>
      </c>
      <c r="C134" s="821"/>
      <c r="D134" s="828"/>
      <c r="E134" s="829"/>
      <c r="F134" s="811"/>
      <c r="G134" s="945"/>
      <c r="H134" s="946"/>
      <c r="I134" s="938"/>
      <c r="J134" s="939"/>
      <c r="K134" s="943"/>
      <c r="L134" s="499"/>
      <c r="M134" s="500"/>
    </row>
    <row r="135" spans="2:13">
      <c r="B135" s="499"/>
      <c r="C135" s="822"/>
      <c r="D135" s="828"/>
      <c r="E135" s="829"/>
      <c r="F135" s="812" t="s">
        <v>1389</v>
      </c>
      <c r="G135" s="922"/>
      <c r="H135" s="923"/>
      <c r="I135" s="938"/>
      <c r="J135" s="939"/>
      <c r="K135" s="943"/>
      <c r="L135" s="499"/>
      <c r="M135" s="500"/>
    </row>
    <row r="136" spans="2:13">
      <c r="B136" s="499"/>
      <c r="C136" s="822"/>
      <c r="D136" s="828"/>
      <c r="E136" s="829"/>
      <c r="F136" s="811"/>
      <c r="G136" s="945"/>
      <c r="H136" s="946"/>
      <c r="I136" s="938"/>
      <c r="J136" s="939"/>
      <c r="K136" s="943"/>
      <c r="L136" s="499"/>
      <c r="M136" s="500"/>
    </row>
    <row r="137" spans="2:13">
      <c r="B137" s="499"/>
      <c r="C137" s="822"/>
      <c r="D137" s="828"/>
      <c r="E137" s="829"/>
      <c r="F137" s="812" t="s">
        <v>1390</v>
      </c>
      <c r="G137" s="922"/>
      <c r="H137" s="923"/>
      <c r="I137" s="938"/>
      <c r="J137" s="939"/>
      <c r="K137" s="943"/>
      <c r="L137" s="499"/>
      <c r="M137" s="500"/>
    </row>
    <row r="138" spans="2:13">
      <c r="B138" s="499"/>
      <c r="C138" s="822"/>
      <c r="D138" s="828"/>
      <c r="E138" s="829"/>
      <c r="F138" s="825"/>
      <c r="G138" s="950"/>
      <c r="H138" s="951"/>
      <c r="I138" s="938"/>
      <c r="J138" s="939"/>
      <c r="K138" s="943"/>
      <c r="L138" s="499"/>
      <c r="M138" s="500"/>
    </row>
    <row r="139" spans="2:13">
      <c r="B139" s="499"/>
      <c r="C139" s="822"/>
      <c r="D139" s="828"/>
      <c r="E139" s="829"/>
      <c r="F139" s="812" t="s">
        <v>1391</v>
      </c>
      <c r="G139" s="922"/>
      <c r="H139" s="923"/>
      <c r="I139" s="938"/>
      <c r="J139" s="939"/>
      <c r="K139" s="943"/>
      <c r="L139" s="499"/>
      <c r="M139" s="500"/>
    </row>
    <row r="140" spans="2:13">
      <c r="B140" s="499"/>
      <c r="C140" s="822"/>
      <c r="D140" s="828"/>
      <c r="E140" s="829"/>
      <c r="F140" s="812"/>
      <c r="G140" s="922"/>
      <c r="H140" s="923"/>
      <c r="I140" s="938"/>
      <c r="J140" s="939"/>
      <c r="K140" s="943"/>
      <c r="L140" s="499"/>
      <c r="M140" s="500"/>
    </row>
    <row r="141" spans="2:13" ht="15" customHeight="1">
      <c r="B141" s="499"/>
      <c r="C141" s="822"/>
      <c r="D141" s="828"/>
      <c r="E141" s="829"/>
      <c r="F141" s="820" t="s">
        <v>1392</v>
      </c>
      <c r="G141" s="924"/>
      <c r="H141" s="821"/>
      <c r="I141" s="938"/>
      <c r="J141" s="939"/>
      <c r="K141" s="943"/>
      <c r="L141" s="499"/>
      <c r="M141" s="500"/>
    </row>
    <row r="142" spans="2:13">
      <c r="B142" s="499"/>
      <c r="C142" s="822"/>
      <c r="D142" s="828"/>
      <c r="E142" s="829"/>
      <c r="F142" s="812"/>
      <c r="G142" s="922"/>
      <c r="H142" s="923"/>
      <c r="I142" s="938"/>
      <c r="J142" s="939"/>
      <c r="K142" s="943"/>
      <c r="L142" s="499"/>
      <c r="M142" s="500"/>
    </row>
    <row r="143" spans="2:13">
      <c r="B143" s="499"/>
      <c r="C143" s="822"/>
      <c r="D143" s="828"/>
      <c r="E143" s="829"/>
      <c r="F143" s="921" t="s">
        <v>1393</v>
      </c>
      <c r="G143" s="922"/>
      <c r="H143" s="923"/>
      <c r="I143" s="938"/>
      <c r="J143" s="939"/>
      <c r="K143" s="943"/>
      <c r="L143" s="499"/>
      <c r="M143" s="500"/>
    </row>
    <row r="144" spans="2:13">
      <c r="B144" s="499"/>
      <c r="C144" s="822"/>
      <c r="D144" s="828"/>
      <c r="E144" s="829"/>
      <c r="F144" s="812"/>
      <c r="G144" s="922"/>
      <c r="H144" s="923"/>
      <c r="I144" s="938"/>
      <c r="J144" s="939"/>
      <c r="K144" s="943"/>
      <c r="L144" s="499"/>
      <c r="M144" s="500"/>
    </row>
    <row r="145" spans="2:13" ht="15" customHeight="1">
      <c r="B145" s="823"/>
      <c r="C145" s="824"/>
      <c r="D145" s="830"/>
      <c r="E145" s="831"/>
      <c r="F145" s="820" t="s">
        <v>1394</v>
      </c>
      <c r="G145" s="924"/>
      <c r="H145" s="821"/>
      <c r="I145" s="940"/>
      <c r="J145" s="941"/>
      <c r="K145" s="944"/>
      <c r="L145" s="501"/>
      <c r="M145" s="502"/>
    </row>
    <row r="146" spans="2:13">
      <c r="B146" s="925" t="s">
        <v>108</v>
      </c>
      <c r="C146" s="926"/>
      <c r="D146" s="926"/>
      <c r="E146" s="926"/>
      <c r="F146" s="926"/>
      <c r="G146" s="926"/>
      <c r="H146" s="926"/>
      <c r="I146" s="927"/>
      <c r="J146" s="131" t="s">
        <v>109</v>
      </c>
      <c r="K146" s="131" t="s">
        <v>110</v>
      </c>
      <c r="L146" s="132" t="s">
        <v>111</v>
      </c>
      <c r="M146" s="132" t="s">
        <v>112</v>
      </c>
    </row>
    <row r="147" spans="2:13" ht="14.25" customHeight="1">
      <c r="B147" s="482"/>
      <c r="C147" s="483"/>
      <c r="D147" s="483"/>
      <c r="E147" s="483"/>
      <c r="F147" s="483"/>
      <c r="G147" s="483"/>
      <c r="H147" s="483"/>
      <c r="I147" s="484"/>
      <c r="J147" s="133" t="s">
        <v>113</v>
      </c>
      <c r="K147" s="934" t="s">
        <v>140</v>
      </c>
      <c r="L147" s="935"/>
      <c r="M147" s="134" t="s">
        <v>1379</v>
      </c>
    </row>
    <row r="148" spans="2:13">
      <c r="B148" s="928" t="s">
        <v>115</v>
      </c>
      <c r="C148" s="929"/>
      <c r="D148" s="929"/>
      <c r="E148" s="929"/>
      <c r="F148" s="929"/>
      <c r="G148" s="929"/>
      <c r="H148" s="929"/>
      <c r="I148" s="930"/>
      <c r="J148" s="133" t="s">
        <v>116</v>
      </c>
      <c r="K148" s="134" t="s">
        <v>117</v>
      </c>
      <c r="L148" s="134"/>
      <c r="M148" s="134"/>
    </row>
    <row r="149" spans="2:13">
      <c r="B149" s="931"/>
      <c r="C149" s="932"/>
      <c r="D149" s="932"/>
      <c r="E149" s="932"/>
      <c r="F149" s="932"/>
      <c r="G149" s="932"/>
      <c r="H149" s="932"/>
      <c r="I149" s="933"/>
      <c r="J149" s="133" t="s">
        <v>118</v>
      </c>
      <c r="K149" s="134" t="s">
        <v>988</v>
      </c>
      <c r="L149" s="134"/>
      <c r="M149" s="134"/>
    </row>
    <row r="150" spans="2:13">
      <c r="B150" s="488" t="s">
        <v>119</v>
      </c>
      <c r="C150" s="489"/>
      <c r="D150" s="490" t="s">
        <v>120</v>
      </c>
      <c r="E150" s="490"/>
      <c r="F150" s="491" t="s">
        <v>121</v>
      </c>
      <c r="G150" s="491"/>
      <c r="H150" s="491"/>
      <c r="I150" s="491"/>
      <c r="J150" s="133" t="s">
        <v>122</v>
      </c>
      <c r="K150" s="134"/>
      <c r="L150" s="134"/>
      <c r="M150" s="134"/>
    </row>
    <row r="153" spans="2:13" ht="19.5">
      <c r="B153" s="532" t="s">
        <v>69</v>
      </c>
      <c r="C153" s="533"/>
      <c r="D153" s="533"/>
      <c r="E153" s="533"/>
      <c r="F153" s="533"/>
      <c r="G153" s="533"/>
      <c r="H153" s="533"/>
      <c r="I153" s="533"/>
      <c r="J153" s="533"/>
      <c r="K153" s="533"/>
      <c r="L153" s="533"/>
      <c r="M153" s="534"/>
    </row>
    <row r="154" spans="2:13">
      <c r="B154" s="125" t="s">
        <v>70</v>
      </c>
      <c r="C154" s="126"/>
      <c r="D154" s="126"/>
      <c r="E154" s="126"/>
      <c r="F154" s="961" t="s">
        <v>71</v>
      </c>
      <c r="G154" s="962"/>
      <c r="H154" s="963" t="s">
        <v>1379</v>
      </c>
      <c r="I154" s="535"/>
      <c r="J154" s="535"/>
      <c r="K154" s="537" t="s">
        <v>73</v>
      </c>
      <c r="L154" s="537"/>
      <c r="M154" s="538"/>
    </row>
    <row r="155" spans="2:13" ht="25.5" customHeight="1">
      <c r="B155" s="539" t="s">
        <v>1395</v>
      </c>
      <c r="C155" s="540"/>
      <c r="D155" s="540"/>
      <c r="E155" s="540"/>
      <c r="F155" s="540"/>
      <c r="G155" s="540"/>
      <c r="H155" s="540"/>
      <c r="I155" s="540"/>
      <c r="J155" s="541"/>
      <c r="K155" s="539" t="s">
        <v>75</v>
      </c>
      <c r="L155" s="540"/>
      <c r="M155" s="541"/>
    </row>
    <row r="156" spans="2:13">
      <c r="B156" s="510" t="s">
        <v>1396</v>
      </c>
      <c r="C156" s="964"/>
      <c r="D156" s="964"/>
      <c r="E156" s="964"/>
      <c r="F156" s="964"/>
      <c r="G156" s="964"/>
      <c r="H156" s="965"/>
      <c r="I156" s="968" t="s">
        <v>77</v>
      </c>
      <c r="J156" s="520"/>
      <c r="K156" s="518" t="s">
        <v>1397</v>
      </c>
      <c r="L156" s="519" t="s">
        <v>1398</v>
      </c>
      <c r="M156" s="969"/>
    </row>
    <row r="157" spans="2:13">
      <c r="B157" s="527"/>
      <c r="C157" s="966"/>
      <c r="D157" s="966"/>
      <c r="E157" s="966"/>
      <c r="F157" s="966"/>
      <c r="G157" s="966"/>
      <c r="H157" s="967"/>
      <c r="I157" s="521"/>
      <c r="J157" s="522"/>
      <c r="K157" s="516"/>
      <c r="L157" s="970"/>
      <c r="M157" s="971"/>
    </row>
    <row r="158" spans="2:13">
      <c r="B158" s="127" t="s">
        <v>80</v>
      </c>
      <c r="C158" s="128"/>
      <c r="D158" s="129" t="s">
        <v>81</v>
      </c>
      <c r="E158" s="129"/>
      <c r="F158" s="523" t="s">
        <v>82</v>
      </c>
      <c r="G158" s="523"/>
      <c r="H158" s="523"/>
      <c r="I158" s="523"/>
      <c r="J158" s="523"/>
      <c r="K158" s="523"/>
      <c r="L158" s="523"/>
      <c r="M158" s="524"/>
    </row>
    <row r="159" spans="2:13" ht="63">
      <c r="B159" s="525" t="s">
        <v>83</v>
      </c>
      <c r="C159" s="526"/>
      <c r="D159" s="952" t="s">
        <v>84</v>
      </c>
      <c r="E159" s="953"/>
      <c r="F159" s="525" t="s">
        <v>85</v>
      </c>
      <c r="G159" s="954"/>
      <c r="H159" s="526"/>
      <c r="I159" s="525" t="s">
        <v>86</v>
      </c>
      <c r="J159" s="526"/>
      <c r="K159" s="130" t="s">
        <v>87</v>
      </c>
      <c r="L159" s="525" t="s">
        <v>88</v>
      </c>
      <c r="M159" s="526"/>
    </row>
    <row r="160" spans="2:13">
      <c r="B160" s="506" t="s">
        <v>89</v>
      </c>
      <c r="C160" s="507"/>
      <c r="D160" s="506" t="s">
        <v>90</v>
      </c>
      <c r="E160" s="507"/>
      <c r="F160" s="506" t="s">
        <v>91</v>
      </c>
      <c r="G160" s="530"/>
      <c r="H160" s="507"/>
      <c r="I160" s="506" t="s">
        <v>92</v>
      </c>
      <c r="J160" s="507"/>
      <c r="K160" s="505" t="s">
        <v>93</v>
      </c>
      <c r="L160" s="506" t="s">
        <v>94</v>
      </c>
      <c r="M160" s="507"/>
    </row>
    <row r="161" spans="2:13">
      <c r="B161" s="955"/>
      <c r="C161" s="956"/>
      <c r="D161" s="955"/>
      <c r="E161" s="956"/>
      <c r="F161" s="955"/>
      <c r="G161" s="957"/>
      <c r="H161" s="956"/>
      <c r="I161" s="955"/>
      <c r="J161" s="956"/>
      <c r="K161" s="958"/>
      <c r="L161" s="959"/>
      <c r="M161" s="960"/>
    </row>
    <row r="162" spans="2:13" ht="27.75" customHeight="1">
      <c r="B162" s="834" t="s">
        <v>1059</v>
      </c>
      <c r="C162" s="814"/>
      <c r="D162" s="826" t="s">
        <v>1399</v>
      </c>
      <c r="E162" s="827"/>
      <c r="F162" s="812" t="s">
        <v>994</v>
      </c>
      <c r="G162" s="922"/>
      <c r="H162" s="923"/>
      <c r="I162" s="936" t="s">
        <v>1400</v>
      </c>
      <c r="J162" s="937"/>
      <c r="K162" s="942" t="s">
        <v>1401</v>
      </c>
      <c r="L162" s="497" t="s">
        <v>1402</v>
      </c>
      <c r="M162" s="498"/>
    </row>
    <row r="163" spans="2:13" ht="27.75" customHeight="1">
      <c r="B163" s="817"/>
      <c r="C163" s="818"/>
      <c r="D163" s="828"/>
      <c r="E163" s="829"/>
      <c r="F163" s="811"/>
      <c r="G163" s="945"/>
      <c r="H163" s="946"/>
      <c r="I163" s="938"/>
      <c r="J163" s="939"/>
      <c r="K163" s="943"/>
      <c r="L163" s="499"/>
      <c r="M163" s="500"/>
    </row>
    <row r="164" spans="2:13" ht="27.75" customHeight="1">
      <c r="B164" s="815"/>
      <c r="C164" s="816"/>
      <c r="D164" s="828"/>
      <c r="E164" s="829"/>
      <c r="F164" s="812" t="s">
        <v>1403</v>
      </c>
      <c r="G164" s="922"/>
      <c r="H164" s="923"/>
      <c r="I164" s="938"/>
      <c r="J164" s="939"/>
      <c r="K164" s="943"/>
      <c r="L164" s="499"/>
      <c r="M164" s="500"/>
    </row>
    <row r="165" spans="2:13" ht="27.75" customHeight="1">
      <c r="B165" s="813" t="s">
        <v>1404</v>
      </c>
      <c r="C165" s="814"/>
      <c r="D165" s="828"/>
      <c r="E165" s="829"/>
      <c r="F165" s="811"/>
      <c r="G165" s="945"/>
      <c r="H165" s="946"/>
      <c r="I165" s="938"/>
      <c r="J165" s="939"/>
      <c r="K165" s="943"/>
      <c r="L165" s="499"/>
      <c r="M165" s="500"/>
    </row>
    <row r="166" spans="2:13" ht="27.75" customHeight="1">
      <c r="B166" s="815"/>
      <c r="C166" s="816"/>
      <c r="D166" s="828"/>
      <c r="E166" s="829"/>
      <c r="F166" s="812" t="s">
        <v>1405</v>
      </c>
      <c r="G166" s="922"/>
      <c r="H166" s="923"/>
      <c r="I166" s="938"/>
      <c r="J166" s="939"/>
      <c r="K166" s="943"/>
      <c r="L166" s="499"/>
      <c r="M166" s="500"/>
    </row>
    <row r="167" spans="2:13" ht="27.75" customHeight="1">
      <c r="B167" s="813" t="s">
        <v>1406</v>
      </c>
      <c r="C167" s="814"/>
      <c r="D167" s="828"/>
      <c r="E167" s="829"/>
      <c r="F167" s="819"/>
      <c r="G167" s="947"/>
      <c r="H167" s="948"/>
      <c r="I167" s="938"/>
      <c r="J167" s="939"/>
      <c r="K167" s="943"/>
      <c r="L167" s="499"/>
      <c r="M167" s="500"/>
    </row>
    <row r="168" spans="2:13" ht="27.75" customHeight="1">
      <c r="B168" s="817"/>
      <c r="C168" s="818"/>
      <c r="D168" s="828"/>
      <c r="E168" s="829"/>
      <c r="F168" s="820" t="s">
        <v>1407</v>
      </c>
      <c r="G168" s="924"/>
      <c r="H168" s="821"/>
      <c r="I168" s="938"/>
      <c r="J168" s="939"/>
      <c r="K168" s="943"/>
      <c r="L168" s="499"/>
      <c r="M168" s="500"/>
    </row>
    <row r="169" spans="2:13" ht="27.75" customHeight="1">
      <c r="B169" s="815"/>
      <c r="C169" s="816"/>
      <c r="D169" s="828"/>
      <c r="E169" s="829"/>
      <c r="F169" s="823"/>
      <c r="G169" s="949"/>
      <c r="H169" s="824"/>
      <c r="I169" s="938"/>
      <c r="J169" s="939"/>
      <c r="K169" s="943"/>
      <c r="L169" s="499"/>
      <c r="M169" s="500"/>
    </row>
    <row r="170" spans="2:13" ht="27.75" customHeight="1">
      <c r="B170" s="820"/>
      <c r="C170" s="821"/>
      <c r="D170" s="828"/>
      <c r="E170" s="829"/>
      <c r="F170" s="811"/>
      <c r="G170" s="945"/>
      <c r="H170" s="946"/>
      <c r="I170" s="938"/>
      <c r="J170" s="939"/>
      <c r="K170" s="943"/>
      <c r="L170" s="499"/>
      <c r="M170" s="500"/>
    </row>
    <row r="171" spans="2:13" ht="27.75" customHeight="1">
      <c r="B171" s="499"/>
      <c r="C171" s="822"/>
      <c r="D171" s="828"/>
      <c r="E171" s="829"/>
      <c r="F171" s="812" t="s">
        <v>1408</v>
      </c>
      <c r="G171" s="922"/>
      <c r="H171" s="923"/>
      <c r="I171" s="938"/>
      <c r="J171" s="939"/>
      <c r="K171" s="943"/>
      <c r="L171" s="499"/>
      <c r="M171" s="500"/>
    </row>
    <row r="172" spans="2:13" ht="27.75" customHeight="1">
      <c r="B172" s="499"/>
      <c r="C172" s="822"/>
      <c r="D172" s="828"/>
      <c r="E172" s="829"/>
      <c r="F172" s="811"/>
      <c r="G172" s="945"/>
      <c r="H172" s="946"/>
      <c r="I172" s="938"/>
      <c r="J172" s="939"/>
      <c r="K172" s="943"/>
      <c r="L172" s="499"/>
      <c r="M172" s="500"/>
    </row>
    <row r="173" spans="2:13" ht="27.75" customHeight="1">
      <c r="B173" s="499"/>
      <c r="C173" s="822"/>
      <c r="D173" s="828"/>
      <c r="E173" s="829"/>
      <c r="F173" s="812" t="s">
        <v>1409</v>
      </c>
      <c r="G173" s="922"/>
      <c r="H173" s="923"/>
      <c r="I173" s="938"/>
      <c r="J173" s="939"/>
      <c r="K173" s="943"/>
      <c r="L173" s="499"/>
      <c r="M173" s="500"/>
    </row>
    <row r="174" spans="2:13" ht="27.75" customHeight="1">
      <c r="B174" s="499"/>
      <c r="C174" s="822"/>
      <c r="D174" s="828"/>
      <c r="E174" s="829"/>
      <c r="F174" s="825"/>
      <c r="G174" s="950"/>
      <c r="H174" s="951"/>
      <c r="I174" s="938"/>
      <c r="J174" s="939"/>
      <c r="K174" s="943"/>
      <c r="L174" s="499"/>
      <c r="M174" s="500"/>
    </row>
    <row r="175" spans="2:13" ht="27.75" customHeight="1">
      <c r="B175" s="499"/>
      <c r="C175" s="822"/>
      <c r="D175" s="828"/>
      <c r="E175" s="829"/>
      <c r="F175" s="812" t="s">
        <v>1410</v>
      </c>
      <c r="G175" s="922"/>
      <c r="H175" s="923"/>
      <c r="I175" s="938"/>
      <c r="J175" s="939"/>
      <c r="K175" s="943"/>
      <c r="L175" s="499"/>
      <c r="M175" s="500"/>
    </row>
    <row r="176" spans="2:13" ht="27.75" customHeight="1">
      <c r="B176" s="499"/>
      <c r="C176" s="822"/>
      <c r="D176" s="828"/>
      <c r="E176" s="829"/>
      <c r="F176" s="812"/>
      <c r="G176" s="922"/>
      <c r="H176" s="923"/>
      <c r="I176" s="938"/>
      <c r="J176" s="939"/>
      <c r="K176" s="943"/>
      <c r="L176" s="499"/>
      <c r="M176" s="500"/>
    </row>
    <row r="177" spans="2:13" ht="27.75" customHeight="1">
      <c r="B177" s="499"/>
      <c r="C177" s="822"/>
      <c r="D177" s="828"/>
      <c r="E177" s="829"/>
      <c r="F177" s="820" t="s">
        <v>1411</v>
      </c>
      <c r="G177" s="924"/>
      <c r="H177" s="821"/>
      <c r="I177" s="938"/>
      <c r="J177" s="939"/>
      <c r="K177" s="943"/>
      <c r="L177" s="499"/>
      <c r="M177" s="500"/>
    </row>
    <row r="178" spans="2:13" ht="27.75" customHeight="1">
      <c r="B178" s="499"/>
      <c r="C178" s="822"/>
      <c r="D178" s="828"/>
      <c r="E178" s="829"/>
      <c r="F178" s="812"/>
      <c r="G178" s="922"/>
      <c r="H178" s="923"/>
      <c r="I178" s="938"/>
      <c r="J178" s="939"/>
      <c r="K178" s="943"/>
      <c r="L178" s="499"/>
      <c r="M178" s="500"/>
    </row>
    <row r="179" spans="2:13" ht="27.75" customHeight="1">
      <c r="B179" s="499"/>
      <c r="C179" s="822"/>
      <c r="D179" s="828"/>
      <c r="E179" s="829"/>
      <c r="F179" s="921" t="s">
        <v>1412</v>
      </c>
      <c r="G179" s="922"/>
      <c r="H179" s="923"/>
      <c r="I179" s="938"/>
      <c r="J179" s="939"/>
      <c r="K179" s="943"/>
      <c r="L179" s="499"/>
      <c r="M179" s="500"/>
    </row>
    <row r="180" spans="2:13" ht="27.75" customHeight="1">
      <c r="B180" s="499"/>
      <c r="C180" s="822"/>
      <c r="D180" s="828"/>
      <c r="E180" s="829"/>
      <c r="F180" s="812"/>
      <c r="G180" s="922"/>
      <c r="H180" s="923"/>
      <c r="I180" s="938"/>
      <c r="J180" s="939"/>
      <c r="K180" s="943"/>
      <c r="L180" s="499"/>
      <c r="M180" s="500"/>
    </row>
    <row r="181" spans="2:13" ht="27.75" customHeight="1">
      <c r="B181" s="823"/>
      <c r="C181" s="824"/>
      <c r="D181" s="830"/>
      <c r="E181" s="831"/>
      <c r="F181" s="820" t="s">
        <v>1413</v>
      </c>
      <c r="G181" s="924"/>
      <c r="H181" s="821"/>
      <c r="I181" s="940"/>
      <c r="J181" s="941"/>
      <c r="K181" s="944"/>
      <c r="L181" s="501"/>
      <c r="M181" s="502"/>
    </row>
    <row r="182" spans="2:13">
      <c r="B182" s="925" t="s">
        <v>108</v>
      </c>
      <c r="C182" s="926"/>
      <c r="D182" s="926"/>
      <c r="E182" s="926"/>
      <c r="F182" s="926"/>
      <c r="G182" s="926"/>
      <c r="H182" s="926"/>
      <c r="I182" s="927"/>
      <c r="J182" s="131" t="s">
        <v>109</v>
      </c>
      <c r="K182" s="131" t="s">
        <v>110</v>
      </c>
      <c r="L182" s="132" t="s">
        <v>111</v>
      </c>
      <c r="M182" s="132" t="s">
        <v>112</v>
      </c>
    </row>
    <row r="183" spans="2:13">
      <c r="B183" s="482"/>
      <c r="C183" s="483"/>
      <c r="D183" s="483"/>
      <c r="E183" s="483"/>
      <c r="F183" s="483"/>
      <c r="G183" s="483"/>
      <c r="H183" s="483"/>
      <c r="I183" s="484"/>
      <c r="J183" s="133" t="s">
        <v>113</v>
      </c>
      <c r="K183" s="934" t="s">
        <v>174</v>
      </c>
      <c r="L183" s="935"/>
      <c r="M183" s="134" t="s">
        <v>1414</v>
      </c>
    </row>
    <row r="184" spans="2:13">
      <c r="B184" s="928" t="s">
        <v>115</v>
      </c>
      <c r="C184" s="929"/>
      <c r="D184" s="929"/>
      <c r="E184" s="929"/>
      <c r="F184" s="929"/>
      <c r="G184" s="929"/>
      <c r="H184" s="929"/>
      <c r="I184" s="930"/>
      <c r="J184" s="133" t="s">
        <v>116</v>
      </c>
      <c r="K184" s="134" t="s">
        <v>117</v>
      </c>
      <c r="L184" s="134"/>
      <c r="M184" s="134"/>
    </row>
    <row r="185" spans="2:13">
      <c r="B185" s="931"/>
      <c r="C185" s="932"/>
      <c r="D185" s="932"/>
      <c r="E185" s="932"/>
      <c r="F185" s="932"/>
      <c r="G185" s="932"/>
      <c r="H185" s="932"/>
      <c r="I185" s="933"/>
      <c r="J185" s="133" t="s">
        <v>118</v>
      </c>
      <c r="K185" s="134" t="s">
        <v>988</v>
      </c>
      <c r="L185" s="134"/>
      <c r="M185" s="134"/>
    </row>
    <row r="186" spans="2:13">
      <c r="B186" s="488" t="s">
        <v>119</v>
      </c>
      <c r="C186" s="489"/>
      <c r="D186" s="490" t="s">
        <v>120</v>
      </c>
      <c r="E186" s="490"/>
      <c r="F186" s="491" t="s">
        <v>121</v>
      </c>
      <c r="G186" s="491"/>
      <c r="H186" s="491"/>
      <c r="I186" s="491"/>
      <c r="J186" s="133" t="s">
        <v>122</v>
      </c>
      <c r="K186" s="134"/>
      <c r="L186" s="134"/>
      <c r="M186" s="134"/>
    </row>
  </sheetData>
  <mergeCells count="272">
    <mergeCell ref="F179:H179"/>
    <mergeCell ref="F180:H180"/>
    <mergeCell ref="F181:H181"/>
    <mergeCell ref="B182:I183"/>
    <mergeCell ref="K183:L183"/>
    <mergeCell ref="B184:I185"/>
    <mergeCell ref="B186:C186"/>
    <mergeCell ref="D186:E186"/>
    <mergeCell ref="F186:I186"/>
    <mergeCell ref="B162:C164"/>
    <mergeCell ref="D162:E181"/>
    <mergeCell ref="F162:H162"/>
    <mergeCell ref="I162:J181"/>
    <mergeCell ref="K162:K181"/>
    <mergeCell ref="L162:M181"/>
    <mergeCell ref="F163:H163"/>
    <mergeCell ref="F164:H164"/>
    <mergeCell ref="B165:C166"/>
    <mergeCell ref="F165:H165"/>
    <mergeCell ref="F166:H166"/>
    <mergeCell ref="B167:C169"/>
    <mergeCell ref="F167:H167"/>
    <mergeCell ref="F168:H169"/>
    <mergeCell ref="B170:C181"/>
    <mergeCell ref="F170:H170"/>
    <mergeCell ref="F171:H171"/>
    <mergeCell ref="F172:H172"/>
    <mergeCell ref="F173:H173"/>
    <mergeCell ref="F174:H174"/>
    <mergeCell ref="F175:H175"/>
    <mergeCell ref="F176:H176"/>
    <mergeCell ref="F177:H177"/>
    <mergeCell ref="F178:H178"/>
    <mergeCell ref="F158:M158"/>
    <mergeCell ref="B159:C159"/>
    <mergeCell ref="D159:E159"/>
    <mergeCell ref="F159:H159"/>
    <mergeCell ref="I159:J159"/>
    <mergeCell ref="L159:M159"/>
    <mergeCell ref="B160:C161"/>
    <mergeCell ref="D160:E161"/>
    <mergeCell ref="F160:H161"/>
    <mergeCell ref="I160:J161"/>
    <mergeCell ref="K160:K161"/>
    <mergeCell ref="L160:M161"/>
    <mergeCell ref="B153:M153"/>
    <mergeCell ref="F154:G154"/>
    <mergeCell ref="H154:J154"/>
    <mergeCell ref="K154:M154"/>
    <mergeCell ref="B155:J155"/>
    <mergeCell ref="K155:M155"/>
    <mergeCell ref="B156:H157"/>
    <mergeCell ref="I156:J157"/>
    <mergeCell ref="K156:K157"/>
    <mergeCell ref="L156:M157"/>
    <mergeCell ref="E68:G68"/>
    <mergeCell ref="E69:G69"/>
    <mergeCell ref="A70:H71"/>
    <mergeCell ref="A72:H73"/>
    <mergeCell ref="A74:B74"/>
    <mergeCell ref="C74:D74"/>
    <mergeCell ref="E74:H74"/>
    <mergeCell ref="E63:G63"/>
    <mergeCell ref="E64:G64"/>
    <mergeCell ref="E65:G65"/>
    <mergeCell ref="E66:G66"/>
    <mergeCell ref="E67:G67"/>
    <mergeCell ref="E58:G58"/>
    <mergeCell ref="E59:G59"/>
    <mergeCell ref="E60:G60"/>
    <mergeCell ref="E61:G61"/>
    <mergeCell ref="E62:G62"/>
    <mergeCell ref="K48:L49"/>
    <mergeCell ref="A50:B52"/>
    <mergeCell ref="C50:D69"/>
    <mergeCell ref="E50:G50"/>
    <mergeCell ref="H50:I69"/>
    <mergeCell ref="J50:J69"/>
    <mergeCell ref="K50:L69"/>
    <mergeCell ref="E51:G51"/>
    <mergeCell ref="E52:G52"/>
    <mergeCell ref="A53:B54"/>
    <mergeCell ref="E53:G53"/>
    <mergeCell ref="E54:G54"/>
    <mergeCell ref="A55:B57"/>
    <mergeCell ref="E55:G55"/>
    <mergeCell ref="E56:G57"/>
    <mergeCell ref="A58:B69"/>
    <mergeCell ref="A48:B49"/>
    <mergeCell ref="C48:D49"/>
    <mergeCell ref="E48:G49"/>
    <mergeCell ref="H48:I49"/>
    <mergeCell ref="J48:J49"/>
    <mergeCell ref="A47:B47"/>
    <mergeCell ref="C47:D47"/>
    <mergeCell ref="E47:G47"/>
    <mergeCell ref="H47:I47"/>
    <mergeCell ref="K47:L47"/>
    <mergeCell ref="A44:G45"/>
    <mergeCell ref="H44:I45"/>
    <mergeCell ref="J44:J45"/>
    <mergeCell ref="K44:L45"/>
    <mergeCell ref="E46:L46"/>
    <mergeCell ref="A43:I43"/>
    <mergeCell ref="J43:L43"/>
    <mergeCell ref="E30:G30"/>
    <mergeCell ref="A31:H32"/>
    <mergeCell ref="A33:H34"/>
    <mergeCell ref="A35:B35"/>
    <mergeCell ref="C35:D35"/>
    <mergeCell ref="E35:H35"/>
    <mergeCell ref="K11:L30"/>
    <mergeCell ref="E12:G12"/>
    <mergeCell ref="E13:G13"/>
    <mergeCell ref="A14:B15"/>
    <mergeCell ref="E14:G14"/>
    <mergeCell ref="A11:B13"/>
    <mergeCell ref="C11:D30"/>
    <mergeCell ref="E11:G11"/>
    <mergeCell ref="H11:I30"/>
    <mergeCell ref="E28:G28"/>
    <mergeCell ref="E19:G19"/>
    <mergeCell ref="E20:G20"/>
    <mergeCell ref="E21:G21"/>
    <mergeCell ref="E22:G22"/>
    <mergeCell ref="E23:G23"/>
    <mergeCell ref="A41:L41"/>
    <mergeCell ref="E42:F42"/>
    <mergeCell ref="G42:I42"/>
    <mergeCell ref="J42:L42"/>
    <mergeCell ref="A9:B10"/>
    <mergeCell ref="C9:D10"/>
    <mergeCell ref="E9:G10"/>
    <mergeCell ref="H9:I10"/>
    <mergeCell ref="J9:J10"/>
    <mergeCell ref="E24:G24"/>
    <mergeCell ref="E25:G25"/>
    <mergeCell ref="E26:G26"/>
    <mergeCell ref="E27:G27"/>
    <mergeCell ref="A2:L2"/>
    <mergeCell ref="E3:F3"/>
    <mergeCell ref="G3:I3"/>
    <mergeCell ref="J3:L3"/>
    <mergeCell ref="A4:I4"/>
    <mergeCell ref="J4:L4"/>
    <mergeCell ref="A16:B18"/>
    <mergeCell ref="E16:G16"/>
    <mergeCell ref="E17:G18"/>
    <mergeCell ref="J11:J30"/>
    <mergeCell ref="E29:G29"/>
    <mergeCell ref="E15:G15"/>
    <mergeCell ref="A19:B30"/>
    <mergeCell ref="K9:L10"/>
    <mergeCell ref="A5:G6"/>
    <mergeCell ref="H5:I6"/>
    <mergeCell ref="J5:J6"/>
    <mergeCell ref="K5:L6"/>
    <mergeCell ref="E7:L7"/>
    <mergeCell ref="A8:B8"/>
    <mergeCell ref="C8:D8"/>
    <mergeCell ref="E8:G8"/>
    <mergeCell ref="H8:I8"/>
    <mergeCell ref="K8:L8"/>
    <mergeCell ref="B80:J80"/>
    <mergeCell ref="K80:M80"/>
    <mergeCell ref="B81:H82"/>
    <mergeCell ref="I81:J82"/>
    <mergeCell ref="K81:K82"/>
    <mergeCell ref="L81:M82"/>
    <mergeCell ref="F83:M83"/>
    <mergeCell ref="B84:C84"/>
    <mergeCell ref="D84:E84"/>
    <mergeCell ref="F84:H84"/>
    <mergeCell ref="I84:J84"/>
    <mergeCell ref="L84:M84"/>
    <mergeCell ref="B87:C89"/>
    <mergeCell ref="D87:E106"/>
    <mergeCell ref="F87:H87"/>
    <mergeCell ref="I87:J106"/>
    <mergeCell ref="K87:K106"/>
    <mergeCell ref="L87:M106"/>
    <mergeCell ref="F88:H88"/>
    <mergeCell ref="F89:H89"/>
    <mergeCell ref="B90:C91"/>
    <mergeCell ref="F90:H90"/>
    <mergeCell ref="F91:H91"/>
    <mergeCell ref="B92:C94"/>
    <mergeCell ref="F92:H92"/>
    <mergeCell ref="F93:H94"/>
    <mergeCell ref="B95:C106"/>
    <mergeCell ref="F95:H95"/>
    <mergeCell ref="F96:H96"/>
    <mergeCell ref="F97:H97"/>
    <mergeCell ref="B107:I108"/>
    <mergeCell ref="B109:I110"/>
    <mergeCell ref="B111:C111"/>
    <mergeCell ref="D111:E111"/>
    <mergeCell ref="F111:I111"/>
    <mergeCell ref="K79:M79"/>
    <mergeCell ref="H79:J79"/>
    <mergeCell ref="F79:G79"/>
    <mergeCell ref="B78:M78"/>
    <mergeCell ref="F98:H98"/>
    <mergeCell ref="F99:H99"/>
    <mergeCell ref="F100:H100"/>
    <mergeCell ref="F101:H101"/>
    <mergeCell ref="F102:H102"/>
    <mergeCell ref="F103:H103"/>
    <mergeCell ref="F104:H104"/>
    <mergeCell ref="F105:H105"/>
    <mergeCell ref="F106:H106"/>
    <mergeCell ref="B85:C86"/>
    <mergeCell ref="D85:E86"/>
    <mergeCell ref="F85:H86"/>
    <mergeCell ref="I85:J86"/>
    <mergeCell ref="K85:K86"/>
    <mergeCell ref="L85:M86"/>
    <mergeCell ref="B117:M117"/>
    <mergeCell ref="F118:G118"/>
    <mergeCell ref="H118:J118"/>
    <mergeCell ref="K118:M118"/>
    <mergeCell ref="B119:J119"/>
    <mergeCell ref="K119:M119"/>
    <mergeCell ref="B120:H121"/>
    <mergeCell ref="I120:J121"/>
    <mergeCell ref="K120:K121"/>
    <mergeCell ref="L120:M121"/>
    <mergeCell ref="F122:M122"/>
    <mergeCell ref="B123:C123"/>
    <mergeCell ref="D123:E123"/>
    <mergeCell ref="F123:H123"/>
    <mergeCell ref="I123:J123"/>
    <mergeCell ref="L123:M123"/>
    <mergeCell ref="B124:C125"/>
    <mergeCell ref="D124:E125"/>
    <mergeCell ref="F124:H125"/>
    <mergeCell ref="I124:J125"/>
    <mergeCell ref="K124:K125"/>
    <mergeCell ref="L124:M125"/>
    <mergeCell ref="B126:C128"/>
    <mergeCell ref="D126:E145"/>
    <mergeCell ref="F126:H126"/>
    <mergeCell ref="I126:J145"/>
    <mergeCell ref="K126:K145"/>
    <mergeCell ref="L126:M145"/>
    <mergeCell ref="F127:H127"/>
    <mergeCell ref="F128:H128"/>
    <mergeCell ref="B129:C130"/>
    <mergeCell ref="F129:H129"/>
    <mergeCell ref="F130:H130"/>
    <mergeCell ref="B131:C133"/>
    <mergeCell ref="F131:H131"/>
    <mergeCell ref="F132:H133"/>
    <mergeCell ref="B134:C145"/>
    <mergeCell ref="F134:H134"/>
    <mergeCell ref="F135:H135"/>
    <mergeCell ref="F136:H136"/>
    <mergeCell ref="F137:H137"/>
    <mergeCell ref="F138:H138"/>
    <mergeCell ref="F139:H139"/>
    <mergeCell ref="F140:H140"/>
    <mergeCell ref="F141:H141"/>
    <mergeCell ref="F142:H142"/>
    <mergeCell ref="F143:H143"/>
    <mergeCell ref="F144:H144"/>
    <mergeCell ref="F145:H145"/>
    <mergeCell ref="B146:I147"/>
    <mergeCell ref="B148:I149"/>
    <mergeCell ref="B150:C150"/>
    <mergeCell ref="D150:E150"/>
    <mergeCell ref="F150:I150"/>
    <mergeCell ref="K147:L147"/>
  </mergeCells>
  <pageMargins left="0.2" right="0.2" top="0.5" bottom="0.5" header="0.05" footer="0.05"/>
  <pageSetup paperSize="9" scale="50"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42E5-0EF9-41EE-BD70-CCFE25DE6C8B}">
  <sheetPr>
    <pageSetUpPr fitToPage="1"/>
  </sheetPr>
  <dimension ref="B2:N414"/>
  <sheetViews>
    <sheetView topLeftCell="A18" workbookViewId="0">
      <selection activeCell="C23" sqref="C23"/>
    </sheetView>
  </sheetViews>
  <sheetFormatPr defaultRowHeight="15"/>
  <cols>
    <col min="2" max="2" width="11.5703125" bestFit="1" customWidth="1"/>
    <col min="3" max="3" width="27" customWidth="1"/>
    <col min="4" max="4" width="34.42578125" bestFit="1" customWidth="1"/>
    <col min="5" max="5" width="30.28515625" customWidth="1"/>
    <col min="6" max="6" width="32.140625" customWidth="1"/>
    <col min="7" max="7" width="31.85546875" customWidth="1"/>
    <col min="8" max="8" width="32.5703125" customWidth="1"/>
    <col min="9" max="9" width="24.42578125" customWidth="1"/>
    <col min="10" max="10" width="29.85546875" style="152" bestFit="1" customWidth="1"/>
    <col min="11" max="11" width="55.28515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c r="B3" s="444"/>
      <c r="C3" s="209" t="s">
        <v>9</v>
      </c>
      <c r="D3" s="42" t="s">
        <v>10</v>
      </c>
      <c r="E3" s="439"/>
      <c r="F3" s="439"/>
      <c r="G3" s="745"/>
      <c r="H3" s="745"/>
      <c r="I3" s="745"/>
      <c r="J3" s="745"/>
      <c r="K3" s="441"/>
    </row>
    <row r="4" spans="2:14" s="3" customFormat="1" ht="42" customHeight="1">
      <c r="B4" s="32">
        <v>1</v>
      </c>
      <c r="C4" s="75"/>
      <c r="D4" s="175">
        <v>410</v>
      </c>
      <c r="E4" s="214">
        <v>45630</v>
      </c>
      <c r="F4" s="233" t="s">
        <v>131</v>
      </c>
      <c r="G4" s="37" t="s">
        <v>1086</v>
      </c>
      <c r="H4" s="36" t="s">
        <v>1415</v>
      </c>
      <c r="I4" s="142" t="s">
        <v>127</v>
      </c>
      <c r="J4" s="217" t="s">
        <v>1416</v>
      </c>
      <c r="K4" s="187" t="s">
        <v>1417</v>
      </c>
    </row>
    <row r="5" spans="2:14" s="3" customFormat="1" ht="42" customHeight="1">
      <c r="B5" s="32">
        <v>2</v>
      </c>
      <c r="C5" s="91">
        <v>20</v>
      </c>
      <c r="D5" s="37"/>
      <c r="E5" s="158">
        <v>45635</v>
      </c>
      <c r="F5" s="37" t="s">
        <v>159</v>
      </c>
      <c r="G5" s="75" t="s">
        <v>1077</v>
      </c>
      <c r="H5" s="104" t="s">
        <v>1418</v>
      </c>
      <c r="I5" s="216" t="s">
        <v>127</v>
      </c>
      <c r="J5" s="238" t="s">
        <v>1419</v>
      </c>
      <c r="K5" s="239" t="s">
        <v>1420</v>
      </c>
      <c r="M5" s="442"/>
      <c r="N5" s="442"/>
    </row>
    <row r="6" spans="2:14" s="3" customFormat="1" ht="42" customHeight="1">
      <c r="B6" s="32">
        <v>3</v>
      </c>
      <c r="C6" s="91">
        <v>19</v>
      </c>
      <c r="D6" s="37"/>
      <c r="E6" s="158">
        <v>45639</v>
      </c>
      <c r="F6" s="37" t="s">
        <v>124</v>
      </c>
      <c r="G6" s="37"/>
      <c r="H6" s="104" t="s">
        <v>1421</v>
      </c>
      <c r="I6" s="142" t="s">
        <v>146</v>
      </c>
      <c r="J6" s="187"/>
      <c r="K6" s="212"/>
      <c r="M6" s="80"/>
      <c r="N6" s="80"/>
    </row>
    <row r="7" spans="2:14" s="3" customFormat="1" ht="61.5" customHeight="1">
      <c r="B7" s="32">
        <v>3</v>
      </c>
      <c r="C7" s="213">
        <v>105</v>
      </c>
      <c r="D7" s="68"/>
      <c r="E7" s="174">
        <v>45641</v>
      </c>
      <c r="F7" s="68" t="s">
        <v>159</v>
      </c>
      <c r="G7" s="68" t="s">
        <v>1058</v>
      </c>
      <c r="H7" s="104" t="s">
        <v>1422</v>
      </c>
      <c r="I7" s="142" t="s">
        <v>127</v>
      </c>
      <c r="J7" s="217" t="s">
        <v>1423</v>
      </c>
      <c r="K7" s="187" t="s">
        <v>1424</v>
      </c>
      <c r="L7" s="442"/>
      <c r="M7" s="442"/>
    </row>
    <row r="8" spans="2:14" s="3" customFormat="1" ht="42" customHeight="1">
      <c r="B8" s="32">
        <v>5</v>
      </c>
      <c r="C8" s="68">
        <v>243</v>
      </c>
      <c r="D8" s="75"/>
      <c r="E8" s="215">
        <v>45641</v>
      </c>
      <c r="F8" s="75" t="s">
        <v>131</v>
      </c>
      <c r="G8" s="234" t="s">
        <v>1048</v>
      </c>
      <c r="H8" s="104" t="s">
        <v>1425</v>
      </c>
      <c r="I8" s="235" t="s">
        <v>127</v>
      </c>
      <c r="J8" s="236" t="s">
        <v>1426</v>
      </c>
      <c r="K8" s="237" t="s">
        <v>1427</v>
      </c>
    </row>
    <row r="9" spans="2:14" s="3" customFormat="1" ht="42" customHeight="1">
      <c r="B9" s="32">
        <v>6</v>
      </c>
      <c r="C9" s="37"/>
      <c r="D9" s="37">
        <v>90</v>
      </c>
      <c r="E9" s="208">
        <v>45643</v>
      </c>
      <c r="F9" s="91" t="s">
        <v>159</v>
      </c>
      <c r="G9" s="37" t="s">
        <v>1077</v>
      </c>
      <c r="H9" s="36" t="s">
        <v>1428</v>
      </c>
      <c r="I9" s="142" t="s">
        <v>127</v>
      </c>
      <c r="J9" s="217" t="s">
        <v>1429</v>
      </c>
      <c r="K9" s="187" t="s">
        <v>1430</v>
      </c>
    </row>
    <row r="10" spans="2:14" s="3" customFormat="1" ht="42" customHeight="1">
      <c r="B10" s="32">
        <v>7</v>
      </c>
      <c r="C10" s="37"/>
      <c r="D10" s="37">
        <v>5</v>
      </c>
      <c r="E10" s="208">
        <v>45645</v>
      </c>
      <c r="F10" s="91" t="s">
        <v>131</v>
      </c>
      <c r="G10" s="37"/>
      <c r="H10" s="36" t="s">
        <v>1431</v>
      </c>
      <c r="I10" s="142" t="s">
        <v>146</v>
      </c>
      <c r="J10" s="37"/>
      <c r="K10" s="37"/>
    </row>
    <row r="11" spans="2:14" s="3" customFormat="1" ht="42" customHeight="1">
      <c r="B11" s="32">
        <v>8</v>
      </c>
      <c r="C11" s="37">
        <v>30</v>
      </c>
      <c r="D11" s="37"/>
      <c r="E11" s="208">
        <v>45645</v>
      </c>
      <c r="F11" s="37" t="s">
        <v>131</v>
      </c>
      <c r="G11" s="75" t="s">
        <v>1077</v>
      </c>
      <c r="H11" s="104" t="s">
        <v>1432</v>
      </c>
      <c r="I11" s="216" t="s">
        <v>127</v>
      </c>
      <c r="J11" s="238" t="s">
        <v>1433</v>
      </c>
      <c r="K11" s="239" t="s">
        <v>1434</v>
      </c>
    </row>
    <row r="12" spans="2:14" s="3" customFormat="1" ht="42" customHeight="1">
      <c r="B12" s="32">
        <v>9</v>
      </c>
      <c r="C12" s="37">
        <v>60</v>
      </c>
      <c r="D12" s="37"/>
      <c r="E12" s="208">
        <v>45646</v>
      </c>
      <c r="F12" s="37" t="s">
        <v>124</v>
      </c>
      <c r="G12" s="74" t="s">
        <v>1048</v>
      </c>
      <c r="H12" s="104" t="s">
        <v>1432</v>
      </c>
      <c r="I12" s="173" t="s">
        <v>127</v>
      </c>
      <c r="J12" s="236" t="s">
        <v>1433</v>
      </c>
      <c r="K12" s="237" t="s">
        <v>1434</v>
      </c>
    </row>
    <row r="13" spans="2:14" s="3" customFormat="1" ht="42" customHeight="1">
      <c r="B13" s="32">
        <v>10</v>
      </c>
      <c r="C13" s="37"/>
      <c r="D13" s="37">
        <v>13</v>
      </c>
      <c r="E13" s="208">
        <v>45647</v>
      </c>
      <c r="F13" s="91" t="s">
        <v>124</v>
      </c>
      <c r="G13" s="37"/>
      <c r="H13" s="36" t="s">
        <v>1435</v>
      </c>
      <c r="I13" s="142" t="s">
        <v>146</v>
      </c>
      <c r="J13" s="37"/>
      <c r="K13" s="37"/>
    </row>
    <row r="14" spans="2:14" s="3" customFormat="1" ht="42" customHeight="1">
      <c r="B14" s="32">
        <v>11</v>
      </c>
      <c r="C14" s="68">
        <v>281</v>
      </c>
      <c r="D14" s="37"/>
      <c r="E14" s="208">
        <v>45650</v>
      </c>
      <c r="F14" s="37" t="s">
        <v>159</v>
      </c>
      <c r="G14" s="234" t="s">
        <v>1058</v>
      </c>
      <c r="H14" s="104" t="s">
        <v>1436</v>
      </c>
      <c r="I14" s="235" t="s">
        <v>127</v>
      </c>
      <c r="J14" s="240" t="s">
        <v>1437</v>
      </c>
      <c r="K14" s="241" t="s">
        <v>1438</v>
      </c>
    </row>
    <row r="15" spans="2:14" s="3" customFormat="1" ht="42" customHeight="1">
      <c r="B15" s="32">
        <v>12</v>
      </c>
      <c r="C15" s="37"/>
      <c r="D15" s="230">
        <v>340</v>
      </c>
      <c r="E15" s="208">
        <v>45650</v>
      </c>
      <c r="F15" s="91" t="s">
        <v>131</v>
      </c>
      <c r="G15" s="37" t="s">
        <v>1048</v>
      </c>
      <c r="H15" s="36" t="s">
        <v>1439</v>
      </c>
      <c r="I15" s="142" t="s">
        <v>127</v>
      </c>
      <c r="J15" s="217" t="s">
        <v>1440</v>
      </c>
      <c r="K15" s="187" t="s">
        <v>1441</v>
      </c>
    </row>
    <row r="16" spans="2:14" ht="42" customHeight="1">
      <c r="B16" s="32">
        <v>13</v>
      </c>
      <c r="C16" s="37"/>
      <c r="D16" s="163">
        <v>115</v>
      </c>
      <c r="E16" s="208">
        <v>45651</v>
      </c>
      <c r="F16" s="91" t="s">
        <v>124</v>
      </c>
      <c r="G16" s="37" t="s">
        <v>1071</v>
      </c>
      <c r="H16" s="36" t="s">
        <v>1439</v>
      </c>
      <c r="I16" s="142" t="s">
        <v>127</v>
      </c>
      <c r="J16" s="217"/>
      <c r="K16" s="187"/>
    </row>
    <row r="17" spans="2:11" ht="42" customHeight="1">
      <c r="B17" s="32">
        <v>14</v>
      </c>
      <c r="C17" s="37"/>
      <c r="D17" s="37">
        <v>77</v>
      </c>
      <c r="E17" s="208">
        <v>45655</v>
      </c>
      <c r="F17" s="91" t="s">
        <v>124</v>
      </c>
      <c r="G17" s="37"/>
      <c r="H17" s="36" t="s">
        <v>1442</v>
      </c>
      <c r="I17" s="142" t="s">
        <v>127</v>
      </c>
      <c r="J17" s="217" t="s">
        <v>1443</v>
      </c>
      <c r="K17" s="187" t="s">
        <v>1444</v>
      </c>
    </row>
    <row r="18" spans="2:11" ht="42" customHeight="1">
      <c r="B18" s="32">
        <v>15</v>
      </c>
      <c r="C18" s="68">
        <v>90</v>
      </c>
      <c r="D18" s="37"/>
      <c r="E18" s="208">
        <v>45655</v>
      </c>
      <c r="F18" s="37" t="s">
        <v>131</v>
      </c>
      <c r="G18" s="75" t="s">
        <v>1071</v>
      </c>
      <c r="H18" s="104" t="s">
        <v>1445</v>
      </c>
      <c r="I18" s="235" t="s">
        <v>127</v>
      </c>
      <c r="J18" s="238" t="s">
        <v>1446</v>
      </c>
      <c r="K18" s="239"/>
    </row>
    <row r="19" spans="2:11" ht="42" customHeight="1">
      <c r="B19" s="32">
        <v>16</v>
      </c>
      <c r="C19" s="37">
        <v>160</v>
      </c>
      <c r="D19" s="37"/>
      <c r="E19" s="208">
        <v>45655</v>
      </c>
      <c r="F19" s="37" t="s">
        <v>131</v>
      </c>
      <c r="G19" s="74" t="s">
        <v>1071</v>
      </c>
      <c r="H19" s="104" t="s">
        <v>1447</v>
      </c>
      <c r="I19" s="142" t="s">
        <v>127</v>
      </c>
      <c r="J19" s="242" t="s">
        <v>1448</v>
      </c>
      <c r="K19" s="237" t="s">
        <v>1449</v>
      </c>
    </row>
    <row r="20" spans="2:11" ht="42.75" customHeight="1">
      <c r="B20" s="32">
        <v>17</v>
      </c>
      <c r="C20" s="74"/>
      <c r="D20" s="37">
        <v>30</v>
      </c>
      <c r="E20" s="208">
        <v>45656</v>
      </c>
      <c r="F20" s="91" t="s">
        <v>124</v>
      </c>
      <c r="G20" s="37" t="s">
        <v>1058</v>
      </c>
      <c r="H20" s="76" t="s">
        <v>1450</v>
      </c>
      <c r="I20" s="142" t="s">
        <v>146</v>
      </c>
      <c r="J20" s="243" t="s">
        <v>1451</v>
      </c>
      <c r="K20" s="187" t="s">
        <v>1452</v>
      </c>
    </row>
    <row r="21" spans="2:11" ht="42" customHeight="1">
      <c r="B21" s="32">
        <v>18</v>
      </c>
      <c r="C21" s="37"/>
      <c r="D21" s="37">
        <v>23</v>
      </c>
      <c r="E21" s="158">
        <v>45656</v>
      </c>
      <c r="F21" s="97" t="s">
        <v>124</v>
      </c>
      <c r="G21" s="37"/>
      <c r="H21" s="37" t="s">
        <v>1453</v>
      </c>
      <c r="I21" s="216" t="s">
        <v>146</v>
      </c>
      <c r="J21" s="37"/>
      <c r="K21" s="37"/>
    </row>
    <row r="22" spans="2:11" ht="42" customHeight="1">
      <c r="B22" s="32"/>
      <c r="C22" s="37">
        <v>5</v>
      </c>
      <c r="D22" s="37"/>
      <c r="E22" s="158">
        <v>45657</v>
      </c>
      <c r="F22" s="90" t="s">
        <v>124</v>
      </c>
      <c r="G22" s="234"/>
      <c r="H22" s="104" t="s">
        <v>1454</v>
      </c>
      <c r="I22" s="235" t="s">
        <v>146</v>
      </c>
      <c r="J22" s="234"/>
      <c r="K22" s="234"/>
    </row>
    <row r="23" spans="2:11" ht="42" customHeight="1">
      <c r="B23" s="32">
        <v>19</v>
      </c>
      <c r="C23" s="37"/>
      <c r="D23" s="37">
        <v>125</v>
      </c>
      <c r="E23" s="158">
        <v>45657</v>
      </c>
      <c r="F23" s="97" t="s">
        <v>124</v>
      </c>
      <c r="G23" s="37" t="s">
        <v>1058</v>
      </c>
      <c r="H23" s="36" t="s">
        <v>1455</v>
      </c>
      <c r="I23" s="142" t="s">
        <v>127</v>
      </c>
      <c r="J23" s="217" t="s">
        <v>1456</v>
      </c>
      <c r="K23" s="187" t="s">
        <v>1457</v>
      </c>
    </row>
    <row r="24" spans="2:11" ht="42" customHeight="1">
      <c r="B24" s="79"/>
      <c r="C24" s="152"/>
      <c r="D24" s="152"/>
      <c r="E24" s="357"/>
      <c r="F24" s="152"/>
      <c r="G24" s="152"/>
      <c r="H24" s="153"/>
      <c r="I24" s="358"/>
      <c r="J24" s="356"/>
      <c r="K24" s="359"/>
    </row>
    <row r="25" spans="2:11">
      <c r="B25" s="6" t="s">
        <v>11</v>
      </c>
      <c r="C25" s="231">
        <f>SUM(C4:C23)/60</f>
        <v>16.883333333333333</v>
      </c>
      <c r="D25" s="231">
        <f>SUM(D4:D23)/60</f>
        <v>20.466666666666665</v>
      </c>
      <c r="E25" s="434"/>
      <c r="F25" s="435"/>
      <c r="G25" s="435"/>
      <c r="H25" s="435"/>
      <c r="I25" s="435"/>
      <c r="J25" s="435"/>
      <c r="K25" s="435"/>
    </row>
    <row r="26" spans="2:11">
      <c r="B26" s="9"/>
      <c r="C26" s="10"/>
      <c r="D26" s="11"/>
      <c r="E26" s="434"/>
      <c r="F26" s="435"/>
      <c r="G26" s="435"/>
      <c r="H26" s="435"/>
      <c r="I26" s="435"/>
      <c r="J26" s="435"/>
      <c r="K26" s="435"/>
    </row>
    <row r="27" spans="2:11">
      <c r="B27" s="6" t="s">
        <v>12</v>
      </c>
      <c r="C27" s="432">
        <f>SUM(C25,D25)</f>
        <v>37.349999999999994</v>
      </c>
      <c r="D27" s="433"/>
      <c r="E27" s="434"/>
      <c r="F27" s="435"/>
      <c r="G27" s="435"/>
      <c r="H27" s="435"/>
      <c r="I27" s="435"/>
      <c r="J27" s="435"/>
      <c r="K27" s="435"/>
    </row>
    <row r="28" spans="2:11">
      <c r="B28" s="12"/>
      <c r="C28" s="13"/>
      <c r="D28" s="14"/>
      <c r="E28" s="436"/>
      <c r="F28" s="437"/>
      <c r="G28" s="437"/>
      <c r="H28" s="437"/>
      <c r="I28" s="437"/>
      <c r="J28" s="437"/>
      <c r="K28" s="437"/>
    </row>
    <row r="32" spans="2:11" ht="17.25" customHeight="1">
      <c r="B32" s="164"/>
      <c r="C32" s="164"/>
      <c r="D32" s="164"/>
      <c r="E32" s="164"/>
      <c r="F32" s="164"/>
      <c r="G32" s="164"/>
    </row>
    <row r="33" spans="2:10">
      <c r="B33" s="164"/>
      <c r="C33" s="164"/>
      <c r="D33" s="164"/>
      <c r="E33" s="164"/>
      <c r="F33" s="164"/>
      <c r="G33" s="164"/>
    </row>
    <row r="34" spans="2:10">
      <c r="B34" s="164"/>
      <c r="C34" s="164"/>
      <c r="D34" s="164"/>
      <c r="E34" s="164"/>
      <c r="F34" s="164"/>
      <c r="G34" s="164"/>
    </row>
    <row r="35" spans="2:10">
      <c r="B35" s="164"/>
      <c r="C35" s="164"/>
      <c r="D35" s="164"/>
      <c r="E35" s="164"/>
      <c r="F35" s="164"/>
      <c r="G35" s="164"/>
    </row>
    <row r="37" spans="2:10" ht="17.25" customHeight="1">
      <c r="B37" s="43"/>
      <c r="C37" s="43"/>
      <c r="D37" s="43"/>
      <c r="E37" s="43"/>
      <c r="F37" s="43"/>
      <c r="G37" s="43"/>
    </row>
    <row r="38" spans="2:10" ht="15" customHeight="1">
      <c r="B38" s="164"/>
      <c r="C38" s="164"/>
      <c r="D38" s="164"/>
      <c r="E38" s="164"/>
      <c r="F38" s="164"/>
      <c r="G38" s="164"/>
    </row>
    <row r="39" spans="2:10">
      <c r="B39" s="164"/>
      <c r="C39" s="164"/>
      <c r="D39" s="164"/>
      <c r="E39" s="164"/>
      <c r="F39" s="164"/>
      <c r="G39" s="164"/>
    </row>
    <row r="40" spans="2:10">
      <c r="B40" s="43"/>
      <c r="C40" s="43"/>
      <c r="D40" s="43"/>
      <c r="E40" s="43"/>
      <c r="F40" s="43"/>
      <c r="G40" s="43"/>
    </row>
    <row r="42" spans="2:10" ht="26.25">
      <c r="B42" s="999" t="s">
        <v>13</v>
      </c>
      <c r="C42" s="1000"/>
      <c r="D42" s="1003" t="s">
        <v>14</v>
      </c>
      <c r="E42" s="1004"/>
      <c r="F42" s="1004"/>
      <c r="G42" s="1004"/>
      <c r="H42" s="1004"/>
      <c r="I42" s="1005"/>
      <c r="J42" s="228" t="s">
        <v>1458</v>
      </c>
    </row>
    <row r="43" spans="2:10" ht="20.25">
      <c r="B43" s="1001"/>
      <c r="C43" s="1002"/>
      <c r="D43" s="1006" t="s">
        <v>16</v>
      </c>
      <c r="E43" s="1007"/>
      <c r="F43" s="1007"/>
      <c r="G43" s="1007"/>
      <c r="H43" s="1007"/>
      <c r="I43" s="1008"/>
      <c r="J43" s="228" t="s">
        <v>17</v>
      </c>
    </row>
    <row r="44" spans="2:10" ht="15" customHeight="1">
      <c r="B44" s="464" t="s">
        <v>18</v>
      </c>
      <c r="C44" s="466"/>
      <c r="D44" s="199" t="s">
        <v>1459</v>
      </c>
      <c r="E44" s="199" t="s">
        <v>1460</v>
      </c>
      <c r="F44" s="467" t="s">
        <v>131</v>
      </c>
      <c r="G44" s="469"/>
      <c r="H44" s="201" t="s">
        <v>21</v>
      </c>
      <c r="I44" s="202" t="s">
        <v>1461</v>
      </c>
      <c r="J44" s="200" t="s">
        <v>23</v>
      </c>
    </row>
    <row r="45" spans="2:10" ht="15" customHeight="1">
      <c r="B45" s="464" t="s">
        <v>24</v>
      </c>
      <c r="C45" s="466"/>
      <c r="D45" s="203"/>
      <c r="E45" s="204" t="s">
        <v>25</v>
      </c>
      <c r="F45" s="467" t="s">
        <v>26</v>
      </c>
      <c r="G45" s="469"/>
      <c r="H45" s="199" t="s">
        <v>27</v>
      </c>
      <c r="I45" s="202" t="s">
        <v>1462</v>
      </c>
      <c r="J45" s="207" t="s">
        <v>29</v>
      </c>
    </row>
    <row r="46" spans="2:10">
      <c r="B46" s="464" t="s">
        <v>30</v>
      </c>
      <c r="C46" s="466"/>
      <c r="D46" s="199" t="s">
        <v>31</v>
      </c>
      <c r="E46" s="199" t="s">
        <v>32</v>
      </c>
      <c r="F46" s="467">
        <v>410</v>
      </c>
      <c r="G46" s="469"/>
      <c r="H46" s="201" t="s">
        <v>33</v>
      </c>
      <c r="I46" s="204" t="s">
        <v>1463</v>
      </c>
      <c r="J46" s="207"/>
    </row>
    <row r="47" spans="2:10">
      <c r="B47" s="990" t="s">
        <v>35</v>
      </c>
      <c r="C47" s="992"/>
      <c r="D47" s="464" t="s">
        <v>1464</v>
      </c>
      <c r="E47" s="465"/>
      <c r="F47" s="465"/>
      <c r="G47" s="465"/>
      <c r="H47" s="465"/>
      <c r="I47" s="465"/>
      <c r="J47" s="469"/>
    </row>
    <row r="48" spans="2:10">
      <c r="B48" s="452" t="s">
        <v>1465</v>
      </c>
      <c r="C48" s="453"/>
      <c r="D48" s="453"/>
      <c r="E48" s="453"/>
      <c r="F48" s="453"/>
      <c r="G48" s="453"/>
      <c r="H48" s="453"/>
      <c r="I48" s="453"/>
      <c r="J48" s="993"/>
    </row>
    <row r="49" spans="2:10" ht="15" customHeight="1">
      <c r="B49" s="455"/>
      <c r="C49" s="456"/>
      <c r="D49" s="456"/>
      <c r="E49" s="456"/>
      <c r="F49" s="456"/>
      <c r="G49" s="456"/>
      <c r="H49" s="456"/>
      <c r="I49" s="456"/>
      <c r="J49" s="994"/>
    </row>
    <row r="50" spans="2:10">
      <c r="B50" s="455"/>
      <c r="C50" s="456"/>
      <c r="D50" s="456"/>
      <c r="E50" s="456"/>
      <c r="F50" s="456"/>
      <c r="G50" s="456"/>
      <c r="H50" s="456"/>
      <c r="I50" s="456"/>
      <c r="J50" s="994"/>
    </row>
    <row r="51" spans="2:10" ht="15" customHeight="1">
      <c r="B51" s="458"/>
      <c r="C51" s="459"/>
      <c r="D51" s="459"/>
      <c r="E51" s="459"/>
      <c r="F51" s="459"/>
      <c r="G51" s="459"/>
      <c r="H51" s="459"/>
      <c r="I51" s="459"/>
      <c r="J51" s="995"/>
    </row>
    <row r="52" spans="2:10" ht="18">
      <c r="B52" s="461" t="s">
        <v>38</v>
      </c>
      <c r="C52" s="462"/>
      <c r="D52" s="462"/>
      <c r="E52" s="462"/>
      <c r="F52" s="462"/>
      <c r="G52" s="462"/>
      <c r="H52" s="462"/>
      <c r="I52" s="463"/>
      <c r="J52" s="205" t="s">
        <v>39</v>
      </c>
    </row>
    <row r="53" spans="2:10">
      <c r="B53" s="200">
        <v>1</v>
      </c>
      <c r="C53" s="464" t="s">
        <v>1417</v>
      </c>
      <c r="D53" s="465"/>
      <c r="E53" s="465"/>
      <c r="F53" s="465"/>
      <c r="G53" s="465"/>
      <c r="H53" s="465"/>
      <c r="I53" s="466"/>
      <c r="J53" s="200" t="s">
        <v>41</v>
      </c>
    </row>
    <row r="54" spans="2:10">
      <c r="B54" s="200">
        <v>2</v>
      </c>
      <c r="C54" s="464" t="s">
        <v>1466</v>
      </c>
      <c r="D54" s="465"/>
      <c r="E54" s="465"/>
      <c r="F54" s="465"/>
      <c r="G54" s="465"/>
      <c r="H54" s="465"/>
      <c r="I54" s="466"/>
      <c r="J54" s="200" t="s">
        <v>43</v>
      </c>
    </row>
    <row r="55" spans="2:10" ht="15" customHeight="1">
      <c r="B55" s="200">
        <v>3</v>
      </c>
      <c r="C55" s="467"/>
      <c r="D55" s="468"/>
      <c r="E55" s="468"/>
      <c r="F55" s="468"/>
      <c r="G55" s="468"/>
      <c r="H55" s="468"/>
      <c r="I55" s="469"/>
      <c r="J55" s="200"/>
    </row>
    <row r="56" spans="2:10" ht="18">
      <c r="B56" s="461" t="s">
        <v>44</v>
      </c>
      <c r="C56" s="462"/>
      <c r="D56" s="462"/>
      <c r="E56" s="462"/>
      <c r="F56" s="462"/>
      <c r="G56" s="462"/>
      <c r="H56" s="462"/>
      <c r="I56" s="462"/>
      <c r="J56" s="463"/>
    </row>
    <row r="57" spans="2:10">
      <c r="B57" s="200" t="s">
        <v>45</v>
      </c>
      <c r="C57" s="996" t="s">
        <v>1467</v>
      </c>
      <c r="D57" s="997"/>
      <c r="E57" s="997"/>
      <c r="F57" s="997"/>
      <c r="G57" s="997"/>
      <c r="H57" s="997"/>
      <c r="I57" s="997"/>
      <c r="J57" s="998"/>
    </row>
    <row r="58" spans="2:10">
      <c r="B58" s="206" t="s">
        <v>45</v>
      </c>
      <c r="C58" s="987" t="s">
        <v>1468</v>
      </c>
      <c r="D58" s="988"/>
      <c r="E58" s="988"/>
      <c r="F58" s="988"/>
      <c r="G58" s="988"/>
      <c r="H58" s="988"/>
      <c r="I58" s="988"/>
      <c r="J58" s="989"/>
    </row>
    <row r="59" spans="2:10">
      <c r="B59" s="206" t="s">
        <v>45</v>
      </c>
      <c r="C59" s="987" t="s">
        <v>1469</v>
      </c>
      <c r="D59" s="988"/>
      <c r="E59" s="988"/>
      <c r="F59" s="988"/>
      <c r="G59" s="988"/>
      <c r="H59" s="988"/>
      <c r="I59" s="988"/>
      <c r="J59" s="989"/>
    </row>
    <row r="60" spans="2:10">
      <c r="B60" s="206" t="s">
        <v>45</v>
      </c>
      <c r="C60" s="1013" t="s">
        <v>1470</v>
      </c>
      <c r="D60" s="1014"/>
      <c r="E60" s="1014"/>
      <c r="F60" s="1014"/>
      <c r="G60" s="1014"/>
      <c r="H60" s="1014"/>
      <c r="I60" s="1014"/>
      <c r="J60" s="1015"/>
    </row>
    <row r="61" spans="2:10" ht="15" customHeight="1">
      <c r="B61" s="206" t="s">
        <v>45</v>
      </c>
      <c r="C61" s="464" t="s">
        <v>1416</v>
      </c>
      <c r="D61" s="465"/>
      <c r="E61" s="465"/>
      <c r="F61" s="465"/>
      <c r="G61" s="465"/>
      <c r="H61" s="465"/>
      <c r="I61" s="465"/>
      <c r="J61" s="469"/>
    </row>
    <row r="62" spans="2:10">
      <c r="B62" s="206" t="s">
        <v>45</v>
      </c>
      <c r="C62" s="464"/>
      <c r="D62" s="465"/>
      <c r="E62" s="465"/>
      <c r="F62" s="465"/>
      <c r="G62" s="465"/>
      <c r="H62" s="465"/>
      <c r="I62" s="465"/>
      <c r="J62" s="469"/>
    </row>
    <row r="63" spans="2:10">
      <c r="B63" s="200" t="s">
        <v>45</v>
      </c>
      <c r="C63" s="464"/>
      <c r="D63" s="465"/>
      <c r="E63" s="465"/>
      <c r="F63" s="465"/>
      <c r="G63" s="465"/>
      <c r="H63" s="465"/>
      <c r="I63" s="465"/>
      <c r="J63" s="469"/>
    </row>
    <row r="64" spans="2:10">
      <c r="B64" s="200" t="s">
        <v>7</v>
      </c>
      <c r="C64" s="464" t="s">
        <v>1416</v>
      </c>
      <c r="D64" s="465"/>
      <c r="E64" s="465"/>
      <c r="F64" s="465"/>
      <c r="G64" s="465"/>
      <c r="H64" s="465"/>
      <c r="I64" s="465"/>
      <c r="J64" s="469"/>
    </row>
    <row r="65" spans="2:10" ht="18">
      <c r="B65" s="205" t="s">
        <v>52</v>
      </c>
      <c r="C65" s="461" t="s">
        <v>53</v>
      </c>
      <c r="D65" s="462"/>
      <c r="E65" s="462"/>
      <c r="F65" s="462"/>
      <c r="G65" s="463"/>
      <c r="H65" s="205" t="s">
        <v>54</v>
      </c>
      <c r="I65" s="205" t="s">
        <v>55</v>
      </c>
      <c r="J65" s="205" t="s">
        <v>56</v>
      </c>
    </row>
    <row r="66" spans="2:10">
      <c r="B66" s="200">
        <v>1</v>
      </c>
      <c r="C66" s="990"/>
      <c r="D66" s="991"/>
      <c r="E66" s="991"/>
      <c r="F66" s="991"/>
      <c r="G66" s="992"/>
      <c r="H66" s="200"/>
      <c r="I66" s="207"/>
      <c r="J66" s="200" t="s">
        <v>202</v>
      </c>
    </row>
    <row r="67" spans="2:10">
      <c r="B67" s="200">
        <v>2</v>
      </c>
      <c r="C67" s="464"/>
      <c r="D67" s="465"/>
      <c r="E67" s="465"/>
      <c r="F67" s="465"/>
      <c r="G67" s="466"/>
      <c r="H67" s="200"/>
      <c r="I67" s="207"/>
      <c r="J67" s="200" t="s">
        <v>202</v>
      </c>
    </row>
    <row r="68" spans="2:10" ht="15" customHeight="1">
      <c r="B68" s="200">
        <v>3</v>
      </c>
      <c r="C68" s="467"/>
      <c r="D68" s="468"/>
      <c r="E68" s="468"/>
      <c r="F68" s="468"/>
      <c r="G68" s="469"/>
      <c r="H68" s="200"/>
      <c r="I68" s="200"/>
      <c r="J68" s="200"/>
    </row>
    <row r="69" spans="2:10">
      <c r="B69" s="467" t="s">
        <v>63</v>
      </c>
      <c r="C69" s="469"/>
      <c r="D69" s="199" t="s">
        <v>31</v>
      </c>
      <c r="E69" s="198" t="s">
        <v>64</v>
      </c>
      <c r="F69" s="467" t="s">
        <v>202</v>
      </c>
      <c r="G69" s="469"/>
      <c r="H69" s="199"/>
      <c r="I69" s="199"/>
      <c r="J69" s="200"/>
    </row>
    <row r="70" spans="2:10" ht="45">
      <c r="B70" s="201" t="s">
        <v>66</v>
      </c>
      <c r="C70" s="467"/>
      <c r="D70" s="469"/>
      <c r="E70" s="201" t="s">
        <v>67</v>
      </c>
      <c r="F70" s="467"/>
      <c r="G70" s="469"/>
      <c r="H70" s="201" t="s">
        <v>68</v>
      </c>
      <c r="I70" s="467"/>
      <c r="J70" s="469"/>
    </row>
    <row r="73" spans="2:10" ht="26.25" customHeight="1">
      <c r="B73" s="999" t="s">
        <v>13</v>
      </c>
      <c r="C73" s="1000"/>
      <c r="D73" s="1003" t="s">
        <v>14</v>
      </c>
      <c r="E73" s="1004"/>
      <c r="F73" s="1004"/>
      <c r="G73" s="1004"/>
      <c r="H73" s="1004"/>
      <c r="I73" s="1005"/>
      <c r="J73" s="228" t="s">
        <v>15</v>
      </c>
    </row>
    <row r="74" spans="2:10" ht="20.25" customHeight="1">
      <c r="B74" s="1001"/>
      <c r="C74" s="1002"/>
      <c r="D74" s="1006" t="s">
        <v>16</v>
      </c>
      <c r="E74" s="1007"/>
      <c r="F74" s="1007"/>
      <c r="G74" s="1007"/>
      <c r="H74" s="1007"/>
      <c r="I74" s="1008"/>
      <c r="J74" s="228" t="s">
        <v>17</v>
      </c>
    </row>
    <row r="75" spans="2:10">
      <c r="B75" s="449" t="s">
        <v>18</v>
      </c>
      <c r="C75" s="449"/>
      <c r="D75" s="199" t="s">
        <v>1471</v>
      </c>
      <c r="E75" s="199" t="s">
        <v>1460</v>
      </c>
      <c r="F75" s="450" t="s">
        <v>159</v>
      </c>
      <c r="G75" s="450"/>
      <c r="H75" s="201" t="s">
        <v>21</v>
      </c>
      <c r="I75" s="202" t="s">
        <v>1472</v>
      </c>
      <c r="J75" s="200" t="s">
        <v>23</v>
      </c>
    </row>
    <row r="76" spans="2:10">
      <c r="B76" s="449" t="s">
        <v>24</v>
      </c>
      <c r="C76" s="449"/>
      <c r="D76" s="203"/>
      <c r="E76" s="204" t="s">
        <v>25</v>
      </c>
      <c r="F76" s="450" t="s">
        <v>26</v>
      </c>
      <c r="G76" s="450"/>
      <c r="H76" s="199" t="s">
        <v>27</v>
      </c>
      <c r="I76" s="202" t="s">
        <v>867</v>
      </c>
      <c r="J76" s="207" t="s">
        <v>29</v>
      </c>
    </row>
    <row r="77" spans="2:10">
      <c r="B77" s="449" t="s">
        <v>30</v>
      </c>
      <c r="C77" s="449"/>
      <c r="D77" s="199" t="s">
        <v>31</v>
      </c>
      <c r="E77" s="199" t="s">
        <v>32</v>
      </c>
      <c r="F77" s="450">
        <v>20</v>
      </c>
      <c r="G77" s="450"/>
      <c r="H77" s="201" t="s">
        <v>33</v>
      </c>
      <c r="I77" s="204" t="s">
        <v>1473</v>
      </c>
      <c r="J77" s="207"/>
    </row>
    <row r="78" spans="2:10">
      <c r="B78" s="451" t="s">
        <v>35</v>
      </c>
      <c r="C78" s="451"/>
      <c r="D78" s="449" t="s">
        <v>1474</v>
      </c>
      <c r="E78" s="449"/>
      <c r="F78" s="449"/>
      <c r="G78" s="449"/>
      <c r="H78" s="449"/>
      <c r="I78" s="449"/>
      <c r="J78" s="450"/>
    </row>
    <row r="79" spans="2:10">
      <c r="B79" s="452" t="s">
        <v>1475</v>
      </c>
      <c r="C79" s="453"/>
      <c r="D79" s="453"/>
      <c r="E79" s="453"/>
      <c r="F79" s="453"/>
      <c r="G79" s="453"/>
      <c r="H79" s="453"/>
      <c r="I79" s="453"/>
      <c r="J79" s="993"/>
    </row>
    <row r="80" spans="2:10">
      <c r="B80" s="455"/>
      <c r="C80" s="456"/>
      <c r="D80" s="456"/>
      <c r="E80" s="456"/>
      <c r="F80" s="456"/>
      <c r="G80" s="456"/>
      <c r="H80" s="456"/>
      <c r="I80" s="456"/>
      <c r="J80" s="994"/>
    </row>
    <row r="81" spans="2:10">
      <c r="B81" s="455"/>
      <c r="C81" s="456"/>
      <c r="D81" s="456"/>
      <c r="E81" s="456"/>
      <c r="F81" s="456"/>
      <c r="G81" s="456"/>
      <c r="H81" s="456"/>
      <c r="I81" s="456"/>
      <c r="J81" s="994"/>
    </row>
    <row r="82" spans="2:10">
      <c r="B82" s="458"/>
      <c r="C82" s="459"/>
      <c r="D82" s="459"/>
      <c r="E82" s="459"/>
      <c r="F82" s="459"/>
      <c r="G82" s="459"/>
      <c r="H82" s="459"/>
      <c r="I82" s="459"/>
      <c r="J82" s="995"/>
    </row>
    <row r="83" spans="2:10" ht="18">
      <c r="B83" s="461" t="s">
        <v>38</v>
      </c>
      <c r="C83" s="462"/>
      <c r="D83" s="462"/>
      <c r="E83" s="462"/>
      <c r="F83" s="462"/>
      <c r="G83" s="462"/>
      <c r="H83" s="462"/>
      <c r="I83" s="463"/>
      <c r="J83" s="205" t="s">
        <v>39</v>
      </c>
    </row>
    <row r="84" spans="2:10">
      <c r="B84" s="200">
        <v>1</v>
      </c>
      <c r="C84" s="464" t="s">
        <v>1476</v>
      </c>
      <c r="D84" s="465"/>
      <c r="E84" s="465"/>
      <c r="F84" s="465"/>
      <c r="G84" s="465"/>
      <c r="H84" s="465"/>
      <c r="I84" s="466"/>
      <c r="J84" s="200" t="s">
        <v>41</v>
      </c>
    </row>
    <row r="85" spans="2:10">
      <c r="B85" s="200">
        <v>2</v>
      </c>
      <c r="C85" s="464" t="s">
        <v>202</v>
      </c>
      <c r="D85" s="465"/>
      <c r="E85" s="465"/>
      <c r="F85" s="465"/>
      <c r="G85" s="465"/>
      <c r="H85" s="465"/>
      <c r="I85" s="466"/>
      <c r="J85" s="200" t="s">
        <v>43</v>
      </c>
    </row>
    <row r="86" spans="2:10">
      <c r="B86" s="200">
        <v>3</v>
      </c>
      <c r="C86" s="467"/>
      <c r="D86" s="468"/>
      <c r="E86" s="468"/>
      <c r="F86" s="468"/>
      <c r="G86" s="468"/>
      <c r="H86" s="468"/>
      <c r="I86" s="469"/>
      <c r="J86" s="200"/>
    </row>
    <row r="87" spans="2:10" ht="18">
      <c r="B87" s="461" t="s">
        <v>44</v>
      </c>
      <c r="C87" s="462"/>
      <c r="D87" s="462"/>
      <c r="E87" s="462"/>
      <c r="F87" s="462"/>
      <c r="G87" s="462"/>
      <c r="H87" s="462"/>
      <c r="I87" s="462"/>
      <c r="J87" s="463"/>
    </row>
    <row r="88" spans="2:10">
      <c r="B88" s="200" t="s">
        <v>45</v>
      </c>
      <c r="C88" s="470" t="s">
        <v>1477</v>
      </c>
      <c r="D88" s="471"/>
      <c r="E88" s="471"/>
      <c r="F88" s="471"/>
      <c r="G88" s="471"/>
      <c r="H88" s="471"/>
      <c r="I88" s="471"/>
      <c r="J88" s="1011"/>
    </row>
    <row r="89" spans="2:10">
      <c r="B89" s="206" t="s">
        <v>45</v>
      </c>
      <c r="C89" s="473" t="s">
        <v>1478</v>
      </c>
      <c r="D89" s="473"/>
      <c r="E89" s="473"/>
      <c r="F89" s="473"/>
      <c r="G89" s="473"/>
      <c r="H89" s="473"/>
      <c r="I89" s="473"/>
      <c r="J89" s="1012"/>
    </row>
    <row r="90" spans="2:10">
      <c r="B90" s="206" t="s">
        <v>45</v>
      </c>
      <c r="C90" s="473" t="s">
        <v>1479</v>
      </c>
      <c r="D90" s="473"/>
      <c r="E90" s="473"/>
      <c r="F90" s="473"/>
      <c r="G90" s="473"/>
      <c r="H90" s="473"/>
      <c r="I90" s="473"/>
      <c r="J90" s="1012"/>
    </row>
    <row r="91" spans="2:10" ht="15" customHeight="1">
      <c r="B91" s="206" t="s">
        <v>45</v>
      </c>
      <c r="C91" s="1013" t="s">
        <v>1480</v>
      </c>
      <c r="D91" s="1014"/>
      <c r="E91" s="1014"/>
      <c r="F91" s="1014"/>
      <c r="G91" s="1014"/>
      <c r="H91" s="1014"/>
      <c r="I91" s="1014"/>
      <c r="J91" s="1015"/>
    </row>
    <row r="92" spans="2:10">
      <c r="B92" s="206" t="s">
        <v>45</v>
      </c>
      <c r="C92" s="464" t="s">
        <v>202</v>
      </c>
      <c r="D92" s="465"/>
      <c r="E92" s="465"/>
      <c r="F92" s="465"/>
      <c r="G92" s="465"/>
      <c r="H92" s="465"/>
      <c r="I92" s="465"/>
      <c r="J92" s="469"/>
    </row>
    <row r="93" spans="2:10">
      <c r="B93" s="206" t="s">
        <v>45</v>
      </c>
      <c r="C93" s="464"/>
      <c r="D93" s="465"/>
      <c r="E93" s="465"/>
      <c r="F93" s="465"/>
      <c r="G93" s="465"/>
      <c r="H93" s="465"/>
      <c r="I93" s="465"/>
      <c r="J93" s="469"/>
    </row>
    <row r="94" spans="2:10">
      <c r="B94" s="200" t="s">
        <v>45</v>
      </c>
      <c r="C94" s="464"/>
      <c r="D94" s="465"/>
      <c r="E94" s="465"/>
      <c r="F94" s="465"/>
      <c r="G94" s="465"/>
      <c r="H94" s="465"/>
      <c r="I94" s="465"/>
      <c r="J94" s="469"/>
    </row>
    <row r="95" spans="2:10">
      <c r="B95" s="200" t="s">
        <v>7</v>
      </c>
      <c r="C95" s="474" t="s">
        <v>1481</v>
      </c>
      <c r="D95" s="475"/>
      <c r="E95" s="475"/>
      <c r="F95" s="475"/>
      <c r="G95" s="475"/>
      <c r="H95" s="475"/>
      <c r="I95" s="475"/>
      <c r="J95" s="1016"/>
    </row>
    <row r="96" spans="2:10" ht="18">
      <c r="B96" s="205" t="s">
        <v>52</v>
      </c>
      <c r="C96" s="477" t="s">
        <v>53</v>
      </c>
      <c r="D96" s="477"/>
      <c r="E96" s="477"/>
      <c r="F96" s="477"/>
      <c r="G96" s="477"/>
      <c r="H96" s="205" t="s">
        <v>54</v>
      </c>
      <c r="I96" s="205" t="s">
        <v>55</v>
      </c>
      <c r="J96" s="205" t="s">
        <v>56</v>
      </c>
    </row>
    <row r="97" spans="2:10">
      <c r="B97" s="200">
        <v>1</v>
      </c>
      <c r="C97" s="451" t="s">
        <v>1476</v>
      </c>
      <c r="D97" s="451"/>
      <c r="E97" s="451"/>
      <c r="F97" s="451"/>
      <c r="G97" s="451"/>
      <c r="H97" s="200" t="s">
        <v>1471</v>
      </c>
      <c r="I97" s="207" t="s">
        <v>152</v>
      </c>
      <c r="J97" s="200" t="s">
        <v>202</v>
      </c>
    </row>
    <row r="98" spans="2:10">
      <c r="B98" s="200">
        <v>2</v>
      </c>
      <c r="C98" s="449" t="s">
        <v>1482</v>
      </c>
      <c r="D98" s="449"/>
      <c r="E98" s="449"/>
      <c r="F98" s="449"/>
      <c r="G98" s="449"/>
      <c r="H98" s="200"/>
      <c r="I98" s="207"/>
      <c r="J98" s="200" t="s">
        <v>202</v>
      </c>
    </row>
    <row r="99" spans="2:10">
      <c r="B99" s="200">
        <v>3</v>
      </c>
      <c r="C99" s="450"/>
      <c r="D99" s="450"/>
      <c r="E99" s="450"/>
      <c r="F99" s="450"/>
      <c r="G99" s="450"/>
      <c r="H99" s="200"/>
      <c r="I99" s="200"/>
      <c r="J99" s="200"/>
    </row>
    <row r="100" spans="2:10">
      <c r="B100" s="450" t="s">
        <v>63</v>
      </c>
      <c r="C100" s="450"/>
      <c r="D100" s="199" t="s">
        <v>31</v>
      </c>
      <c r="E100" s="198" t="s">
        <v>64</v>
      </c>
      <c r="F100" s="467" t="s">
        <v>202</v>
      </c>
      <c r="G100" s="469"/>
      <c r="H100" s="199"/>
      <c r="I100" s="199"/>
      <c r="J100" s="200"/>
    </row>
    <row r="101" spans="2:10" ht="45">
      <c r="B101" s="201" t="s">
        <v>66</v>
      </c>
      <c r="C101" s="450"/>
      <c r="D101" s="450"/>
      <c r="E101" s="201" t="s">
        <v>67</v>
      </c>
      <c r="F101" s="450"/>
      <c r="G101" s="450"/>
      <c r="H101" s="201" t="s">
        <v>68</v>
      </c>
      <c r="I101" s="450"/>
      <c r="J101" s="450"/>
    </row>
    <row r="104" spans="2:10" ht="26.25">
      <c r="B104" s="999" t="s">
        <v>13</v>
      </c>
      <c r="C104" s="1000"/>
      <c r="D104" s="1003" t="s">
        <v>14</v>
      </c>
      <c r="E104" s="1004"/>
      <c r="F104" s="1004"/>
      <c r="G104" s="1004"/>
      <c r="H104" s="1004"/>
      <c r="I104" s="1005"/>
      <c r="J104" s="228" t="s">
        <v>15</v>
      </c>
    </row>
    <row r="105" spans="2:10" ht="20.25">
      <c r="B105" s="1001"/>
      <c r="C105" s="1002"/>
      <c r="D105" s="1006" t="s">
        <v>16</v>
      </c>
      <c r="E105" s="1007"/>
      <c r="F105" s="1007"/>
      <c r="G105" s="1007"/>
      <c r="H105" s="1007"/>
      <c r="I105" s="1008"/>
      <c r="J105" s="228" t="s">
        <v>17</v>
      </c>
    </row>
    <row r="106" spans="2:10">
      <c r="B106" s="449" t="s">
        <v>18</v>
      </c>
      <c r="C106" s="449"/>
      <c r="D106" s="199" t="s">
        <v>1483</v>
      </c>
      <c r="E106" s="199" t="s">
        <v>1460</v>
      </c>
      <c r="F106" s="450"/>
      <c r="G106" s="450"/>
      <c r="H106" s="201" t="s">
        <v>21</v>
      </c>
      <c r="I106" s="202" t="s">
        <v>1472</v>
      </c>
      <c r="J106" s="200" t="s">
        <v>23</v>
      </c>
    </row>
    <row r="107" spans="2:10">
      <c r="B107" s="449" t="s">
        <v>24</v>
      </c>
      <c r="C107" s="449"/>
      <c r="D107" s="203"/>
      <c r="E107" s="204" t="s">
        <v>25</v>
      </c>
      <c r="F107" s="450" t="s">
        <v>26</v>
      </c>
      <c r="G107" s="450"/>
      <c r="H107" s="199" t="s">
        <v>27</v>
      </c>
      <c r="I107" s="202" t="s">
        <v>867</v>
      </c>
      <c r="J107" s="207" t="s">
        <v>29</v>
      </c>
    </row>
    <row r="108" spans="2:10">
      <c r="B108" s="449" t="s">
        <v>30</v>
      </c>
      <c r="C108" s="449"/>
      <c r="D108" s="199" t="s">
        <v>31</v>
      </c>
      <c r="E108" s="199" t="s">
        <v>32</v>
      </c>
      <c r="F108" s="450">
        <v>105</v>
      </c>
      <c r="G108" s="450"/>
      <c r="H108" s="201" t="s">
        <v>33</v>
      </c>
      <c r="I108" s="204" t="s">
        <v>1484</v>
      </c>
      <c r="J108" s="207"/>
    </row>
    <row r="109" spans="2:10">
      <c r="B109" s="451" t="s">
        <v>35</v>
      </c>
      <c r="C109" s="451"/>
      <c r="D109" s="449" t="s">
        <v>1485</v>
      </c>
      <c r="E109" s="449"/>
      <c r="F109" s="449"/>
      <c r="G109" s="449"/>
      <c r="H109" s="449"/>
      <c r="I109" s="449"/>
      <c r="J109" s="450"/>
    </row>
    <row r="110" spans="2:10">
      <c r="B110" s="452" t="s">
        <v>1486</v>
      </c>
      <c r="C110" s="453"/>
      <c r="D110" s="453"/>
      <c r="E110" s="453"/>
      <c r="F110" s="453"/>
      <c r="G110" s="453"/>
      <c r="H110" s="453"/>
      <c r="I110" s="453"/>
      <c r="J110" s="993"/>
    </row>
    <row r="111" spans="2:10">
      <c r="B111" s="455"/>
      <c r="C111" s="456"/>
      <c r="D111" s="456"/>
      <c r="E111" s="456"/>
      <c r="F111" s="456"/>
      <c r="G111" s="456"/>
      <c r="H111" s="456"/>
      <c r="I111" s="456"/>
      <c r="J111" s="994"/>
    </row>
    <row r="112" spans="2:10">
      <c r="B112" s="455"/>
      <c r="C112" s="456"/>
      <c r="D112" s="456"/>
      <c r="E112" s="456"/>
      <c r="F112" s="456"/>
      <c r="G112" s="456"/>
      <c r="H112" s="456"/>
      <c r="I112" s="456"/>
      <c r="J112" s="994"/>
    </row>
    <row r="113" spans="2:10">
      <c r="B113" s="458"/>
      <c r="C113" s="459"/>
      <c r="D113" s="459"/>
      <c r="E113" s="459"/>
      <c r="F113" s="459"/>
      <c r="G113" s="459"/>
      <c r="H113" s="459"/>
      <c r="I113" s="459"/>
      <c r="J113" s="995"/>
    </row>
    <row r="114" spans="2:10" ht="18">
      <c r="B114" s="461" t="s">
        <v>38</v>
      </c>
      <c r="C114" s="462"/>
      <c r="D114" s="462"/>
      <c r="E114" s="462"/>
      <c r="F114" s="462"/>
      <c r="G114" s="462"/>
      <c r="H114" s="462"/>
      <c r="I114" s="463"/>
      <c r="J114" s="205" t="s">
        <v>39</v>
      </c>
    </row>
    <row r="115" spans="2:10">
      <c r="B115" s="200">
        <v>1</v>
      </c>
      <c r="C115" s="464" t="s">
        <v>1487</v>
      </c>
      <c r="D115" s="465"/>
      <c r="E115" s="465"/>
      <c r="F115" s="465"/>
      <c r="G115" s="465"/>
      <c r="H115" s="465"/>
      <c r="I115" s="466"/>
      <c r="J115" s="200" t="s">
        <v>43</v>
      </c>
    </row>
    <row r="116" spans="2:10">
      <c r="B116" s="200">
        <v>2</v>
      </c>
      <c r="C116" s="464" t="s">
        <v>202</v>
      </c>
      <c r="D116" s="465"/>
      <c r="E116" s="465"/>
      <c r="F116" s="465"/>
      <c r="G116" s="465"/>
      <c r="H116" s="465"/>
      <c r="I116" s="466"/>
      <c r="J116" s="200" t="s">
        <v>43</v>
      </c>
    </row>
    <row r="117" spans="2:10">
      <c r="B117" s="200">
        <v>3</v>
      </c>
      <c r="C117" s="467"/>
      <c r="D117" s="468"/>
      <c r="E117" s="468"/>
      <c r="F117" s="468"/>
      <c r="G117" s="468"/>
      <c r="H117" s="468"/>
      <c r="I117" s="469"/>
      <c r="J117" s="200"/>
    </row>
    <row r="118" spans="2:10" ht="18">
      <c r="B118" s="461" t="s">
        <v>44</v>
      </c>
      <c r="C118" s="462"/>
      <c r="D118" s="462"/>
      <c r="E118" s="462"/>
      <c r="F118" s="462"/>
      <c r="G118" s="462"/>
      <c r="H118" s="462"/>
      <c r="I118" s="462"/>
      <c r="J118" s="463"/>
    </row>
    <row r="119" spans="2:10">
      <c r="B119" s="200" t="s">
        <v>45</v>
      </c>
      <c r="C119" s="1010" t="s">
        <v>1488</v>
      </c>
      <c r="D119" s="471"/>
      <c r="E119" s="471"/>
      <c r="F119" s="471"/>
      <c r="G119" s="471"/>
      <c r="H119" s="471"/>
      <c r="I119" s="471"/>
      <c r="J119" s="1011"/>
    </row>
    <row r="120" spans="2:10">
      <c r="B120" s="206" t="s">
        <v>45</v>
      </c>
      <c r="C120" s="473" t="s">
        <v>1489</v>
      </c>
      <c r="D120" s="473"/>
      <c r="E120" s="473"/>
      <c r="F120" s="473"/>
      <c r="G120" s="473"/>
      <c r="H120" s="473"/>
      <c r="I120" s="473"/>
      <c r="J120" s="1012"/>
    </row>
    <row r="121" spans="2:10">
      <c r="B121" s="206" t="s">
        <v>45</v>
      </c>
      <c r="C121" s="473" t="s">
        <v>1490</v>
      </c>
      <c r="D121" s="473"/>
      <c r="E121" s="473"/>
      <c r="F121" s="473"/>
      <c r="G121" s="473"/>
      <c r="H121" s="473"/>
      <c r="I121" s="473"/>
      <c r="J121" s="1012"/>
    </row>
    <row r="122" spans="2:10">
      <c r="B122" s="206" t="s">
        <v>45</v>
      </c>
      <c r="C122" s="1013" t="s">
        <v>1491</v>
      </c>
      <c r="D122" s="1014"/>
      <c r="E122" s="1014"/>
      <c r="F122" s="1014"/>
      <c r="G122" s="1014"/>
      <c r="H122" s="1014"/>
      <c r="I122" s="1014"/>
      <c r="J122" s="1015"/>
    </row>
    <row r="123" spans="2:10">
      <c r="B123" s="206" t="s">
        <v>45</v>
      </c>
      <c r="C123" s="464" t="s">
        <v>202</v>
      </c>
      <c r="D123" s="465"/>
      <c r="E123" s="465"/>
      <c r="F123" s="465"/>
      <c r="G123" s="465"/>
      <c r="H123" s="465"/>
      <c r="I123" s="465"/>
      <c r="J123" s="469"/>
    </row>
    <row r="124" spans="2:10">
      <c r="B124" s="206" t="s">
        <v>45</v>
      </c>
      <c r="C124" s="464"/>
      <c r="D124" s="465"/>
      <c r="E124" s="465"/>
      <c r="F124" s="465"/>
      <c r="G124" s="465"/>
      <c r="H124" s="465"/>
      <c r="I124" s="465"/>
      <c r="J124" s="469"/>
    </row>
    <row r="125" spans="2:10">
      <c r="B125" s="200" t="s">
        <v>45</v>
      </c>
      <c r="C125" s="464"/>
      <c r="D125" s="465"/>
      <c r="E125" s="465"/>
      <c r="F125" s="465"/>
      <c r="G125" s="465"/>
      <c r="H125" s="465"/>
      <c r="I125" s="465"/>
      <c r="J125" s="469"/>
    </row>
    <row r="126" spans="2:10">
      <c r="B126" s="200" t="s">
        <v>7</v>
      </c>
      <c r="C126" s="474" t="s">
        <v>1492</v>
      </c>
      <c r="D126" s="475"/>
      <c r="E126" s="475"/>
      <c r="F126" s="475"/>
      <c r="G126" s="475"/>
      <c r="H126" s="475"/>
      <c r="I126" s="475"/>
      <c r="J126" s="1016"/>
    </row>
    <row r="127" spans="2:10" ht="18">
      <c r="B127" s="205" t="s">
        <v>52</v>
      </c>
      <c r="C127" s="477" t="s">
        <v>53</v>
      </c>
      <c r="D127" s="477"/>
      <c r="E127" s="477"/>
      <c r="F127" s="477"/>
      <c r="G127" s="477"/>
      <c r="H127" s="205" t="s">
        <v>54</v>
      </c>
      <c r="I127" s="205" t="s">
        <v>55</v>
      </c>
      <c r="J127" s="205" t="s">
        <v>56</v>
      </c>
    </row>
    <row r="128" spans="2:10">
      <c r="B128" s="200">
        <v>1</v>
      </c>
      <c r="C128" s="451"/>
      <c r="D128" s="451"/>
      <c r="E128" s="451"/>
      <c r="F128" s="451"/>
      <c r="G128" s="451"/>
      <c r="H128" s="200"/>
      <c r="I128" s="207"/>
      <c r="J128" s="200" t="s">
        <v>202</v>
      </c>
    </row>
    <row r="129" spans="2:10">
      <c r="B129" s="200">
        <v>2</v>
      </c>
      <c r="C129" s="449"/>
      <c r="D129" s="449"/>
      <c r="E129" s="449"/>
      <c r="F129" s="449"/>
      <c r="G129" s="449"/>
      <c r="H129" s="200"/>
      <c r="I129" s="207"/>
      <c r="J129" s="200" t="s">
        <v>202</v>
      </c>
    </row>
    <row r="130" spans="2:10">
      <c r="B130" s="200">
        <v>3</v>
      </c>
      <c r="C130" s="450"/>
      <c r="D130" s="450"/>
      <c r="E130" s="450"/>
      <c r="F130" s="450"/>
      <c r="G130" s="450"/>
      <c r="H130" s="200"/>
      <c r="I130" s="200"/>
      <c r="J130" s="200"/>
    </row>
    <row r="131" spans="2:10">
      <c r="B131" s="450" t="s">
        <v>63</v>
      </c>
      <c r="C131" s="450"/>
      <c r="D131" s="199" t="s">
        <v>31</v>
      </c>
      <c r="E131" s="198" t="s">
        <v>64</v>
      </c>
      <c r="F131" s="467" t="s">
        <v>202</v>
      </c>
      <c r="G131" s="469"/>
      <c r="H131" s="199"/>
      <c r="I131" s="199"/>
      <c r="J131" s="200"/>
    </row>
    <row r="132" spans="2:10" ht="45">
      <c r="B132" s="201" t="s">
        <v>66</v>
      </c>
      <c r="C132" s="450"/>
      <c r="D132" s="450"/>
      <c r="E132" s="201" t="s">
        <v>67</v>
      </c>
      <c r="F132" s="450"/>
      <c r="G132" s="450"/>
      <c r="H132" s="201" t="s">
        <v>68</v>
      </c>
      <c r="I132" s="450"/>
      <c r="J132" s="450"/>
    </row>
    <row r="135" spans="2:10" ht="26.25">
      <c r="B135" s="999" t="s">
        <v>13</v>
      </c>
      <c r="C135" s="1000"/>
      <c r="D135" s="1003" t="s">
        <v>14</v>
      </c>
      <c r="E135" s="1004"/>
      <c r="F135" s="1004"/>
      <c r="G135" s="1004"/>
      <c r="H135" s="1004"/>
      <c r="I135" s="1005"/>
      <c r="J135" s="228" t="s">
        <v>15</v>
      </c>
    </row>
    <row r="136" spans="2:10" ht="20.25">
      <c r="B136" s="1001"/>
      <c r="C136" s="1002"/>
      <c r="D136" s="1006" t="s">
        <v>16</v>
      </c>
      <c r="E136" s="1007"/>
      <c r="F136" s="1007"/>
      <c r="G136" s="1007"/>
      <c r="H136" s="1007"/>
      <c r="I136" s="1008"/>
      <c r="J136" s="228" t="s">
        <v>17</v>
      </c>
    </row>
    <row r="137" spans="2:10">
      <c r="B137" s="449" t="s">
        <v>18</v>
      </c>
      <c r="C137" s="449"/>
      <c r="D137" s="199" t="s">
        <v>1493</v>
      </c>
      <c r="E137" s="199" t="s">
        <v>1460</v>
      </c>
      <c r="F137" s="450" t="s">
        <v>131</v>
      </c>
      <c r="G137" s="450"/>
      <c r="H137" s="201" t="s">
        <v>21</v>
      </c>
      <c r="I137" s="202" t="s">
        <v>1472</v>
      </c>
      <c r="J137" s="200" t="s">
        <v>23</v>
      </c>
    </row>
    <row r="138" spans="2:10">
      <c r="B138" s="449" t="s">
        <v>24</v>
      </c>
      <c r="C138" s="449"/>
      <c r="D138" s="203">
        <v>0.62291666666666667</v>
      </c>
      <c r="E138" s="204" t="s">
        <v>25</v>
      </c>
      <c r="F138" s="450" t="s">
        <v>26</v>
      </c>
      <c r="G138" s="450"/>
      <c r="H138" s="199" t="s">
        <v>27</v>
      </c>
      <c r="I138" s="202" t="s">
        <v>867</v>
      </c>
      <c r="J138" s="207" t="s">
        <v>29</v>
      </c>
    </row>
    <row r="139" spans="2:10">
      <c r="B139" s="449" t="s">
        <v>30</v>
      </c>
      <c r="C139" s="449"/>
      <c r="D139" s="199" t="s">
        <v>31</v>
      </c>
      <c r="E139" s="199" t="s">
        <v>32</v>
      </c>
      <c r="F139" s="450">
        <v>243</v>
      </c>
      <c r="G139" s="450"/>
      <c r="H139" s="201" t="s">
        <v>33</v>
      </c>
      <c r="I139" s="204" t="s">
        <v>1484</v>
      </c>
      <c r="J139" s="207"/>
    </row>
    <row r="140" spans="2:10">
      <c r="B140" s="451" t="s">
        <v>35</v>
      </c>
      <c r="C140" s="451"/>
      <c r="D140" s="449" t="s">
        <v>1494</v>
      </c>
      <c r="E140" s="449"/>
      <c r="F140" s="449"/>
      <c r="G140" s="449"/>
      <c r="H140" s="449"/>
      <c r="I140" s="449"/>
      <c r="J140" s="450"/>
    </row>
    <row r="141" spans="2:10" ht="9.75" customHeight="1">
      <c r="B141" s="452" t="s">
        <v>1495</v>
      </c>
      <c r="C141" s="453"/>
      <c r="D141" s="453"/>
      <c r="E141" s="453"/>
      <c r="F141" s="453"/>
      <c r="G141" s="453"/>
      <c r="H141" s="453"/>
      <c r="I141" s="453"/>
      <c r="J141" s="993"/>
    </row>
    <row r="142" spans="2:10" ht="9.75" customHeight="1">
      <c r="B142" s="455"/>
      <c r="C142" s="456"/>
      <c r="D142" s="456"/>
      <c r="E142" s="456"/>
      <c r="F142" s="456"/>
      <c r="G142" s="456"/>
      <c r="H142" s="456"/>
      <c r="I142" s="456"/>
      <c r="J142" s="994"/>
    </row>
    <row r="143" spans="2:10" ht="9.75" customHeight="1">
      <c r="B143" s="455"/>
      <c r="C143" s="456"/>
      <c r="D143" s="456"/>
      <c r="E143" s="456"/>
      <c r="F143" s="456"/>
      <c r="G143" s="456"/>
      <c r="H143" s="456"/>
      <c r="I143" s="456"/>
      <c r="J143" s="994"/>
    </row>
    <row r="144" spans="2:10" ht="9.75" customHeight="1">
      <c r="B144" s="458"/>
      <c r="C144" s="459"/>
      <c r="D144" s="459"/>
      <c r="E144" s="459"/>
      <c r="F144" s="459"/>
      <c r="G144" s="459"/>
      <c r="H144" s="459"/>
      <c r="I144" s="459"/>
      <c r="J144" s="995"/>
    </row>
    <row r="145" spans="2:10" ht="18">
      <c r="B145" s="461" t="s">
        <v>38</v>
      </c>
      <c r="C145" s="462"/>
      <c r="D145" s="462"/>
      <c r="E145" s="462"/>
      <c r="F145" s="462"/>
      <c r="G145" s="462"/>
      <c r="H145" s="462"/>
      <c r="I145" s="463"/>
      <c r="J145" s="205" t="s">
        <v>39</v>
      </c>
    </row>
    <row r="146" spans="2:10">
      <c r="B146" s="200">
        <v>1</v>
      </c>
      <c r="C146" s="464" t="s">
        <v>1496</v>
      </c>
      <c r="D146" s="465"/>
      <c r="E146" s="465"/>
      <c r="F146" s="465"/>
      <c r="G146" s="465"/>
      <c r="H146" s="465"/>
      <c r="I146" s="466"/>
      <c r="J146" s="200" t="s">
        <v>43</v>
      </c>
    </row>
    <row r="147" spans="2:10">
      <c r="B147" s="200">
        <v>2</v>
      </c>
      <c r="C147" s="464" t="s">
        <v>1427</v>
      </c>
      <c r="D147" s="465"/>
      <c r="E147" s="465"/>
      <c r="F147" s="465"/>
      <c r="G147" s="465"/>
      <c r="H147" s="465"/>
      <c r="I147" s="466"/>
      <c r="J147" s="200" t="s">
        <v>43</v>
      </c>
    </row>
    <row r="148" spans="2:10">
      <c r="B148" s="200">
        <v>3</v>
      </c>
      <c r="C148" s="464" t="s">
        <v>1497</v>
      </c>
      <c r="D148" s="465"/>
      <c r="E148" s="465"/>
      <c r="F148" s="465"/>
      <c r="G148" s="465"/>
      <c r="H148" s="465"/>
      <c r="I148" s="466"/>
      <c r="J148" s="200" t="s">
        <v>1498</v>
      </c>
    </row>
    <row r="149" spans="2:10" ht="18">
      <c r="B149" s="461" t="s">
        <v>44</v>
      </c>
      <c r="C149" s="462"/>
      <c r="D149" s="462"/>
      <c r="E149" s="462"/>
      <c r="F149" s="462"/>
      <c r="G149" s="462"/>
      <c r="H149" s="462"/>
      <c r="I149" s="462"/>
      <c r="J149" s="463"/>
    </row>
    <row r="150" spans="2:10">
      <c r="B150" s="200" t="s">
        <v>45</v>
      </c>
      <c r="C150" s="464" t="s">
        <v>1499</v>
      </c>
      <c r="D150" s="465"/>
      <c r="E150" s="465"/>
      <c r="F150" s="465"/>
      <c r="G150" s="465"/>
      <c r="H150" s="465"/>
      <c r="I150" s="465"/>
      <c r="J150" s="469"/>
    </row>
    <row r="151" spans="2:10">
      <c r="B151" s="206" t="s">
        <v>45</v>
      </c>
      <c r="C151" s="464" t="s">
        <v>1500</v>
      </c>
      <c r="D151" s="465"/>
      <c r="E151" s="465"/>
      <c r="F151" s="465"/>
      <c r="G151" s="465"/>
      <c r="H151" s="465"/>
      <c r="I151" s="465"/>
      <c r="J151" s="469"/>
    </row>
    <row r="152" spans="2:10">
      <c r="B152" s="206" t="s">
        <v>45</v>
      </c>
      <c r="C152" s="1010" t="s">
        <v>1501</v>
      </c>
      <c r="D152" s="471"/>
      <c r="E152" s="471"/>
      <c r="F152" s="471"/>
      <c r="G152" s="471"/>
      <c r="H152" s="471"/>
      <c r="I152" s="471"/>
      <c r="J152" s="1011"/>
    </row>
    <row r="153" spans="2:10">
      <c r="B153" s="206" t="s">
        <v>45</v>
      </c>
      <c r="C153" s="473" t="s">
        <v>1502</v>
      </c>
      <c r="D153" s="473"/>
      <c r="E153" s="473"/>
      <c r="F153" s="473"/>
      <c r="G153" s="473"/>
      <c r="H153" s="473"/>
      <c r="I153" s="473"/>
      <c r="J153" s="1012"/>
    </row>
    <row r="154" spans="2:10">
      <c r="B154" s="206" t="s">
        <v>45</v>
      </c>
      <c r="C154" s="1009" t="s">
        <v>1503</v>
      </c>
      <c r="D154" s="465"/>
      <c r="E154" s="465"/>
      <c r="F154" s="465"/>
      <c r="G154" s="465"/>
      <c r="H154" s="465"/>
      <c r="I154" s="465"/>
      <c r="J154" s="469"/>
    </row>
    <row r="155" spans="2:10">
      <c r="B155" s="206" t="s">
        <v>45</v>
      </c>
      <c r="C155" s="464"/>
      <c r="D155" s="465"/>
      <c r="E155" s="465"/>
      <c r="F155" s="465"/>
      <c r="G155" s="465"/>
      <c r="H155" s="465"/>
      <c r="I155" s="465"/>
      <c r="J155" s="469"/>
    </row>
    <row r="156" spans="2:10">
      <c r="B156" s="200" t="s">
        <v>45</v>
      </c>
      <c r="C156" s="464"/>
      <c r="D156" s="465"/>
      <c r="E156" s="465"/>
      <c r="F156" s="465"/>
      <c r="G156" s="465"/>
      <c r="H156" s="465"/>
      <c r="I156" s="465"/>
      <c r="J156" s="469"/>
    </row>
    <row r="157" spans="2:10">
      <c r="B157" s="200" t="s">
        <v>7</v>
      </c>
      <c r="C157" s="1009" t="s">
        <v>1504</v>
      </c>
      <c r="D157" s="465"/>
      <c r="E157" s="465"/>
      <c r="F157" s="465"/>
      <c r="G157" s="465"/>
      <c r="H157" s="465"/>
      <c r="I157" s="465"/>
      <c r="J157" s="469"/>
    </row>
    <row r="158" spans="2:10" ht="18">
      <c r="B158" s="205" t="s">
        <v>52</v>
      </c>
      <c r="C158" s="477" t="s">
        <v>53</v>
      </c>
      <c r="D158" s="477"/>
      <c r="E158" s="477"/>
      <c r="F158" s="477"/>
      <c r="G158" s="477"/>
      <c r="H158" s="205" t="s">
        <v>54</v>
      </c>
      <c r="I158" s="205" t="s">
        <v>55</v>
      </c>
      <c r="J158" s="205" t="s">
        <v>56</v>
      </c>
    </row>
    <row r="159" spans="2:10">
      <c r="B159" s="200">
        <v>1</v>
      </c>
      <c r="C159" s="451" t="s">
        <v>1505</v>
      </c>
      <c r="D159" s="451"/>
      <c r="E159" s="451"/>
      <c r="F159" s="451"/>
      <c r="G159" s="451"/>
      <c r="H159" s="200" t="s">
        <v>1483</v>
      </c>
      <c r="I159" s="207" t="s">
        <v>1506</v>
      </c>
      <c r="J159" s="200" t="s">
        <v>1507</v>
      </c>
    </row>
    <row r="160" spans="2:10">
      <c r="B160" s="200">
        <v>2</v>
      </c>
      <c r="C160" s="449"/>
      <c r="D160" s="449"/>
      <c r="E160" s="449"/>
      <c r="F160" s="449"/>
      <c r="G160" s="449"/>
      <c r="H160" s="200"/>
      <c r="I160" s="207"/>
      <c r="J160" s="200" t="s">
        <v>202</v>
      </c>
    </row>
    <row r="161" spans="2:10">
      <c r="B161" s="200">
        <v>3</v>
      </c>
      <c r="C161" s="450"/>
      <c r="D161" s="450"/>
      <c r="E161" s="450"/>
      <c r="F161" s="450"/>
      <c r="G161" s="450"/>
      <c r="H161" s="200"/>
      <c r="I161" s="200"/>
      <c r="J161" s="200"/>
    </row>
    <row r="162" spans="2:10">
      <c r="B162" s="450" t="s">
        <v>63</v>
      </c>
      <c r="C162" s="450"/>
      <c r="D162" s="199" t="s">
        <v>31</v>
      </c>
      <c r="E162" s="198" t="s">
        <v>64</v>
      </c>
      <c r="F162" s="467" t="s">
        <v>202</v>
      </c>
      <c r="G162" s="469"/>
      <c r="H162" s="199"/>
      <c r="I162" s="199"/>
      <c r="J162" s="200"/>
    </row>
    <row r="163" spans="2:10" ht="45">
      <c r="B163" s="201" t="s">
        <v>66</v>
      </c>
      <c r="C163" s="450"/>
      <c r="D163" s="450"/>
      <c r="E163" s="201" t="s">
        <v>67</v>
      </c>
      <c r="F163" s="450"/>
      <c r="G163" s="450"/>
      <c r="H163" s="201" t="s">
        <v>68</v>
      </c>
      <c r="I163" s="450"/>
      <c r="J163" s="450"/>
    </row>
    <row r="169" spans="2:10" ht="26.25">
      <c r="B169" s="999" t="s">
        <v>13</v>
      </c>
      <c r="C169" s="1000"/>
      <c r="D169" s="1003" t="s">
        <v>14</v>
      </c>
      <c r="E169" s="1004"/>
      <c r="F169" s="1004"/>
      <c r="G169" s="1004"/>
      <c r="H169" s="1004"/>
      <c r="I169" s="1005"/>
      <c r="J169" s="228" t="s">
        <v>1458</v>
      </c>
    </row>
    <row r="170" spans="2:10" ht="20.25">
      <c r="B170" s="1001"/>
      <c r="C170" s="1002"/>
      <c r="D170" s="1006" t="s">
        <v>16</v>
      </c>
      <c r="E170" s="1007"/>
      <c r="F170" s="1007"/>
      <c r="G170" s="1007"/>
      <c r="H170" s="1007"/>
      <c r="I170" s="1008"/>
      <c r="J170" s="228" t="s">
        <v>17</v>
      </c>
    </row>
    <row r="171" spans="2:10" ht="15" customHeight="1">
      <c r="B171" s="464" t="s">
        <v>18</v>
      </c>
      <c r="C171" s="466"/>
      <c r="D171" s="199" t="s">
        <v>1508</v>
      </c>
      <c r="E171" s="199" t="s">
        <v>1460</v>
      </c>
      <c r="F171" s="467" t="s">
        <v>159</v>
      </c>
      <c r="G171" s="469"/>
      <c r="H171" s="201" t="s">
        <v>21</v>
      </c>
      <c r="I171" s="202" t="s">
        <v>1461</v>
      </c>
      <c r="J171" s="200" t="s">
        <v>23</v>
      </c>
    </row>
    <row r="172" spans="2:10" ht="15" customHeight="1">
      <c r="B172" s="464" t="s">
        <v>24</v>
      </c>
      <c r="C172" s="466"/>
      <c r="D172" s="203"/>
      <c r="E172" s="204" t="s">
        <v>25</v>
      </c>
      <c r="F172" s="467" t="s">
        <v>26</v>
      </c>
      <c r="G172" s="469"/>
      <c r="H172" s="199" t="s">
        <v>27</v>
      </c>
      <c r="I172" s="202" t="s">
        <v>917</v>
      </c>
      <c r="J172" s="207" t="s">
        <v>29</v>
      </c>
    </row>
    <row r="173" spans="2:10">
      <c r="B173" s="464" t="s">
        <v>30</v>
      </c>
      <c r="C173" s="466"/>
      <c r="D173" s="199" t="s">
        <v>31</v>
      </c>
      <c r="E173" s="199" t="s">
        <v>32</v>
      </c>
      <c r="F173" s="467">
        <v>90</v>
      </c>
      <c r="G173" s="469"/>
      <c r="H173" s="201" t="s">
        <v>33</v>
      </c>
      <c r="I173" s="204" t="s">
        <v>1509</v>
      </c>
      <c r="J173" s="207"/>
    </row>
    <row r="174" spans="2:10">
      <c r="B174" s="990" t="s">
        <v>35</v>
      </c>
      <c r="C174" s="992"/>
      <c r="D174" s="464" t="s">
        <v>1510</v>
      </c>
      <c r="E174" s="465"/>
      <c r="F174" s="465"/>
      <c r="G174" s="465"/>
      <c r="H174" s="465"/>
      <c r="I174" s="465"/>
      <c r="J174" s="469"/>
    </row>
    <row r="175" spans="2:10">
      <c r="B175" s="452" t="s">
        <v>1511</v>
      </c>
      <c r="C175" s="453"/>
      <c r="D175" s="453"/>
      <c r="E175" s="453"/>
      <c r="F175" s="453"/>
      <c r="G175" s="453"/>
      <c r="H175" s="453"/>
      <c r="I175" s="453"/>
      <c r="J175" s="993"/>
    </row>
    <row r="176" spans="2:10" ht="15" customHeight="1">
      <c r="B176" s="455"/>
      <c r="C176" s="456"/>
      <c r="D176" s="456"/>
      <c r="E176" s="456"/>
      <c r="F176" s="456"/>
      <c r="G176" s="456"/>
      <c r="H176" s="456"/>
      <c r="I176" s="456"/>
      <c r="J176" s="994"/>
    </row>
    <row r="177" spans="2:10">
      <c r="B177" s="455"/>
      <c r="C177" s="456"/>
      <c r="D177" s="456"/>
      <c r="E177" s="456"/>
      <c r="F177" s="456"/>
      <c r="G177" s="456"/>
      <c r="H177" s="456"/>
      <c r="I177" s="456"/>
      <c r="J177" s="994"/>
    </row>
    <row r="178" spans="2:10" ht="15" customHeight="1">
      <c r="B178" s="458"/>
      <c r="C178" s="459"/>
      <c r="D178" s="459"/>
      <c r="E178" s="459"/>
      <c r="F178" s="459"/>
      <c r="G178" s="459"/>
      <c r="H178" s="459"/>
      <c r="I178" s="459"/>
      <c r="J178" s="995"/>
    </row>
    <row r="179" spans="2:10" ht="18">
      <c r="B179" s="461" t="s">
        <v>38</v>
      </c>
      <c r="C179" s="462"/>
      <c r="D179" s="462"/>
      <c r="E179" s="462"/>
      <c r="F179" s="462"/>
      <c r="G179" s="462"/>
      <c r="H179" s="462"/>
      <c r="I179" s="463"/>
      <c r="J179" s="205" t="s">
        <v>39</v>
      </c>
    </row>
    <row r="180" spans="2:10">
      <c r="B180" s="200">
        <v>1</v>
      </c>
      <c r="C180" s="464" t="s">
        <v>1512</v>
      </c>
      <c r="D180" s="465"/>
      <c r="E180" s="465"/>
      <c r="F180" s="465"/>
      <c r="G180" s="465"/>
      <c r="H180" s="465"/>
      <c r="I180" s="466"/>
      <c r="J180" s="200" t="s">
        <v>43</v>
      </c>
    </row>
    <row r="181" spans="2:10">
      <c r="B181" s="200">
        <v>2</v>
      </c>
      <c r="C181" s="464" t="s">
        <v>1513</v>
      </c>
      <c r="D181" s="465"/>
      <c r="E181" s="465"/>
      <c r="F181" s="465"/>
      <c r="G181" s="465"/>
      <c r="H181" s="465"/>
      <c r="I181" s="466"/>
      <c r="J181" s="200" t="s">
        <v>43</v>
      </c>
    </row>
    <row r="182" spans="2:10" ht="15" customHeight="1">
      <c r="B182" s="200">
        <v>3</v>
      </c>
      <c r="C182" s="467"/>
      <c r="D182" s="468"/>
      <c r="E182" s="468"/>
      <c r="F182" s="468"/>
      <c r="G182" s="468"/>
      <c r="H182" s="468"/>
      <c r="I182" s="469"/>
      <c r="J182" s="200"/>
    </row>
    <row r="183" spans="2:10" ht="18">
      <c r="B183" s="461" t="s">
        <v>44</v>
      </c>
      <c r="C183" s="462"/>
      <c r="D183" s="462"/>
      <c r="E183" s="462"/>
      <c r="F183" s="462"/>
      <c r="G183" s="462"/>
      <c r="H183" s="462"/>
      <c r="I183" s="462"/>
      <c r="J183" s="463"/>
    </row>
    <row r="184" spans="2:10">
      <c r="B184" s="200" t="s">
        <v>45</v>
      </c>
      <c r="C184" s="996" t="s">
        <v>1514</v>
      </c>
      <c r="D184" s="997"/>
      <c r="E184" s="997"/>
      <c r="F184" s="997"/>
      <c r="G184" s="997"/>
      <c r="H184" s="997"/>
      <c r="I184" s="997"/>
      <c r="J184" s="998"/>
    </row>
    <row r="185" spans="2:10">
      <c r="B185" s="206" t="s">
        <v>45</v>
      </c>
      <c r="C185" s="987" t="s">
        <v>1515</v>
      </c>
      <c r="D185" s="988"/>
      <c r="E185" s="988"/>
      <c r="F185" s="988"/>
      <c r="G185" s="988"/>
      <c r="H185" s="988"/>
      <c r="I185" s="988"/>
      <c r="J185" s="989"/>
    </row>
    <row r="186" spans="2:10">
      <c r="B186" s="206" t="s">
        <v>45</v>
      </c>
      <c r="C186" s="987" t="s">
        <v>1516</v>
      </c>
      <c r="D186" s="988"/>
      <c r="E186" s="988"/>
      <c r="F186" s="988"/>
      <c r="G186" s="988"/>
      <c r="H186" s="988"/>
      <c r="I186" s="988"/>
      <c r="J186" s="989"/>
    </row>
    <row r="187" spans="2:10">
      <c r="B187" s="206" t="s">
        <v>45</v>
      </c>
      <c r="C187" s="987" t="s">
        <v>1512</v>
      </c>
      <c r="D187" s="988"/>
      <c r="E187" s="988"/>
      <c r="F187" s="988"/>
      <c r="G187" s="988"/>
      <c r="H187" s="988"/>
      <c r="I187" s="988"/>
      <c r="J187" s="989"/>
    </row>
    <row r="188" spans="2:10" ht="15" customHeight="1">
      <c r="B188" s="206" t="s">
        <v>45</v>
      </c>
      <c r="C188" s="464" t="s">
        <v>761</v>
      </c>
      <c r="D188" s="465"/>
      <c r="E188" s="465"/>
      <c r="F188" s="465"/>
      <c r="G188" s="465"/>
      <c r="H188" s="465"/>
      <c r="I188" s="465"/>
      <c r="J188" s="469"/>
    </row>
    <row r="189" spans="2:10">
      <c r="B189" s="206" t="s">
        <v>45</v>
      </c>
      <c r="C189" s="464"/>
      <c r="D189" s="465"/>
      <c r="E189" s="465"/>
      <c r="F189" s="465"/>
      <c r="G189" s="465"/>
      <c r="H189" s="465"/>
      <c r="I189" s="465"/>
      <c r="J189" s="469"/>
    </row>
    <row r="190" spans="2:10">
      <c r="B190" s="200" t="s">
        <v>45</v>
      </c>
      <c r="C190" s="464"/>
      <c r="D190" s="465"/>
      <c r="E190" s="465"/>
      <c r="F190" s="465"/>
      <c r="G190" s="465"/>
      <c r="H190" s="465"/>
      <c r="I190" s="465"/>
      <c r="J190" s="469"/>
    </row>
    <row r="191" spans="2:10">
      <c r="B191" s="200" t="s">
        <v>7</v>
      </c>
      <c r="C191" s="464" t="s">
        <v>1429</v>
      </c>
      <c r="D191" s="465"/>
      <c r="E191" s="465"/>
      <c r="F191" s="465"/>
      <c r="G191" s="465"/>
      <c r="H191" s="465"/>
      <c r="I191" s="465"/>
      <c r="J191" s="469"/>
    </row>
    <row r="192" spans="2:10" ht="18">
      <c r="B192" s="205" t="s">
        <v>52</v>
      </c>
      <c r="C192" s="461" t="s">
        <v>53</v>
      </c>
      <c r="D192" s="462"/>
      <c r="E192" s="462"/>
      <c r="F192" s="462"/>
      <c r="G192" s="463"/>
      <c r="H192" s="205" t="s">
        <v>54</v>
      </c>
      <c r="I192" s="205" t="s">
        <v>55</v>
      </c>
      <c r="J192" s="205" t="s">
        <v>56</v>
      </c>
    </row>
    <row r="193" spans="2:10">
      <c r="B193" s="200">
        <v>1</v>
      </c>
      <c r="C193" s="990" t="s">
        <v>1517</v>
      </c>
      <c r="D193" s="991"/>
      <c r="E193" s="991"/>
      <c r="F193" s="991"/>
      <c r="G193" s="992"/>
      <c r="H193" s="200" t="s">
        <v>1508</v>
      </c>
      <c r="I193" s="207" t="s">
        <v>152</v>
      </c>
      <c r="J193" s="200" t="s">
        <v>202</v>
      </c>
    </row>
    <row r="194" spans="2:10">
      <c r="B194" s="200">
        <v>2</v>
      </c>
      <c r="C194" s="464" t="s">
        <v>1518</v>
      </c>
      <c r="D194" s="465"/>
      <c r="E194" s="465"/>
      <c r="F194" s="465"/>
      <c r="G194" s="466"/>
      <c r="H194" s="200" t="s">
        <v>1519</v>
      </c>
      <c r="I194" s="207"/>
      <c r="J194" s="200" t="s">
        <v>1520</v>
      </c>
    </row>
    <row r="195" spans="2:10" ht="15" customHeight="1">
      <c r="B195" s="200">
        <v>3</v>
      </c>
      <c r="C195" s="467"/>
      <c r="D195" s="468"/>
      <c r="E195" s="468"/>
      <c r="F195" s="468"/>
      <c r="G195" s="469"/>
      <c r="H195" s="200"/>
      <c r="I195" s="200"/>
      <c r="J195" s="200"/>
    </row>
    <row r="196" spans="2:10">
      <c r="B196" s="467" t="s">
        <v>63</v>
      </c>
      <c r="C196" s="469"/>
      <c r="D196" s="199" t="s">
        <v>31</v>
      </c>
      <c r="E196" s="198" t="s">
        <v>64</v>
      </c>
      <c r="F196" s="467" t="s">
        <v>202</v>
      </c>
      <c r="G196" s="469"/>
      <c r="H196" s="199"/>
      <c r="I196" s="199"/>
      <c r="J196" s="200"/>
    </row>
    <row r="197" spans="2:10" ht="45">
      <c r="B197" s="201" t="s">
        <v>66</v>
      </c>
      <c r="C197" s="467"/>
      <c r="D197" s="469"/>
      <c r="E197" s="201" t="s">
        <v>67</v>
      </c>
      <c r="F197" s="467"/>
      <c r="G197" s="469"/>
      <c r="H197" s="201" t="s">
        <v>68</v>
      </c>
      <c r="I197" s="467"/>
      <c r="J197" s="469"/>
    </row>
    <row r="200" spans="2:10" ht="26.25">
      <c r="B200" s="999" t="s">
        <v>13</v>
      </c>
      <c r="C200" s="1000"/>
      <c r="D200" s="1003" t="s">
        <v>14</v>
      </c>
      <c r="E200" s="1004"/>
      <c r="F200" s="1004"/>
      <c r="G200" s="1004"/>
      <c r="H200" s="1004"/>
      <c r="I200" s="1005"/>
      <c r="J200" s="228" t="s">
        <v>1458</v>
      </c>
    </row>
    <row r="201" spans="2:10" ht="20.25">
      <c r="B201" s="1001"/>
      <c r="C201" s="1002"/>
      <c r="D201" s="1006" t="s">
        <v>16</v>
      </c>
      <c r="E201" s="1007"/>
      <c r="F201" s="1007"/>
      <c r="G201" s="1007"/>
      <c r="H201" s="1007"/>
      <c r="I201" s="1008"/>
      <c r="J201" s="228" t="s">
        <v>17</v>
      </c>
    </row>
    <row r="202" spans="2:10">
      <c r="B202" s="464" t="s">
        <v>18</v>
      </c>
      <c r="C202" s="466"/>
      <c r="D202" s="199" t="s">
        <v>1521</v>
      </c>
      <c r="E202" s="199" t="s">
        <v>1460</v>
      </c>
      <c r="F202" s="467" t="s">
        <v>124</v>
      </c>
      <c r="G202" s="469"/>
      <c r="H202" s="201" t="s">
        <v>21</v>
      </c>
      <c r="I202" s="202" t="s">
        <v>1461</v>
      </c>
      <c r="J202" s="200" t="s">
        <v>23</v>
      </c>
    </row>
    <row r="203" spans="2:10">
      <c r="B203" s="464" t="s">
        <v>24</v>
      </c>
      <c r="C203" s="466"/>
      <c r="D203" s="203"/>
      <c r="E203" s="204" t="s">
        <v>25</v>
      </c>
      <c r="F203" s="467" t="s">
        <v>26</v>
      </c>
      <c r="G203" s="469"/>
      <c r="H203" s="199" t="s">
        <v>27</v>
      </c>
      <c r="I203" s="202" t="s">
        <v>867</v>
      </c>
      <c r="J203" s="207" t="s">
        <v>29</v>
      </c>
    </row>
    <row r="204" spans="2:10">
      <c r="B204" s="464" t="s">
        <v>30</v>
      </c>
      <c r="C204" s="466"/>
      <c r="D204" s="199" t="s">
        <v>31</v>
      </c>
      <c r="E204" s="199" t="s">
        <v>32</v>
      </c>
      <c r="F204" s="467" t="s">
        <v>1522</v>
      </c>
      <c r="G204" s="469"/>
      <c r="H204" s="201" t="s">
        <v>33</v>
      </c>
      <c r="I204" s="204" t="s">
        <v>1523</v>
      </c>
      <c r="J204" s="207"/>
    </row>
    <row r="205" spans="2:10">
      <c r="B205" s="990" t="s">
        <v>35</v>
      </c>
      <c r="C205" s="992"/>
      <c r="D205" s="464" t="s">
        <v>1524</v>
      </c>
      <c r="E205" s="465"/>
      <c r="F205" s="465"/>
      <c r="G205" s="465"/>
      <c r="H205" s="465"/>
      <c r="I205" s="465"/>
      <c r="J205" s="469"/>
    </row>
    <row r="206" spans="2:10">
      <c r="B206" s="452" t="s">
        <v>1525</v>
      </c>
      <c r="C206" s="453"/>
      <c r="D206" s="453"/>
      <c r="E206" s="453"/>
      <c r="F206" s="453"/>
      <c r="G206" s="453"/>
      <c r="H206" s="453"/>
      <c r="I206" s="453"/>
      <c r="J206" s="993"/>
    </row>
    <row r="207" spans="2:10">
      <c r="B207" s="455"/>
      <c r="C207" s="456"/>
      <c r="D207" s="456"/>
      <c r="E207" s="456"/>
      <c r="F207" s="456"/>
      <c r="G207" s="456"/>
      <c r="H207" s="456"/>
      <c r="I207" s="456"/>
      <c r="J207" s="994"/>
    </row>
    <row r="208" spans="2:10">
      <c r="B208" s="455"/>
      <c r="C208" s="456"/>
      <c r="D208" s="456"/>
      <c r="E208" s="456"/>
      <c r="F208" s="456"/>
      <c r="G208" s="456"/>
      <c r="H208" s="456"/>
      <c r="I208" s="456"/>
      <c r="J208" s="994"/>
    </row>
    <row r="209" spans="2:10">
      <c r="B209" s="458"/>
      <c r="C209" s="459"/>
      <c r="D209" s="459"/>
      <c r="E209" s="459"/>
      <c r="F209" s="459"/>
      <c r="G209" s="459"/>
      <c r="H209" s="459"/>
      <c r="I209" s="459"/>
      <c r="J209" s="995"/>
    </row>
    <row r="210" spans="2:10" ht="18">
      <c r="B210" s="461" t="s">
        <v>38</v>
      </c>
      <c r="C210" s="462"/>
      <c r="D210" s="462"/>
      <c r="E210" s="462"/>
      <c r="F210" s="462"/>
      <c r="G210" s="462"/>
      <c r="H210" s="462"/>
      <c r="I210" s="463"/>
      <c r="J210" s="205" t="s">
        <v>39</v>
      </c>
    </row>
    <row r="211" spans="2:10">
      <c r="B211" s="200">
        <v>1</v>
      </c>
      <c r="C211" s="464" t="s">
        <v>1526</v>
      </c>
      <c r="D211" s="465"/>
      <c r="E211" s="465"/>
      <c r="F211" s="465"/>
      <c r="G211" s="465"/>
      <c r="H211" s="465"/>
      <c r="I211" s="466"/>
      <c r="J211" s="200" t="s">
        <v>43</v>
      </c>
    </row>
    <row r="212" spans="2:10">
      <c r="B212" s="200">
        <v>2</v>
      </c>
      <c r="C212" s="464" t="s">
        <v>1527</v>
      </c>
      <c r="D212" s="465"/>
      <c r="E212" s="465"/>
      <c r="F212" s="465"/>
      <c r="G212" s="465"/>
      <c r="H212" s="465"/>
      <c r="I212" s="466"/>
      <c r="J212" s="200" t="s">
        <v>43</v>
      </c>
    </row>
    <row r="213" spans="2:10">
      <c r="B213" s="200">
        <v>3</v>
      </c>
      <c r="C213" s="464" t="s">
        <v>1528</v>
      </c>
      <c r="D213" s="465"/>
      <c r="E213" s="465"/>
      <c r="F213" s="465"/>
      <c r="G213" s="465"/>
      <c r="H213" s="465"/>
      <c r="I213" s="466"/>
      <c r="J213" s="200" t="s">
        <v>43</v>
      </c>
    </row>
    <row r="214" spans="2:10" ht="18">
      <c r="B214" s="461" t="s">
        <v>44</v>
      </c>
      <c r="C214" s="462"/>
      <c r="D214" s="462"/>
      <c r="E214" s="462"/>
      <c r="F214" s="462"/>
      <c r="G214" s="462"/>
      <c r="H214" s="462"/>
      <c r="I214" s="462"/>
      <c r="J214" s="463"/>
    </row>
    <row r="215" spans="2:10">
      <c r="B215" s="200" t="s">
        <v>45</v>
      </c>
      <c r="C215" s="996" t="s">
        <v>1529</v>
      </c>
      <c r="D215" s="997"/>
      <c r="E215" s="997"/>
      <c r="F215" s="997"/>
      <c r="G215" s="997"/>
      <c r="H215" s="997"/>
      <c r="I215" s="997"/>
      <c r="J215" s="998"/>
    </row>
    <row r="216" spans="2:10">
      <c r="B216" s="206" t="s">
        <v>45</v>
      </c>
      <c r="C216" s="987" t="s">
        <v>1530</v>
      </c>
      <c r="D216" s="988"/>
      <c r="E216" s="988"/>
      <c r="F216" s="988"/>
      <c r="G216" s="988"/>
      <c r="H216" s="988"/>
      <c r="I216" s="988"/>
      <c r="J216" s="989"/>
    </row>
    <row r="217" spans="2:10">
      <c r="B217" s="206" t="s">
        <v>45</v>
      </c>
      <c r="C217" s="987" t="s">
        <v>1531</v>
      </c>
      <c r="D217" s="988"/>
      <c r="E217" s="988"/>
      <c r="F217" s="988"/>
      <c r="G217" s="988"/>
      <c r="H217" s="988"/>
      <c r="I217" s="988"/>
      <c r="J217" s="989"/>
    </row>
    <row r="218" spans="2:10">
      <c r="B218" s="206" t="s">
        <v>45</v>
      </c>
      <c r="C218" s="987" t="s">
        <v>1433</v>
      </c>
      <c r="D218" s="988"/>
      <c r="E218" s="988"/>
      <c r="F218" s="988"/>
      <c r="G218" s="988"/>
      <c r="H218" s="988"/>
      <c r="I218" s="988"/>
      <c r="J218" s="989"/>
    </row>
    <row r="219" spans="2:10">
      <c r="B219" s="206" t="s">
        <v>45</v>
      </c>
      <c r="C219" s="464"/>
      <c r="D219" s="465"/>
      <c r="E219" s="465"/>
      <c r="F219" s="465"/>
      <c r="G219" s="465"/>
      <c r="H219" s="465"/>
      <c r="I219" s="465"/>
      <c r="J219" s="469"/>
    </row>
    <row r="220" spans="2:10">
      <c r="B220" s="206" t="s">
        <v>45</v>
      </c>
      <c r="C220" s="464"/>
      <c r="D220" s="465"/>
      <c r="E220" s="465"/>
      <c r="F220" s="465"/>
      <c r="G220" s="465"/>
      <c r="H220" s="465"/>
      <c r="I220" s="465"/>
      <c r="J220" s="469"/>
    </row>
    <row r="221" spans="2:10">
      <c r="B221" s="200" t="s">
        <v>45</v>
      </c>
      <c r="C221" s="464"/>
      <c r="D221" s="465"/>
      <c r="E221" s="465"/>
      <c r="F221" s="465"/>
      <c r="G221" s="465"/>
      <c r="H221" s="465"/>
      <c r="I221" s="465"/>
      <c r="J221" s="469"/>
    </row>
    <row r="222" spans="2:10">
      <c r="B222" s="200" t="s">
        <v>7</v>
      </c>
      <c r="C222" s="464" t="s">
        <v>1532</v>
      </c>
      <c r="D222" s="465"/>
      <c r="E222" s="465"/>
      <c r="F222" s="465"/>
      <c r="G222" s="465"/>
      <c r="H222" s="465"/>
      <c r="I222" s="465"/>
      <c r="J222" s="469"/>
    </row>
    <row r="223" spans="2:10" ht="18">
      <c r="B223" s="205" t="s">
        <v>52</v>
      </c>
      <c r="C223" s="461" t="s">
        <v>53</v>
      </c>
      <c r="D223" s="462"/>
      <c r="E223" s="462"/>
      <c r="F223" s="462"/>
      <c r="G223" s="463"/>
      <c r="H223" s="205" t="s">
        <v>54</v>
      </c>
      <c r="I223" s="205" t="s">
        <v>55</v>
      </c>
      <c r="J223" s="205" t="s">
        <v>56</v>
      </c>
    </row>
    <row r="224" spans="2:10">
      <c r="B224" s="200">
        <v>1</v>
      </c>
      <c r="C224" s="990"/>
      <c r="D224" s="991"/>
      <c r="E224" s="991"/>
      <c r="F224" s="991"/>
      <c r="G224" s="992"/>
      <c r="H224" s="200"/>
      <c r="I224" s="207"/>
      <c r="J224" s="200"/>
    </row>
    <row r="225" spans="2:10">
      <c r="B225" s="200">
        <v>2</v>
      </c>
      <c r="C225" s="464"/>
      <c r="D225" s="465"/>
      <c r="E225" s="465"/>
      <c r="F225" s="465"/>
      <c r="G225" s="466"/>
      <c r="H225" s="200"/>
      <c r="I225" s="207"/>
      <c r="J225" s="200"/>
    </row>
    <row r="226" spans="2:10">
      <c r="B226" s="200">
        <v>3</v>
      </c>
      <c r="C226" s="467"/>
      <c r="D226" s="468"/>
      <c r="E226" s="468"/>
      <c r="F226" s="468"/>
      <c r="G226" s="469"/>
      <c r="H226" s="200"/>
      <c r="I226" s="200"/>
      <c r="J226" s="200"/>
    </row>
    <row r="227" spans="2:10">
      <c r="B227" s="467" t="s">
        <v>63</v>
      </c>
      <c r="C227" s="469"/>
      <c r="D227" s="199" t="s">
        <v>29</v>
      </c>
      <c r="E227" s="198" t="s">
        <v>64</v>
      </c>
      <c r="F227" s="467" t="s">
        <v>202</v>
      </c>
      <c r="G227" s="469"/>
      <c r="H227" s="199"/>
      <c r="I227" s="199"/>
      <c r="J227" s="200"/>
    </row>
    <row r="228" spans="2:10" ht="45">
      <c r="B228" s="201" t="s">
        <v>66</v>
      </c>
      <c r="C228" s="467"/>
      <c r="D228" s="469"/>
      <c r="E228" s="201" t="s">
        <v>67</v>
      </c>
      <c r="F228" s="467"/>
      <c r="G228" s="469"/>
      <c r="H228" s="201" t="s">
        <v>68</v>
      </c>
      <c r="I228" s="467"/>
      <c r="J228" s="469"/>
    </row>
    <row r="231" spans="2:10" ht="26.25">
      <c r="B231" s="999" t="s">
        <v>13</v>
      </c>
      <c r="C231" s="1000"/>
      <c r="D231" s="1003" t="s">
        <v>14</v>
      </c>
      <c r="E231" s="1004"/>
      <c r="F231" s="1004"/>
      <c r="G231" s="1004"/>
      <c r="H231" s="1004"/>
      <c r="I231" s="1005"/>
      <c r="J231" s="228" t="s">
        <v>1458</v>
      </c>
    </row>
    <row r="232" spans="2:10" ht="20.25">
      <c r="B232" s="1001"/>
      <c r="C232" s="1002"/>
      <c r="D232" s="1006" t="s">
        <v>16</v>
      </c>
      <c r="E232" s="1007"/>
      <c r="F232" s="1007"/>
      <c r="G232" s="1007"/>
      <c r="H232" s="1007"/>
      <c r="I232" s="1008"/>
      <c r="J232" s="228" t="s">
        <v>17</v>
      </c>
    </row>
    <row r="233" spans="2:10">
      <c r="B233" s="464" t="s">
        <v>18</v>
      </c>
      <c r="C233" s="466"/>
      <c r="D233" s="199" t="s">
        <v>1533</v>
      </c>
      <c r="E233" s="199" t="s">
        <v>1460</v>
      </c>
      <c r="F233" s="467" t="s">
        <v>159</v>
      </c>
      <c r="G233" s="469"/>
      <c r="H233" s="201" t="s">
        <v>21</v>
      </c>
      <c r="I233" s="202" t="s">
        <v>1461</v>
      </c>
      <c r="J233" s="200" t="s">
        <v>23</v>
      </c>
    </row>
    <row r="234" spans="2:10">
      <c r="B234" s="464" t="s">
        <v>24</v>
      </c>
      <c r="C234" s="466"/>
      <c r="D234" s="203"/>
      <c r="E234" s="204" t="s">
        <v>25</v>
      </c>
      <c r="F234" s="467" t="s">
        <v>26</v>
      </c>
      <c r="G234" s="469"/>
      <c r="H234" s="199" t="s">
        <v>27</v>
      </c>
      <c r="I234" s="202" t="s">
        <v>867</v>
      </c>
      <c r="J234" s="207" t="s">
        <v>29</v>
      </c>
    </row>
    <row r="235" spans="2:10">
      <c r="B235" s="464" t="s">
        <v>30</v>
      </c>
      <c r="C235" s="466"/>
      <c r="D235" s="199" t="s">
        <v>31</v>
      </c>
      <c r="E235" s="199" t="s">
        <v>32</v>
      </c>
      <c r="F235" s="467">
        <v>281</v>
      </c>
      <c r="G235" s="469"/>
      <c r="H235" s="201" t="s">
        <v>33</v>
      </c>
      <c r="I235" s="204" t="s">
        <v>1534</v>
      </c>
      <c r="J235" s="207"/>
    </row>
    <row r="236" spans="2:10">
      <c r="B236" s="990" t="s">
        <v>35</v>
      </c>
      <c r="C236" s="992"/>
      <c r="D236" s="464" t="s">
        <v>1535</v>
      </c>
      <c r="E236" s="465"/>
      <c r="F236" s="465"/>
      <c r="G236" s="465"/>
      <c r="H236" s="465"/>
      <c r="I236" s="465"/>
      <c r="J236" s="469"/>
    </row>
    <row r="237" spans="2:10">
      <c r="B237" s="452" t="s">
        <v>1536</v>
      </c>
      <c r="C237" s="453"/>
      <c r="D237" s="453"/>
      <c r="E237" s="453"/>
      <c r="F237" s="453"/>
      <c r="G237" s="453"/>
      <c r="H237" s="453"/>
      <c r="I237" s="453"/>
      <c r="J237" s="993"/>
    </row>
    <row r="238" spans="2:10">
      <c r="B238" s="455"/>
      <c r="C238" s="456"/>
      <c r="D238" s="456"/>
      <c r="E238" s="456"/>
      <c r="F238" s="456"/>
      <c r="G238" s="456"/>
      <c r="H238" s="456"/>
      <c r="I238" s="456"/>
      <c r="J238" s="994"/>
    </row>
    <row r="239" spans="2:10">
      <c r="B239" s="455"/>
      <c r="C239" s="456"/>
      <c r="D239" s="456"/>
      <c r="E239" s="456"/>
      <c r="F239" s="456"/>
      <c r="G239" s="456"/>
      <c r="H239" s="456"/>
      <c r="I239" s="456"/>
      <c r="J239" s="994"/>
    </row>
    <row r="240" spans="2:10">
      <c r="B240" s="458"/>
      <c r="C240" s="459"/>
      <c r="D240" s="459"/>
      <c r="E240" s="459"/>
      <c r="F240" s="459"/>
      <c r="G240" s="459"/>
      <c r="H240" s="459"/>
      <c r="I240" s="459"/>
      <c r="J240" s="995"/>
    </row>
    <row r="241" spans="2:10" ht="18">
      <c r="B241" s="461" t="s">
        <v>38</v>
      </c>
      <c r="C241" s="462"/>
      <c r="D241" s="462"/>
      <c r="E241" s="462"/>
      <c r="F241" s="462"/>
      <c r="G241" s="462"/>
      <c r="H241" s="462"/>
      <c r="I241" s="463"/>
      <c r="J241" s="205" t="s">
        <v>39</v>
      </c>
    </row>
    <row r="242" spans="2:10">
      <c r="B242" s="200">
        <v>1</v>
      </c>
      <c r="C242" s="464" t="s">
        <v>1537</v>
      </c>
      <c r="D242" s="465"/>
      <c r="E242" s="465"/>
      <c r="F242" s="465"/>
      <c r="G242" s="465"/>
      <c r="H242" s="465"/>
      <c r="I242" s="466"/>
      <c r="J242" s="200" t="s">
        <v>43</v>
      </c>
    </row>
    <row r="243" spans="2:10">
      <c r="B243" s="200">
        <v>2</v>
      </c>
      <c r="C243" s="464" t="s">
        <v>1538</v>
      </c>
      <c r="D243" s="465"/>
      <c r="E243" s="465"/>
      <c r="F243" s="465"/>
      <c r="G243" s="465"/>
      <c r="H243" s="465"/>
      <c r="I243" s="466"/>
      <c r="J243" s="200" t="s">
        <v>43</v>
      </c>
    </row>
    <row r="244" spans="2:10">
      <c r="B244" s="200">
        <v>3</v>
      </c>
      <c r="C244" s="464" t="s">
        <v>1539</v>
      </c>
      <c r="D244" s="465"/>
      <c r="E244" s="465"/>
      <c r="F244" s="465"/>
      <c r="G244" s="465"/>
      <c r="H244" s="465"/>
      <c r="I244" s="466"/>
      <c r="J244" s="200" t="s">
        <v>41</v>
      </c>
    </row>
    <row r="245" spans="2:10" ht="18">
      <c r="B245" s="461" t="s">
        <v>44</v>
      </c>
      <c r="C245" s="462"/>
      <c r="D245" s="462"/>
      <c r="E245" s="462"/>
      <c r="F245" s="462"/>
      <c r="G245" s="462"/>
      <c r="H245" s="462"/>
      <c r="I245" s="462"/>
      <c r="J245" s="463"/>
    </row>
    <row r="246" spans="2:10">
      <c r="B246" s="200" t="s">
        <v>45</v>
      </c>
      <c r="C246" s="987" t="s">
        <v>1540</v>
      </c>
      <c r="D246" s="988"/>
      <c r="E246" s="988"/>
      <c r="F246" s="988"/>
      <c r="G246" s="988"/>
      <c r="H246" s="988"/>
      <c r="I246" s="988"/>
      <c r="J246" s="989"/>
    </row>
    <row r="247" spans="2:10">
      <c r="B247" s="206" t="s">
        <v>45</v>
      </c>
      <c r="C247" s="987" t="s">
        <v>1541</v>
      </c>
      <c r="D247" s="988"/>
      <c r="E247" s="988"/>
      <c r="F247" s="988"/>
      <c r="G247" s="988"/>
      <c r="H247" s="988"/>
      <c r="I247" s="988"/>
      <c r="J247" s="989"/>
    </row>
    <row r="248" spans="2:10">
      <c r="B248" s="206" t="s">
        <v>45</v>
      </c>
      <c r="C248" s="987" t="s">
        <v>1542</v>
      </c>
      <c r="D248" s="988"/>
      <c r="E248" s="988"/>
      <c r="F248" s="988"/>
      <c r="G248" s="988"/>
      <c r="H248" s="988"/>
      <c r="I248" s="988"/>
      <c r="J248" s="989"/>
    </row>
    <row r="249" spans="2:10">
      <c r="B249" s="206" t="s">
        <v>45</v>
      </c>
      <c r="C249" s="987" t="s">
        <v>1543</v>
      </c>
      <c r="D249" s="988"/>
      <c r="E249" s="988"/>
      <c r="F249" s="988"/>
      <c r="G249" s="988"/>
      <c r="H249" s="988"/>
      <c r="I249" s="988"/>
      <c r="J249" s="989"/>
    </row>
    <row r="250" spans="2:10">
      <c r="B250" s="206" t="s">
        <v>45</v>
      </c>
      <c r="C250" s="464" t="s">
        <v>1544</v>
      </c>
      <c r="D250" s="465"/>
      <c r="E250" s="465"/>
      <c r="F250" s="465"/>
      <c r="G250" s="465"/>
      <c r="H250" s="465"/>
      <c r="I250" s="465"/>
      <c r="J250" s="469"/>
    </row>
    <row r="251" spans="2:10">
      <c r="B251" s="206" t="s">
        <v>45</v>
      </c>
      <c r="C251" s="464"/>
      <c r="D251" s="465"/>
      <c r="E251" s="465"/>
      <c r="F251" s="465"/>
      <c r="G251" s="465"/>
      <c r="H251" s="465"/>
      <c r="I251" s="465"/>
      <c r="J251" s="469"/>
    </row>
    <row r="252" spans="2:10">
      <c r="B252" s="200" t="s">
        <v>45</v>
      </c>
      <c r="C252" s="464"/>
      <c r="D252" s="465"/>
      <c r="E252" s="465"/>
      <c r="F252" s="465"/>
      <c r="G252" s="465"/>
      <c r="H252" s="465"/>
      <c r="I252" s="465"/>
      <c r="J252" s="469"/>
    </row>
    <row r="253" spans="2:10">
      <c r="B253" s="200" t="s">
        <v>7</v>
      </c>
      <c r="C253" s="464" t="s">
        <v>1544</v>
      </c>
      <c r="D253" s="465"/>
      <c r="E253" s="465"/>
      <c r="F253" s="465"/>
      <c r="G253" s="465"/>
      <c r="H253" s="465"/>
      <c r="I253" s="465"/>
      <c r="J253" s="469"/>
    </row>
    <row r="254" spans="2:10" ht="18">
      <c r="B254" s="205" t="s">
        <v>52</v>
      </c>
      <c r="C254" s="461" t="s">
        <v>53</v>
      </c>
      <c r="D254" s="462"/>
      <c r="E254" s="462"/>
      <c r="F254" s="462"/>
      <c r="G254" s="463"/>
      <c r="H254" s="205" t="s">
        <v>54</v>
      </c>
      <c r="I254" s="205" t="s">
        <v>55</v>
      </c>
      <c r="J254" s="205" t="s">
        <v>56</v>
      </c>
    </row>
    <row r="255" spans="2:10">
      <c r="B255" s="200">
        <v>1</v>
      </c>
      <c r="C255" s="990"/>
      <c r="D255" s="991"/>
      <c r="E255" s="991"/>
      <c r="F255" s="991"/>
      <c r="G255" s="992"/>
      <c r="H255" s="200"/>
      <c r="I255" s="207"/>
      <c r="J255" s="200"/>
    </row>
    <row r="256" spans="2:10">
      <c r="B256" s="200">
        <v>2</v>
      </c>
      <c r="C256" s="464"/>
      <c r="D256" s="465"/>
      <c r="E256" s="465"/>
      <c r="F256" s="465"/>
      <c r="G256" s="466"/>
      <c r="H256" s="200"/>
      <c r="I256" s="207"/>
      <c r="J256" s="200"/>
    </row>
    <row r="257" spans="2:10">
      <c r="B257" s="200">
        <v>3</v>
      </c>
      <c r="C257" s="467"/>
      <c r="D257" s="468"/>
      <c r="E257" s="468"/>
      <c r="F257" s="468"/>
      <c r="G257" s="469"/>
      <c r="H257" s="200"/>
      <c r="I257" s="200"/>
      <c r="J257" s="200"/>
    </row>
    <row r="258" spans="2:10">
      <c r="B258" s="467" t="s">
        <v>63</v>
      </c>
      <c r="C258" s="469"/>
      <c r="D258" s="199" t="s">
        <v>29</v>
      </c>
      <c r="E258" s="198" t="s">
        <v>64</v>
      </c>
      <c r="F258" s="467" t="s">
        <v>1545</v>
      </c>
      <c r="G258" s="469"/>
      <c r="H258" s="199"/>
      <c r="I258" s="199"/>
      <c r="J258" s="200"/>
    </row>
    <row r="259" spans="2:10" ht="45">
      <c r="B259" s="201" t="s">
        <v>66</v>
      </c>
      <c r="C259" s="467"/>
      <c r="D259" s="469"/>
      <c r="E259" s="201" t="s">
        <v>67</v>
      </c>
      <c r="F259" s="467"/>
      <c r="G259" s="469"/>
      <c r="H259" s="201" t="s">
        <v>68</v>
      </c>
      <c r="I259" s="467"/>
      <c r="J259" s="469"/>
    </row>
    <row r="262" spans="2:10" ht="26.25">
      <c r="B262" s="999" t="s">
        <v>13</v>
      </c>
      <c r="C262" s="1000"/>
      <c r="D262" s="1003" t="s">
        <v>14</v>
      </c>
      <c r="E262" s="1004"/>
      <c r="F262" s="1004"/>
      <c r="G262" s="1004"/>
      <c r="H262" s="1004"/>
      <c r="I262" s="1005"/>
      <c r="J262" s="228" t="s">
        <v>1458</v>
      </c>
    </row>
    <row r="263" spans="2:10" ht="20.25">
      <c r="B263" s="1001"/>
      <c r="C263" s="1002"/>
      <c r="D263" s="1006" t="s">
        <v>16</v>
      </c>
      <c r="E263" s="1007"/>
      <c r="F263" s="1007"/>
      <c r="G263" s="1007"/>
      <c r="H263" s="1007"/>
      <c r="I263" s="1008"/>
      <c r="J263" s="228" t="s">
        <v>17</v>
      </c>
    </row>
    <row r="264" spans="2:10">
      <c r="B264" s="464" t="s">
        <v>18</v>
      </c>
      <c r="C264" s="466"/>
      <c r="D264" s="199" t="s">
        <v>1533</v>
      </c>
      <c r="E264" s="199" t="s">
        <v>1460</v>
      </c>
      <c r="F264" s="467" t="s">
        <v>131</v>
      </c>
      <c r="G264" s="469"/>
      <c r="H264" s="201" t="s">
        <v>21</v>
      </c>
      <c r="I264" s="202" t="s">
        <v>1461</v>
      </c>
      <c r="J264" s="200" t="s">
        <v>23</v>
      </c>
    </row>
    <row r="265" spans="2:10">
      <c r="B265" s="464" t="s">
        <v>24</v>
      </c>
      <c r="C265" s="466"/>
      <c r="D265" s="203">
        <v>0.68055555555555558</v>
      </c>
      <c r="E265" s="204" t="s">
        <v>25</v>
      </c>
      <c r="F265" s="467" t="s">
        <v>26</v>
      </c>
      <c r="G265" s="469"/>
      <c r="H265" s="199" t="s">
        <v>27</v>
      </c>
      <c r="I265" s="202" t="s">
        <v>917</v>
      </c>
      <c r="J265" s="207" t="s">
        <v>29</v>
      </c>
    </row>
    <row r="266" spans="2:10">
      <c r="B266" s="464" t="s">
        <v>30</v>
      </c>
      <c r="C266" s="466"/>
      <c r="D266" s="199" t="s">
        <v>31</v>
      </c>
      <c r="E266" s="199" t="s">
        <v>32</v>
      </c>
      <c r="F266" s="1017">
        <v>339.99999999999989</v>
      </c>
      <c r="G266" s="1018"/>
      <c r="H266" s="201" t="s">
        <v>33</v>
      </c>
      <c r="I266" s="204" t="s">
        <v>1546</v>
      </c>
      <c r="J266" s="207"/>
    </row>
    <row r="267" spans="2:10">
      <c r="B267" s="990" t="s">
        <v>35</v>
      </c>
      <c r="C267" s="992"/>
      <c r="D267" s="464" t="s">
        <v>1547</v>
      </c>
      <c r="E267" s="465"/>
      <c r="F267" s="465"/>
      <c r="G267" s="465"/>
      <c r="H267" s="465"/>
      <c r="I267" s="465"/>
      <c r="J267" s="469"/>
    </row>
    <row r="268" spans="2:10">
      <c r="B268" s="452" t="s">
        <v>1548</v>
      </c>
      <c r="C268" s="453"/>
      <c r="D268" s="453"/>
      <c r="E268" s="453"/>
      <c r="F268" s="453"/>
      <c r="G268" s="453"/>
      <c r="H268" s="453"/>
      <c r="I268" s="453"/>
      <c r="J268" s="993"/>
    </row>
    <row r="269" spans="2:10">
      <c r="B269" s="455"/>
      <c r="C269" s="456"/>
      <c r="D269" s="456"/>
      <c r="E269" s="456"/>
      <c r="F269" s="456"/>
      <c r="G269" s="456"/>
      <c r="H269" s="456"/>
      <c r="I269" s="456"/>
      <c r="J269" s="994"/>
    </row>
    <row r="270" spans="2:10">
      <c r="B270" s="455"/>
      <c r="C270" s="456"/>
      <c r="D270" s="456"/>
      <c r="E270" s="456"/>
      <c r="F270" s="456"/>
      <c r="G270" s="456"/>
      <c r="H270" s="456"/>
      <c r="I270" s="456"/>
      <c r="J270" s="994"/>
    </row>
    <row r="271" spans="2:10">
      <c r="B271" s="458"/>
      <c r="C271" s="459"/>
      <c r="D271" s="459"/>
      <c r="E271" s="459"/>
      <c r="F271" s="459"/>
      <c r="G271" s="459"/>
      <c r="H271" s="459"/>
      <c r="I271" s="459"/>
      <c r="J271" s="995"/>
    </row>
    <row r="272" spans="2:10" ht="18">
      <c r="B272" s="461" t="s">
        <v>38</v>
      </c>
      <c r="C272" s="462"/>
      <c r="D272" s="462"/>
      <c r="E272" s="462"/>
      <c r="F272" s="462"/>
      <c r="G272" s="462"/>
      <c r="H272" s="462"/>
      <c r="I272" s="463"/>
      <c r="J272" s="205" t="s">
        <v>39</v>
      </c>
    </row>
    <row r="273" spans="2:10">
      <c r="B273" s="200">
        <v>1</v>
      </c>
      <c r="C273" s="464" t="s">
        <v>1549</v>
      </c>
      <c r="D273" s="465"/>
      <c r="E273" s="465"/>
      <c r="F273" s="465"/>
      <c r="G273" s="465"/>
      <c r="H273" s="465"/>
      <c r="I273" s="466"/>
      <c r="J273" s="200" t="s">
        <v>43</v>
      </c>
    </row>
    <row r="274" spans="2:10">
      <c r="B274" s="200">
        <v>2</v>
      </c>
      <c r="C274" s="464" t="s">
        <v>1550</v>
      </c>
      <c r="D274" s="465"/>
      <c r="E274" s="465"/>
      <c r="F274" s="465"/>
      <c r="G274" s="465"/>
      <c r="H274" s="465"/>
      <c r="I274" s="466"/>
      <c r="J274" s="200" t="s">
        <v>43</v>
      </c>
    </row>
    <row r="275" spans="2:10">
      <c r="B275" s="200">
        <v>3</v>
      </c>
      <c r="C275" s="464" t="s">
        <v>1551</v>
      </c>
      <c r="D275" s="465"/>
      <c r="E275" s="465"/>
      <c r="F275" s="465"/>
      <c r="G275" s="465"/>
      <c r="H275" s="465"/>
      <c r="I275" s="466"/>
      <c r="J275" s="200" t="s">
        <v>1498</v>
      </c>
    </row>
    <row r="276" spans="2:10" ht="18">
      <c r="B276" s="461" t="s">
        <v>44</v>
      </c>
      <c r="C276" s="462"/>
      <c r="D276" s="462"/>
      <c r="E276" s="462"/>
      <c r="F276" s="462"/>
      <c r="G276" s="462"/>
      <c r="H276" s="462"/>
      <c r="I276" s="462"/>
      <c r="J276" s="463"/>
    </row>
    <row r="277" spans="2:10">
      <c r="B277" s="200" t="s">
        <v>45</v>
      </c>
      <c r="C277" s="987" t="s">
        <v>1552</v>
      </c>
      <c r="D277" s="988"/>
      <c r="E277" s="988"/>
      <c r="F277" s="988"/>
      <c r="G277" s="988"/>
      <c r="H277" s="988"/>
      <c r="I277" s="988"/>
      <c r="J277" s="989"/>
    </row>
    <row r="278" spans="2:10">
      <c r="B278" s="206" t="s">
        <v>45</v>
      </c>
      <c r="C278" s="987" t="s">
        <v>1553</v>
      </c>
      <c r="D278" s="988"/>
      <c r="E278" s="988"/>
      <c r="F278" s="988"/>
      <c r="G278" s="988"/>
      <c r="H278" s="988"/>
      <c r="I278" s="988"/>
      <c r="J278" s="989"/>
    </row>
    <row r="279" spans="2:10">
      <c r="B279" s="206" t="s">
        <v>45</v>
      </c>
      <c r="C279" s="987" t="s">
        <v>1554</v>
      </c>
      <c r="D279" s="988"/>
      <c r="E279" s="988"/>
      <c r="F279" s="988"/>
      <c r="G279" s="988"/>
      <c r="H279" s="988"/>
      <c r="I279" s="988"/>
      <c r="J279" s="989"/>
    </row>
    <row r="280" spans="2:10">
      <c r="B280" s="206" t="s">
        <v>45</v>
      </c>
      <c r="C280" s="987"/>
      <c r="D280" s="988"/>
      <c r="E280" s="988"/>
      <c r="F280" s="988"/>
      <c r="G280" s="988"/>
      <c r="H280" s="988"/>
      <c r="I280" s="988"/>
      <c r="J280" s="989"/>
    </row>
    <row r="281" spans="2:10">
      <c r="B281" s="206" t="s">
        <v>45</v>
      </c>
      <c r="C281" s="464"/>
      <c r="D281" s="465"/>
      <c r="E281" s="465"/>
      <c r="F281" s="465"/>
      <c r="G281" s="465"/>
      <c r="H281" s="465"/>
      <c r="I281" s="465"/>
      <c r="J281" s="469"/>
    </row>
    <row r="282" spans="2:10">
      <c r="B282" s="206" t="s">
        <v>45</v>
      </c>
      <c r="C282" s="464"/>
      <c r="D282" s="465"/>
      <c r="E282" s="465"/>
      <c r="F282" s="465"/>
      <c r="G282" s="465"/>
      <c r="H282" s="465"/>
      <c r="I282" s="465"/>
      <c r="J282" s="469"/>
    </row>
    <row r="283" spans="2:10">
      <c r="B283" s="200" t="s">
        <v>45</v>
      </c>
      <c r="C283" s="464"/>
      <c r="D283" s="465"/>
      <c r="E283" s="465"/>
      <c r="F283" s="465"/>
      <c r="G283" s="465"/>
      <c r="H283" s="465"/>
      <c r="I283" s="465"/>
      <c r="J283" s="469"/>
    </row>
    <row r="284" spans="2:10">
      <c r="B284" s="200" t="s">
        <v>7</v>
      </c>
      <c r="C284" s="976" t="s">
        <v>1554</v>
      </c>
      <c r="D284" s="977"/>
      <c r="E284" s="977"/>
      <c r="F284" s="977"/>
      <c r="G284" s="977"/>
      <c r="H284" s="977"/>
      <c r="I284" s="977"/>
      <c r="J284" s="978"/>
    </row>
    <row r="285" spans="2:10" ht="18">
      <c r="B285" s="205" t="s">
        <v>52</v>
      </c>
      <c r="C285" s="461" t="s">
        <v>53</v>
      </c>
      <c r="D285" s="462"/>
      <c r="E285" s="462"/>
      <c r="F285" s="462"/>
      <c r="G285" s="463"/>
      <c r="H285" s="205" t="s">
        <v>54</v>
      </c>
      <c r="I285" s="205" t="s">
        <v>55</v>
      </c>
      <c r="J285" s="205" t="s">
        <v>56</v>
      </c>
    </row>
    <row r="286" spans="2:10">
      <c r="B286" s="200">
        <v>1</v>
      </c>
      <c r="C286" s="990" t="s">
        <v>1555</v>
      </c>
      <c r="D286" s="991"/>
      <c r="E286" s="991"/>
      <c r="F286" s="991"/>
      <c r="G286" s="992"/>
      <c r="H286" s="200" t="s">
        <v>1556</v>
      </c>
      <c r="I286" s="207" t="s">
        <v>1557</v>
      </c>
      <c r="J286" s="200"/>
    </row>
    <row r="287" spans="2:10">
      <c r="B287" s="200">
        <v>2</v>
      </c>
      <c r="C287" s="464"/>
      <c r="D287" s="465"/>
      <c r="E287" s="465"/>
      <c r="F287" s="465"/>
      <c r="G287" s="466"/>
      <c r="H287" s="200"/>
      <c r="I287" s="207"/>
      <c r="J287" s="200"/>
    </row>
    <row r="288" spans="2:10">
      <c r="B288" s="200">
        <v>3</v>
      </c>
      <c r="C288" s="467"/>
      <c r="D288" s="468"/>
      <c r="E288" s="468"/>
      <c r="F288" s="468"/>
      <c r="G288" s="469"/>
      <c r="H288" s="200"/>
      <c r="I288" s="200"/>
      <c r="J288" s="200"/>
    </row>
    <row r="289" spans="2:10">
      <c r="B289" s="467" t="s">
        <v>63</v>
      </c>
      <c r="C289" s="469"/>
      <c r="D289" s="199" t="s">
        <v>29</v>
      </c>
      <c r="E289" s="198" t="s">
        <v>64</v>
      </c>
      <c r="F289" s="467" t="s">
        <v>202</v>
      </c>
      <c r="G289" s="469"/>
      <c r="H289" s="199"/>
      <c r="I289" s="199"/>
      <c r="J289" s="200"/>
    </row>
    <row r="290" spans="2:10" ht="45">
      <c r="B290" s="201" t="s">
        <v>66</v>
      </c>
      <c r="C290" s="467"/>
      <c r="D290" s="469"/>
      <c r="E290" s="201" t="s">
        <v>67</v>
      </c>
      <c r="F290" s="467"/>
      <c r="G290" s="469"/>
      <c r="H290" s="201" t="s">
        <v>68</v>
      </c>
      <c r="I290" s="467"/>
      <c r="J290" s="469"/>
    </row>
    <row r="293" spans="2:10" ht="26.25">
      <c r="B293" s="999" t="s">
        <v>13</v>
      </c>
      <c r="C293" s="1000"/>
      <c r="D293" s="1003" t="s">
        <v>14</v>
      </c>
      <c r="E293" s="1004"/>
      <c r="F293" s="1004"/>
      <c r="G293" s="1004"/>
      <c r="H293" s="1004"/>
      <c r="I293" s="1005"/>
      <c r="J293" s="228" t="s">
        <v>1458</v>
      </c>
    </row>
    <row r="294" spans="2:10" ht="20.25">
      <c r="B294" s="1001"/>
      <c r="C294" s="1002"/>
      <c r="D294" s="1006" t="s">
        <v>16</v>
      </c>
      <c r="E294" s="1007"/>
      <c r="F294" s="1007"/>
      <c r="G294" s="1007"/>
      <c r="H294" s="1007"/>
      <c r="I294" s="1008"/>
      <c r="J294" s="228" t="s">
        <v>17</v>
      </c>
    </row>
    <row r="295" spans="2:10">
      <c r="B295" s="464" t="s">
        <v>18</v>
      </c>
      <c r="C295" s="466"/>
      <c r="D295" s="199" t="s">
        <v>1558</v>
      </c>
      <c r="E295" s="199" t="s">
        <v>1460</v>
      </c>
      <c r="F295" s="467" t="s">
        <v>124</v>
      </c>
      <c r="G295" s="469"/>
      <c r="H295" s="201" t="s">
        <v>21</v>
      </c>
      <c r="I295" s="202" t="s">
        <v>1461</v>
      </c>
      <c r="J295" s="200" t="s">
        <v>23</v>
      </c>
    </row>
    <row r="296" spans="2:10">
      <c r="B296" s="464" t="s">
        <v>24</v>
      </c>
      <c r="C296" s="466"/>
      <c r="D296" s="203">
        <v>9.7222222222222224E-2</v>
      </c>
      <c r="E296" s="204" t="s">
        <v>25</v>
      </c>
      <c r="F296" s="467" t="s">
        <v>26</v>
      </c>
      <c r="G296" s="469"/>
      <c r="H296" s="199" t="s">
        <v>27</v>
      </c>
      <c r="I296" s="202" t="s">
        <v>917</v>
      </c>
      <c r="J296" s="207" t="s">
        <v>29</v>
      </c>
    </row>
    <row r="297" spans="2:10">
      <c r="B297" s="464" t="s">
        <v>30</v>
      </c>
      <c r="C297" s="466"/>
      <c r="D297" s="199" t="s">
        <v>31</v>
      </c>
      <c r="E297" s="199" t="s">
        <v>32</v>
      </c>
      <c r="F297" s="1017">
        <v>77</v>
      </c>
      <c r="G297" s="1018"/>
      <c r="H297" s="201" t="s">
        <v>33</v>
      </c>
      <c r="I297" s="204" t="s">
        <v>1546</v>
      </c>
      <c r="J297" s="207"/>
    </row>
    <row r="298" spans="2:10">
      <c r="B298" s="990" t="s">
        <v>35</v>
      </c>
      <c r="C298" s="992"/>
      <c r="D298" s="464" t="s">
        <v>1559</v>
      </c>
      <c r="E298" s="465"/>
      <c r="F298" s="465"/>
      <c r="G298" s="465"/>
      <c r="H298" s="465"/>
      <c r="I298" s="465"/>
      <c r="J298" s="469"/>
    </row>
    <row r="299" spans="2:10">
      <c r="B299" s="452" t="s">
        <v>1548</v>
      </c>
      <c r="C299" s="453"/>
      <c r="D299" s="453"/>
      <c r="E299" s="453"/>
      <c r="F299" s="453"/>
      <c r="G299" s="453"/>
      <c r="H299" s="453"/>
      <c r="I299" s="453"/>
      <c r="J299" s="993"/>
    </row>
    <row r="300" spans="2:10">
      <c r="B300" s="455"/>
      <c r="C300" s="456"/>
      <c r="D300" s="456"/>
      <c r="E300" s="456"/>
      <c r="F300" s="456"/>
      <c r="G300" s="456"/>
      <c r="H300" s="456"/>
      <c r="I300" s="456"/>
      <c r="J300" s="994"/>
    </row>
    <row r="301" spans="2:10">
      <c r="B301" s="455"/>
      <c r="C301" s="456"/>
      <c r="D301" s="456"/>
      <c r="E301" s="456"/>
      <c r="F301" s="456"/>
      <c r="G301" s="456"/>
      <c r="H301" s="456"/>
      <c r="I301" s="456"/>
      <c r="J301" s="994"/>
    </row>
    <row r="302" spans="2:10">
      <c r="B302" s="458"/>
      <c r="C302" s="459"/>
      <c r="D302" s="459"/>
      <c r="E302" s="459"/>
      <c r="F302" s="459"/>
      <c r="G302" s="459"/>
      <c r="H302" s="459"/>
      <c r="I302" s="459"/>
      <c r="J302" s="995"/>
    </row>
    <row r="303" spans="2:10" ht="18">
      <c r="B303" s="461" t="s">
        <v>38</v>
      </c>
      <c r="C303" s="462"/>
      <c r="D303" s="462"/>
      <c r="E303" s="462"/>
      <c r="F303" s="462"/>
      <c r="G303" s="462"/>
      <c r="H303" s="462"/>
      <c r="I303" s="463"/>
      <c r="J303" s="205" t="s">
        <v>39</v>
      </c>
    </row>
    <row r="304" spans="2:10">
      <c r="B304" s="200">
        <v>1</v>
      </c>
      <c r="C304" s="464" t="s">
        <v>1444</v>
      </c>
      <c r="D304" s="465"/>
      <c r="E304" s="465"/>
      <c r="F304" s="465"/>
      <c r="G304" s="465"/>
      <c r="H304" s="465"/>
      <c r="I304" s="466"/>
      <c r="J304" s="200" t="s">
        <v>43</v>
      </c>
    </row>
    <row r="305" spans="2:10">
      <c r="B305" s="200">
        <v>2</v>
      </c>
      <c r="C305" s="464"/>
      <c r="D305" s="465"/>
      <c r="E305" s="465"/>
      <c r="F305" s="465"/>
      <c r="G305" s="465"/>
      <c r="H305" s="465"/>
      <c r="I305" s="466"/>
      <c r="J305" s="200"/>
    </row>
    <row r="306" spans="2:10">
      <c r="B306" s="200">
        <v>3</v>
      </c>
      <c r="C306" s="464"/>
      <c r="D306" s="465"/>
      <c r="E306" s="465"/>
      <c r="F306" s="465"/>
      <c r="G306" s="465"/>
      <c r="H306" s="465"/>
      <c r="I306" s="466"/>
      <c r="J306" s="200"/>
    </row>
    <row r="307" spans="2:10" ht="18">
      <c r="B307" s="461" t="s">
        <v>44</v>
      </c>
      <c r="C307" s="462"/>
      <c r="D307" s="462"/>
      <c r="E307" s="462"/>
      <c r="F307" s="462"/>
      <c r="G307" s="462"/>
      <c r="H307" s="462"/>
      <c r="I307" s="462"/>
      <c r="J307" s="463"/>
    </row>
    <row r="308" spans="2:10">
      <c r="B308" s="200" t="s">
        <v>45</v>
      </c>
      <c r="C308" s="987" t="s">
        <v>1560</v>
      </c>
      <c r="D308" s="988"/>
      <c r="E308" s="988"/>
      <c r="F308" s="988"/>
      <c r="G308" s="988"/>
      <c r="H308" s="988"/>
      <c r="I308" s="988"/>
      <c r="J308" s="989"/>
    </row>
    <row r="309" spans="2:10">
      <c r="B309" s="206" t="s">
        <v>45</v>
      </c>
      <c r="C309" s="986" t="s">
        <v>1561</v>
      </c>
      <c r="D309" s="988"/>
      <c r="E309" s="988"/>
      <c r="F309" s="988"/>
      <c r="G309" s="988"/>
      <c r="H309" s="988"/>
      <c r="I309" s="988"/>
      <c r="J309" s="989"/>
    </row>
    <row r="310" spans="2:10">
      <c r="B310" s="206" t="s">
        <v>45</v>
      </c>
      <c r="C310" s="987" t="s">
        <v>1443</v>
      </c>
      <c r="D310" s="988"/>
      <c r="E310" s="988"/>
      <c r="F310" s="988"/>
      <c r="G310" s="988"/>
      <c r="H310" s="988"/>
      <c r="I310" s="988"/>
      <c r="J310" s="989"/>
    </row>
    <row r="311" spans="2:10">
      <c r="B311" s="206" t="s">
        <v>45</v>
      </c>
      <c r="C311" s="987"/>
      <c r="D311" s="988"/>
      <c r="E311" s="988"/>
      <c r="F311" s="988"/>
      <c r="G311" s="988"/>
      <c r="H311" s="988"/>
      <c r="I311" s="988"/>
      <c r="J311" s="989"/>
    </row>
    <row r="312" spans="2:10">
      <c r="B312" s="206" t="s">
        <v>45</v>
      </c>
      <c r="C312" s="464"/>
      <c r="D312" s="465"/>
      <c r="E312" s="465"/>
      <c r="F312" s="465"/>
      <c r="G312" s="465"/>
      <c r="H312" s="465"/>
      <c r="I312" s="465"/>
      <c r="J312" s="469"/>
    </row>
    <row r="313" spans="2:10">
      <c r="B313" s="206" t="s">
        <v>45</v>
      </c>
      <c r="C313" s="464"/>
      <c r="D313" s="465"/>
      <c r="E313" s="465"/>
      <c r="F313" s="465"/>
      <c r="G313" s="465"/>
      <c r="H313" s="465"/>
      <c r="I313" s="465"/>
      <c r="J313" s="469"/>
    </row>
    <row r="314" spans="2:10">
      <c r="B314" s="200" t="s">
        <v>45</v>
      </c>
      <c r="C314" s="464"/>
      <c r="D314" s="465"/>
      <c r="E314" s="465"/>
      <c r="F314" s="465"/>
      <c r="G314" s="465"/>
      <c r="H314" s="465"/>
      <c r="I314" s="465"/>
      <c r="J314" s="469"/>
    </row>
    <row r="315" spans="2:10">
      <c r="B315" s="200" t="s">
        <v>7</v>
      </c>
      <c r="C315" s="464"/>
      <c r="D315" s="465"/>
      <c r="E315" s="465"/>
      <c r="F315" s="465"/>
      <c r="G315" s="465"/>
      <c r="H315" s="465"/>
      <c r="I315" s="465"/>
      <c r="J315" s="469"/>
    </row>
    <row r="316" spans="2:10" ht="18">
      <c r="B316" s="205" t="s">
        <v>52</v>
      </c>
      <c r="C316" s="461" t="s">
        <v>53</v>
      </c>
      <c r="D316" s="462"/>
      <c r="E316" s="462"/>
      <c r="F316" s="462"/>
      <c r="G316" s="463"/>
      <c r="H316" s="205" t="s">
        <v>54</v>
      </c>
      <c r="I316" s="205" t="s">
        <v>55</v>
      </c>
      <c r="J316" s="205" t="s">
        <v>56</v>
      </c>
    </row>
    <row r="317" spans="2:10">
      <c r="B317" s="200">
        <v>1</v>
      </c>
      <c r="C317" s="990" t="s">
        <v>1562</v>
      </c>
      <c r="D317" s="991"/>
      <c r="E317" s="991"/>
      <c r="F317" s="991"/>
      <c r="G317" s="992"/>
      <c r="H317" s="200" t="s">
        <v>1563</v>
      </c>
      <c r="I317" s="207" t="s">
        <v>1557</v>
      </c>
      <c r="J317" s="200"/>
    </row>
    <row r="318" spans="2:10">
      <c r="B318" s="200">
        <v>2</v>
      </c>
      <c r="C318" s="464"/>
      <c r="D318" s="465"/>
      <c r="E318" s="465"/>
      <c r="F318" s="465"/>
      <c r="G318" s="466"/>
      <c r="H318" s="200"/>
      <c r="I318" s="207"/>
      <c r="J318" s="200"/>
    </row>
    <row r="319" spans="2:10">
      <c r="B319" s="200">
        <v>3</v>
      </c>
      <c r="C319" s="467"/>
      <c r="D319" s="468"/>
      <c r="E319" s="468"/>
      <c r="F319" s="468"/>
      <c r="G319" s="469"/>
      <c r="H319" s="200"/>
      <c r="I319" s="200"/>
      <c r="J319" s="200"/>
    </row>
    <row r="320" spans="2:10">
      <c r="B320" s="467" t="s">
        <v>63</v>
      </c>
      <c r="C320" s="469"/>
      <c r="D320" s="199" t="s">
        <v>29</v>
      </c>
      <c r="E320" s="198" t="s">
        <v>64</v>
      </c>
      <c r="F320" s="467" t="s">
        <v>202</v>
      </c>
      <c r="G320" s="469"/>
      <c r="H320" s="199"/>
      <c r="I320" s="199"/>
      <c r="J320" s="200"/>
    </row>
    <row r="321" spans="2:10" ht="45">
      <c r="B321" s="201" t="s">
        <v>66</v>
      </c>
      <c r="C321" s="467"/>
      <c r="D321" s="469"/>
      <c r="E321" s="201" t="s">
        <v>67</v>
      </c>
      <c r="F321" s="467"/>
      <c r="G321" s="469"/>
      <c r="H321" s="201" t="s">
        <v>68</v>
      </c>
      <c r="I321" s="467"/>
      <c r="J321" s="469"/>
    </row>
    <row r="324" spans="2:10" ht="26.25">
      <c r="B324" s="999" t="s">
        <v>13</v>
      </c>
      <c r="C324" s="1000"/>
      <c r="D324" s="1003" t="s">
        <v>14</v>
      </c>
      <c r="E324" s="1004"/>
      <c r="F324" s="1004"/>
      <c r="G324" s="1004"/>
      <c r="H324" s="1004"/>
      <c r="I324" s="1005"/>
      <c r="J324" s="228" t="s">
        <v>1458</v>
      </c>
    </row>
    <row r="325" spans="2:10" ht="20.25">
      <c r="B325" s="1001"/>
      <c r="C325" s="1002"/>
      <c r="D325" s="1006" t="s">
        <v>16</v>
      </c>
      <c r="E325" s="1007"/>
      <c r="F325" s="1007"/>
      <c r="G325" s="1007"/>
      <c r="H325" s="1007"/>
      <c r="I325" s="1008"/>
      <c r="J325" s="228" t="s">
        <v>17</v>
      </c>
    </row>
    <row r="326" spans="2:10">
      <c r="B326" s="464" t="s">
        <v>18</v>
      </c>
      <c r="C326" s="466"/>
      <c r="D326" s="199" t="s">
        <v>1564</v>
      </c>
      <c r="E326" s="199" t="s">
        <v>1460</v>
      </c>
      <c r="F326" s="467" t="s">
        <v>131</v>
      </c>
      <c r="G326" s="469"/>
      <c r="H326" s="201" t="s">
        <v>21</v>
      </c>
      <c r="I326" s="202" t="s">
        <v>1461</v>
      </c>
      <c r="J326" s="200" t="s">
        <v>23</v>
      </c>
    </row>
    <row r="327" spans="2:10">
      <c r="B327" s="464" t="s">
        <v>24</v>
      </c>
      <c r="C327" s="466"/>
      <c r="D327" s="203">
        <v>0.64236111111111116</v>
      </c>
      <c r="E327" s="204" t="s">
        <v>25</v>
      </c>
      <c r="F327" s="467" t="s">
        <v>26</v>
      </c>
      <c r="G327" s="469"/>
      <c r="H327" s="199" t="s">
        <v>27</v>
      </c>
      <c r="I327" s="202" t="s">
        <v>867</v>
      </c>
      <c r="J327" s="207" t="s">
        <v>29</v>
      </c>
    </row>
    <row r="328" spans="2:10">
      <c r="B328" s="464" t="s">
        <v>30</v>
      </c>
      <c r="C328" s="466"/>
      <c r="D328" s="199" t="s">
        <v>31</v>
      </c>
      <c r="E328" s="199" t="s">
        <v>32</v>
      </c>
      <c r="F328" s="467">
        <v>90</v>
      </c>
      <c r="G328" s="469"/>
      <c r="H328" s="201" t="s">
        <v>33</v>
      </c>
      <c r="I328" s="204" t="s">
        <v>1546</v>
      </c>
      <c r="J328" s="207"/>
    </row>
    <row r="329" spans="2:10">
      <c r="B329" s="990" t="s">
        <v>35</v>
      </c>
      <c r="C329" s="992"/>
      <c r="D329" s="464" t="s">
        <v>1565</v>
      </c>
      <c r="E329" s="465"/>
      <c r="F329" s="465"/>
      <c r="G329" s="465"/>
      <c r="H329" s="465"/>
      <c r="I329" s="465"/>
      <c r="J329" s="469"/>
    </row>
    <row r="330" spans="2:10">
      <c r="B330" s="452" t="s">
        <v>1566</v>
      </c>
      <c r="C330" s="453"/>
      <c r="D330" s="453"/>
      <c r="E330" s="453"/>
      <c r="F330" s="453"/>
      <c r="G330" s="453"/>
      <c r="H330" s="453"/>
      <c r="I330" s="453"/>
      <c r="J330" s="993"/>
    </row>
    <row r="331" spans="2:10">
      <c r="B331" s="455"/>
      <c r="C331" s="456"/>
      <c r="D331" s="456"/>
      <c r="E331" s="456"/>
      <c r="F331" s="456"/>
      <c r="G331" s="456"/>
      <c r="H331" s="456"/>
      <c r="I331" s="456"/>
      <c r="J331" s="994"/>
    </row>
    <row r="332" spans="2:10">
      <c r="B332" s="455"/>
      <c r="C332" s="456"/>
      <c r="D332" s="456"/>
      <c r="E332" s="456"/>
      <c r="F332" s="456"/>
      <c r="G332" s="456"/>
      <c r="H332" s="456"/>
      <c r="I332" s="456"/>
      <c r="J332" s="994"/>
    </row>
    <row r="333" spans="2:10">
      <c r="B333" s="458"/>
      <c r="C333" s="459"/>
      <c r="D333" s="459"/>
      <c r="E333" s="459"/>
      <c r="F333" s="459"/>
      <c r="G333" s="459"/>
      <c r="H333" s="459"/>
      <c r="I333" s="459"/>
      <c r="J333" s="995"/>
    </row>
    <row r="334" spans="2:10" ht="18">
      <c r="B334" s="461" t="s">
        <v>38</v>
      </c>
      <c r="C334" s="462"/>
      <c r="D334" s="462"/>
      <c r="E334" s="462"/>
      <c r="F334" s="462"/>
      <c r="G334" s="462"/>
      <c r="H334" s="462"/>
      <c r="I334" s="463"/>
      <c r="J334" s="205" t="s">
        <v>39</v>
      </c>
    </row>
    <row r="335" spans="2:10">
      <c r="B335" s="200">
        <v>1</v>
      </c>
      <c r="C335" s="985" t="s">
        <v>1567</v>
      </c>
      <c r="D335" s="465"/>
      <c r="E335" s="465"/>
      <c r="F335" s="465"/>
      <c r="G335" s="465"/>
      <c r="H335" s="465"/>
      <c r="I335" s="466"/>
      <c r="J335" s="200" t="s">
        <v>43</v>
      </c>
    </row>
    <row r="336" spans="2:10">
      <c r="B336" s="200">
        <v>2</v>
      </c>
      <c r="C336" s="985"/>
      <c r="D336" s="465"/>
      <c r="E336" s="465"/>
      <c r="F336" s="465"/>
      <c r="G336" s="465"/>
      <c r="H336" s="465"/>
      <c r="I336" s="466"/>
      <c r="J336" s="200"/>
    </row>
    <row r="337" spans="2:10">
      <c r="B337" s="200">
        <v>3</v>
      </c>
      <c r="C337" s="464"/>
      <c r="D337" s="465"/>
      <c r="E337" s="465"/>
      <c r="F337" s="465"/>
      <c r="G337" s="465"/>
      <c r="H337" s="465"/>
      <c r="I337" s="466"/>
      <c r="J337" s="200"/>
    </row>
    <row r="338" spans="2:10" ht="18">
      <c r="B338" s="461" t="s">
        <v>44</v>
      </c>
      <c r="C338" s="462"/>
      <c r="D338" s="462"/>
      <c r="E338" s="462"/>
      <c r="F338" s="462"/>
      <c r="G338" s="462"/>
      <c r="H338" s="462"/>
      <c r="I338" s="462"/>
      <c r="J338" s="463"/>
    </row>
    <row r="339" spans="2:10">
      <c r="B339" s="200" t="s">
        <v>45</v>
      </c>
      <c r="C339" s="987" t="s">
        <v>1568</v>
      </c>
      <c r="D339" s="988"/>
      <c r="E339" s="988"/>
      <c r="F339" s="988"/>
      <c r="G339" s="988"/>
      <c r="H339" s="988"/>
      <c r="I339" s="988"/>
      <c r="J339" s="989"/>
    </row>
    <row r="340" spans="2:10">
      <c r="B340" s="206" t="s">
        <v>45</v>
      </c>
      <c r="C340" s="986" t="s">
        <v>1569</v>
      </c>
      <c r="D340" s="988"/>
      <c r="E340" s="988"/>
      <c r="F340" s="988"/>
      <c r="G340" s="988"/>
      <c r="H340" s="988"/>
      <c r="I340" s="988"/>
      <c r="J340" s="989"/>
    </row>
    <row r="341" spans="2:10">
      <c r="B341" s="206" t="s">
        <v>45</v>
      </c>
      <c r="C341" s="987" t="s">
        <v>1446</v>
      </c>
      <c r="D341" s="988"/>
      <c r="E341" s="988"/>
      <c r="F341" s="988"/>
      <c r="G341" s="988"/>
      <c r="H341" s="988"/>
      <c r="I341" s="988"/>
      <c r="J341" s="989"/>
    </row>
    <row r="342" spans="2:10">
      <c r="B342" s="206" t="s">
        <v>45</v>
      </c>
      <c r="C342" s="987"/>
      <c r="D342" s="988"/>
      <c r="E342" s="988"/>
      <c r="F342" s="988"/>
      <c r="G342" s="988"/>
      <c r="H342" s="988"/>
      <c r="I342" s="988"/>
      <c r="J342" s="989"/>
    </row>
    <row r="343" spans="2:10">
      <c r="B343" s="206" t="s">
        <v>45</v>
      </c>
      <c r="C343" s="464"/>
      <c r="D343" s="465"/>
      <c r="E343" s="465"/>
      <c r="F343" s="465"/>
      <c r="G343" s="465"/>
      <c r="H343" s="465"/>
      <c r="I343" s="465"/>
      <c r="J343" s="469"/>
    </row>
    <row r="344" spans="2:10">
      <c r="B344" s="206" t="s">
        <v>45</v>
      </c>
      <c r="C344" s="464"/>
      <c r="D344" s="465"/>
      <c r="E344" s="465"/>
      <c r="F344" s="465"/>
      <c r="G344" s="465"/>
      <c r="H344" s="465"/>
      <c r="I344" s="465"/>
      <c r="J344" s="469"/>
    </row>
    <row r="345" spans="2:10">
      <c r="B345" s="200" t="s">
        <v>45</v>
      </c>
      <c r="C345" s="464"/>
      <c r="D345" s="465"/>
      <c r="E345" s="465"/>
      <c r="F345" s="465"/>
      <c r="G345" s="465"/>
      <c r="H345" s="465"/>
      <c r="I345" s="465"/>
      <c r="J345" s="469"/>
    </row>
    <row r="346" spans="2:10">
      <c r="B346" s="200" t="s">
        <v>7</v>
      </c>
      <c r="C346" s="976" t="s">
        <v>1446</v>
      </c>
      <c r="D346" s="977"/>
      <c r="E346" s="977"/>
      <c r="F346" s="977"/>
      <c r="G346" s="977"/>
      <c r="H346" s="977"/>
      <c r="I346" s="977"/>
      <c r="J346" s="978"/>
    </row>
    <row r="347" spans="2:10" ht="18">
      <c r="B347" s="205" t="s">
        <v>52</v>
      </c>
      <c r="C347" s="461" t="s">
        <v>53</v>
      </c>
      <c r="D347" s="462"/>
      <c r="E347" s="462"/>
      <c r="F347" s="462"/>
      <c r="G347" s="463"/>
      <c r="H347" s="205" t="s">
        <v>54</v>
      </c>
      <c r="I347" s="205" t="s">
        <v>55</v>
      </c>
      <c r="J347" s="205" t="s">
        <v>56</v>
      </c>
    </row>
    <row r="348" spans="2:10">
      <c r="B348" s="200">
        <v>1</v>
      </c>
      <c r="C348" s="1040"/>
      <c r="D348" s="991"/>
      <c r="E348" s="991"/>
      <c r="F348" s="991"/>
      <c r="G348" s="992"/>
      <c r="H348" s="200" t="s">
        <v>1570</v>
      </c>
      <c r="I348" s="207" t="s">
        <v>1557</v>
      </c>
      <c r="J348" s="200"/>
    </row>
    <row r="349" spans="2:10">
      <c r="B349" s="200">
        <v>2</v>
      </c>
      <c r="C349" s="464"/>
      <c r="D349" s="465"/>
      <c r="E349" s="465"/>
      <c r="F349" s="465"/>
      <c r="G349" s="466"/>
      <c r="H349" s="200"/>
      <c r="I349" s="207"/>
      <c r="J349" s="200"/>
    </row>
    <row r="350" spans="2:10">
      <c r="B350" s="200">
        <v>3</v>
      </c>
      <c r="C350" s="467"/>
      <c r="D350" s="468"/>
      <c r="E350" s="468"/>
      <c r="F350" s="468"/>
      <c r="G350" s="469"/>
      <c r="H350" s="200"/>
      <c r="I350" s="200"/>
      <c r="J350" s="200"/>
    </row>
    <row r="351" spans="2:10">
      <c r="B351" s="467" t="s">
        <v>63</v>
      </c>
      <c r="C351" s="469"/>
      <c r="D351" s="199" t="s">
        <v>29</v>
      </c>
      <c r="E351" s="198" t="s">
        <v>64</v>
      </c>
      <c r="F351" s="467" t="s">
        <v>202</v>
      </c>
      <c r="G351" s="469"/>
      <c r="H351" s="199"/>
      <c r="I351" s="199"/>
      <c r="J351" s="200"/>
    </row>
    <row r="352" spans="2:10" ht="45">
      <c r="B352" s="201" t="s">
        <v>66</v>
      </c>
      <c r="C352" s="467"/>
      <c r="D352" s="469"/>
      <c r="E352" s="201" t="s">
        <v>67</v>
      </c>
      <c r="F352" s="467"/>
      <c r="G352" s="469"/>
      <c r="H352" s="201" t="s">
        <v>68</v>
      </c>
      <c r="I352" s="467"/>
      <c r="J352" s="469"/>
    </row>
    <row r="355" spans="2:10" ht="26.25" customHeight="1">
      <c r="B355" s="1019" t="s">
        <v>13</v>
      </c>
      <c r="C355" s="1020"/>
      <c r="D355" s="1023" t="s">
        <v>14</v>
      </c>
      <c r="E355" s="1024"/>
      <c r="F355" s="1024"/>
      <c r="G355" s="1024"/>
      <c r="H355" s="1024"/>
      <c r="I355" s="1025"/>
      <c r="J355" s="229" t="s">
        <v>1458</v>
      </c>
    </row>
    <row r="356" spans="2:10" ht="20.25" customHeight="1">
      <c r="B356" s="1021"/>
      <c r="C356" s="1022"/>
      <c r="D356" s="1026" t="s">
        <v>16</v>
      </c>
      <c r="E356" s="1027"/>
      <c r="F356" s="1027"/>
      <c r="G356" s="1027"/>
      <c r="H356" s="1027"/>
      <c r="I356" s="1028"/>
      <c r="J356" s="229" t="s">
        <v>17</v>
      </c>
    </row>
    <row r="357" spans="2:10">
      <c r="B357" s="973" t="s">
        <v>18</v>
      </c>
      <c r="C357" s="982"/>
      <c r="D357" s="218" t="s">
        <v>1564</v>
      </c>
      <c r="E357" s="218" t="s">
        <v>1460</v>
      </c>
      <c r="F357" s="983" t="s">
        <v>131</v>
      </c>
      <c r="G357" s="975"/>
      <c r="H357" s="220" t="s">
        <v>21</v>
      </c>
      <c r="I357" s="221" t="s">
        <v>1461</v>
      </c>
      <c r="J357" s="225" t="s">
        <v>23</v>
      </c>
    </row>
    <row r="358" spans="2:10">
      <c r="B358" s="973" t="s">
        <v>24</v>
      </c>
      <c r="C358" s="982"/>
      <c r="D358" s="222">
        <v>0.70486111111111116</v>
      </c>
      <c r="E358" s="223" t="s">
        <v>25</v>
      </c>
      <c r="F358" s="983" t="s">
        <v>26</v>
      </c>
      <c r="G358" s="975"/>
      <c r="H358" s="218" t="s">
        <v>27</v>
      </c>
      <c r="I358" s="221" t="s">
        <v>867</v>
      </c>
      <c r="J358" s="226" t="s">
        <v>29</v>
      </c>
    </row>
    <row r="359" spans="2:10">
      <c r="B359" s="973" t="s">
        <v>30</v>
      </c>
      <c r="C359" s="982"/>
      <c r="D359" s="218" t="s">
        <v>31</v>
      </c>
      <c r="E359" s="218" t="s">
        <v>32</v>
      </c>
      <c r="F359" s="983">
        <v>160</v>
      </c>
      <c r="G359" s="975"/>
      <c r="H359" s="220" t="s">
        <v>33</v>
      </c>
      <c r="I359" s="223" t="s">
        <v>1546</v>
      </c>
      <c r="J359" s="226"/>
    </row>
    <row r="360" spans="2:10">
      <c r="B360" s="1029" t="s">
        <v>35</v>
      </c>
      <c r="C360" s="1030"/>
      <c r="D360" s="973" t="s">
        <v>1565</v>
      </c>
      <c r="E360" s="974"/>
      <c r="F360" s="974"/>
      <c r="G360" s="974"/>
      <c r="H360" s="974"/>
      <c r="I360" s="974"/>
      <c r="J360" s="975"/>
    </row>
    <row r="361" spans="2:10">
      <c r="B361" s="1031" t="s">
        <v>1571</v>
      </c>
      <c r="C361" s="1032"/>
      <c r="D361" s="1032"/>
      <c r="E361" s="1032"/>
      <c r="F361" s="1032"/>
      <c r="G361" s="1032"/>
      <c r="H361" s="1032"/>
      <c r="I361" s="1032"/>
      <c r="J361" s="1033"/>
    </row>
    <row r="362" spans="2:10">
      <c r="B362" s="1034"/>
      <c r="C362" s="1035"/>
      <c r="D362" s="1035"/>
      <c r="E362" s="1035"/>
      <c r="F362" s="1035"/>
      <c r="G362" s="1035"/>
      <c r="H362" s="1035"/>
      <c r="I362" s="1035"/>
      <c r="J362" s="1036"/>
    </row>
    <row r="363" spans="2:10">
      <c r="B363" s="1034"/>
      <c r="C363" s="1035"/>
      <c r="D363" s="1035"/>
      <c r="E363" s="1035"/>
      <c r="F363" s="1035"/>
      <c r="G363" s="1035"/>
      <c r="H363" s="1035"/>
      <c r="I363" s="1035"/>
      <c r="J363" s="1036"/>
    </row>
    <row r="364" spans="2:10">
      <c r="B364" s="1037"/>
      <c r="C364" s="1038"/>
      <c r="D364" s="1038"/>
      <c r="E364" s="1038"/>
      <c r="F364" s="1038"/>
      <c r="G364" s="1038"/>
      <c r="H364" s="1038"/>
      <c r="I364" s="1038"/>
      <c r="J364" s="1039"/>
    </row>
    <row r="365" spans="2:10" ht="18" customHeight="1">
      <c r="B365" s="979" t="s">
        <v>38</v>
      </c>
      <c r="C365" s="980"/>
      <c r="D365" s="980"/>
      <c r="E365" s="980"/>
      <c r="F365" s="980"/>
      <c r="G365" s="980"/>
      <c r="H365" s="980"/>
      <c r="I365" s="981"/>
      <c r="J365" s="224" t="s">
        <v>39</v>
      </c>
    </row>
    <row r="366" spans="2:10">
      <c r="B366" s="225">
        <v>1</v>
      </c>
      <c r="C366" s="985" t="s">
        <v>1572</v>
      </c>
      <c r="D366" s="974"/>
      <c r="E366" s="974"/>
      <c r="F366" s="974"/>
      <c r="G366" s="974"/>
      <c r="H366" s="974"/>
      <c r="I366" s="982"/>
      <c r="J366" s="225" t="s">
        <v>43</v>
      </c>
    </row>
    <row r="367" spans="2:10">
      <c r="B367" s="225">
        <v>2</v>
      </c>
      <c r="C367" s="985"/>
      <c r="D367" s="974"/>
      <c r="E367" s="974"/>
      <c r="F367" s="974"/>
      <c r="G367" s="974"/>
      <c r="H367" s="974"/>
      <c r="I367" s="982"/>
      <c r="J367" s="225"/>
    </row>
    <row r="368" spans="2:10">
      <c r="B368" s="225">
        <v>3</v>
      </c>
      <c r="C368" s="973"/>
      <c r="D368" s="974"/>
      <c r="E368" s="974"/>
      <c r="F368" s="974"/>
      <c r="G368" s="974"/>
      <c r="H368" s="974"/>
      <c r="I368" s="982"/>
      <c r="J368" s="225"/>
    </row>
    <row r="369" spans="2:10" ht="18" customHeight="1">
      <c r="B369" s="979" t="s">
        <v>44</v>
      </c>
      <c r="C369" s="980"/>
      <c r="D369" s="980"/>
      <c r="E369" s="980"/>
      <c r="F369" s="980"/>
      <c r="G369" s="980"/>
      <c r="H369" s="980"/>
      <c r="I369" s="980"/>
      <c r="J369" s="981"/>
    </row>
    <row r="370" spans="2:10">
      <c r="B370" s="225" t="s">
        <v>45</v>
      </c>
      <c r="C370" s="976" t="s">
        <v>1573</v>
      </c>
      <c r="D370" s="977"/>
      <c r="E370" s="977"/>
      <c r="F370" s="977"/>
      <c r="G370" s="977"/>
      <c r="H370" s="977"/>
      <c r="I370" s="977"/>
      <c r="J370" s="978"/>
    </row>
    <row r="371" spans="2:10">
      <c r="B371" s="219" t="s">
        <v>45</v>
      </c>
      <c r="C371" s="986" t="s">
        <v>1574</v>
      </c>
      <c r="D371" s="977"/>
      <c r="E371" s="977"/>
      <c r="F371" s="977"/>
      <c r="G371" s="977"/>
      <c r="H371" s="977"/>
      <c r="I371" s="977"/>
      <c r="J371" s="978"/>
    </row>
    <row r="372" spans="2:10">
      <c r="B372" s="219" t="s">
        <v>45</v>
      </c>
      <c r="C372" s="976" t="s">
        <v>1575</v>
      </c>
      <c r="D372" s="977"/>
      <c r="E372" s="977"/>
      <c r="F372" s="977"/>
      <c r="G372" s="977"/>
      <c r="H372" s="977"/>
      <c r="I372" s="977"/>
      <c r="J372" s="978"/>
    </row>
    <row r="373" spans="2:10">
      <c r="B373" s="219" t="s">
        <v>45</v>
      </c>
      <c r="C373" s="976" t="s">
        <v>1576</v>
      </c>
      <c r="D373" s="977"/>
      <c r="E373" s="977"/>
      <c r="F373" s="977"/>
      <c r="G373" s="977"/>
      <c r="H373" s="977"/>
      <c r="I373" s="977"/>
      <c r="J373" s="978"/>
    </row>
    <row r="374" spans="2:10">
      <c r="B374" s="219" t="s">
        <v>45</v>
      </c>
      <c r="C374" s="973"/>
      <c r="D374" s="974"/>
      <c r="E374" s="974"/>
      <c r="F374" s="974"/>
      <c r="G374" s="974"/>
      <c r="H374" s="974"/>
      <c r="I374" s="974"/>
      <c r="J374" s="975"/>
    </row>
    <row r="375" spans="2:10">
      <c r="B375" s="219" t="s">
        <v>45</v>
      </c>
      <c r="C375" s="973"/>
      <c r="D375" s="974"/>
      <c r="E375" s="974"/>
      <c r="F375" s="974"/>
      <c r="G375" s="974"/>
      <c r="H375" s="974"/>
      <c r="I375" s="974"/>
      <c r="J375" s="975"/>
    </row>
    <row r="376" spans="2:10">
      <c r="B376" s="225" t="s">
        <v>45</v>
      </c>
      <c r="C376" s="973"/>
      <c r="D376" s="974"/>
      <c r="E376" s="974"/>
      <c r="F376" s="974"/>
      <c r="G376" s="974"/>
      <c r="H376" s="974"/>
      <c r="I376" s="974"/>
      <c r="J376" s="975"/>
    </row>
    <row r="377" spans="2:10">
      <c r="B377" s="225" t="s">
        <v>7</v>
      </c>
      <c r="C377" s="976" t="s">
        <v>1576</v>
      </c>
      <c r="D377" s="977"/>
      <c r="E377" s="977"/>
      <c r="F377" s="977"/>
      <c r="G377" s="977"/>
      <c r="H377" s="977"/>
      <c r="I377" s="977"/>
      <c r="J377" s="978"/>
    </row>
    <row r="378" spans="2:10" ht="18" customHeight="1">
      <c r="B378" s="224" t="s">
        <v>52</v>
      </c>
      <c r="C378" s="979" t="s">
        <v>53</v>
      </c>
      <c r="D378" s="980"/>
      <c r="E378" s="980"/>
      <c r="F378" s="980"/>
      <c r="G378" s="981"/>
      <c r="H378" s="224" t="s">
        <v>54</v>
      </c>
      <c r="I378" s="224" t="s">
        <v>55</v>
      </c>
      <c r="J378" s="224" t="s">
        <v>56</v>
      </c>
    </row>
    <row r="379" spans="2:10" ht="15" customHeight="1">
      <c r="B379" s="225">
        <v>1</v>
      </c>
      <c r="C379" s="976" t="s">
        <v>1577</v>
      </c>
      <c r="D379" s="977"/>
      <c r="E379" s="977"/>
      <c r="F379" s="977"/>
      <c r="G379" s="977"/>
      <c r="H379" s="225" t="s">
        <v>1570</v>
      </c>
      <c r="I379" s="226" t="s">
        <v>1557</v>
      </c>
      <c r="J379" s="225"/>
    </row>
    <row r="380" spans="2:10">
      <c r="B380" s="225">
        <v>2</v>
      </c>
      <c r="C380" s="973"/>
      <c r="D380" s="974"/>
      <c r="E380" s="974"/>
      <c r="F380" s="974"/>
      <c r="G380" s="982"/>
      <c r="H380" s="225"/>
      <c r="I380" s="226"/>
      <c r="J380" s="225"/>
    </row>
    <row r="381" spans="2:10">
      <c r="B381" s="225">
        <v>3</v>
      </c>
      <c r="C381" s="983"/>
      <c r="D381" s="984"/>
      <c r="E381" s="984"/>
      <c r="F381" s="984"/>
      <c r="G381" s="975"/>
      <c r="H381" s="225"/>
      <c r="I381" s="225"/>
      <c r="J381" s="225"/>
    </row>
    <row r="382" spans="2:10">
      <c r="B382" s="983" t="s">
        <v>63</v>
      </c>
      <c r="C382" s="975"/>
      <c r="D382" s="218" t="s">
        <v>29</v>
      </c>
      <c r="E382" s="227" t="s">
        <v>64</v>
      </c>
      <c r="F382" s="983" t="s">
        <v>202</v>
      </c>
      <c r="G382" s="975"/>
      <c r="H382" s="218"/>
      <c r="I382" s="218"/>
      <c r="J382" s="225"/>
    </row>
    <row r="383" spans="2:10" ht="15" customHeight="1">
      <c r="B383" s="220" t="s">
        <v>66</v>
      </c>
      <c r="C383" s="983"/>
      <c r="D383" s="975"/>
      <c r="E383" s="220" t="s">
        <v>67</v>
      </c>
      <c r="F383" s="983"/>
      <c r="G383" s="975"/>
      <c r="H383" s="220" t="s">
        <v>68</v>
      </c>
      <c r="I383" s="983"/>
      <c r="J383" s="975"/>
    </row>
    <row r="386" spans="2:10" ht="27.75" customHeight="1">
      <c r="B386" s="999" t="s">
        <v>13</v>
      </c>
      <c r="C386" s="1000"/>
      <c r="D386" s="1003" t="s">
        <v>14</v>
      </c>
      <c r="E386" s="1004"/>
      <c r="F386" s="1004"/>
      <c r="G386" s="1004"/>
      <c r="H386" s="1004"/>
      <c r="I386" s="1005"/>
      <c r="J386" s="228" t="s">
        <v>1458</v>
      </c>
    </row>
    <row r="387" spans="2:10" ht="31.5" customHeight="1">
      <c r="B387" s="1001"/>
      <c r="C387" s="1002"/>
      <c r="D387" s="1006" t="s">
        <v>16</v>
      </c>
      <c r="E387" s="1007"/>
      <c r="F387" s="1007"/>
      <c r="G387" s="1007"/>
      <c r="H387" s="1007"/>
      <c r="I387" s="1008"/>
      <c r="J387" s="228" t="s">
        <v>17</v>
      </c>
    </row>
    <row r="388" spans="2:10">
      <c r="B388" s="464" t="s">
        <v>18</v>
      </c>
      <c r="C388" s="466"/>
      <c r="D388" s="199" t="s">
        <v>1578</v>
      </c>
      <c r="E388" s="199" t="s">
        <v>1460</v>
      </c>
      <c r="F388" s="467" t="s">
        <v>124</v>
      </c>
      <c r="G388" s="469"/>
      <c r="H388" s="201" t="s">
        <v>21</v>
      </c>
      <c r="I388" s="202" t="s">
        <v>1461</v>
      </c>
      <c r="J388" s="200" t="s">
        <v>23</v>
      </c>
    </row>
    <row r="389" spans="2:10">
      <c r="B389" s="464" t="s">
        <v>24</v>
      </c>
      <c r="C389" s="466"/>
      <c r="D389" s="203" t="s">
        <v>1579</v>
      </c>
      <c r="E389" s="204" t="s">
        <v>25</v>
      </c>
      <c r="F389" s="467" t="s">
        <v>26</v>
      </c>
      <c r="G389" s="469"/>
      <c r="H389" s="199" t="s">
        <v>27</v>
      </c>
      <c r="I389" s="202" t="s">
        <v>917</v>
      </c>
      <c r="J389" s="207" t="s">
        <v>29</v>
      </c>
    </row>
    <row r="390" spans="2:10">
      <c r="B390" s="464" t="s">
        <v>30</v>
      </c>
      <c r="C390" s="466"/>
      <c r="D390" s="199" t="s">
        <v>31</v>
      </c>
      <c r="E390" s="199" t="s">
        <v>32</v>
      </c>
      <c r="F390" s="467">
        <v>125</v>
      </c>
      <c r="G390" s="469"/>
      <c r="H390" s="201" t="s">
        <v>33</v>
      </c>
      <c r="I390" s="204" t="s">
        <v>1580</v>
      </c>
      <c r="J390" s="207"/>
    </row>
    <row r="391" spans="2:10">
      <c r="B391" s="990" t="s">
        <v>35</v>
      </c>
      <c r="C391" s="992"/>
      <c r="D391" s="464" t="s">
        <v>1581</v>
      </c>
      <c r="E391" s="465"/>
      <c r="F391" s="465"/>
      <c r="G391" s="465"/>
      <c r="H391" s="465"/>
      <c r="I391" s="465"/>
      <c r="J391" s="469"/>
    </row>
    <row r="392" spans="2:10">
      <c r="B392" s="452" t="s">
        <v>1582</v>
      </c>
      <c r="C392" s="453"/>
      <c r="D392" s="453"/>
      <c r="E392" s="453"/>
      <c r="F392" s="453"/>
      <c r="G392" s="453"/>
      <c r="H392" s="453"/>
      <c r="I392" s="453"/>
      <c r="J392" s="993"/>
    </row>
    <row r="393" spans="2:10">
      <c r="B393" s="455"/>
      <c r="C393" s="456"/>
      <c r="D393" s="456"/>
      <c r="E393" s="456"/>
      <c r="F393" s="456"/>
      <c r="G393" s="456"/>
      <c r="H393" s="456"/>
      <c r="I393" s="456"/>
      <c r="J393" s="994"/>
    </row>
    <row r="394" spans="2:10">
      <c r="B394" s="455"/>
      <c r="C394" s="456"/>
      <c r="D394" s="456"/>
      <c r="E394" s="456"/>
      <c r="F394" s="456"/>
      <c r="G394" s="456"/>
      <c r="H394" s="456"/>
      <c r="I394" s="456"/>
      <c r="J394" s="994"/>
    </row>
    <row r="395" spans="2:10">
      <c r="B395" s="458"/>
      <c r="C395" s="459"/>
      <c r="D395" s="459"/>
      <c r="E395" s="459"/>
      <c r="F395" s="459"/>
      <c r="G395" s="459"/>
      <c r="H395" s="459"/>
      <c r="I395" s="459"/>
      <c r="J395" s="995"/>
    </row>
    <row r="396" spans="2:10" ht="18">
      <c r="B396" s="461" t="s">
        <v>38</v>
      </c>
      <c r="C396" s="462"/>
      <c r="D396" s="462"/>
      <c r="E396" s="462"/>
      <c r="F396" s="462"/>
      <c r="G396" s="462"/>
      <c r="H396" s="462"/>
      <c r="I396" s="463"/>
      <c r="J396" s="205" t="s">
        <v>39</v>
      </c>
    </row>
    <row r="397" spans="2:10">
      <c r="B397" s="200">
        <v>1</v>
      </c>
      <c r="C397" s="464" t="s">
        <v>1457</v>
      </c>
      <c r="D397" s="465"/>
      <c r="E397" s="465"/>
      <c r="F397" s="465"/>
      <c r="G397" s="465"/>
      <c r="H397" s="465"/>
      <c r="I397" s="466"/>
      <c r="J397" s="200" t="s">
        <v>43</v>
      </c>
    </row>
    <row r="398" spans="2:10">
      <c r="B398" s="200">
        <v>2</v>
      </c>
      <c r="C398" s="464"/>
      <c r="D398" s="465"/>
      <c r="E398" s="465"/>
      <c r="F398" s="465"/>
      <c r="G398" s="465"/>
      <c r="H398" s="465"/>
      <c r="I398" s="466"/>
      <c r="J398" s="200"/>
    </row>
    <row r="399" spans="2:10">
      <c r="B399" s="200">
        <v>3</v>
      </c>
      <c r="C399" s="464"/>
      <c r="D399" s="465"/>
      <c r="E399" s="465"/>
      <c r="F399" s="465"/>
      <c r="G399" s="465"/>
      <c r="H399" s="465"/>
      <c r="I399" s="466"/>
      <c r="J399" s="200"/>
    </row>
    <row r="400" spans="2:10" ht="18">
      <c r="B400" s="461" t="s">
        <v>44</v>
      </c>
      <c r="C400" s="462"/>
      <c r="D400" s="462"/>
      <c r="E400" s="462"/>
      <c r="F400" s="462"/>
      <c r="G400" s="462"/>
      <c r="H400" s="462"/>
      <c r="I400" s="462"/>
      <c r="J400" s="463"/>
    </row>
    <row r="401" spans="2:10">
      <c r="B401" s="200" t="s">
        <v>45</v>
      </c>
      <c r="C401" s="996" t="s">
        <v>1568</v>
      </c>
      <c r="D401" s="997"/>
      <c r="E401" s="997"/>
      <c r="F401" s="997"/>
      <c r="G401" s="997"/>
      <c r="H401" s="997"/>
      <c r="I401" s="997"/>
      <c r="J401" s="998"/>
    </row>
    <row r="402" spans="2:10">
      <c r="B402" s="206" t="s">
        <v>45</v>
      </c>
      <c r="C402" s="987" t="s">
        <v>1583</v>
      </c>
      <c r="D402" s="988"/>
      <c r="E402" s="988"/>
      <c r="F402" s="988"/>
      <c r="G402" s="988"/>
      <c r="H402" s="988"/>
      <c r="I402" s="988"/>
      <c r="J402" s="989"/>
    </row>
    <row r="403" spans="2:10">
      <c r="B403" s="206" t="s">
        <v>45</v>
      </c>
      <c r="C403" s="987" t="s">
        <v>1584</v>
      </c>
      <c r="D403" s="988"/>
      <c r="E403" s="988"/>
      <c r="F403" s="988"/>
      <c r="G403" s="988"/>
      <c r="H403" s="988"/>
      <c r="I403" s="988"/>
      <c r="J403" s="989"/>
    </row>
    <row r="404" spans="2:10">
      <c r="B404" s="206" t="s">
        <v>45</v>
      </c>
      <c r="C404" s="987" t="s">
        <v>1456</v>
      </c>
      <c r="D404" s="988"/>
      <c r="E404" s="988"/>
      <c r="F404" s="988"/>
      <c r="G404" s="988"/>
      <c r="H404" s="988"/>
      <c r="I404" s="988"/>
      <c r="J404" s="989"/>
    </row>
    <row r="405" spans="2:10">
      <c r="B405" s="206" t="s">
        <v>45</v>
      </c>
      <c r="C405" s="464"/>
      <c r="D405" s="465"/>
      <c r="E405" s="465"/>
      <c r="F405" s="465"/>
      <c r="G405" s="465"/>
      <c r="H405" s="465"/>
      <c r="I405" s="465"/>
      <c r="J405" s="469"/>
    </row>
    <row r="406" spans="2:10">
      <c r="B406" s="206" t="s">
        <v>45</v>
      </c>
      <c r="C406" s="464"/>
      <c r="D406" s="465"/>
      <c r="E406" s="465"/>
      <c r="F406" s="465"/>
      <c r="G406" s="465"/>
      <c r="H406" s="465"/>
      <c r="I406" s="465"/>
      <c r="J406" s="469"/>
    </row>
    <row r="407" spans="2:10">
      <c r="B407" s="200" t="s">
        <v>45</v>
      </c>
      <c r="C407" s="464"/>
      <c r="D407" s="465"/>
      <c r="E407" s="465"/>
      <c r="F407" s="465"/>
      <c r="G407" s="465"/>
      <c r="H407" s="465"/>
      <c r="I407" s="465"/>
      <c r="J407" s="469"/>
    </row>
    <row r="408" spans="2:10">
      <c r="B408" s="200" t="s">
        <v>7</v>
      </c>
      <c r="C408" s="464" t="s">
        <v>1456</v>
      </c>
      <c r="D408" s="465"/>
      <c r="E408" s="465"/>
      <c r="F408" s="465"/>
      <c r="G408" s="465"/>
      <c r="H408" s="465"/>
      <c r="I408" s="465"/>
      <c r="J408" s="469"/>
    </row>
    <row r="409" spans="2:10" ht="18">
      <c r="B409" s="205" t="s">
        <v>52</v>
      </c>
      <c r="C409" s="461" t="s">
        <v>53</v>
      </c>
      <c r="D409" s="462"/>
      <c r="E409" s="462"/>
      <c r="F409" s="462"/>
      <c r="G409" s="463"/>
      <c r="H409" s="205" t="s">
        <v>54</v>
      </c>
      <c r="I409" s="205" t="s">
        <v>55</v>
      </c>
      <c r="J409" s="205" t="s">
        <v>56</v>
      </c>
    </row>
    <row r="410" spans="2:10">
      <c r="B410" s="200">
        <v>1</v>
      </c>
      <c r="C410" s="990"/>
      <c r="D410" s="991"/>
      <c r="E410" s="991"/>
      <c r="F410" s="991"/>
      <c r="G410" s="992"/>
      <c r="H410" s="200"/>
      <c r="I410" s="207"/>
      <c r="J410" s="200"/>
    </row>
    <row r="411" spans="2:10">
      <c r="B411" s="200">
        <v>2</v>
      </c>
      <c r="C411" s="464"/>
      <c r="D411" s="465"/>
      <c r="E411" s="465"/>
      <c r="F411" s="465"/>
      <c r="G411" s="466"/>
      <c r="H411" s="200"/>
      <c r="I411" s="207"/>
      <c r="J411" s="200"/>
    </row>
    <row r="412" spans="2:10">
      <c r="B412" s="200">
        <v>3</v>
      </c>
      <c r="C412" s="467"/>
      <c r="D412" s="468"/>
      <c r="E412" s="468"/>
      <c r="F412" s="468"/>
      <c r="G412" s="469"/>
      <c r="H412" s="200"/>
      <c r="I412" s="200"/>
      <c r="J412" s="200"/>
    </row>
    <row r="413" spans="2:10">
      <c r="B413" s="467" t="s">
        <v>63</v>
      </c>
      <c r="C413" s="469"/>
      <c r="D413" s="199" t="s">
        <v>29</v>
      </c>
      <c r="E413" s="198" t="s">
        <v>64</v>
      </c>
      <c r="F413" s="467" t="s">
        <v>202</v>
      </c>
      <c r="G413" s="469"/>
      <c r="H413" s="199"/>
      <c r="I413" s="199"/>
      <c r="J413" s="200"/>
    </row>
    <row r="414" spans="2:10" ht="45">
      <c r="B414" s="201" t="s">
        <v>66</v>
      </c>
      <c r="C414" s="467"/>
      <c r="D414" s="469"/>
      <c r="E414" s="201" t="s">
        <v>67</v>
      </c>
      <c r="F414" s="467"/>
      <c r="G414" s="469"/>
      <c r="H414" s="201" t="s">
        <v>68</v>
      </c>
      <c r="I414" s="467"/>
      <c r="J414" s="469"/>
    </row>
  </sheetData>
  <autoFilter ref="B2:K25" xr:uid="{7E3221BD-3E6C-4BA8-BFAD-98351ACD7F09}">
    <filterColumn colId="1" showButton="0"/>
  </autoFilter>
  <mergeCells count="421">
    <mergeCell ref="C341:J341"/>
    <mergeCell ref="C342:J342"/>
    <mergeCell ref="C352:D352"/>
    <mergeCell ref="F352:G352"/>
    <mergeCell ref="I352:J352"/>
    <mergeCell ref="C343:J343"/>
    <mergeCell ref="C344:J344"/>
    <mergeCell ref="C345:J345"/>
    <mergeCell ref="C347:G347"/>
    <mergeCell ref="C348:G348"/>
    <mergeCell ref="C349:G349"/>
    <mergeCell ref="C350:G350"/>
    <mergeCell ref="B351:C351"/>
    <mergeCell ref="F351:G351"/>
    <mergeCell ref="C346:J346"/>
    <mergeCell ref="B358:C358"/>
    <mergeCell ref="F358:G358"/>
    <mergeCell ref="B359:C359"/>
    <mergeCell ref="F359:G359"/>
    <mergeCell ref="B360:C360"/>
    <mergeCell ref="D360:J360"/>
    <mergeCell ref="B361:J364"/>
    <mergeCell ref="B365:I365"/>
    <mergeCell ref="C366:I366"/>
    <mergeCell ref="B324:C325"/>
    <mergeCell ref="D324:I324"/>
    <mergeCell ref="D325:I325"/>
    <mergeCell ref="B355:C356"/>
    <mergeCell ref="D355:I355"/>
    <mergeCell ref="D356:I356"/>
    <mergeCell ref="B357:C357"/>
    <mergeCell ref="F357:G357"/>
    <mergeCell ref="B326:C326"/>
    <mergeCell ref="F326:G326"/>
    <mergeCell ref="B327:C327"/>
    <mergeCell ref="F327:G327"/>
    <mergeCell ref="B328:C328"/>
    <mergeCell ref="F328:G328"/>
    <mergeCell ref="B329:C329"/>
    <mergeCell ref="D329:J329"/>
    <mergeCell ref="B330:J333"/>
    <mergeCell ref="B334:I334"/>
    <mergeCell ref="C335:I335"/>
    <mergeCell ref="C336:I336"/>
    <mergeCell ref="C337:I337"/>
    <mergeCell ref="B338:J338"/>
    <mergeCell ref="C339:J339"/>
    <mergeCell ref="C340:J340"/>
    <mergeCell ref="C318:G318"/>
    <mergeCell ref="C319:G319"/>
    <mergeCell ref="B320:C320"/>
    <mergeCell ref="F320:G320"/>
    <mergeCell ref="C321:D321"/>
    <mergeCell ref="F321:G321"/>
    <mergeCell ref="I321:J321"/>
    <mergeCell ref="C309:J309"/>
    <mergeCell ref="C310:J310"/>
    <mergeCell ref="C311:J311"/>
    <mergeCell ref="C312:J312"/>
    <mergeCell ref="C313:J313"/>
    <mergeCell ref="C314:J314"/>
    <mergeCell ref="C315:J315"/>
    <mergeCell ref="C316:G316"/>
    <mergeCell ref="C317:G317"/>
    <mergeCell ref="B298:C298"/>
    <mergeCell ref="D298:J298"/>
    <mergeCell ref="B299:J302"/>
    <mergeCell ref="B303:I303"/>
    <mergeCell ref="C304:I304"/>
    <mergeCell ref="C305:I305"/>
    <mergeCell ref="C306:I306"/>
    <mergeCell ref="B307:J307"/>
    <mergeCell ref="C308:J308"/>
    <mergeCell ref="B293:C294"/>
    <mergeCell ref="D293:I293"/>
    <mergeCell ref="D294:I294"/>
    <mergeCell ref="B295:C295"/>
    <mergeCell ref="F295:G295"/>
    <mergeCell ref="B296:C296"/>
    <mergeCell ref="F296:G296"/>
    <mergeCell ref="B297:C297"/>
    <mergeCell ref="F297:G297"/>
    <mergeCell ref="C287:G287"/>
    <mergeCell ref="C288:G288"/>
    <mergeCell ref="B289:C289"/>
    <mergeCell ref="F289:G289"/>
    <mergeCell ref="C290:D290"/>
    <mergeCell ref="F290:G290"/>
    <mergeCell ref="I290:J290"/>
    <mergeCell ref="C278:J278"/>
    <mergeCell ref="C279:J279"/>
    <mergeCell ref="C280:J280"/>
    <mergeCell ref="C281:J281"/>
    <mergeCell ref="C282:J282"/>
    <mergeCell ref="C283:J283"/>
    <mergeCell ref="C284:J284"/>
    <mergeCell ref="C285:G285"/>
    <mergeCell ref="C286:G286"/>
    <mergeCell ref="B267:C267"/>
    <mergeCell ref="D267:J267"/>
    <mergeCell ref="B268:J271"/>
    <mergeCell ref="B272:I272"/>
    <mergeCell ref="C273:I273"/>
    <mergeCell ref="C274:I274"/>
    <mergeCell ref="C275:I275"/>
    <mergeCell ref="B276:J276"/>
    <mergeCell ref="C277:J277"/>
    <mergeCell ref="B262:C263"/>
    <mergeCell ref="D262:I262"/>
    <mergeCell ref="D263:I263"/>
    <mergeCell ref="B264:C264"/>
    <mergeCell ref="F264:G264"/>
    <mergeCell ref="B265:C265"/>
    <mergeCell ref="F265:G265"/>
    <mergeCell ref="B266:C266"/>
    <mergeCell ref="F266:G266"/>
    <mergeCell ref="C225:G225"/>
    <mergeCell ref="C226:G226"/>
    <mergeCell ref="B227:C227"/>
    <mergeCell ref="F227:G227"/>
    <mergeCell ref="C228:D228"/>
    <mergeCell ref="F228:G228"/>
    <mergeCell ref="I228:J228"/>
    <mergeCell ref="C216:J216"/>
    <mergeCell ref="C217:J217"/>
    <mergeCell ref="C218:J218"/>
    <mergeCell ref="C219:J219"/>
    <mergeCell ref="C220:J220"/>
    <mergeCell ref="C221:J221"/>
    <mergeCell ref="C222:J222"/>
    <mergeCell ref="C223:G223"/>
    <mergeCell ref="C224:G224"/>
    <mergeCell ref="B205:C205"/>
    <mergeCell ref="D205:J205"/>
    <mergeCell ref="B206:J209"/>
    <mergeCell ref="B210:I210"/>
    <mergeCell ref="C211:I211"/>
    <mergeCell ref="C212:I212"/>
    <mergeCell ref="C213:I213"/>
    <mergeCell ref="B214:J214"/>
    <mergeCell ref="C215:J215"/>
    <mergeCell ref="B200:C201"/>
    <mergeCell ref="D200:I200"/>
    <mergeCell ref="D201:I201"/>
    <mergeCell ref="B202:C202"/>
    <mergeCell ref="F202:G202"/>
    <mergeCell ref="B203:C203"/>
    <mergeCell ref="F203:G203"/>
    <mergeCell ref="B204:C204"/>
    <mergeCell ref="F204:G204"/>
    <mergeCell ref="C85:I85"/>
    <mergeCell ref="C86:I86"/>
    <mergeCell ref="B87:J87"/>
    <mergeCell ref="C88:J88"/>
    <mergeCell ref="C89:J89"/>
    <mergeCell ref="B78:C78"/>
    <mergeCell ref="D78:J78"/>
    <mergeCell ref="B79:J82"/>
    <mergeCell ref="B83:I83"/>
    <mergeCell ref="C84:I84"/>
    <mergeCell ref="C101:D101"/>
    <mergeCell ref="F101:G101"/>
    <mergeCell ref="I101:J101"/>
    <mergeCell ref="C95:J95"/>
    <mergeCell ref="C96:G96"/>
    <mergeCell ref="C97:G97"/>
    <mergeCell ref="C98:G98"/>
    <mergeCell ref="C99:G99"/>
    <mergeCell ref="C90:J90"/>
    <mergeCell ref="C91:J91"/>
    <mergeCell ref="C92:J92"/>
    <mergeCell ref="C93:J93"/>
    <mergeCell ref="C94:J94"/>
    <mergeCell ref="B100:C100"/>
    <mergeCell ref="F100:G100"/>
    <mergeCell ref="B77:C77"/>
    <mergeCell ref="F77:G77"/>
    <mergeCell ref="C70:D70"/>
    <mergeCell ref="F70:G70"/>
    <mergeCell ref="I70:J70"/>
    <mergeCell ref="B73:C74"/>
    <mergeCell ref="D73:I73"/>
    <mergeCell ref="D74:I74"/>
    <mergeCell ref="C66:G66"/>
    <mergeCell ref="C67:G67"/>
    <mergeCell ref="C68:G68"/>
    <mergeCell ref="B69:C69"/>
    <mergeCell ref="F69:G69"/>
    <mergeCell ref="B75:C75"/>
    <mergeCell ref="F75:G75"/>
    <mergeCell ref="B76:C76"/>
    <mergeCell ref="F76:G76"/>
    <mergeCell ref="C61:J61"/>
    <mergeCell ref="C62:J62"/>
    <mergeCell ref="C63:J63"/>
    <mergeCell ref="C64:J64"/>
    <mergeCell ref="C65:G65"/>
    <mergeCell ref="B56:J56"/>
    <mergeCell ref="C57:J57"/>
    <mergeCell ref="C58:J58"/>
    <mergeCell ref="C59:J59"/>
    <mergeCell ref="C60:J60"/>
    <mergeCell ref="B48:J51"/>
    <mergeCell ref="B52:I52"/>
    <mergeCell ref="C53:I53"/>
    <mergeCell ref="C54:I54"/>
    <mergeCell ref="C55:I55"/>
    <mergeCell ref="B45:C45"/>
    <mergeCell ref="F45:G45"/>
    <mergeCell ref="B46:C46"/>
    <mergeCell ref="F46:G46"/>
    <mergeCell ref="B47:C47"/>
    <mergeCell ref="D47:J47"/>
    <mergeCell ref="B44:C44"/>
    <mergeCell ref="F44:G44"/>
    <mergeCell ref="H2:H3"/>
    <mergeCell ref="B2:B3"/>
    <mergeCell ref="C2:D2"/>
    <mergeCell ref="E2:E3"/>
    <mergeCell ref="F2:F3"/>
    <mergeCell ref="G2:G3"/>
    <mergeCell ref="I2:I3"/>
    <mergeCell ref="J2:J3"/>
    <mergeCell ref="K2:K3"/>
    <mergeCell ref="M5:N5"/>
    <mergeCell ref="L7:M7"/>
    <mergeCell ref="C27:D27"/>
    <mergeCell ref="E25:K28"/>
    <mergeCell ref="B42:C43"/>
    <mergeCell ref="D42:I42"/>
    <mergeCell ref="D43:I43"/>
    <mergeCell ref="B104:C105"/>
    <mergeCell ref="D104:I104"/>
    <mergeCell ref="D105:I105"/>
    <mergeCell ref="B106:C106"/>
    <mergeCell ref="F106:G106"/>
    <mergeCell ref="B107:C107"/>
    <mergeCell ref="F107:G107"/>
    <mergeCell ref="B108:C108"/>
    <mergeCell ref="F108:G108"/>
    <mergeCell ref="B109:C109"/>
    <mergeCell ref="D109:J109"/>
    <mergeCell ref="B110:J113"/>
    <mergeCell ref="B114:I114"/>
    <mergeCell ref="C115:I115"/>
    <mergeCell ref="C116:I116"/>
    <mergeCell ref="C117:I117"/>
    <mergeCell ref="B118:J118"/>
    <mergeCell ref="C119:J119"/>
    <mergeCell ref="C120:J120"/>
    <mergeCell ref="C121:J121"/>
    <mergeCell ref="C122:J122"/>
    <mergeCell ref="C123:J123"/>
    <mergeCell ref="C124:J124"/>
    <mergeCell ref="C125:J125"/>
    <mergeCell ref="C126:J126"/>
    <mergeCell ref="C127:G127"/>
    <mergeCell ref="C128:G128"/>
    <mergeCell ref="C129:G129"/>
    <mergeCell ref="C130:G130"/>
    <mergeCell ref="B131:C131"/>
    <mergeCell ref="F131:G131"/>
    <mergeCell ref="C132:D132"/>
    <mergeCell ref="F132:G132"/>
    <mergeCell ref="I132:J132"/>
    <mergeCell ref="B135:C136"/>
    <mergeCell ref="D135:I135"/>
    <mergeCell ref="D136:I136"/>
    <mergeCell ref="B137:C137"/>
    <mergeCell ref="F137:G137"/>
    <mergeCell ref="B138:C138"/>
    <mergeCell ref="F138:G138"/>
    <mergeCell ref="B139:C139"/>
    <mergeCell ref="F139:G139"/>
    <mergeCell ref="B140:C140"/>
    <mergeCell ref="D140:J140"/>
    <mergeCell ref="B141:J144"/>
    <mergeCell ref="B145:I145"/>
    <mergeCell ref="C146:I146"/>
    <mergeCell ref="C147:I147"/>
    <mergeCell ref="C148:I148"/>
    <mergeCell ref="B149:J149"/>
    <mergeCell ref="C152:J152"/>
    <mergeCell ref="C153:J153"/>
    <mergeCell ref="C150:J150"/>
    <mergeCell ref="C151:J151"/>
    <mergeCell ref="C163:D163"/>
    <mergeCell ref="F163:G163"/>
    <mergeCell ref="I163:J163"/>
    <mergeCell ref="C154:J154"/>
    <mergeCell ref="C155:J155"/>
    <mergeCell ref="C156:J156"/>
    <mergeCell ref="C157:J157"/>
    <mergeCell ref="C158:G158"/>
    <mergeCell ref="C159:G159"/>
    <mergeCell ref="C160:G160"/>
    <mergeCell ref="C161:G161"/>
    <mergeCell ref="B162:C162"/>
    <mergeCell ref="F162:G162"/>
    <mergeCell ref="B169:C170"/>
    <mergeCell ref="D169:I169"/>
    <mergeCell ref="D170:I170"/>
    <mergeCell ref="B171:C171"/>
    <mergeCell ref="F171:G171"/>
    <mergeCell ref="B172:C172"/>
    <mergeCell ref="F172:G172"/>
    <mergeCell ref="B173:C173"/>
    <mergeCell ref="F173:G173"/>
    <mergeCell ref="B174:C174"/>
    <mergeCell ref="D174:J174"/>
    <mergeCell ref="B175:J178"/>
    <mergeCell ref="B179:I179"/>
    <mergeCell ref="C180:I180"/>
    <mergeCell ref="C181:I181"/>
    <mergeCell ref="C182:I182"/>
    <mergeCell ref="B183:J183"/>
    <mergeCell ref="C184:J184"/>
    <mergeCell ref="C194:G194"/>
    <mergeCell ref="C195:G195"/>
    <mergeCell ref="B196:C196"/>
    <mergeCell ref="F196:G196"/>
    <mergeCell ref="C197:D197"/>
    <mergeCell ref="F197:G197"/>
    <mergeCell ref="I197:J197"/>
    <mergeCell ref="C186:J186"/>
    <mergeCell ref="C185:J185"/>
    <mergeCell ref="C187:J187"/>
    <mergeCell ref="C188:J188"/>
    <mergeCell ref="C189:J189"/>
    <mergeCell ref="C190:J190"/>
    <mergeCell ref="C191:J191"/>
    <mergeCell ref="C192:G192"/>
    <mergeCell ref="C193:G193"/>
    <mergeCell ref="B236:C236"/>
    <mergeCell ref="D236:J236"/>
    <mergeCell ref="B237:J240"/>
    <mergeCell ref="B241:I241"/>
    <mergeCell ref="C242:I242"/>
    <mergeCell ref="C243:I243"/>
    <mergeCell ref="C244:I244"/>
    <mergeCell ref="B245:J245"/>
    <mergeCell ref="B231:C232"/>
    <mergeCell ref="D231:I231"/>
    <mergeCell ref="D232:I232"/>
    <mergeCell ref="B233:C233"/>
    <mergeCell ref="F233:G233"/>
    <mergeCell ref="B234:C234"/>
    <mergeCell ref="F234:G234"/>
    <mergeCell ref="B235:C235"/>
    <mergeCell ref="F235:G235"/>
    <mergeCell ref="C256:G256"/>
    <mergeCell ref="C257:G257"/>
    <mergeCell ref="B258:C258"/>
    <mergeCell ref="F258:G258"/>
    <mergeCell ref="C259:D259"/>
    <mergeCell ref="F259:G259"/>
    <mergeCell ref="I259:J259"/>
    <mergeCell ref="C247:J247"/>
    <mergeCell ref="C246:J246"/>
    <mergeCell ref="C248:J248"/>
    <mergeCell ref="C249:J249"/>
    <mergeCell ref="C250:J250"/>
    <mergeCell ref="C251:J251"/>
    <mergeCell ref="C252:J252"/>
    <mergeCell ref="C253:J253"/>
    <mergeCell ref="C254:G254"/>
    <mergeCell ref="C255:G255"/>
    <mergeCell ref="B386:C387"/>
    <mergeCell ref="D386:I386"/>
    <mergeCell ref="D387:I387"/>
    <mergeCell ref="B388:C388"/>
    <mergeCell ref="F388:G388"/>
    <mergeCell ref="B389:C389"/>
    <mergeCell ref="F389:G389"/>
    <mergeCell ref="B390:C390"/>
    <mergeCell ref="F390:G390"/>
    <mergeCell ref="B391:C391"/>
    <mergeCell ref="D391:J391"/>
    <mergeCell ref="B392:J395"/>
    <mergeCell ref="B396:I396"/>
    <mergeCell ref="C397:I397"/>
    <mergeCell ref="C398:I398"/>
    <mergeCell ref="C399:I399"/>
    <mergeCell ref="B400:J400"/>
    <mergeCell ref="C401:J401"/>
    <mergeCell ref="C411:G411"/>
    <mergeCell ref="C412:G412"/>
    <mergeCell ref="B413:C413"/>
    <mergeCell ref="F413:G413"/>
    <mergeCell ref="C414:D414"/>
    <mergeCell ref="F414:G414"/>
    <mergeCell ref="I414:J414"/>
    <mergeCell ref="C402:J402"/>
    <mergeCell ref="C403:J403"/>
    <mergeCell ref="C404:J404"/>
    <mergeCell ref="C405:J405"/>
    <mergeCell ref="C406:J406"/>
    <mergeCell ref="C407:J407"/>
    <mergeCell ref="C408:J408"/>
    <mergeCell ref="C409:G409"/>
    <mergeCell ref="C410:G410"/>
    <mergeCell ref="C367:I367"/>
    <mergeCell ref="C368:I368"/>
    <mergeCell ref="B369:J369"/>
    <mergeCell ref="C370:J370"/>
    <mergeCell ref="C371:J371"/>
    <mergeCell ref="C372:J372"/>
    <mergeCell ref="C373:J373"/>
    <mergeCell ref="C374:J374"/>
    <mergeCell ref="C375:J375"/>
    <mergeCell ref="C376:J376"/>
    <mergeCell ref="C377:J377"/>
    <mergeCell ref="C378:G378"/>
    <mergeCell ref="C379:G379"/>
    <mergeCell ref="C380:G380"/>
    <mergeCell ref="C381:G381"/>
    <mergeCell ref="B382:C382"/>
    <mergeCell ref="F382:G382"/>
    <mergeCell ref="C383:D383"/>
    <mergeCell ref="F383:G383"/>
    <mergeCell ref="I383:J383"/>
  </mergeCells>
  <phoneticPr fontId="0" type="noConversion"/>
  <printOptions horizontalCentered="1" verticalCentered="1"/>
  <pageMargins left="0.7" right="0.7" top="0.75" bottom="0.75" header="0.3" footer="0.3"/>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50BF-9208-454C-A39B-F21F6B1F651C}">
  <sheetPr>
    <pageSetUpPr fitToPage="1"/>
  </sheetPr>
  <dimension ref="A1:P147"/>
  <sheetViews>
    <sheetView topLeftCell="A116" workbookViewId="0">
      <selection activeCell="K127" sqref="K127"/>
    </sheetView>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t="s">
        <v>1459</v>
      </c>
      <c r="H2" s="536"/>
      <c r="I2" s="536"/>
      <c r="J2" s="537" t="s">
        <v>73</v>
      </c>
      <c r="K2" s="537"/>
      <c r="L2" s="538"/>
    </row>
    <row r="3" spans="1:16">
      <c r="A3" s="539" t="s">
        <v>1585</v>
      </c>
      <c r="B3" s="540"/>
      <c r="C3" s="540"/>
      <c r="D3" s="540"/>
      <c r="E3" s="540"/>
      <c r="F3" s="540"/>
      <c r="G3" s="540"/>
      <c r="H3" s="540"/>
      <c r="I3" s="541"/>
      <c r="J3" s="542" t="s">
        <v>75</v>
      </c>
      <c r="K3" s="542"/>
      <c r="L3" s="542"/>
    </row>
    <row r="4" spans="1:16" ht="12.75" customHeight="1">
      <c r="A4" s="510" t="s">
        <v>1586</v>
      </c>
      <c r="B4" s="511"/>
      <c r="C4" s="511"/>
      <c r="D4" s="511"/>
      <c r="E4" s="511"/>
      <c r="F4" s="511"/>
      <c r="G4" s="512"/>
      <c r="H4" s="516" t="s">
        <v>77</v>
      </c>
      <c r="I4" s="516"/>
      <c r="J4" s="518" t="s">
        <v>990</v>
      </c>
      <c r="K4" s="519" t="s">
        <v>991</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1587</v>
      </c>
      <c r="B10" s="492"/>
      <c r="C10" s="495" t="s">
        <v>1588</v>
      </c>
      <c r="D10" s="495"/>
      <c r="E10" s="492" t="s">
        <v>1589</v>
      </c>
      <c r="F10" s="492"/>
      <c r="G10" s="492"/>
      <c r="H10" s="496" t="s">
        <v>1590</v>
      </c>
      <c r="I10" s="495"/>
      <c r="J10" s="495" t="s">
        <v>1591</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1592</v>
      </c>
      <c r="F12" s="492"/>
      <c r="G12" s="492"/>
      <c r="H12" s="495"/>
      <c r="I12" s="495"/>
      <c r="J12" s="495"/>
      <c r="K12" s="499"/>
      <c r="L12" s="500"/>
    </row>
    <row r="13" spans="1:16">
      <c r="A13" s="492" t="s">
        <v>1593</v>
      </c>
      <c r="B13" s="492"/>
      <c r="C13" s="495"/>
      <c r="D13" s="495"/>
      <c r="E13" s="493"/>
      <c r="F13" s="493"/>
      <c r="G13" s="493"/>
      <c r="H13" s="495"/>
      <c r="I13" s="495"/>
      <c r="J13" s="495"/>
      <c r="K13" s="499"/>
      <c r="L13" s="500"/>
    </row>
    <row r="14" spans="1:16" ht="30" customHeight="1">
      <c r="A14" s="492"/>
      <c r="B14" s="492"/>
      <c r="C14" s="495"/>
      <c r="D14" s="495"/>
      <c r="E14" s="492" t="s">
        <v>1594</v>
      </c>
      <c r="F14" s="492"/>
      <c r="G14" s="492"/>
      <c r="H14" s="495"/>
      <c r="I14" s="495"/>
      <c r="J14" s="495"/>
      <c r="K14" s="499"/>
      <c r="L14" s="500"/>
    </row>
    <row r="15" spans="1:16" ht="12.75" customHeight="1">
      <c r="A15" s="492" t="s">
        <v>1001</v>
      </c>
      <c r="B15" s="492"/>
      <c r="C15" s="495"/>
      <c r="D15" s="495"/>
      <c r="E15" s="503"/>
      <c r="F15" s="503"/>
      <c r="G15" s="503"/>
      <c r="H15" s="495"/>
      <c r="I15" s="495"/>
      <c r="J15" s="495"/>
      <c r="K15" s="499"/>
      <c r="L15" s="500"/>
    </row>
    <row r="16" spans="1:16" ht="35.25" customHeight="1">
      <c r="A16" s="492"/>
      <c r="B16" s="492"/>
      <c r="C16" s="495"/>
      <c r="D16" s="495"/>
      <c r="E16" s="492" t="s">
        <v>1595</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c r="B18" s="478"/>
      <c r="C18" s="495"/>
      <c r="D18" s="495"/>
      <c r="E18" s="493"/>
      <c r="F18" s="493"/>
      <c r="G18" s="493"/>
      <c r="H18" s="495"/>
      <c r="I18" s="495"/>
      <c r="J18" s="495"/>
      <c r="K18" s="499"/>
      <c r="L18" s="500"/>
    </row>
    <row r="19" spans="1:12" ht="29.25" customHeight="1">
      <c r="A19" s="478"/>
      <c r="B19" s="478"/>
      <c r="C19" s="495"/>
      <c r="D19" s="495"/>
      <c r="E19" s="492" t="s">
        <v>1596</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1597</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1598</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1599</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1600</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33" customHeight="1">
      <c r="A29" s="478"/>
      <c r="B29" s="478"/>
      <c r="C29" s="495"/>
      <c r="D29" s="495"/>
      <c r="E29" s="492" t="s">
        <v>1601</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114</v>
      </c>
      <c r="K31" s="134"/>
      <c r="L31" s="134" t="s">
        <v>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row r="37" spans="1:12" ht="19.5">
      <c r="A37" s="532" t="s">
        <v>69</v>
      </c>
      <c r="B37" s="533"/>
      <c r="C37" s="533"/>
      <c r="D37" s="533"/>
      <c r="E37" s="533"/>
      <c r="F37" s="533"/>
      <c r="G37" s="533"/>
      <c r="H37" s="533"/>
      <c r="I37" s="533"/>
      <c r="J37" s="533"/>
      <c r="K37" s="533"/>
      <c r="L37" s="534"/>
    </row>
    <row r="39" spans="1:12" ht="19.5">
      <c r="A39" s="532" t="s">
        <v>69</v>
      </c>
      <c r="B39" s="533"/>
      <c r="C39" s="533"/>
      <c r="D39" s="533"/>
      <c r="E39" s="533"/>
      <c r="F39" s="533"/>
      <c r="G39" s="533"/>
      <c r="H39" s="533"/>
      <c r="I39" s="533"/>
      <c r="J39" s="533"/>
      <c r="K39" s="533"/>
      <c r="L39" s="534"/>
    </row>
    <row r="40" spans="1:12">
      <c r="A40" s="125" t="s">
        <v>70</v>
      </c>
      <c r="B40" s="126"/>
      <c r="C40" s="126"/>
      <c r="D40" s="126"/>
      <c r="E40" s="517" t="s">
        <v>71</v>
      </c>
      <c r="F40" s="517"/>
      <c r="G40" s="535" t="s">
        <v>1493</v>
      </c>
      <c r="H40" s="536"/>
      <c r="I40" s="536"/>
      <c r="J40" s="537" t="s">
        <v>73</v>
      </c>
      <c r="K40" s="537"/>
      <c r="L40" s="538"/>
    </row>
    <row r="41" spans="1:12">
      <c r="A41" s="539" t="s">
        <v>1602</v>
      </c>
      <c r="B41" s="540"/>
      <c r="C41" s="540"/>
      <c r="D41" s="540"/>
      <c r="E41" s="540"/>
      <c r="F41" s="540"/>
      <c r="G41" s="540"/>
      <c r="H41" s="540"/>
      <c r="I41" s="541"/>
      <c r="J41" s="542" t="s">
        <v>75</v>
      </c>
      <c r="K41" s="542"/>
      <c r="L41" s="542"/>
    </row>
    <row r="42" spans="1:12">
      <c r="A42" s="510" t="s">
        <v>1603</v>
      </c>
      <c r="B42" s="511"/>
      <c r="C42" s="511"/>
      <c r="D42" s="511"/>
      <c r="E42" s="511"/>
      <c r="F42" s="511"/>
      <c r="G42" s="512"/>
      <c r="H42" s="516" t="s">
        <v>77</v>
      </c>
      <c r="I42" s="516"/>
      <c r="J42" s="518" t="s">
        <v>78</v>
      </c>
      <c r="K42" s="519" t="s">
        <v>79</v>
      </c>
      <c r="L42" s="520"/>
    </row>
    <row r="43" spans="1:12">
      <c r="A43" s="513"/>
      <c r="B43" s="514"/>
      <c r="C43" s="514"/>
      <c r="D43" s="514"/>
      <c r="E43" s="514"/>
      <c r="F43" s="514"/>
      <c r="G43" s="515"/>
      <c r="H43" s="517"/>
      <c r="I43" s="517"/>
      <c r="J43" s="516"/>
      <c r="K43" s="521"/>
      <c r="L43" s="522"/>
    </row>
    <row r="44" spans="1:12">
      <c r="A44" s="127" t="s">
        <v>80</v>
      </c>
      <c r="B44" s="128"/>
      <c r="C44" s="129" t="s">
        <v>81</v>
      </c>
      <c r="D44" s="129"/>
      <c r="E44" s="523" t="s">
        <v>82</v>
      </c>
      <c r="F44" s="523"/>
      <c r="G44" s="523"/>
      <c r="H44" s="523"/>
      <c r="I44" s="523"/>
      <c r="J44" s="523"/>
      <c r="K44" s="523"/>
      <c r="L44" s="524"/>
    </row>
    <row r="45" spans="1:12">
      <c r="A45" s="525" t="s">
        <v>83</v>
      </c>
      <c r="B45" s="526"/>
      <c r="C45" s="527" t="s">
        <v>84</v>
      </c>
      <c r="D45" s="528"/>
      <c r="E45" s="482" t="s">
        <v>85</v>
      </c>
      <c r="F45" s="529"/>
      <c r="G45" s="528"/>
      <c r="H45" s="482" t="s">
        <v>86</v>
      </c>
      <c r="I45" s="528"/>
      <c r="J45" s="130" t="s">
        <v>87</v>
      </c>
      <c r="K45" s="482" t="s">
        <v>88</v>
      </c>
      <c r="L45" s="528"/>
    </row>
    <row r="46" spans="1:12">
      <c r="A46" s="506" t="s">
        <v>89</v>
      </c>
      <c r="B46" s="507"/>
      <c r="C46" s="506" t="s">
        <v>90</v>
      </c>
      <c r="D46" s="507"/>
      <c r="E46" s="506" t="s">
        <v>91</v>
      </c>
      <c r="F46" s="530"/>
      <c r="G46" s="507"/>
      <c r="H46" s="506" t="s">
        <v>92</v>
      </c>
      <c r="I46" s="507"/>
      <c r="J46" s="504" t="s">
        <v>93</v>
      </c>
      <c r="K46" s="506" t="s">
        <v>94</v>
      </c>
      <c r="L46" s="507"/>
    </row>
    <row r="47" spans="1:12">
      <c r="A47" s="508"/>
      <c r="B47" s="509"/>
      <c r="C47" s="508"/>
      <c r="D47" s="509"/>
      <c r="E47" s="508"/>
      <c r="F47" s="531"/>
      <c r="G47" s="509"/>
      <c r="H47" s="508"/>
      <c r="I47" s="509"/>
      <c r="J47" s="505"/>
      <c r="K47" s="508"/>
      <c r="L47" s="509"/>
    </row>
    <row r="48" spans="1:12" ht="21" customHeight="1">
      <c r="A48" s="1041" t="s">
        <v>1425</v>
      </c>
      <c r="B48" s="492"/>
      <c r="C48" s="495" t="s">
        <v>1604</v>
      </c>
      <c r="D48" s="495"/>
      <c r="E48" s="813" t="s">
        <v>1605</v>
      </c>
      <c r="F48" s="1043"/>
      <c r="G48" s="814"/>
      <c r="H48" s="936" t="s">
        <v>1606</v>
      </c>
      <c r="I48" s="937"/>
      <c r="J48" s="1044" t="s">
        <v>1607</v>
      </c>
      <c r="K48" s="497" t="s">
        <v>1608</v>
      </c>
      <c r="L48" s="498"/>
    </row>
    <row r="49" spans="1:12" ht="21" customHeight="1">
      <c r="A49" s="492"/>
      <c r="B49" s="492"/>
      <c r="C49" s="495"/>
      <c r="D49" s="1042"/>
      <c r="E49" s="1047"/>
      <c r="F49" s="1047"/>
      <c r="G49" s="1047"/>
      <c r="H49" s="938"/>
      <c r="I49" s="939"/>
      <c r="J49" s="1045"/>
      <c r="K49" s="499"/>
      <c r="L49" s="500"/>
    </row>
    <row r="50" spans="1:12" ht="26.25" customHeight="1">
      <c r="A50" s="492"/>
      <c r="B50" s="492"/>
      <c r="C50" s="495"/>
      <c r="D50" s="495"/>
      <c r="E50" s="815" t="s">
        <v>1609</v>
      </c>
      <c r="F50" s="1048"/>
      <c r="G50" s="816"/>
      <c r="H50" s="938"/>
      <c r="I50" s="939"/>
      <c r="J50" s="1045"/>
      <c r="K50" s="499"/>
      <c r="L50" s="500"/>
    </row>
    <row r="51" spans="1:12" ht="21" customHeight="1">
      <c r="A51" s="492" t="s">
        <v>1610</v>
      </c>
      <c r="B51" s="492"/>
      <c r="C51" s="495"/>
      <c r="D51" s="495"/>
      <c r="E51" s="1049"/>
      <c r="F51" s="1050"/>
      <c r="G51" s="1051"/>
      <c r="H51" s="938"/>
      <c r="I51" s="939"/>
      <c r="J51" s="1045"/>
      <c r="K51" s="499"/>
      <c r="L51" s="500"/>
    </row>
    <row r="52" spans="1:12" ht="28.5" customHeight="1">
      <c r="A52" s="492"/>
      <c r="B52" s="492"/>
      <c r="C52" s="495"/>
      <c r="D52" s="495"/>
      <c r="E52" s="813" t="s">
        <v>1611</v>
      </c>
      <c r="F52" s="1043"/>
      <c r="G52" s="814"/>
      <c r="H52" s="938"/>
      <c r="I52" s="939"/>
      <c r="J52" s="1045"/>
      <c r="K52" s="499"/>
      <c r="L52" s="500"/>
    </row>
    <row r="53" spans="1:12" ht="21" customHeight="1">
      <c r="A53" s="492" t="s">
        <v>714</v>
      </c>
      <c r="B53" s="492"/>
      <c r="C53" s="495"/>
      <c r="D53" s="1042"/>
      <c r="E53" s="1052"/>
      <c r="F53" s="1052"/>
      <c r="G53" s="1052"/>
      <c r="H53" s="938"/>
      <c r="I53" s="939"/>
      <c r="J53" s="1045"/>
      <c r="K53" s="499"/>
      <c r="L53" s="500"/>
    </row>
    <row r="54" spans="1:12" ht="32.25" customHeight="1">
      <c r="A54" s="492"/>
      <c r="B54" s="492"/>
      <c r="C54" s="495"/>
      <c r="D54" s="495"/>
      <c r="E54" s="815" t="s">
        <v>1612</v>
      </c>
      <c r="F54" s="1048"/>
      <c r="G54" s="816"/>
      <c r="H54" s="938"/>
      <c r="I54" s="939"/>
      <c r="J54" s="1045"/>
      <c r="K54" s="499"/>
      <c r="L54" s="500"/>
    </row>
    <row r="55" spans="1:12" ht="21" customHeight="1">
      <c r="A55" s="478" t="s">
        <v>1613</v>
      </c>
      <c r="B55" s="478"/>
      <c r="C55" s="495"/>
      <c r="D55" s="495"/>
      <c r="E55" s="1053"/>
      <c r="F55" s="1054"/>
      <c r="G55" s="1055"/>
      <c r="H55" s="938"/>
      <c r="I55" s="939"/>
      <c r="J55" s="1045"/>
      <c r="K55" s="499"/>
      <c r="L55" s="500"/>
    </row>
    <row r="56" spans="1:12" ht="21" customHeight="1">
      <c r="A56" s="478"/>
      <c r="B56" s="478"/>
      <c r="C56" s="495"/>
      <c r="D56" s="495"/>
      <c r="E56" s="812" t="s">
        <v>1614</v>
      </c>
      <c r="F56" s="922"/>
      <c r="G56" s="923"/>
      <c r="H56" s="938"/>
      <c r="I56" s="939"/>
      <c r="J56" s="1045"/>
      <c r="K56" s="499"/>
      <c r="L56" s="500"/>
    </row>
    <row r="57" spans="1:12" ht="21" customHeight="1">
      <c r="A57" s="478"/>
      <c r="B57" s="478"/>
      <c r="C57" s="495"/>
      <c r="D57" s="495"/>
      <c r="E57" s="811"/>
      <c r="F57" s="945"/>
      <c r="G57" s="946"/>
      <c r="H57" s="938"/>
      <c r="I57" s="939"/>
      <c r="J57" s="1045"/>
      <c r="K57" s="499"/>
      <c r="L57" s="500"/>
    </row>
    <row r="58" spans="1:12" ht="63" customHeight="1">
      <c r="A58" s="478"/>
      <c r="B58" s="478"/>
      <c r="C58" s="495"/>
      <c r="D58" s="495"/>
      <c r="E58" s="812" t="s">
        <v>1615</v>
      </c>
      <c r="F58" s="922"/>
      <c r="G58" s="923"/>
      <c r="H58" s="938"/>
      <c r="I58" s="939"/>
      <c r="J58" s="1045"/>
      <c r="K58" s="499"/>
      <c r="L58" s="500"/>
    </row>
    <row r="59" spans="1:12" ht="21" customHeight="1">
      <c r="A59" s="478"/>
      <c r="B59" s="478"/>
      <c r="C59" s="495"/>
      <c r="D59" s="495"/>
      <c r="E59" s="825"/>
      <c r="F59" s="950"/>
      <c r="G59" s="951"/>
      <c r="H59" s="938"/>
      <c r="I59" s="939"/>
      <c r="J59" s="1045"/>
      <c r="K59" s="499"/>
      <c r="L59" s="500"/>
    </row>
    <row r="60" spans="1:12" ht="27.75" customHeight="1">
      <c r="A60" s="478"/>
      <c r="B60" s="478"/>
      <c r="C60" s="495"/>
      <c r="D60" s="495"/>
      <c r="E60" s="812" t="s">
        <v>1616</v>
      </c>
      <c r="F60" s="922"/>
      <c r="G60" s="923"/>
      <c r="H60" s="938"/>
      <c r="I60" s="939"/>
      <c r="J60" s="1045"/>
      <c r="K60" s="499"/>
      <c r="L60" s="500"/>
    </row>
    <row r="61" spans="1:12" ht="21" customHeight="1">
      <c r="A61" s="478"/>
      <c r="B61" s="478"/>
      <c r="C61" s="495"/>
      <c r="D61" s="495"/>
      <c r="E61" s="812"/>
      <c r="F61" s="922"/>
      <c r="G61" s="923"/>
      <c r="H61" s="938"/>
      <c r="I61" s="939"/>
      <c r="J61" s="1045"/>
      <c r="K61" s="499"/>
      <c r="L61" s="500"/>
    </row>
    <row r="62" spans="1:12" ht="33" customHeight="1">
      <c r="A62" s="478"/>
      <c r="B62" s="478"/>
      <c r="C62" s="495"/>
      <c r="D62" s="495"/>
      <c r="E62" s="812" t="s">
        <v>1617</v>
      </c>
      <c r="F62" s="922"/>
      <c r="G62" s="923"/>
      <c r="H62" s="938"/>
      <c r="I62" s="939"/>
      <c r="J62" s="1045"/>
      <c r="K62" s="499"/>
      <c r="L62" s="500"/>
    </row>
    <row r="63" spans="1:12" ht="21" customHeight="1">
      <c r="A63" s="478"/>
      <c r="B63" s="478"/>
      <c r="C63" s="495"/>
      <c r="D63" s="495"/>
      <c r="E63" s="812"/>
      <c r="F63" s="922"/>
      <c r="G63" s="923"/>
      <c r="H63" s="938"/>
      <c r="I63" s="939"/>
      <c r="J63" s="1045"/>
      <c r="K63" s="499"/>
      <c r="L63" s="500"/>
    </row>
    <row r="64" spans="1:12" ht="33" customHeight="1">
      <c r="A64" s="478"/>
      <c r="B64" s="478"/>
      <c r="C64" s="495"/>
      <c r="D64" s="495"/>
      <c r="E64" s="812" t="s">
        <v>1618</v>
      </c>
      <c r="F64" s="922"/>
      <c r="G64" s="923"/>
      <c r="H64" s="938"/>
      <c r="I64" s="939"/>
      <c r="J64" s="1045"/>
      <c r="K64" s="499"/>
      <c r="L64" s="500"/>
    </row>
    <row r="65" spans="1:12" ht="21" customHeight="1">
      <c r="A65" s="478"/>
      <c r="B65" s="478"/>
      <c r="C65" s="495"/>
      <c r="D65" s="495"/>
      <c r="E65" s="812"/>
      <c r="F65" s="922"/>
      <c r="G65" s="923"/>
      <c r="H65" s="938"/>
      <c r="I65" s="939"/>
      <c r="J65" s="1045"/>
      <c r="K65" s="499"/>
      <c r="L65" s="500"/>
    </row>
    <row r="66" spans="1:12" ht="29.25" customHeight="1">
      <c r="A66" s="478"/>
      <c r="B66" s="478"/>
      <c r="C66" s="495"/>
      <c r="D66" s="495"/>
      <c r="E66" s="812" t="s">
        <v>1619</v>
      </c>
      <c r="F66" s="922"/>
      <c r="G66" s="923"/>
      <c r="H66" s="940"/>
      <c r="I66" s="941"/>
      <c r="J66" s="1046"/>
      <c r="K66" s="501"/>
      <c r="L66" s="502"/>
    </row>
    <row r="67" spans="1:12">
      <c r="A67" s="479" t="s">
        <v>108</v>
      </c>
      <c r="B67" s="480"/>
      <c r="C67" s="480"/>
      <c r="D67" s="480"/>
      <c r="E67" s="480"/>
      <c r="F67" s="480"/>
      <c r="G67" s="480"/>
      <c r="H67" s="481"/>
      <c r="I67" s="131" t="s">
        <v>109</v>
      </c>
      <c r="J67" s="131" t="s">
        <v>110</v>
      </c>
      <c r="K67" s="132" t="s">
        <v>111</v>
      </c>
      <c r="L67" s="132" t="s">
        <v>112</v>
      </c>
    </row>
    <row r="68" spans="1:12">
      <c r="A68" s="482"/>
      <c r="B68" s="483"/>
      <c r="C68" s="483"/>
      <c r="D68" s="483"/>
      <c r="E68" s="483"/>
      <c r="F68" s="483"/>
      <c r="G68" s="483"/>
      <c r="H68" s="484"/>
      <c r="I68" s="133" t="s">
        <v>113</v>
      </c>
      <c r="J68" s="134" t="s">
        <v>114</v>
      </c>
      <c r="K68" s="134"/>
      <c r="L68" s="134"/>
    </row>
    <row r="69" spans="1:12">
      <c r="A69" s="485" t="s">
        <v>115</v>
      </c>
      <c r="B69" s="486"/>
      <c r="C69" s="486"/>
      <c r="D69" s="486"/>
      <c r="E69" s="486"/>
      <c r="F69" s="486"/>
      <c r="G69" s="486"/>
      <c r="H69" s="487"/>
      <c r="I69" s="133" t="s">
        <v>116</v>
      </c>
      <c r="J69" s="134" t="s">
        <v>117</v>
      </c>
      <c r="K69" s="134"/>
      <c r="L69" s="134"/>
    </row>
    <row r="70" spans="1:12">
      <c r="A70" s="485"/>
      <c r="B70" s="486"/>
      <c r="C70" s="486"/>
      <c r="D70" s="486"/>
      <c r="E70" s="486"/>
      <c r="F70" s="486"/>
      <c r="G70" s="486"/>
      <c r="H70" s="487"/>
      <c r="I70" s="133" t="s">
        <v>118</v>
      </c>
      <c r="J70" s="134"/>
      <c r="K70" s="134"/>
      <c r="L70" s="134"/>
    </row>
    <row r="71" spans="1:12">
      <c r="A71" s="488" t="s">
        <v>119</v>
      </c>
      <c r="B71" s="489"/>
      <c r="C71" s="490" t="s">
        <v>120</v>
      </c>
      <c r="D71" s="490"/>
      <c r="E71" s="491" t="s">
        <v>121</v>
      </c>
      <c r="F71" s="491"/>
      <c r="G71" s="491"/>
      <c r="H71" s="491"/>
      <c r="I71" s="133" t="s">
        <v>122</v>
      </c>
      <c r="J71" s="134"/>
      <c r="K71" s="134"/>
      <c r="L71" s="134"/>
    </row>
    <row r="74" spans="1:12" ht="19.5" customHeight="1">
      <c r="A74" s="532" t="s">
        <v>69</v>
      </c>
      <c r="B74" s="533"/>
      <c r="C74" s="533"/>
      <c r="D74" s="533"/>
      <c r="E74" s="533"/>
      <c r="F74" s="533"/>
      <c r="G74" s="533"/>
      <c r="H74" s="533"/>
      <c r="I74" s="533"/>
      <c r="J74" s="533"/>
      <c r="K74" s="533"/>
      <c r="L74" s="534"/>
    </row>
    <row r="75" spans="1:12">
      <c r="A75" s="125" t="s">
        <v>70</v>
      </c>
      <c r="B75" s="126"/>
      <c r="C75" s="126"/>
      <c r="D75" s="126"/>
      <c r="E75" s="517" t="s">
        <v>71</v>
      </c>
      <c r="F75" s="517"/>
      <c r="G75" s="535" t="s">
        <v>1533</v>
      </c>
      <c r="H75" s="536"/>
      <c r="I75" s="536"/>
      <c r="J75" s="537" t="s">
        <v>73</v>
      </c>
      <c r="K75" s="537"/>
      <c r="L75" s="538"/>
    </row>
    <row r="76" spans="1:12">
      <c r="A76" s="539" t="s">
        <v>1620</v>
      </c>
      <c r="B76" s="540"/>
      <c r="C76" s="540"/>
      <c r="D76" s="540"/>
      <c r="E76" s="540"/>
      <c r="F76" s="540"/>
      <c r="G76" s="540"/>
      <c r="H76" s="540"/>
      <c r="I76" s="541"/>
      <c r="J76" s="542" t="s">
        <v>75</v>
      </c>
      <c r="K76" s="542"/>
      <c r="L76" s="542"/>
    </row>
    <row r="77" spans="1:12">
      <c r="A77" s="510" t="s">
        <v>1396</v>
      </c>
      <c r="B77" s="511"/>
      <c r="C77" s="511"/>
      <c r="D77" s="511"/>
      <c r="E77" s="511"/>
      <c r="F77" s="511"/>
      <c r="G77" s="512"/>
      <c r="H77" s="516" t="s">
        <v>77</v>
      </c>
      <c r="I77" s="516"/>
      <c r="J77" s="518" t="s">
        <v>78</v>
      </c>
      <c r="K77" s="519" t="s">
        <v>79</v>
      </c>
      <c r="L77" s="520"/>
    </row>
    <row r="78" spans="1:12">
      <c r="A78" s="513"/>
      <c r="B78" s="514"/>
      <c r="C78" s="514"/>
      <c r="D78" s="514"/>
      <c r="E78" s="514"/>
      <c r="F78" s="514"/>
      <c r="G78" s="515"/>
      <c r="H78" s="517"/>
      <c r="I78" s="517"/>
      <c r="J78" s="516"/>
      <c r="K78" s="521"/>
      <c r="L78" s="522"/>
    </row>
    <row r="79" spans="1:12">
      <c r="A79" s="127" t="s">
        <v>80</v>
      </c>
      <c r="B79" s="128"/>
      <c r="C79" s="129" t="s">
        <v>81</v>
      </c>
      <c r="D79" s="129"/>
      <c r="E79" s="523" t="s">
        <v>82</v>
      </c>
      <c r="F79" s="523"/>
      <c r="G79" s="523"/>
      <c r="H79" s="523"/>
      <c r="I79" s="523"/>
      <c r="J79" s="523"/>
      <c r="K79" s="523"/>
      <c r="L79" s="524"/>
    </row>
    <row r="80" spans="1:12">
      <c r="A80" s="525" t="s">
        <v>83</v>
      </c>
      <c r="B80" s="526"/>
      <c r="C80" s="527" t="s">
        <v>84</v>
      </c>
      <c r="D80" s="528"/>
      <c r="E80" s="482" t="s">
        <v>85</v>
      </c>
      <c r="F80" s="529"/>
      <c r="G80" s="528"/>
      <c r="H80" s="482" t="s">
        <v>86</v>
      </c>
      <c r="I80" s="528"/>
      <c r="J80" s="130" t="s">
        <v>87</v>
      </c>
      <c r="K80" s="482" t="s">
        <v>88</v>
      </c>
      <c r="L80" s="528"/>
    </row>
    <row r="81" spans="1:12">
      <c r="A81" s="506" t="s">
        <v>89</v>
      </c>
      <c r="B81" s="507"/>
      <c r="C81" s="506" t="s">
        <v>90</v>
      </c>
      <c r="D81" s="507"/>
      <c r="E81" s="506" t="s">
        <v>91</v>
      </c>
      <c r="F81" s="530"/>
      <c r="G81" s="507"/>
      <c r="H81" s="506" t="s">
        <v>92</v>
      </c>
      <c r="I81" s="507"/>
      <c r="J81" s="504" t="s">
        <v>93</v>
      </c>
      <c r="K81" s="506" t="s">
        <v>94</v>
      </c>
      <c r="L81" s="507"/>
    </row>
    <row r="82" spans="1:12">
      <c r="A82" s="508"/>
      <c r="B82" s="509"/>
      <c r="C82" s="508"/>
      <c r="D82" s="509"/>
      <c r="E82" s="508"/>
      <c r="F82" s="531"/>
      <c r="G82" s="509"/>
      <c r="H82" s="508"/>
      <c r="I82" s="509"/>
      <c r="J82" s="505"/>
      <c r="K82" s="508"/>
      <c r="L82" s="509"/>
    </row>
    <row r="83" spans="1:12" ht="31.5" customHeight="1">
      <c r="A83" s="1041" t="s">
        <v>1621</v>
      </c>
      <c r="B83" s="492"/>
      <c r="C83" s="495" t="s">
        <v>1622</v>
      </c>
      <c r="D83" s="495"/>
      <c r="E83" s="813" t="s">
        <v>1623</v>
      </c>
      <c r="F83" s="1043"/>
      <c r="G83" s="814"/>
      <c r="H83" s="936" t="s">
        <v>1624</v>
      </c>
      <c r="I83" s="937"/>
      <c r="J83" s="1044" t="s">
        <v>1625</v>
      </c>
      <c r="K83" s="497" t="s">
        <v>1608</v>
      </c>
      <c r="L83" s="498"/>
    </row>
    <row r="84" spans="1:12" ht="31.5" customHeight="1">
      <c r="A84" s="492"/>
      <c r="B84" s="492"/>
      <c r="C84" s="495"/>
      <c r="D84" s="1042"/>
      <c r="E84" s="1047"/>
      <c r="F84" s="1047"/>
      <c r="G84" s="1047"/>
      <c r="H84" s="938"/>
      <c r="I84" s="939"/>
      <c r="J84" s="1045"/>
      <c r="K84" s="499"/>
      <c r="L84" s="500"/>
    </row>
    <row r="85" spans="1:12" ht="31.5" customHeight="1">
      <c r="A85" s="492"/>
      <c r="B85" s="492"/>
      <c r="C85" s="495"/>
      <c r="D85" s="495"/>
      <c r="E85" s="815" t="s">
        <v>1626</v>
      </c>
      <c r="F85" s="1048"/>
      <c r="G85" s="816"/>
      <c r="H85" s="938"/>
      <c r="I85" s="939"/>
      <c r="J85" s="1045"/>
      <c r="K85" s="499"/>
      <c r="L85" s="500"/>
    </row>
    <row r="86" spans="1:12" ht="31.5" customHeight="1">
      <c r="A86" s="492" t="s">
        <v>1627</v>
      </c>
      <c r="B86" s="492"/>
      <c r="C86" s="495"/>
      <c r="D86" s="495"/>
      <c r="E86" s="1049"/>
      <c r="F86" s="1050"/>
      <c r="G86" s="1051"/>
      <c r="H86" s="938"/>
      <c r="I86" s="939"/>
      <c r="J86" s="1045"/>
      <c r="K86" s="499"/>
      <c r="L86" s="500"/>
    </row>
    <row r="87" spans="1:12" ht="31.5" customHeight="1">
      <c r="A87" s="492"/>
      <c r="B87" s="492"/>
      <c r="C87" s="495"/>
      <c r="D87" s="495"/>
      <c r="E87" s="813" t="s">
        <v>1628</v>
      </c>
      <c r="F87" s="1043"/>
      <c r="G87" s="814"/>
      <c r="H87" s="938"/>
      <c r="I87" s="939"/>
      <c r="J87" s="1045"/>
      <c r="K87" s="499"/>
      <c r="L87" s="500"/>
    </row>
    <row r="88" spans="1:12" ht="31.5" customHeight="1">
      <c r="A88" s="492" t="s">
        <v>714</v>
      </c>
      <c r="B88" s="492"/>
      <c r="C88" s="495"/>
      <c r="D88" s="1042"/>
      <c r="E88" s="1052"/>
      <c r="F88" s="1052"/>
      <c r="G88" s="1052"/>
      <c r="H88" s="938"/>
      <c r="I88" s="939"/>
      <c r="J88" s="1045"/>
      <c r="K88" s="499"/>
      <c r="L88" s="500"/>
    </row>
    <row r="89" spans="1:12" ht="31.5" customHeight="1">
      <c r="A89" s="492"/>
      <c r="B89" s="492"/>
      <c r="C89" s="495"/>
      <c r="D89" s="495"/>
      <c r="E89" s="815" t="s">
        <v>1629</v>
      </c>
      <c r="F89" s="1048"/>
      <c r="G89" s="816"/>
      <c r="H89" s="938"/>
      <c r="I89" s="939"/>
      <c r="J89" s="1045"/>
      <c r="K89" s="499"/>
      <c r="L89" s="500"/>
    </row>
    <row r="90" spans="1:12" ht="31.5" customHeight="1">
      <c r="A90" s="478" t="s">
        <v>1621</v>
      </c>
      <c r="B90" s="478"/>
      <c r="C90" s="495"/>
      <c r="D90" s="495"/>
      <c r="E90" s="1053"/>
      <c r="F90" s="1054"/>
      <c r="G90" s="1055"/>
      <c r="H90" s="938"/>
      <c r="I90" s="939"/>
      <c r="J90" s="1045"/>
      <c r="K90" s="499"/>
      <c r="L90" s="500"/>
    </row>
    <row r="91" spans="1:12" ht="31.5" customHeight="1">
      <c r="A91" s="478"/>
      <c r="B91" s="478"/>
      <c r="C91" s="495"/>
      <c r="D91" s="495"/>
      <c r="E91" s="812" t="s">
        <v>1630</v>
      </c>
      <c r="F91" s="922"/>
      <c r="G91" s="923"/>
      <c r="H91" s="938"/>
      <c r="I91" s="939"/>
      <c r="J91" s="1045"/>
      <c r="K91" s="499"/>
      <c r="L91" s="500"/>
    </row>
    <row r="92" spans="1:12" ht="31.5" customHeight="1">
      <c r="A92" s="478"/>
      <c r="B92" s="478"/>
      <c r="C92" s="495"/>
      <c r="D92" s="495"/>
      <c r="E92" s="811"/>
      <c r="F92" s="945"/>
      <c r="G92" s="946"/>
      <c r="H92" s="938"/>
      <c r="I92" s="939"/>
      <c r="J92" s="1045"/>
      <c r="K92" s="499"/>
      <c r="L92" s="500"/>
    </row>
    <row r="93" spans="1:12" ht="31.5" customHeight="1">
      <c r="A93" s="478"/>
      <c r="B93" s="478"/>
      <c r="C93" s="495"/>
      <c r="D93" s="495"/>
      <c r="E93" s="812" t="s">
        <v>1631</v>
      </c>
      <c r="F93" s="922"/>
      <c r="G93" s="923"/>
      <c r="H93" s="938"/>
      <c r="I93" s="939"/>
      <c r="J93" s="1045"/>
      <c r="K93" s="499"/>
      <c r="L93" s="500"/>
    </row>
    <row r="94" spans="1:12" ht="31.5" customHeight="1">
      <c r="A94" s="478"/>
      <c r="B94" s="478"/>
      <c r="C94" s="495"/>
      <c r="D94" s="495"/>
      <c r="E94" s="825"/>
      <c r="F94" s="950"/>
      <c r="G94" s="951"/>
      <c r="H94" s="938"/>
      <c r="I94" s="939"/>
      <c r="J94" s="1045"/>
      <c r="K94" s="499"/>
      <c r="L94" s="500"/>
    </row>
    <row r="95" spans="1:12" ht="31.5" customHeight="1">
      <c r="A95" s="478"/>
      <c r="B95" s="478"/>
      <c r="C95" s="495"/>
      <c r="D95" s="495"/>
      <c r="E95" s="812" t="s">
        <v>1632</v>
      </c>
      <c r="F95" s="922"/>
      <c r="G95" s="923"/>
      <c r="H95" s="938"/>
      <c r="I95" s="939"/>
      <c r="J95" s="1045"/>
      <c r="K95" s="499"/>
      <c r="L95" s="500"/>
    </row>
    <row r="96" spans="1:12" ht="31.5" customHeight="1">
      <c r="A96" s="478"/>
      <c r="B96" s="478"/>
      <c r="C96" s="495"/>
      <c r="D96" s="495"/>
      <c r="E96" s="812"/>
      <c r="F96" s="922"/>
      <c r="G96" s="923"/>
      <c r="H96" s="938"/>
      <c r="I96" s="939"/>
      <c r="J96" s="1045"/>
      <c r="K96" s="499"/>
      <c r="L96" s="500"/>
    </row>
    <row r="97" spans="1:12" ht="31.5" customHeight="1">
      <c r="A97" s="478"/>
      <c r="B97" s="478"/>
      <c r="C97" s="495"/>
      <c r="D97" s="495"/>
      <c r="E97" s="812" t="s">
        <v>1633</v>
      </c>
      <c r="F97" s="922"/>
      <c r="G97" s="923"/>
      <c r="H97" s="938"/>
      <c r="I97" s="939"/>
      <c r="J97" s="1045"/>
      <c r="K97" s="499"/>
      <c r="L97" s="500"/>
    </row>
    <row r="98" spans="1:12" ht="31.5" customHeight="1">
      <c r="A98" s="478"/>
      <c r="B98" s="478"/>
      <c r="C98" s="495"/>
      <c r="D98" s="495"/>
      <c r="E98" s="812"/>
      <c r="F98" s="922"/>
      <c r="G98" s="923"/>
      <c r="H98" s="938"/>
      <c r="I98" s="939"/>
      <c r="J98" s="1045"/>
      <c r="K98" s="499"/>
      <c r="L98" s="500"/>
    </row>
    <row r="99" spans="1:12" ht="31.5" customHeight="1">
      <c r="A99" s="478"/>
      <c r="B99" s="478"/>
      <c r="C99" s="495"/>
      <c r="D99" s="495"/>
      <c r="E99" s="812" t="s">
        <v>1634</v>
      </c>
      <c r="F99" s="922"/>
      <c r="G99" s="923"/>
      <c r="H99" s="938"/>
      <c r="I99" s="939"/>
      <c r="J99" s="1045"/>
      <c r="K99" s="499"/>
      <c r="L99" s="500"/>
    </row>
    <row r="100" spans="1:12" ht="20.25" customHeight="1">
      <c r="A100" s="478"/>
      <c r="B100" s="478"/>
      <c r="C100" s="495"/>
      <c r="D100" s="495"/>
      <c r="E100" s="812"/>
      <c r="F100" s="922"/>
      <c r="G100" s="923"/>
      <c r="H100" s="938"/>
      <c r="I100" s="939"/>
      <c r="J100" s="1045"/>
      <c r="K100" s="499"/>
      <c r="L100" s="500"/>
    </row>
    <row r="101" spans="1:12" ht="38.25" customHeight="1">
      <c r="A101" s="478"/>
      <c r="B101" s="478"/>
      <c r="C101" s="495"/>
      <c r="D101" s="495"/>
      <c r="E101" s="812" t="s">
        <v>1635</v>
      </c>
      <c r="F101" s="922"/>
      <c r="G101" s="923"/>
      <c r="H101" s="940"/>
      <c r="I101" s="941"/>
      <c r="J101" s="1046"/>
      <c r="K101" s="501"/>
      <c r="L101" s="502"/>
    </row>
    <row r="102" spans="1:12">
      <c r="A102" s="479" t="s">
        <v>108</v>
      </c>
      <c r="B102" s="480"/>
      <c r="C102" s="480"/>
      <c r="D102" s="480"/>
      <c r="E102" s="480"/>
      <c r="F102" s="480"/>
      <c r="G102" s="480"/>
      <c r="H102" s="481"/>
      <c r="I102" s="131" t="s">
        <v>109</v>
      </c>
      <c r="J102" s="131" t="s">
        <v>110</v>
      </c>
      <c r="K102" s="132" t="s">
        <v>111</v>
      </c>
      <c r="L102" s="132" t="s">
        <v>112</v>
      </c>
    </row>
    <row r="103" spans="1:12">
      <c r="A103" s="482"/>
      <c r="B103" s="483"/>
      <c r="C103" s="483"/>
      <c r="D103" s="483"/>
      <c r="E103" s="483"/>
      <c r="F103" s="483"/>
      <c r="G103" s="483"/>
      <c r="H103" s="484"/>
      <c r="I103" s="133" t="s">
        <v>113</v>
      </c>
      <c r="J103" s="134" t="s">
        <v>114</v>
      </c>
      <c r="K103" s="134"/>
      <c r="L103" s="134"/>
    </row>
    <row r="104" spans="1:12">
      <c r="A104" s="485" t="s">
        <v>115</v>
      </c>
      <c r="B104" s="486"/>
      <c r="C104" s="486"/>
      <c r="D104" s="486"/>
      <c r="E104" s="486"/>
      <c r="F104" s="486"/>
      <c r="G104" s="486"/>
      <c r="H104" s="487"/>
      <c r="I104" s="133" t="s">
        <v>116</v>
      </c>
      <c r="J104" s="134" t="s">
        <v>117</v>
      </c>
      <c r="K104" s="134"/>
      <c r="L104" s="134"/>
    </row>
    <row r="105" spans="1:12">
      <c r="A105" s="485"/>
      <c r="B105" s="486"/>
      <c r="C105" s="486"/>
      <c r="D105" s="486"/>
      <c r="E105" s="486"/>
      <c r="F105" s="486"/>
      <c r="G105" s="486"/>
      <c r="H105" s="487"/>
      <c r="I105" s="133" t="s">
        <v>118</v>
      </c>
      <c r="J105" s="134"/>
      <c r="K105" s="134"/>
      <c r="L105" s="134"/>
    </row>
    <row r="106" spans="1:12">
      <c r="A106" s="488" t="s">
        <v>119</v>
      </c>
      <c r="B106" s="489"/>
      <c r="C106" s="490" t="s">
        <v>120</v>
      </c>
      <c r="D106" s="490"/>
      <c r="E106" s="491" t="s">
        <v>121</v>
      </c>
      <c r="F106" s="491"/>
      <c r="G106" s="491"/>
      <c r="H106" s="491"/>
      <c r="I106" s="133" t="s">
        <v>122</v>
      </c>
      <c r="J106" s="134"/>
      <c r="K106" s="134"/>
      <c r="L106" s="134"/>
    </row>
    <row r="115" spans="1:10" ht="19.5">
      <c r="A115" s="532" t="s">
        <v>69</v>
      </c>
      <c r="B115" s="533"/>
      <c r="C115" s="533"/>
      <c r="D115" s="533"/>
      <c r="E115" s="533"/>
      <c r="F115" s="533"/>
      <c r="G115" s="533"/>
      <c r="H115" s="533"/>
      <c r="I115" s="533"/>
      <c r="J115" s="533"/>
    </row>
    <row r="116" spans="1:10">
      <c r="A116" s="125" t="s">
        <v>70</v>
      </c>
      <c r="B116" s="126"/>
      <c r="C116" s="126"/>
      <c r="D116" s="126"/>
      <c r="E116" s="517" t="s">
        <v>71</v>
      </c>
      <c r="F116" s="517"/>
      <c r="G116" s="535" t="s">
        <v>1564</v>
      </c>
      <c r="H116" s="536"/>
      <c r="I116" s="536"/>
      <c r="J116" s="210" t="s">
        <v>73</v>
      </c>
    </row>
    <row r="117" spans="1:10">
      <c r="A117" s="539" t="s">
        <v>1636</v>
      </c>
      <c r="B117" s="540"/>
      <c r="C117" s="540"/>
      <c r="D117" s="540"/>
      <c r="E117" s="540"/>
      <c r="F117" s="540"/>
      <c r="G117" s="540"/>
      <c r="H117" s="540"/>
      <c r="I117" s="541"/>
      <c r="J117" s="211" t="s">
        <v>75</v>
      </c>
    </row>
    <row r="118" spans="1:10">
      <c r="A118" s="510" t="s">
        <v>1008</v>
      </c>
      <c r="B118" s="511"/>
      <c r="C118" s="511"/>
      <c r="D118" s="511"/>
      <c r="E118" s="511"/>
      <c r="F118" s="511"/>
      <c r="G118" s="512"/>
      <c r="H118" s="516" t="s">
        <v>77</v>
      </c>
      <c r="I118" s="516"/>
      <c r="J118" s="518" t="s">
        <v>78</v>
      </c>
    </row>
    <row r="119" spans="1:10">
      <c r="A119" s="513"/>
      <c r="B119" s="514"/>
      <c r="C119" s="514"/>
      <c r="D119" s="514"/>
      <c r="E119" s="514"/>
      <c r="F119" s="514"/>
      <c r="G119" s="515"/>
      <c r="H119" s="517"/>
      <c r="I119" s="517"/>
      <c r="J119" s="516"/>
    </row>
    <row r="120" spans="1:10">
      <c r="A120" s="127" t="s">
        <v>80</v>
      </c>
      <c r="B120" s="128"/>
      <c r="C120" s="129" t="s">
        <v>81</v>
      </c>
      <c r="D120" s="129"/>
      <c r="E120" s="523" t="s">
        <v>82</v>
      </c>
      <c r="F120" s="523"/>
      <c r="G120" s="523"/>
      <c r="H120" s="523"/>
      <c r="I120" s="523"/>
      <c r="J120" s="523"/>
    </row>
    <row r="121" spans="1:10">
      <c r="A121" s="525" t="s">
        <v>83</v>
      </c>
      <c r="B121" s="526"/>
      <c r="C121" s="527" t="s">
        <v>84</v>
      </c>
      <c r="D121" s="528"/>
      <c r="E121" s="482" t="s">
        <v>85</v>
      </c>
      <c r="F121" s="529"/>
      <c r="G121" s="528"/>
      <c r="H121" s="482" t="s">
        <v>86</v>
      </c>
      <c r="I121" s="528"/>
      <c r="J121" s="130" t="s">
        <v>87</v>
      </c>
    </row>
    <row r="122" spans="1:10">
      <c r="A122" s="506" t="s">
        <v>89</v>
      </c>
      <c r="B122" s="507"/>
      <c r="C122" s="506" t="s">
        <v>90</v>
      </c>
      <c r="D122" s="507"/>
      <c r="E122" s="506" t="s">
        <v>91</v>
      </c>
      <c r="F122" s="530"/>
      <c r="G122" s="507"/>
      <c r="H122" s="506" t="s">
        <v>92</v>
      </c>
      <c r="I122" s="507"/>
      <c r="J122" s="504" t="s">
        <v>93</v>
      </c>
    </row>
    <row r="123" spans="1:10">
      <c r="A123" s="508"/>
      <c r="B123" s="509"/>
      <c r="C123" s="508"/>
      <c r="D123" s="509"/>
      <c r="E123" s="508"/>
      <c r="F123" s="531"/>
      <c r="G123" s="509"/>
      <c r="H123" s="508"/>
      <c r="I123" s="509"/>
      <c r="J123" s="505"/>
    </row>
    <row r="124" spans="1:10">
      <c r="A124" s="1041" t="s">
        <v>1637</v>
      </c>
      <c r="B124" s="492"/>
      <c r="C124" s="495" t="s">
        <v>1638</v>
      </c>
      <c r="D124" s="495"/>
      <c r="E124" s="813" t="s">
        <v>1639</v>
      </c>
      <c r="F124" s="1043"/>
      <c r="G124" s="814"/>
      <c r="H124" s="936" t="s">
        <v>1640</v>
      </c>
      <c r="I124" s="937"/>
      <c r="J124" s="1044" t="s">
        <v>1641</v>
      </c>
    </row>
    <row r="125" spans="1:10">
      <c r="A125" s="492"/>
      <c r="B125" s="492"/>
      <c r="C125" s="495"/>
      <c r="D125" s="1042"/>
      <c r="E125" s="1047"/>
      <c r="F125" s="1047"/>
      <c r="G125" s="1047"/>
      <c r="H125" s="938"/>
      <c r="I125" s="939"/>
      <c r="J125" s="1045"/>
    </row>
    <row r="126" spans="1:10" ht="31.5" customHeight="1">
      <c r="A126" s="492"/>
      <c r="B126" s="492"/>
      <c r="C126" s="495"/>
      <c r="D126" s="495"/>
      <c r="E126" s="815" t="s">
        <v>1642</v>
      </c>
      <c r="F126" s="1048"/>
      <c r="G126" s="816"/>
      <c r="H126" s="938"/>
      <c r="I126" s="939"/>
      <c r="J126" s="1045"/>
    </row>
    <row r="127" spans="1:10">
      <c r="A127" s="492" t="s">
        <v>1643</v>
      </c>
      <c r="B127" s="492"/>
      <c r="C127" s="495"/>
      <c r="D127" s="495"/>
      <c r="E127" s="1049"/>
      <c r="F127" s="1050"/>
      <c r="G127" s="1051"/>
      <c r="H127" s="938"/>
      <c r="I127" s="939"/>
      <c r="J127" s="1045"/>
    </row>
    <row r="128" spans="1:10" ht="28.5" customHeight="1">
      <c r="A128" s="492"/>
      <c r="B128" s="492"/>
      <c r="C128" s="495"/>
      <c r="D128" s="495"/>
      <c r="E128" s="813" t="s">
        <v>1644</v>
      </c>
      <c r="F128" s="1043"/>
      <c r="G128" s="814"/>
      <c r="H128" s="938"/>
      <c r="I128" s="939"/>
      <c r="J128" s="1045"/>
    </row>
    <row r="129" spans="1:10">
      <c r="A129" s="492" t="s">
        <v>714</v>
      </c>
      <c r="B129" s="492"/>
      <c r="C129" s="495"/>
      <c r="D129" s="1042"/>
      <c r="E129" s="1052"/>
      <c r="F129" s="1052"/>
      <c r="G129" s="1052"/>
      <c r="H129" s="938"/>
      <c r="I129" s="939"/>
      <c r="J129" s="1045"/>
    </row>
    <row r="130" spans="1:10" ht="26.25" customHeight="1">
      <c r="A130" s="492"/>
      <c r="B130" s="492"/>
      <c r="C130" s="495"/>
      <c r="D130" s="495"/>
      <c r="E130" s="815" t="s">
        <v>1645</v>
      </c>
      <c r="F130" s="1048"/>
      <c r="G130" s="816"/>
      <c r="H130" s="938"/>
      <c r="I130" s="939"/>
      <c r="J130" s="1045"/>
    </row>
    <row r="131" spans="1:10">
      <c r="A131" s="478"/>
      <c r="B131" s="478"/>
      <c r="C131" s="495"/>
      <c r="D131" s="495"/>
      <c r="E131" s="1053"/>
      <c r="F131" s="1054"/>
      <c r="G131" s="1055"/>
      <c r="H131" s="938"/>
      <c r="I131" s="939"/>
      <c r="J131" s="1045"/>
    </row>
    <row r="132" spans="1:10" ht="30" customHeight="1">
      <c r="A132" s="478"/>
      <c r="B132" s="478"/>
      <c r="C132" s="495"/>
      <c r="D132" s="495"/>
      <c r="E132" s="812" t="s">
        <v>1646</v>
      </c>
      <c r="F132" s="922"/>
      <c r="G132" s="923"/>
      <c r="H132" s="938"/>
      <c r="I132" s="939"/>
      <c r="J132" s="1045"/>
    </row>
    <row r="133" spans="1:10">
      <c r="A133" s="478"/>
      <c r="B133" s="478"/>
      <c r="C133" s="495"/>
      <c r="D133" s="495"/>
      <c r="E133" s="811"/>
      <c r="F133" s="945"/>
      <c r="G133" s="946"/>
      <c r="H133" s="938"/>
      <c r="I133" s="939"/>
      <c r="J133" s="1045"/>
    </row>
    <row r="134" spans="1:10" ht="25.5" customHeight="1">
      <c r="A134" s="478"/>
      <c r="B134" s="478"/>
      <c r="C134" s="495"/>
      <c r="D134" s="495"/>
      <c r="E134" s="812" t="s">
        <v>1647</v>
      </c>
      <c r="F134" s="922"/>
      <c r="G134" s="923"/>
      <c r="H134" s="938"/>
      <c r="I134" s="939"/>
      <c r="J134" s="1045"/>
    </row>
    <row r="135" spans="1:10">
      <c r="A135" s="478"/>
      <c r="B135" s="478"/>
      <c r="C135" s="495"/>
      <c r="D135" s="495"/>
      <c r="E135" s="825"/>
      <c r="F135" s="950"/>
      <c r="G135" s="951"/>
      <c r="H135" s="938"/>
      <c r="I135" s="939"/>
      <c r="J135" s="1045"/>
    </row>
    <row r="136" spans="1:10" ht="33.75" customHeight="1">
      <c r="A136" s="478"/>
      <c r="B136" s="478"/>
      <c r="C136" s="495"/>
      <c r="D136" s="495"/>
      <c r="E136" s="812" t="s">
        <v>1648</v>
      </c>
      <c r="F136" s="922"/>
      <c r="G136" s="923"/>
      <c r="H136" s="938"/>
      <c r="I136" s="939"/>
      <c r="J136" s="1045"/>
    </row>
    <row r="137" spans="1:10">
      <c r="A137" s="478"/>
      <c r="B137" s="478"/>
      <c r="C137" s="495"/>
      <c r="D137" s="495"/>
      <c r="E137" s="812"/>
      <c r="F137" s="922"/>
      <c r="G137" s="923"/>
      <c r="H137" s="938"/>
      <c r="I137" s="939"/>
      <c r="J137" s="1045"/>
    </row>
    <row r="138" spans="1:10" ht="30.75" customHeight="1">
      <c r="A138" s="478"/>
      <c r="B138" s="478"/>
      <c r="C138" s="495"/>
      <c r="D138" s="495"/>
      <c r="E138" s="812" t="s">
        <v>1649</v>
      </c>
      <c r="F138" s="922"/>
      <c r="G138" s="923"/>
      <c r="H138" s="938"/>
      <c r="I138" s="939"/>
      <c r="J138" s="1045"/>
    </row>
    <row r="139" spans="1:10">
      <c r="A139" s="478"/>
      <c r="B139" s="478"/>
      <c r="C139" s="495"/>
      <c r="D139" s="495"/>
      <c r="E139" s="812"/>
      <c r="F139" s="922"/>
      <c r="G139" s="923"/>
      <c r="H139" s="938"/>
      <c r="I139" s="939"/>
      <c r="J139" s="1045"/>
    </row>
    <row r="140" spans="1:10" ht="29.25" customHeight="1">
      <c r="A140" s="478"/>
      <c r="B140" s="478"/>
      <c r="C140" s="495"/>
      <c r="D140" s="495"/>
      <c r="E140" s="812"/>
      <c r="F140" s="922"/>
      <c r="G140" s="923"/>
      <c r="H140" s="938"/>
      <c r="I140" s="939"/>
      <c r="J140" s="1045"/>
    </row>
    <row r="141" spans="1:10">
      <c r="A141" s="478"/>
      <c r="B141" s="478"/>
      <c r="C141" s="495"/>
      <c r="D141" s="495"/>
      <c r="E141" s="812"/>
      <c r="F141" s="922"/>
      <c r="G141" s="923"/>
      <c r="H141" s="938"/>
      <c r="I141" s="939"/>
      <c r="J141" s="1045"/>
    </row>
    <row r="142" spans="1:10">
      <c r="A142" s="478"/>
      <c r="B142" s="478"/>
      <c r="C142" s="495"/>
      <c r="D142" s="495"/>
      <c r="E142" s="812"/>
      <c r="F142" s="922"/>
      <c r="G142" s="923"/>
      <c r="H142" s="940"/>
      <c r="I142" s="941"/>
      <c r="J142" s="1046"/>
    </row>
    <row r="143" spans="1:10">
      <c r="A143" s="479" t="s">
        <v>108</v>
      </c>
      <c r="B143" s="480"/>
      <c r="C143" s="480"/>
      <c r="D143" s="480"/>
      <c r="E143" s="480"/>
      <c r="F143" s="480"/>
      <c r="G143" s="480"/>
      <c r="H143" s="481"/>
      <c r="I143" s="131" t="s">
        <v>109</v>
      </c>
      <c r="J143" s="131" t="s">
        <v>110</v>
      </c>
    </row>
    <row r="144" spans="1:10">
      <c r="A144" s="482"/>
      <c r="B144" s="483"/>
      <c r="C144" s="483"/>
      <c r="D144" s="483"/>
      <c r="E144" s="483"/>
      <c r="F144" s="483"/>
      <c r="G144" s="483"/>
      <c r="H144" s="484"/>
      <c r="I144" s="133" t="s">
        <v>113</v>
      </c>
      <c r="J144" s="134" t="s">
        <v>114</v>
      </c>
    </row>
    <row r="145" spans="1:10">
      <c r="A145" s="485" t="s">
        <v>115</v>
      </c>
      <c r="B145" s="486"/>
      <c r="C145" s="486"/>
      <c r="D145" s="486"/>
      <c r="E145" s="486"/>
      <c r="F145" s="486"/>
      <c r="G145" s="486"/>
      <c r="H145" s="487"/>
      <c r="I145" s="133" t="s">
        <v>116</v>
      </c>
      <c r="J145" s="134" t="s">
        <v>117</v>
      </c>
    </row>
    <row r="146" spans="1:10">
      <c r="A146" s="485"/>
      <c r="B146" s="486"/>
      <c r="C146" s="486"/>
      <c r="D146" s="486"/>
      <c r="E146" s="486"/>
      <c r="F146" s="486"/>
      <c r="G146" s="486"/>
      <c r="H146" s="487"/>
      <c r="I146" s="133" t="s">
        <v>118</v>
      </c>
      <c r="J146" s="134"/>
    </row>
    <row r="147" spans="1:10">
      <c r="A147" s="488" t="s">
        <v>119</v>
      </c>
      <c r="B147" s="489"/>
      <c r="C147" s="490" t="s">
        <v>120</v>
      </c>
      <c r="D147" s="490"/>
      <c r="E147" s="491" t="s">
        <v>121</v>
      </c>
      <c r="F147" s="491"/>
      <c r="G147" s="491"/>
      <c r="H147" s="491"/>
      <c r="I147" s="133" t="s">
        <v>122</v>
      </c>
      <c r="J147" s="134"/>
    </row>
  </sheetData>
  <mergeCells count="213">
    <mergeCell ref="A67:H68"/>
    <mergeCell ref="A69:H70"/>
    <mergeCell ref="A71:B71"/>
    <mergeCell ref="C71:D71"/>
    <mergeCell ref="E71:H71"/>
    <mergeCell ref="A48:B50"/>
    <mergeCell ref="C48:D66"/>
    <mergeCell ref="E48:G48"/>
    <mergeCell ref="H48:I66"/>
    <mergeCell ref="J48:J66"/>
    <mergeCell ref="K48:L66"/>
    <mergeCell ref="E49:G49"/>
    <mergeCell ref="E50:G50"/>
    <mergeCell ref="A51:B52"/>
    <mergeCell ref="E51:G51"/>
    <mergeCell ref="E52:G52"/>
    <mergeCell ref="A53:B54"/>
    <mergeCell ref="E53:G53"/>
    <mergeCell ref="A55:B66"/>
    <mergeCell ref="E55:G55"/>
    <mergeCell ref="E56:G56"/>
    <mergeCell ref="E57:G57"/>
    <mergeCell ref="E58:G58"/>
    <mergeCell ref="E59:G59"/>
    <mergeCell ref="E60:G60"/>
    <mergeCell ref="E61:G61"/>
    <mergeCell ref="E62:G62"/>
    <mergeCell ref="E63:G63"/>
    <mergeCell ref="E54:G54"/>
    <mergeCell ref="E64:G64"/>
    <mergeCell ref="E65:G65"/>
    <mergeCell ref="E66:G66"/>
    <mergeCell ref="E44:L44"/>
    <mergeCell ref="A45:B45"/>
    <mergeCell ref="C45:D45"/>
    <mergeCell ref="E45:G45"/>
    <mergeCell ref="H45:I45"/>
    <mergeCell ref="K45:L45"/>
    <mergeCell ref="A46:B47"/>
    <mergeCell ref="C46:D47"/>
    <mergeCell ref="E46:G47"/>
    <mergeCell ref="H46:I47"/>
    <mergeCell ref="J46:J47"/>
    <mergeCell ref="K46:L47"/>
    <mergeCell ref="A39:L39"/>
    <mergeCell ref="E40:F40"/>
    <mergeCell ref="G40:I40"/>
    <mergeCell ref="J40:L40"/>
    <mergeCell ref="A41:I41"/>
    <mergeCell ref="J41:L41"/>
    <mergeCell ref="A42:G43"/>
    <mergeCell ref="H42:I43"/>
    <mergeCell ref="J42:J43"/>
    <mergeCell ref="K42:L43"/>
    <mergeCell ref="H7:I7"/>
    <mergeCell ref="K7:L7"/>
    <mergeCell ref="E20:G20"/>
    <mergeCell ref="E21:G21"/>
    <mergeCell ref="E22:G22"/>
    <mergeCell ref="E23:G23"/>
    <mergeCell ref="A1:L1"/>
    <mergeCell ref="E2:F2"/>
    <mergeCell ref="G2:I2"/>
    <mergeCell ref="J2:L2"/>
    <mergeCell ref="A3:I3"/>
    <mergeCell ref="J3:L3"/>
    <mergeCell ref="A8:B9"/>
    <mergeCell ref="C8:D9"/>
    <mergeCell ref="E8:G9"/>
    <mergeCell ref="H8:I9"/>
    <mergeCell ref="J8:J9"/>
    <mergeCell ref="K8:L9"/>
    <mergeCell ref="A4:G5"/>
    <mergeCell ref="H4:I5"/>
    <mergeCell ref="J4:J5"/>
    <mergeCell ref="K4:L5"/>
    <mergeCell ref="E6:L6"/>
    <mergeCell ref="A7:B7"/>
    <mergeCell ref="C7:D7"/>
    <mergeCell ref="E7:G7"/>
    <mergeCell ref="O10:P10"/>
    <mergeCell ref="E11:G11"/>
    <mergeCell ref="O11:P11"/>
    <mergeCell ref="E12:G12"/>
    <mergeCell ref="A30:H31"/>
    <mergeCell ref="A32:H33"/>
    <mergeCell ref="A34:B34"/>
    <mergeCell ref="C34:D34"/>
    <mergeCell ref="E34:H34"/>
    <mergeCell ref="A13:B14"/>
    <mergeCell ref="E13:G13"/>
    <mergeCell ref="E14:G14"/>
    <mergeCell ref="A10:B12"/>
    <mergeCell ref="C10:D29"/>
    <mergeCell ref="E10:G10"/>
    <mergeCell ref="H10:I29"/>
    <mergeCell ref="J10:J29"/>
    <mergeCell ref="K10:L29"/>
    <mergeCell ref="A15:B17"/>
    <mergeCell ref="E15:G15"/>
    <mergeCell ref="E16:G17"/>
    <mergeCell ref="A18:B29"/>
    <mergeCell ref="E18:G18"/>
    <mergeCell ref="E19:G19"/>
    <mergeCell ref="A37:L37"/>
    <mergeCell ref="E24:G24"/>
    <mergeCell ref="E25:G25"/>
    <mergeCell ref="E26:G26"/>
    <mergeCell ref="E27:G27"/>
    <mergeCell ref="E28:G28"/>
    <mergeCell ref="E29:G29"/>
    <mergeCell ref="A74:L74"/>
    <mergeCell ref="E75:F75"/>
    <mergeCell ref="G75:I75"/>
    <mergeCell ref="J75:L75"/>
    <mergeCell ref="A76:I76"/>
    <mergeCell ref="J76:L76"/>
    <mergeCell ref="A77:G78"/>
    <mergeCell ref="H77:I78"/>
    <mergeCell ref="J77:J78"/>
    <mergeCell ref="K77:L78"/>
    <mergeCell ref="E79:L79"/>
    <mergeCell ref="A80:B80"/>
    <mergeCell ref="C80:D80"/>
    <mergeCell ref="E80:G80"/>
    <mergeCell ref="H80:I80"/>
    <mergeCell ref="K80:L80"/>
    <mergeCell ref="A81:B82"/>
    <mergeCell ref="C81:D82"/>
    <mergeCell ref="E81:G82"/>
    <mergeCell ref="H81:I82"/>
    <mergeCell ref="J81:J82"/>
    <mergeCell ref="K81:L82"/>
    <mergeCell ref="J83:J101"/>
    <mergeCell ref="K83:L101"/>
    <mergeCell ref="E84:G84"/>
    <mergeCell ref="E85:G85"/>
    <mergeCell ref="A86:B87"/>
    <mergeCell ref="E86:G86"/>
    <mergeCell ref="E87:G87"/>
    <mergeCell ref="A88:B89"/>
    <mergeCell ref="E88:G88"/>
    <mergeCell ref="E89:G89"/>
    <mergeCell ref="A90:B101"/>
    <mergeCell ref="E90:G90"/>
    <mergeCell ref="E91:G91"/>
    <mergeCell ref="E92:G92"/>
    <mergeCell ref="E93:G93"/>
    <mergeCell ref="E94:G94"/>
    <mergeCell ref="E95:G95"/>
    <mergeCell ref="E96:G96"/>
    <mergeCell ref="E97:G97"/>
    <mergeCell ref="E98:G98"/>
    <mergeCell ref="E99:G99"/>
    <mergeCell ref="E100:G100"/>
    <mergeCell ref="E101:G101"/>
    <mergeCell ref="A102:H103"/>
    <mergeCell ref="A104:H105"/>
    <mergeCell ref="A106:B106"/>
    <mergeCell ref="C106:D106"/>
    <mergeCell ref="E106:H106"/>
    <mergeCell ref="A83:B85"/>
    <mergeCell ref="C83:D101"/>
    <mergeCell ref="E83:G83"/>
    <mergeCell ref="H83:I101"/>
    <mergeCell ref="A115:J115"/>
    <mergeCell ref="E116:F116"/>
    <mergeCell ref="G116:I116"/>
    <mergeCell ref="A117:I117"/>
    <mergeCell ref="A118:G119"/>
    <mergeCell ref="H118:I119"/>
    <mergeCell ref="J118:J119"/>
    <mergeCell ref="E120:J120"/>
    <mergeCell ref="A121:B121"/>
    <mergeCell ref="C121:D121"/>
    <mergeCell ref="E121:G121"/>
    <mergeCell ref="H121:I121"/>
    <mergeCell ref="A122:B123"/>
    <mergeCell ref="C122:D123"/>
    <mergeCell ref="E122:G123"/>
    <mergeCell ref="H122:I123"/>
    <mergeCell ref="J122:J123"/>
    <mergeCell ref="A124:B126"/>
    <mergeCell ref="C124:D142"/>
    <mergeCell ref="E124:G124"/>
    <mergeCell ref="H124:I142"/>
    <mergeCell ref="J124:J142"/>
    <mergeCell ref="E125:G125"/>
    <mergeCell ref="E126:G126"/>
    <mergeCell ref="A127:B128"/>
    <mergeCell ref="E127:G127"/>
    <mergeCell ref="E128:G128"/>
    <mergeCell ref="A129:B130"/>
    <mergeCell ref="E129:G129"/>
    <mergeCell ref="E130:G130"/>
    <mergeCell ref="A131:B142"/>
    <mergeCell ref="E131:G131"/>
    <mergeCell ref="E132:G132"/>
    <mergeCell ref="E133:G133"/>
    <mergeCell ref="E134:G134"/>
    <mergeCell ref="E135:G135"/>
    <mergeCell ref="A147:B147"/>
    <mergeCell ref="C147:D147"/>
    <mergeCell ref="E147:H147"/>
    <mergeCell ref="E136:G136"/>
    <mergeCell ref="E137:G137"/>
    <mergeCell ref="E138:G138"/>
    <mergeCell ref="E139:G139"/>
    <mergeCell ref="E140:G140"/>
    <mergeCell ref="E141:G141"/>
    <mergeCell ref="E142:G142"/>
    <mergeCell ref="A143:H144"/>
    <mergeCell ref="A145:H146"/>
  </mergeCells>
  <pageMargins left="0.2" right="0.2" top="0.5" bottom="0.5" header="0.05" footer="0.05"/>
  <pageSetup paperSize="9" scale="50"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A01B-E1DE-4EF2-9C46-53D631E4C7B2}">
  <sheetPr>
    <pageSetUpPr fitToPage="1"/>
  </sheetPr>
  <dimension ref="B2:N206"/>
  <sheetViews>
    <sheetView workbookViewId="0">
      <selection activeCell="C170" sqref="C170:G170"/>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20.5703125" customWidth="1"/>
    <col min="10" max="10" width="50.85546875" customWidth="1"/>
    <col min="11" max="11" width="58.425781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c r="B3" s="444"/>
      <c r="C3" s="41" t="s">
        <v>9</v>
      </c>
      <c r="D3" s="42" t="s">
        <v>10</v>
      </c>
      <c r="E3" s="439"/>
      <c r="F3" s="439"/>
      <c r="G3" s="439"/>
      <c r="H3" s="439"/>
      <c r="I3" s="439"/>
      <c r="J3" s="439"/>
      <c r="K3" s="441"/>
    </row>
    <row r="4" spans="2:14" s="3" customFormat="1" ht="42" customHeight="1">
      <c r="B4" s="32">
        <v>1</v>
      </c>
      <c r="C4" s="37">
        <v>45</v>
      </c>
      <c r="D4" s="37"/>
      <c r="E4" s="174">
        <v>45663</v>
      </c>
      <c r="F4" s="37" t="s">
        <v>131</v>
      </c>
      <c r="G4" s="37" t="s">
        <v>1058</v>
      </c>
      <c r="H4" s="37" t="s">
        <v>750</v>
      </c>
      <c r="I4" s="41" t="s">
        <v>127</v>
      </c>
      <c r="J4" s="36" t="s">
        <v>1650</v>
      </c>
      <c r="K4" s="37" t="s">
        <v>1651</v>
      </c>
    </row>
    <row r="5" spans="2:14" s="3" customFormat="1" ht="42" customHeight="1">
      <c r="B5" s="32">
        <v>2</v>
      </c>
      <c r="C5" s="37"/>
      <c r="D5" s="37">
        <v>15</v>
      </c>
      <c r="E5" s="174">
        <v>45665</v>
      </c>
      <c r="F5" s="37"/>
      <c r="G5" s="37"/>
      <c r="H5" s="37" t="s">
        <v>1652</v>
      </c>
      <c r="I5" s="37" t="s">
        <v>1653</v>
      </c>
      <c r="J5" s="37"/>
      <c r="K5" s="37"/>
      <c r="M5" s="442"/>
      <c r="N5" s="442"/>
    </row>
    <row r="6" spans="2:14" s="3" customFormat="1" ht="61.5" customHeight="1">
      <c r="B6" s="32">
        <v>3</v>
      </c>
      <c r="C6" s="37"/>
      <c r="D6" s="37">
        <v>25</v>
      </c>
      <c r="E6" s="174">
        <v>45666</v>
      </c>
      <c r="F6" s="37" t="s">
        <v>159</v>
      </c>
      <c r="G6" s="37" t="s">
        <v>1077</v>
      </c>
      <c r="H6" s="37" t="s">
        <v>1654</v>
      </c>
      <c r="I6" s="37" t="s">
        <v>1653</v>
      </c>
      <c r="J6" s="37" t="s">
        <v>1655</v>
      </c>
      <c r="K6" s="37" t="s">
        <v>1656</v>
      </c>
      <c r="L6" s="442"/>
      <c r="M6" s="442"/>
    </row>
    <row r="7" spans="2:14" s="3" customFormat="1" ht="42" customHeight="1">
      <c r="B7" s="32">
        <v>4</v>
      </c>
      <c r="C7" s="37"/>
      <c r="D7" s="37">
        <v>60</v>
      </c>
      <c r="E7" s="174">
        <v>45667</v>
      </c>
      <c r="F7" s="37" t="s">
        <v>159</v>
      </c>
      <c r="G7" s="37" t="s">
        <v>1077</v>
      </c>
      <c r="H7" s="37" t="s">
        <v>1657</v>
      </c>
      <c r="I7" s="41" t="s">
        <v>127</v>
      </c>
      <c r="J7" s="37" t="s">
        <v>1658</v>
      </c>
      <c r="K7" s="37" t="s">
        <v>1651</v>
      </c>
    </row>
    <row r="8" spans="2:14" s="3" customFormat="1" ht="42" customHeight="1">
      <c r="B8" s="32">
        <v>5</v>
      </c>
      <c r="C8" s="37"/>
      <c r="D8" s="37">
        <v>5</v>
      </c>
      <c r="E8" s="174">
        <v>45676</v>
      </c>
      <c r="F8" s="37"/>
      <c r="G8" s="37"/>
      <c r="H8" s="37" t="s">
        <v>1659</v>
      </c>
      <c r="I8" s="37" t="s">
        <v>1653</v>
      </c>
      <c r="J8" s="37"/>
      <c r="K8" s="37"/>
    </row>
    <row r="9" spans="2:14" s="3" customFormat="1" ht="42" customHeight="1">
      <c r="B9" s="32">
        <v>6</v>
      </c>
      <c r="C9" s="37">
        <v>120</v>
      </c>
      <c r="D9" s="37"/>
      <c r="E9" s="174">
        <v>45679</v>
      </c>
      <c r="F9" s="37"/>
      <c r="G9" s="37"/>
      <c r="H9" s="37" t="s">
        <v>1660</v>
      </c>
      <c r="I9" s="41" t="s">
        <v>127</v>
      </c>
      <c r="J9" s="36" t="s">
        <v>1661</v>
      </c>
      <c r="K9" s="36" t="s">
        <v>1662</v>
      </c>
    </row>
    <row r="10" spans="2:14" s="3" customFormat="1" ht="42" customHeight="1">
      <c r="B10" s="32">
        <v>7</v>
      </c>
      <c r="C10" s="37">
        <v>89</v>
      </c>
      <c r="D10" s="37"/>
      <c r="E10" s="174">
        <v>45685</v>
      </c>
      <c r="F10" s="37"/>
      <c r="G10" s="37"/>
      <c r="H10" s="37" t="s">
        <v>1663</v>
      </c>
      <c r="I10" s="41" t="s">
        <v>127</v>
      </c>
      <c r="J10" s="37" t="s">
        <v>1664</v>
      </c>
      <c r="K10" s="36" t="s">
        <v>1665</v>
      </c>
    </row>
    <row r="11" spans="2:14" s="3" customFormat="1" ht="42" customHeight="1">
      <c r="B11" s="32">
        <v>8</v>
      </c>
      <c r="C11" s="37"/>
      <c r="D11" s="37">
        <v>50</v>
      </c>
      <c r="E11" s="174">
        <v>45686</v>
      </c>
      <c r="F11" s="37" t="s">
        <v>159</v>
      </c>
      <c r="G11" s="37" t="s">
        <v>1077</v>
      </c>
      <c r="H11" s="37" t="s">
        <v>1666</v>
      </c>
      <c r="I11" s="41" t="s">
        <v>127</v>
      </c>
      <c r="J11" s="37" t="s">
        <v>1667</v>
      </c>
      <c r="K11" s="36" t="s">
        <v>1668</v>
      </c>
    </row>
    <row r="12" spans="2:14" s="3" customFormat="1" ht="42" customHeight="1">
      <c r="B12" s="32">
        <v>9</v>
      </c>
      <c r="C12" s="37"/>
      <c r="D12" s="37"/>
      <c r="E12" s="174"/>
      <c r="F12" s="37"/>
      <c r="G12" s="37"/>
      <c r="H12" s="37"/>
      <c r="I12" s="37"/>
      <c r="J12" s="37"/>
      <c r="K12" s="37"/>
    </row>
    <row r="13" spans="2:14">
      <c r="B13" s="6" t="s">
        <v>11</v>
      </c>
      <c r="C13" s="7">
        <f>SUM(C4:C12)</f>
        <v>254</v>
      </c>
      <c r="D13" s="7">
        <f>SUM(D4:D12)</f>
        <v>155</v>
      </c>
      <c r="E13" s="434"/>
      <c r="F13" s="435"/>
      <c r="G13" s="435"/>
      <c r="H13" s="435"/>
      <c r="I13" s="435"/>
      <c r="J13" s="435"/>
      <c r="K13" s="435"/>
    </row>
    <row r="14" spans="2:14">
      <c r="B14" s="9"/>
      <c r="C14" s="10"/>
      <c r="D14" s="11"/>
      <c r="E14" s="434"/>
      <c r="F14" s="435"/>
      <c r="G14" s="435"/>
      <c r="H14" s="435"/>
      <c r="I14" s="435"/>
      <c r="J14" s="435"/>
      <c r="K14" s="435"/>
    </row>
    <row r="15" spans="2:14">
      <c r="B15" s="6" t="s">
        <v>12</v>
      </c>
      <c r="C15" s="432">
        <f>SUM(C13,D13)</f>
        <v>409</v>
      </c>
      <c r="D15" s="433"/>
      <c r="E15" s="434"/>
      <c r="F15" s="435"/>
      <c r="G15" s="435"/>
      <c r="H15" s="435"/>
      <c r="I15" s="435"/>
      <c r="J15" s="435"/>
      <c r="K15" s="435"/>
    </row>
    <row r="16" spans="2:14">
      <c r="B16" s="12"/>
      <c r="C16" s="13"/>
      <c r="D16" s="14"/>
      <c r="E16" s="436"/>
      <c r="F16" s="437"/>
      <c r="G16" s="437"/>
      <c r="H16" s="437"/>
      <c r="I16" s="437"/>
      <c r="J16" s="437"/>
      <c r="K16" s="437"/>
    </row>
    <row r="19" spans="2:10" ht="26.25">
      <c r="B19" s="446" t="s">
        <v>13</v>
      </c>
      <c r="C19" s="447"/>
      <c r="D19" s="446" t="s">
        <v>14</v>
      </c>
      <c r="E19" s="446"/>
      <c r="F19" s="446"/>
      <c r="G19" s="446"/>
      <c r="H19" s="446"/>
      <c r="I19" s="446"/>
      <c r="J19" s="197" t="s">
        <v>15</v>
      </c>
    </row>
    <row r="20" spans="2:10" ht="20.25">
      <c r="B20" s="447"/>
      <c r="C20" s="447"/>
      <c r="D20" s="448" t="s">
        <v>16</v>
      </c>
      <c r="E20" s="448"/>
      <c r="F20" s="448"/>
      <c r="G20" s="448"/>
      <c r="H20" s="448"/>
      <c r="I20" s="448"/>
      <c r="J20" s="197" t="s">
        <v>17</v>
      </c>
    </row>
    <row r="21" spans="2:10">
      <c r="B21" s="449" t="s">
        <v>18</v>
      </c>
      <c r="C21" s="449"/>
      <c r="D21" s="244">
        <v>45663</v>
      </c>
      <c r="E21" s="199" t="s">
        <v>1460</v>
      </c>
      <c r="F21" s="450" t="s">
        <v>131</v>
      </c>
      <c r="G21" s="450"/>
      <c r="H21" s="201" t="s">
        <v>21</v>
      </c>
      <c r="I21" s="202" t="s">
        <v>1669</v>
      </c>
      <c r="J21" s="199" t="s">
        <v>23</v>
      </c>
    </row>
    <row r="22" spans="2:10">
      <c r="B22" s="449" t="s">
        <v>24</v>
      </c>
      <c r="C22" s="449"/>
      <c r="D22" s="203" t="s">
        <v>1670</v>
      </c>
      <c r="E22" s="204" t="s">
        <v>25</v>
      </c>
      <c r="F22" s="450" t="s">
        <v>26</v>
      </c>
      <c r="G22" s="450"/>
      <c r="H22" s="199" t="s">
        <v>27</v>
      </c>
      <c r="I22" s="202" t="s">
        <v>867</v>
      </c>
      <c r="J22" s="202" t="s">
        <v>29</v>
      </c>
    </row>
    <row r="23" spans="2:10">
      <c r="B23" s="449" t="s">
        <v>30</v>
      </c>
      <c r="C23" s="449"/>
      <c r="D23" s="199" t="s">
        <v>31</v>
      </c>
      <c r="E23" s="199" t="s">
        <v>32</v>
      </c>
      <c r="F23" s="450">
        <v>45</v>
      </c>
      <c r="G23" s="450"/>
      <c r="H23" s="201" t="s">
        <v>33</v>
      </c>
      <c r="I23" s="204" t="s">
        <v>1671</v>
      </c>
      <c r="J23" s="202"/>
    </row>
    <row r="24" spans="2:10">
      <c r="B24" s="451" t="s">
        <v>35</v>
      </c>
      <c r="C24" s="451"/>
      <c r="D24" s="464" t="s">
        <v>1672</v>
      </c>
      <c r="E24" s="465"/>
      <c r="F24" s="465"/>
      <c r="G24" s="465"/>
      <c r="H24" s="465"/>
      <c r="I24" s="465"/>
      <c r="J24" s="469"/>
    </row>
    <row r="25" spans="2:10">
      <c r="B25" s="452" t="s">
        <v>1673</v>
      </c>
      <c r="C25" s="453"/>
      <c r="D25" s="453"/>
      <c r="E25" s="453"/>
      <c r="F25" s="453"/>
      <c r="G25" s="453"/>
      <c r="H25" s="453"/>
      <c r="I25" s="453"/>
      <c r="J25" s="454"/>
    </row>
    <row r="26" spans="2:10">
      <c r="B26" s="455"/>
      <c r="C26" s="456"/>
      <c r="D26" s="456"/>
      <c r="E26" s="456"/>
      <c r="F26" s="456"/>
      <c r="G26" s="456"/>
      <c r="H26" s="456"/>
      <c r="I26" s="456"/>
      <c r="J26" s="457"/>
    </row>
    <row r="27" spans="2:10">
      <c r="B27" s="455"/>
      <c r="C27" s="456"/>
      <c r="D27" s="456"/>
      <c r="E27" s="456"/>
      <c r="F27" s="456"/>
      <c r="G27" s="456"/>
      <c r="H27" s="456"/>
      <c r="I27" s="456"/>
      <c r="J27" s="457"/>
    </row>
    <row r="28" spans="2:10">
      <c r="B28" s="458"/>
      <c r="C28" s="459"/>
      <c r="D28" s="459"/>
      <c r="E28" s="459"/>
      <c r="F28" s="459"/>
      <c r="G28" s="459"/>
      <c r="H28" s="459"/>
      <c r="I28" s="459"/>
      <c r="J28" s="460"/>
    </row>
    <row r="29" spans="2:10" ht="18">
      <c r="B29" s="461" t="s">
        <v>38</v>
      </c>
      <c r="C29" s="462"/>
      <c r="D29" s="462"/>
      <c r="E29" s="462"/>
      <c r="F29" s="462"/>
      <c r="G29" s="462"/>
      <c r="H29" s="462"/>
      <c r="I29" s="463"/>
      <c r="J29" s="205" t="s">
        <v>39</v>
      </c>
    </row>
    <row r="30" spans="2:10">
      <c r="B30" s="200">
        <v>1</v>
      </c>
      <c r="C30" s="464" t="s">
        <v>1674</v>
      </c>
      <c r="D30" s="465"/>
      <c r="E30" s="465"/>
      <c r="F30" s="465"/>
      <c r="G30" s="465"/>
      <c r="H30" s="465"/>
      <c r="I30" s="466"/>
      <c r="J30" s="200" t="s">
        <v>43</v>
      </c>
    </row>
    <row r="31" spans="2:10">
      <c r="B31" s="200">
        <v>2</v>
      </c>
      <c r="C31" s="464"/>
      <c r="D31" s="465"/>
      <c r="E31" s="465"/>
      <c r="F31" s="465"/>
      <c r="G31" s="465"/>
      <c r="H31" s="465"/>
      <c r="I31" s="466"/>
      <c r="J31" s="200"/>
    </row>
    <row r="32" spans="2:10">
      <c r="B32" s="200">
        <v>3</v>
      </c>
      <c r="C32" s="467"/>
      <c r="D32" s="468"/>
      <c r="E32" s="468"/>
      <c r="F32" s="468"/>
      <c r="G32" s="468"/>
      <c r="H32" s="468"/>
      <c r="I32" s="469"/>
      <c r="J32" s="200"/>
    </row>
    <row r="33" spans="2:10" ht="18">
      <c r="B33" s="461" t="s">
        <v>44</v>
      </c>
      <c r="C33" s="462"/>
      <c r="D33" s="462"/>
      <c r="E33" s="462"/>
      <c r="F33" s="462"/>
      <c r="G33" s="462"/>
      <c r="H33" s="462"/>
      <c r="I33" s="462"/>
      <c r="J33" s="463"/>
    </row>
    <row r="34" spans="2:10">
      <c r="B34" s="200" t="s">
        <v>45</v>
      </c>
      <c r="C34" s="470" t="s">
        <v>1675</v>
      </c>
      <c r="D34" s="471"/>
      <c r="E34" s="471"/>
      <c r="F34" s="471"/>
      <c r="G34" s="471"/>
      <c r="H34" s="471"/>
      <c r="I34" s="471"/>
      <c r="J34" s="472"/>
    </row>
    <row r="35" spans="2:10">
      <c r="B35" s="206" t="s">
        <v>45</v>
      </c>
      <c r="C35" s="473" t="s">
        <v>1676</v>
      </c>
      <c r="D35" s="473"/>
      <c r="E35" s="473"/>
      <c r="F35" s="473"/>
      <c r="G35" s="473"/>
      <c r="H35" s="473"/>
      <c r="I35" s="473"/>
      <c r="J35" s="473"/>
    </row>
    <row r="36" spans="2:10">
      <c r="B36" s="206" t="s">
        <v>45</v>
      </c>
      <c r="C36" s="473" t="s">
        <v>1677</v>
      </c>
      <c r="D36" s="473"/>
      <c r="E36" s="473"/>
      <c r="F36" s="473"/>
      <c r="G36" s="473"/>
      <c r="H36" s="473"/>
      <c r="I36" s="473"/>
      <c r="J36" s="473"/>
    </row>
    <row r="37" spans="2:10">
      <c r="B37" s="206" t="s">
        <v>45</v>
      </c>
      <c r="C37" s="473" t="s">
        <v>1678</v>
      </c>
      <c r="D37" s="473"/>
      <c r="E37" s="473"/>
      <c r="F37" s="473"/>
      <c r="G37" s="473"/>
      <c r="H37" s="473"/>
      <c r="I37" s="473"/>
      <c r="J37" s="473"/>
    </row>
    <row r="38" spans="2:10">
      <c r="B38" s="206" t="s">
        <v>45</v>
      </c>
      <c r="C38" s="474" t="s">
        <v>1650</v>
      </c>
      <c r="D38" s="475"/>
      <c r="E38" s="475"/>
      <c r="F38" s="475"/>
      <c r="G38" s="475"/>
      <c r="H38" s="475"/>
      <c r="I38" s="475"/>
      <c r="J38" s="476"/>
    </row>
    <row r="39" spans="2:10">
      <c r="B39" s="206" t="s">
        <v>45</v>
      </c>
      <c r="C39" s="464"/>
      <c r="D39" s="465"/>
      <c r="E39" s="465"/>
      <c r="F39" s="465"/>
      <c r="G39" s="465"/>
      <c r="H39" s="465"/>
      <c r="I39" s="465"/>
      <c r="J39" s="466"/>
    </row>
    <row r="40" spans="2:10">
      <c r="B40" s="200" t="s">
        <v>45</v>
      </c>
      <c r="C40" s="464"/>
      <c r="D40" s="465"/>
      <c r="E40" s="465"/>
      <c r="F40" s="465"/>
      <c r="G40" s="465"/>
      <c r="H40" s="465"/>
      <c r="I40" s="465"/>
      <c r="J40" s="466"/>
    </row>
    <row r="41" spans="2:10">
      <c r="B41" s="200" t="s">
        <v>7</v>
      </c>
      <c r="C41" s="474" t="s">
        <v>1650</v>
      </c>
      <c r="D41" s="475"/>
      <c r="E41" s="475"/>
      <c r="F41" s="475"/>
      <c r="G41" s="475"/>
      <c r="H41" s="475"/>
      <c r="I41" s="475"/>
      <c r="J41" s="476"/>
    </row>
    <row r="42" spans="2:10" ht="18">
      <c r="B42" s="205" t="s">
        <v>52</v>
      </c>
      <c r="C42" s="477" t="s">
        <v>53</v>
      </c>
      <c r="D42" s="477"/>
      <c r="E42" s="477"/>
      <c r="F42" s="477"/>
      <c r="G42" s="477"/>
      <c r="H42" s="205" t="s">
        <v>54</v>
      </c>
      <c r="I42" s="205" t="s">
        <v>55</v>
      </c>
      <c r="J42" s="205" t="s">
        <v>56</v>
      </c>
    </row>
    <row r="43" spans="2:10">
      <c r="B43" s="200">
        <v>1</v>
      </c>
      <c r="C43" s="451" t="s">
        <v>1679</v>
      </c>
      <c r="D43" s="451"/>
      <c r="E43" s="451"/>
      <c r="F43" s="451"/>
      <c r="G43" s="451"/>
      <c r="H43" s="200"/>
      <c r="I43" s="207"/>
      <c r="J43" s="200"/>
    </row>
    <row r="44" spans="2:10">
      <c r="B44" s="200">
        <v>2</v>
      </c>
      <c r="C44" s="449"/>
      <c r="D44" s="449"/>
      <c r="E44" s="449"/>
      <c r="F44" s="449"/>
      <c r="G44" s="449"/>
      <c r="H44" s="200"/>
      <c r="I44" s="207"/>
      <c r="J44" s="200"/>
    </row>
    <row r="45" spans="2:10">
      <c r="B45" s="200">
        <v>3</v>
      </c>
      <c r="C45" s="450"/>
      <c r="D45" s="450"/>
      <c r="E45" s="450"/>
      <c r="F45" s="450"/>
      <c r="G45" s="450"/>
      <c r="H45" s="200"/>
      <c r="I45" s="200"/>
      <c r="J45" s="200"/>
    </row>
    <row r="46" spans="2:10">
      <c r="B46" s="450" t="s">
        <v>63</v>
      </c>
      <c r="C46" s="450"/>
      <c r="D46" s="199" t="s">
        <v>31</v>
      </c>
      <c r="E46" s="198" t="s">
        <v>64</v>
      </c>
      <c r="F46" s="467"/>
      <c r="G46" s="469"/>
      <c r="H46" s="199"/>
      <c r="I46" s="199"/>
      <c r="J46" s="199"/>
    </row>
    <row r="47" spans="2:10" ht="45">
      <c r="B47" s="201" t="s">
        <v>66</v>
      </c>
      <c r="C47" s="450"/>
      <c r="D47" s="450"/>
      <c r="E47" s="201" t="s">
        <v>67</v>
      </c>
      <c r="F47" s="450"/>
      <c r="G47" s="450"/>
      <c r="H47" s="201" t="s">
        <v>68</v>
      </c>
      <c r="I47" s="450"/>
      <c r="J47" s="450"/>
    </row>
    <row r="50" spans="2:10" ht="26.25" customHeight="1">
      <c r="B50" s="446" t="s">
        <v>13</v>
      </c>
      <c r="C50" s="447"/>
      <c r="D50" s="446" t="s">
        <v>14</v>
      </c>
      <c r="E50" s="446"/>
      <c r="F50" s="446"/>
      <c r="G50" s="446"/>
      <c r="H50" s="446"/>
      <c r="I50" s="446"/>
      <c r="J50" s="197" t="s">
        <v>15</v>
      </c>
    </row>
    <row r="51" spans="2:10" ht="20.25" customHeight="1">
      <c r="B51" s="447"/>
      <c r="C51" s="447"/>
      <c r="D51" s="448" t="s">
        <v>16</v>
      </c>
      <c r="E51" s="448"/>
      <c r="F51" s="448"/>
      <c r="G51" s="448"/>
      <c r="H51" s="448"/>
      <c r="I51" s="448"/>
      <c r="J51" s="197" t="s">
        <v>17</v>
      </c>
    </row>
    <row r="52" spans="2:10">
      <c r="B52" s="449" t="s">
        <v>18</v>
      </c>
      <c r="C52" s="449"/>
      <c r="D52" s="244">
        <v>45667</v>
      </c>
      <c r="E52" s="199" t="s">
        <v>1460</v>
      </c>
      <c r="F52" s="450" t="s">
        <v>159</v>
      </c>
      <c r="G52" s="450"/>
      <c r="H52" s="201" t="s">
        <v>21</v>
      </c>
      <c r="I52" s="202" t="s">
        <v>1669</v>
      </c>
      <c r="J52" s="199" t="s">
        <v>23</v>
      </c>
    </row>
    <row r="53" spans="2:10">
      <c r="B53" s="449" t="s">
        <v>24</v>
      </c>
      <c r="C53" s="449"/>
      <c r="D53" s="203" t="s">
        <v>1680</v>
      </c>
      <c r="E53" s="204" t="s">
        <v>25</v>
      </c>
      <c r="F53" s="450" t="s">
        <v>26</v>
      </c>
      <c r="G53" s="450"/>
      <c r="H53" s="199" t="s">
        <v>27</v>
      </c>
      <c r="I53" s="202" t="s">
        <v>917</v>
      </c>
      <c r="J53" s="202" t="s">
        <v>29</v>
      </c>
    </row>
    <row r="54" spans="2:10">
      <c r="B54" s="449" t="s">
        <v>30</v>
      </c>
      <c r="C54" s="449"/>
      <c r="D54" s="199" t="s">
        <v>31</v>
      </c>
      <c r="E54" s="199" t="s">
        <v>32</v>
      </c>
      <c r="F54" s="450">
        <v>60</v>
      </c>
      <c r="G54" s="450"/>
      <c r="H54" s="201" t="s">
        <v>33</v>
      </c>
      <c r="I54" s="204" t="s">
        <v>1671</v>
      </c>
      <c r="J54" s="202"/>
    </row>
    <row r="55" spans="2:10" ht="15" customHeight="1">
      <c r="B55" s="451" t="s">
        <v>35</v>
      </c>
      <c r="C55" s="451"/>
      <c r="D55" s="464" t="s">
        <v>1681</v>
      </c>
      <c r="E55" s="465"/>
      <c r="F55" s="465"/>
      <c r="G55" s="465"/>
      <c r="H55" s="465"/>
      <c r="I55" s="465"/>
      <c r="J55" s="469"/>
    </row>
    <row r="56" spans="2:10" ht="15" customHeight="1">
      <c r="B56" s="452" t="s">
        <v>1682</v>
      </c>
      <c r="C56" s="453"/>
      <c r="D56" s="453"/>
      <c r="E56" s="453"/>
      <c r="F56" s="453"/>
      <c r="G56" s="453"/>
      <c r="H56" s="453"/>
      <c r="I56" s="453"/>
      <c r="J56" s="454"/>
    </row>
    <row r="57" spans="2:10">
      <c r="B57" s="455"/>
      <c r="C57" s="456"/>
      <c r="D57" s="456"/>
      <c r="E57" s="456"/>
      <c r="F57" s="456"/>
      <c r="G57" s="456"/>
      <c r="H57" s="456"/>
      <c r="I57" s="456"/>
      <c r="J57" s="457"/>
    </row>
    <row r="58" spans="2:10">
      <c r="B58" s="455"/>
      <c r="C58" s="456"/>
      <c r="D58" s="456"/>
      <c r="E58" s="456"/>
      <c r="F58" s="456"/>
      <c r="G58" s="456"/>
      <c r="H58" s="456"/>
      <c r="I58" s="456"/>
      <c r="J58" s="457"/>
    </row>
    <row r="59" spans="2:10">
      <c r="B59" s="458"/>
      <c r="C59" s="459"/>
      <c r="D59" s="459"/>
      <c r="E59" s="459"/>
      <c r="F59" s="459"/>
      <c r="G59" s="459"/>
      <c r="H59" s="459"/>
      <c r="I59" s="459"/>
      <c r="J59" s="460"/>
    </row>
    <row r="60" spans="2:10" ht="18">
      <c r="B60" s="461" t="s">
        <v>38</v>
      </c>
      <c r="C60" s="462"/>
      <c r="D60" s="462"/>
      <c r="E60" s="462"/>
      <c r="F60" s="462"/>
      <c r="G60" s="462"/>
      <c r="H60" s="462"/>
      <c r="I60" s="463"/>
      <c r="J60" s="205" t="s">
        <v>39</v>
      </c>
    </row>
    <row r="61" spans="2:10">
      <c r="B61" s="200">
        <v>1</v>
      </c>
      <c r="C61" s="464" t="s">
        <v>1674</v>
      </c>
      <c r="D61" s="465"/>
      <c r="E61" s="465"/>
      <c r="F61" s="465"/>
      <c r="G61" s="465"/>
      <c r="H61" s="465"/>
      <c r="I61" s="466"/>
      <c r="J61" s="200" t="s">
        <v>43</v>
      </c>
    </row>
    <row r="62" spans="2:10">
      <c r="B62" s="200">
        <v>2</v>
      </c>
      <c r="C62" s="464"/>
      <c r="D62" s="465"/>
      <c r="E62" s="465"/>
      <c r="F62" s="465"/>
      <c r="G62" s="465"/>
      <c r="H62" s="465"/>
      <c r="I62" s="466"/>
      <c r="J62" s="200"/>
    </row>
    <row r="63" spans="2:10">
      <c r="B63" s="200">
        <v>3</v>
      </c>
      <c r="C63" s="467"/>
      <c r="D63" s="468"/>
      <c r="E63" s="468"/>
      <c r="F63" s="468"/>
      <c r="G63" s="468"/>
      <c r="H63" s="468"/>
      <c r="I63" s="469"/>
      <c r="J63" s="200"/>
    </row>
    <row r="64" spans="2:10" ht="18">
      <c r="B64" s="461" t="s">
        <v>44</v>
      </c>
      <c r="C64" s="462"/>
      <c r="D64" s="462"/>
      <c r="E64" s="462"/>
      <c r="F64" s="462"/>
      <c r="G64" s="462"/>
      <c r="H64" s="462"/>
      <c r="I64" s="462"/>
      <c r="J64" s="463"/>
    </row>
    <row r="65" spans="2:10">
      <c r="B65" s="200" t="s">
        <v>45</v>
      </c>
      <c r="C65" s="470" t="s">
        <v>1675</v>
      </c>
      <c r="D65" s="471"/>
      <c r="E65" s="471"/>
      <c r="F65" s="471"/>
      <c r="G65" s="471"/>
      <c r="H65" s="471"/>
      <c r="I65" s="471"/>
      <c r="J65" s="472"/>
    </row>
    <row r="66" spans="2:10">
      <c r="B66" s="206" t="s">
        <v>45</v>
      </c>
      <c r="C66" s="473" t="s">
        <v>1683</v>
      </c>
      <c r="D66" s="473"/>
      <c r="E66" s="473"/>
      <c r="F66" s="473"/>
      <c r="G66" s="473"/>
      <c r="H66" s="473"/>
      <c r="I66" s="473"/>
      <c r="J66" s="473"/>
    </row>
    <row r="67" spans="2:10">
      <c r="B67" s="206" t="s">
        <v>45</v>
      </c>
      <c r="C67" s="473" t="s">
        <v>1677</v>
      </c>
      <c r="D67" s="473"/>
      <c r="E67" s="473"/>
      <c r="F67" s="473"/>
      <c r="G67" s="473"/>
      <c r="H67" s="473"/>
      <c r="I67" s="473"/>
      <c r="J67" s="473"/>
    </row>
    <row r="68" spans="2:10">
      <c r="B68" s="206" t="s">
        <v>45</v>
      </c>
      <c r="C68" s="473" t="s">
        <v>1678</v>
      </c>
      <c r="D68" s="473"/>
      <c r="E68" s="473"/>
      <c r="F68" s="473"/>
      <c r="G68" s="473"/>
      <c r="H68" s="473"/>
      <c r="I68" s="473"/>
      <c r="J68" s="473"/>
    </row>
    <row r="69" spans="2:10">
      <c r="B69" s="206" t="s">
        <v>45</v>
      </c>
      <c r="C69" s="474" t="s">
        <v>1684</v>
      </c>
      <c r="D69" s="475"/>
      <c r="E69" s="475"/>
      <c r="F69" s="475"/>
      <c r="G69" s="475"/>
      <c r="H69" s="475"/>
      <c r="I69" s="475"/>
      <c r="J69" s="476"/>
    </row>
    <row r="70" spans="2:10">
      <c r="B70" s="206" t="s">
        <v>45</v>
      </c>
      <c r="C70" s="464"/>
      <c r="D70" s="465"/>
      <c r="E70" s="465"/>
      <c r="F70" s="465"/>
      <c r="G70" s="465"/>
      <c r="H70" s="465"/>
      <c r="I70" s="465"/>
      <c r="J70" s="466"/>
    </row>
    <row r="71" spans="2:10">
      <c r="B71" s="200" t="s">
        <v>45</v>
      </c>
      <c r="C71" s="464"/>
      <c r="D71" s="465"/>
      <c r="E71" s="465"/>
      <c r="F71" s="465"/>
      <c r="G71" s="465"/>
      <c r="H71" s="465"/>
      <c r="I71" s="465"/>
      <c r="J71" s="466"/>
    </row>
    <row r="72" spans="2:10">
      <c r="B72" s="200" t="s">
        <v>7</v>
      </c>
      <c r="C72" s="474" t="s">
        <v>1684</v>
      </c>
      <c r="D72" s="475"/>
      <c r="E72" s="475"/>
      <c r="F72" s="475"/>
      <c r="G72" s="475"/>
      <c r="H72" s="475"/>
      <c r="I72" s="475"/>
      <c r="J72" s="476"/>
    </row>
    <row r="73" spans="2:10" ht="18">
      <c r="B73" s="205" t="s">
        <v>52</v>
      </c>
      <c r="C73" s="477" t="s">
        <v>53</v>
      </c>
      <c r="D73" s="477"/>
      <c r="E73" s="477"/>
      <c r="F73" s="477"/>
      <c r="G73" s="477"/>
      <c r="H73" s="205" t="s">
        <v>54</v>
      </c>
      <c r="I73" s="205" t="s">
        <v>55</v>
      </c>
      <c r="J73" s="205" t="s">
        <v>56</v>
      </c>
    </row>
    <row r="74" spans="2:10">
      <c r="B74" s="200">
        <v>1</v>
      </c>
      <c r="C74" s="451" t="s">
        <v>1679</v>
      </c>
      <c r="D74" s="451"/>
      <c r="E74" s="451"/>
      <c r="F74" s="451"/>
      <c r="G74" s="451"/>
      <c r="H74" s="200"/>
      <c r="I74" s="207"/>
      <c r="J74" s="200"/>
    </row>
    <row r="75" spans="2:10">
      <c r="B75" s="200">
        <v>2</v>
      </c>
      <c r="C75" s="449"/>
      <c r="D75" s="449"/>
      <c r="E75" s="449"/>
      <c r="F75" s="449"/>
      <c r="G75" s="449"/>
      <c r="H75" s="200"/>
      <c r="I75" s="207"/>
      <c r="J75" s="200"/>
    </row>
    <row r="76" spans="2:10">
      <c r="B76" s="200">
        <v>3</v>
      </c>
      <c r="C76" s="450"/>
      <c r="D76" s="450"/>
      <c r="E76" s="450"/>
      <c r="F76" s="450"/>
      <c r="G76" s="450"/>
      <c r="H76" s="200"/>
      <c r="I76" s="200"/>
      <c r="J76" s="200"/>
    </row>
    <row r="77" spans="2:10">
      <c r="B77" s="450" t="s">
        <v>63</v>
      </c>
      <c r="C77" s="450"/>
      <c r="D77" s="199" t="s">
        <v>31</v>
      </c>
      <c r="E77" s="198" t="s">
        <v>64</v>
      </c>
      <c r="F77" s="467"/>
      <c r="G77" s="469"/>
      <c r="H77" s="199"/>
      <c r="I77" s="199"/>
      <c r="J77" s="199"/>
    </row>
    <row r="78" spans="2:10" ht="45">
      <c r="B78" s="201" t="s">
        <v>66</v>
      </c>
      <c r="C78" s="450"/>
      <c r="D78" s="450"/>
      <c r="E78" s="201" t="s">
        <v>67</v>
      </c>
      <c r="F78" s="450"/>
      <c r="G78" s="450"/>
      <c r="H78" s="201" t="s">
        <v>68</v>
      </c>
      <c r="I78" s="450"/>
      <c r="J78" s="450"/>
    </row>
    <row r="81" spans="2:10" ht="26.25">
      <c r="B81" s="446" t="s">
        <v>13</v>
      </c>
      <c r="C81" s="447"/>
      <c r="D81" s="446" t="s">
        <v>14</v>
      </c>
      <c r="E81" s="446"/>
      <c r="F81" s="446"/>
      <c r="G81" s="446"/>
      <c r="H81" s="446"/>
      <c r="I81" s="446"/>
      <c r="J81" s="197" t="s">
        <v>15</v>
      </c>
    </row>
    <row r="82" spans="2:10" ht="20.25">
      <c r="B82" s="447"/>
      <c r="C82" s="447"/>
      <c r="D82" s="448" t="s">
        <v>16</v>
      </c>
      <c r="E82" s="448"/>
      <c r="F82" s="448"/>
      <c r="G82" s="448"/>
      <c r="H82" s="448"/>
      <c r="I82" s="448"/>
      <c r="J82" s="197" t="s">
        <v>17</v>
      </c>
    </row>
    <row r="83" spans="2:10">
      <c r="B83" s="449" t="s">
        <v>18</v>
      </c>
      <c r="C83" s="449"/>
      <c r="D83" s="244">
        <v>45679</v>
      </c>
      <c r="E83" s="199" t="s">
        <v>1460</v>
      </c>
      <c r="F83" s="450" t="s">
        <v>159</v>
      </c>
      <c r="G83" s="450"/>
      <c r="H83" s="201" t="s">
        <v>21</v>
      </c>
      <c r="I83" s="202" t="s">
        <v>1472</v>
      </c>
      <c r="J83" s="199" t="s">
        <v>23</v>
      </c>
    </row>
    <row r="84" spans="2:10">
      <c r="B84" s="449" t="s">
        <v>24</v>
      </c>
      <c r="C84" s="449"/>
      <c r="D84" s="203">
        <v>0.375</v>
      </c>
      <c r="E84" s="204" t="s">
        <v>25</v>
      </c>
      <c r="F84" s="450" t="s">
        <v>26</v>
      </c>
      <c r="G84" s="450"/>
      <c r="H84" s="199" t="s">
        <v>27</v>
      </c>
      <c r="I84" s="202" t="s">
        <v>867</v>
      </c>
      <c r="J84" s="202" t="s">
        <v>29</v>
      </c>
    </row>
    <row r="85" spans="2:10">
      <c r="B85" s="449" t="s">
        <v>30</v>
      </c>
      <c r="C85" s="449"/>
      <c r="D85" s="199" t="s">
        <v>31</v>
      </c>
      <c r="E85" s="199" t="s">
        <v>32</v>
      </c>
      <c r="F85" s="450">
        <v>120</v>
      </c>
      <c r="G85" s="450"/>
      <c r="H85" s="201" t="s">
        <v>33</v>
      </c>
      <c r="I85" s="204" t="s">
        <v>1685</v>
      </c>
      <c r="J85" s="202"/>
    </row>
    <row r="86" spans="2:10">
      <c r="B86" s="451" t="s">
        <v>35</v>
      </c>
      <c r="C86" s="451"/>
      <c r="D86" s="464" t="s">
        <v>1494</v>
      </c>
      <c r="E86" s="465"/>
      <c r="F86" s="465"/>
      <c r="G86" s="465"/>
      <c r="H86" s="465"/>
      <c r="I86" s="465"/>
      <c r="J86" s="469"/>
    </row>
    <row r="87" spans="2:10">
      <c r="B87" s="452" t="s">
        <v>1686</v>
      </c>
      <c r="C87" s="453"/>
      <c r="D87" s="453"/>
      <c r="E87" s="453"/>
      <c r="F87" s="453"/>
      <c r="G87" s="453"/>
      <c r="H87" s="453"/>
      <c r="I87" s="453"/>
      <c r="J87" s="454"/>
    </row>
    <row r="88" spans="2:10">
      <c r="B88" s="455"/>
      <c r="C88" s="456"/>
      <c r="D88" s="456"/>
      <c r="E88" s="456"/>
      <c r="F88" s="456"/>
      <c r="G88" s="456"/>
      <c r="H88" s="456"/>
      <c r="I88" s="456"/>
      <c r="J88" s="457"/>
    </row>
    <row r="89" spans="2:10">
      <c r="B89" s="455"/>
      <c r="C89" s="456"/>
      <c r="D89" s="456"/>
      <c r="E89" s="456"/>
      <c r="F89" s="456"/>
      <c r="G89" s="456"/>
      <c r="H89" s="456"/>
      <c r="I89" s="456"/>
      <c r="J89" s="457"/>
    </row>
    <row r="90" spans="2:10">
      <c r="B90" s="458"/>
      <c r="C90" s="459"/>
      <c r="D90" s="459"/>
      <c r="E90" s="459"/>
      <c r="F90" s="459"/>
      <c r="G90" s="459"/>
      <c r="H90" s="459"/>
      <c r="I90" s="459"/>
      <c r="J90" s="460"/>
    </row>
    <row r="91" spans="2:10" ht="18">
      <c r="B91" s="461" t="s">
        <v>38</v>
      </c>
      <c r="C91" s="462"/>
      <c r="D91" s="462"/>
      <c r="E91" s="462"/>
      <c r="F91" s="462"/>
      <c r="G91" s="462"/>
      <c r="H91" s="462"/>
      <c r="I91" s="463"/>
      <c r="J91" s="205" t="s">
        <v>39</v>
      </c>
    </row>
    <row r="92" spans="2:10">
      <c r="B92" s="200">
        <v>1</v>
      </c>
      <c r="C92" s="464" t="s">
        <v>1687</v>
      </c>
      <c r="D92" s="465"/>
      <c r="E92" s="465"/>
      <c r="F92" s="465"/>
      <c r="G92" s="465"/>
      <c r="H92" s="465"/>
      <c r="I92" s="466"/>
      <c r="J92" s="200" t="s">
        <v>43</v>
      </c>
    </row>
    <row r="93" spans="2:10">
      <c r="B93" s="200">
        <v>2</v>
      </c>
      <c r="C93" s="464"/>
      <c r="D93" s="465"/>
      <c r="E93" s="465"/>
      <c r="F93" s="465"/>
      <c r="G93" s="465"/>
      <c r="H93" s="465"/>
      <c r="I93" s="466"/>
      <c r="J93" s="200"/>
    </row>
    <row r="94" spans="2:10">
      <c r="B94" s="200">
        <v>3</v>
      </c>
      <c r="C94" s="467"/>
      <c r="D94" s="468"/>
      <c r="E94" s="468"/>
      <c r="F94" s="468"/>
      <c r="G94" s="468"/>
      <c r="H94" s="468"/>
      <c r="I94" s="469"/>
      <c r="J94" s="200"/>
    </row>
    <row r="95" spans="2:10" ht="18">
      <c r="B95" s="461" t="s">
        <v>44</v>
      </c>
      <c r="C95" s="462"/>
      <c r="D95" s="462"/>
      <c r="E95" s="462"/>
      <c r="F95" s="462"/>
      <c r="G95" s="462"/>
      <c r="H95" s="462"/>
      <c r="I95" s="462"/>
      <c r="J95" s="463"/>
    </row>
    <row r="96" spans="2:10">
      <c r="B96" s="200" t="s">
        <v>45</v>
      </c>
      <c r="C96" s="470" t="s">
        <v>1675</v>
      </c>
      <c r="D96" s="471"/>
      <c r="E96" s="471"/>
      <c r="F96" s="471"/>
      <c r="G96" s="471"/>
      <c r="H96" s="471"/>
      <c r="I96" s="471"/>
      <c r="J96" s="472"/>
    </row>
    <row r="97" spans="2:10">
      <c r="B97" s="206" t="s">
        <v>45</v>
      </c>
      <c r="C97" s="473" t="s">
        <v>1688</v>
      </c>
      <c r="D97" s="473"/>
      <c r="E97" s="473"/>
      <c r="F97" s="473"/>
      <c r="G97" s="473"/>
      <c r="H97" s="473"/>
      <c r="I97" s="473"/>
      <c r="J97" s="473"/>
    </row>
    <row r="98" spans="2:10">
      <c r="B98" s="206" t="s">
        <v>45</v>
      </c>
      <c r="C98" s="473" t="s">
        <v>1689</v>
      </c>
      <c r="D98" s="473"/>
      <c r="E98" s="473"/>
      <c r="F98" s="473"/>
      <c r="G98" s="473"/>
      <c r="H98" s="473"/>
      <c r="I98" s="473"/>
      <c r="J98" s="473"/>
    </row>
    <row r="99" spans="2:10">
      <c r="B99" s="206" t="s">
        <v>45</v>
      </c>
      <c r="C99" s="474" t="s">
        <v>1661</v>
      </c>
      <c r="D99" s="475"/>
      <c r="E99" s="475"/>
      <c r="F99" s="475"/>
      <c r="G99" s="475"/>
      <c r="H99" s="475"/>
      <c r="I99" s="475"/>
      <c r="J99" s="476"/>
    </row>
    <row r="100" spans="2:10">
      <c r="B100" s="206" t="s">
        <v>45</v>
      </c>
      <c r="C100" s="474"/>
      <c r="D100" s="475"/>
      <c r="E100" s="475"/>
      <c r="F100" s="475"/>
      <c r="G100" s="475"/>
      <c r="H100" s="475"/>
      <c r="I100" s="475"/>
      <c r="J100" s="476"/>
    </row>
    <row r="101" spans="2:10">
      <c r="B101" s="206" t="s">
        <v>45</v>
      </c>
      <c r="C101" s="464"/>
      <c r="D101" s="465"/>
      <c r="E101" s="465"/>
      <c r="F101" s="465"/>
      <c r="G101" s="465"/>
      <c r="H101" s="465"/>
      <c r="I101" s="465"/>
      <c r="J101" s="466"/>
    </row>
    <row r="102" spans="2:10">
      <c r="B102" s="200" t="s">
        <v>45</v>
      </c>
      <c r="C102" s="464"/>
      <c r="D102" s="465"/>
      <c r="E102" s="465"/>
      <c r="F102" s="465"/>
      <c r="G102" s="465"/>
      <c r="H102" s="465"/>
      <c r="I102" s="465"/>
      <c r="J102" s="466"/>
    </row>
    <row r="103" spans="2:10">
      <c r="B103" s="200" t="s">
        <v>7</v>
      </c>
      <c r="C103" s="474" t="s">
        <v>1661</v>
      </c>
      <c r="D103" s="475"/>
      <c r="E103" s="475"/>
      <c r="F103" s="475"/>
      <c r="G103" s="475"/>
      <c r="H103" s="475"/>
      <c r="I103" s="475"/>
      <c r="J103" s="476"/>
    </row>
    <row r="104" spans="2:10" ht="18">
      <c r="B104" s="205" t="s">
        <v>52</v>
      </c>
      <c r="C104" s="477" t="s">
        <v>53</v>
      </c>
      <c r="D104" s="477"/>
      <c r="E104" s="477"/>
      <c r="F104" s="477"/>
      <c r="G104" s="477"/>
      <c r="H104" s="205" t="s">
        <v>54</v>
      </c>
      <c r="I104" s="205" t="s">
        <v>55</v>
      </c>
      <c r="J104" s="205" t="s">
        <v>56</v>
      </c>
    </row>
    <row r="105" spans="2:10">
      <c r="B105" s="200">
        <v>1</v>
      </c>
      <c r="C105" s="451" t="s">
        <v>1690</v>
      </c>
      <c r="D105" s="451"/>
      <c r="E105" s="451"/>
      <c r="F105" s="451"/>
      <c r="G105" s="451"/>
      <c r="H105" s="200" t="s">
        <v>1691</v>
      </c>
      <c r="I105" s="207" t="s">
        <v>1692</v>
      </c>
      <c r="J105" s="200"/>
    </row>
    <row r="106" spans="2:10">
      <c r="B106" s="200">
        <v>2</v>
      </c>
      <c r="C106" s="449"/>
      <c r="D106" s="449"/>
      <c r="E106" s="449"/>
      <c r="F106" s="449"/>
      <c r="G106" s="449"/>
      <c r="H106" s="200"/>
      <c r="I106" s="207"/>
      <c r="J106" s="200"/>
    </row>
    <row r="107" spans="2:10">
      <c r="B107" s="200">
        <v>3</v>
      </c>
      <c r="C107" s="450"/>
      <c r="D107" s="450"/>
      <c r="E107" s="450"/>
      <c r="F107" s="450"/>
      <c r="G107" s="450"/>
      <c r="H107" s="200"/>
      <c r="I107" s="200"/>
      <c r="J107" s="200"/>
    </row>
    <row r="108" spans="2:10">
      <c r="B108" s="450" t="s">
        <v>63</v>
      </c>
      <c r="C108" s="450"/>
      <c r="D108" s="199" t="s">
        <v>31</v>
      </c>
      <c r="E108" s="198" t="s">
        <v>64</v>
      </c>
      <c r="F108" s="467"/>
      <c r="G108" s="469"/>
      <c r="H108" s="199"/>
      <c r="I108" s="199"/>
      <c r="J108" s="199"/>
    </row>
    <row r="109" spans="2:10" ht="45">
      <c r="B109" s="201" t="s">
        <v>66</v>
      </c>
      <c r="C109" s="450"/>
      <c r="D109" s="450"/>
      <c r="E109" s="201" t="s">
        <v>67</v>
      </c>
      <c r="F109" s="450"/>
      <c r="G109" s="450"/>
      <c r="H109" s="201" t="s">
        <v>68</v>
      </c>
      <c r="I109" s="450"/>
      <c r="J109" s="450"/>
    </row>
    <row r="113" spans="2:10" ht="26.25">
      <c r="B113" s="446" t="s">
        <v>13</v>
      </c>
      <c r="C113" s="447"/>
      <c r="D113" s="446" t="s">
        <v>14</v>
      </c>
      <c r="E113" s="446"/>
      <c r="F113" s="446"/>
      <c r="G113" s="446"/>
      <c r="H113" s="446"/>
      <c r="I113" s="446"/>
      <c r="J113" s="197" t="s">
        <v>15</v>
      </c>
    </row>
    <row r="114" spans="2:10" ht="20.25">
      <c r="B114" s="447"/>
      <c r="C114" s="447"/>
      <c r="D114" s="448" t="s">
        <v>16</v>
      </c>
      <c r="E114" s="448"/>
      <c r="F114" s="448"/>
      <c r="G114" s="448"/>
      <c r="H114" s="448"/>
      <c r="I114" s="448"/>
      <c r="J114" s="197" t="s">
        <v>17</v>
      </c>
    </row>
    <row r="115" spans="2:10">
      <c r="B115" s="449" t="s">
        <v>18</v>
      </c>
      <c r="C115" s="449"/>
      <c r="D115" s="244">
        <v>45685</v>
      </c>
      <c r="E115" s="199" t="s">
        <v>1460</v>
      </c>
      <c r="F115" s="450" t="s">
        <v>131</v>
      </c>
      <c r="G115" s="450"/>
      <c r="H115" s="201" t="s">
        <v>21</v>
      </c>
      <c r="I115" s="202" t="s">
        <v>1472</v>
      </c>
      <c r="J115" s="199" t="s">
        <v>23</v>
      </c>
    </row>
    <row r="116" spans="2:10">
      <c r="B116" s="449" t="s">
        <v>24</v>
      </c>
      <c r="C116" s="449"/>
      <c r="D116" s="203">
        <v>0.65277777777777779</v>
      </c>
      <c r="E116" s="204" t="s">
        <v>25</v>
      </c>
      <c r="F116" s="450" t="s">
        <v>26</v>
      </c>
      <c r="G116" s="450"/>
      <c r="H116" s="199" t="s">
        <v>27</v>
      </c>
      <c r="I116" s="202" t="s">
        <v>867</v>
      </c>
      <c r="J116" s="202" t="s">
        <v>29</v>
      </c>
    </row>
    <row r="117" spans="2:10">
      <c r="B117" s="449" t="s">
        <v>30</v>
      </c>
      <c r="C117" s="449"/>
      <c r="D117" s="199" t="s">
        <v>31</v>
      </c>
      <c r="E117" s="199" t="s">
        <v>32</v>
      </c>
      <c r="F117" s="450">
        <v>89</v>
      </c>
      <c r="G117" s="450"/>
      <c r="H117" s="201" t="s">
        <v>33</v>
      </c>
      <c r="I117" s="204" t="s">
        <v>1693</v>
      </c>
      <c r="J117" s="202"/>
    </row>
    <row r="118" spans="2:10">
      <c r="B118" s="451" t="s">
        <v>35</v>
      </c>
      <c r="C118" s="451"/>
      <c r="D118" s="464" t="s">
        <v>1672</v>
      </c>
      <c r="E118" s="465"/>
      <c r="F118" s="465"/>
      <c r="G118" s="465"/>
      <c r="H118" s="465"/>
      <c r="I118" s="465"/>
      <c r="J118" s="469"/>
    </row>
    <row r="119" spans="2:10">
      <c r="B119" s="452" t="s">
        <v>1694</v>
      </c>
      <c r="C119" s="453"/>
      <c r="D119" s="453"/>
      <c r="E119" s="453"/>
      <c r="F119" s="453"/>
      <c r="G119" s="453"/>
      <c r="H119" s="453"/>
      <c r="I119" s="453"/>
      <c r="J119" s="454"/>
    </row>
    <row r="120" spans="2:10">
      <c r="B120" s="455"/>
      <c r="C120" s="456"/>
      <c r="D120" s="456"/>
      <c r="E120" s="456"/>
      <c r="F120" s="456"/>
      <c r="G120" s="456"/>
      <c r="H120" s="456"/>
      <c r="I120" s="456"/>
      <c r="J120" s="457"/>
    </row>
    <row r="121" spans="2:10">
      <c r="B121" s="455"/>
      <c r="C121" s="456"/>
      <c r="D121" s="456"/>
      <c r="E121" s="456"/>
      <c r="F121" s="456"/>
      <c r="G121" s="456"/>
      <c r="H121" s="456"/>
      <c r="I121" s="456"/>
      <c r="J121" s="457"/>
    </row>
    <row r="122" spans="2:10">
      <c r="B122" s="458"/>
      <c r="C122" s="459"/>
      <c r="D122" s="459"/>
      <c r="E122" s="459"/>
      <c r="F122" s="459"/>
      <c r="G122" s="459"/>
      <c r="H122" s="459"/>
      <c r="I122" s="459"/>
      <c r="J122" s="460"/>
    </row>
    <row r="123" spans="2:10" ht="18">
      <c r="B123" s="461" t="s">
        <v>38</v>
      </c>
      <c r="C123" s="462"/>
      <c r="D123" s="462"/>
      <c r="E123" s="462"/>
      <c r="F123" s="462"/>
      <c r="G123" s="462"/>
      <c r="H123" s="462"/>
      <c r="I123" s="463"/>
      <c r="J123" s="205" t="s">
        <v>39</v>
      </c>
    </row>
    <row r="124" spans="2:10">
      <c r="B124" s="200">
        <v>1</v>
      </c>
      <c r="C124" s="464" t="s">
        <v>1695</v>
      </c>
      <c r="D124" s="465"/>
      <c r="E124" s="465"/>
      <c r="F124" s="465"/>
      <c r="G124" s="465"/>
      <c r="H124" s="465"/>
      <c r="I124" s="466"/>
      <c r="J124" s="200" t="s">
        <v>43</v>
      </c>
    </row>
    <row r="125" spans="2:10">
      <c r="B125" s="200">
        <v>2</v>
      </c>
      <c r="C125" s="464"/>
      <c r="D125" s="465"/>
      <c r="E125" s="465"/>
      <c r="F125" s="465"/>
      <c r="G125" s="465"/>
      <c r="H125" s="465"/>
      <c r="I125" s="466"/>
      <c r="J125" s="200"/>
    </row>
    <row r="126" spans="2:10">
      <c r="B126" s="200">
        <v>3</v>
      </c>
      <c r="C126" s="467"/>
      <c r="D126" s="468"/>
      <c r="E126" s="468"/>
      <c r="F126" s="468"/>
      <c r="G126" s="468"/>
      <c r="H126" s="468"/>
      <c r="I126" s="469"/>
      <c r="J126" s="200"/>
    </row>
    <row r="127" spans="2:10" ht="18">
      <c r="B127" s="461" t="s">
        <v>44</v>
      </c>
      <c r="C127" s="462"/>
      <c r="D127" s="462"/>
      <c r="E127" s="462"/>
      <c r="F127" s="462"/>
      <c r="G127" s="462"/>
      <c r="H127" s="462"/>
      <c r="I127" s="462"/>
      <c r="J127" s="463"/>
    </row>
    <row r="128" spans="2:10">
      <c r="B128" s="200" t="s">
        <v>45</v>
      </c>
      <c r="C128" s="470" t="s">
        <v>1675</v>
      </c>
      <c r="D128" s="471"/>
      <c r="E128" s="471"/>
      <c r="F128" s="471"/>
      <c r="G128" s="471"/>
      <c r="H128" s="471"/>
      <c r="I128" s="471"/>
      <c r="J128" s="472"/>
    </row>
    <row r="129" spans="2:10">
      <c r="B129" s="206" t="s">
        <v>45</v>
      </c>
      <c r="C129" s="473" t="s">
        <v>1688</v>
      </c>
      <c r="D129" s="473"/>
      <c r="E129" s="473"/>
      <c r="F129" s="473"/>
      <c r="G129" s="473"/>
      <c r="H129" s="473"/>
      <c r="I129" s="473"/>
      <c r="J129" s="473"/>
    </row>
    <row r="130" spans="2:10">
      <c r="B130" s="206" t="s">
        <v>45</v>
      </c>
      <c r="C130" s="473" t="s">
        <v>1696</v>
      </c>
      <c r="D130" s="473"/>
      <c r="E130" s="473"/>
      <c r="F130" s="473"/>
      <c r="G130" s="473"/>
      <c r="H130" s="473"/>
      <c r="I130" s="473"/>
      <c r="J130" s="473"/>
    </row>
    <row r="131" spans="2:10">
      <c r="B131" s="206" t="s">
        <v>45</v>
      </c>
      <c r="C131" s="474" t="s">
        <v>1697</v>
      </c>
      <c r="D131" s="475"/>
      <c r="E131" s="475"/>
      <c r="F131" s="475"/>
      <c r="G131" s="475"/>
      <c r="H131" s="475"/>
      <c r="I131" s="475"/>
      <c r="J131" s="476"/>
    </row>
    <row r="132" spans="2:10">
      <c r="B132" s="206" t="s">
        <v>45</v>
      </c>
      <c r="C132" s="474"/>
      <c r="D132" s="475"/>
      <c r="E132" s="475"/>
      <c r="F132" s="475"/>
      <c r="G132" s="475"/>
      <c r="H132" s="475"/>
      <c r="I132" s="475"/>
      <c r="J132" s="476"/>
    </row>
    <row r="133" spans="2:10">
      <c r="B133" s="206" t="s">
        <v>45</v>
      </c>
      <c r="C133" s="464"/>
      <c r="D133" s="465"/>
      <c r="E133" s="465"/>
      <c r="F133" s="465"/>
      <c r="G133" s="465"/>
      <c r="H133" s="465"/>
      <c r="I133" s="465"/>
      <c r="J133" s="466"/>
    </row>
    <row r="134" spans="2:10">
      <c r="B134" s="200" t="s">
        <v>45</v>
      </c>
      <c r="C134" s="464"/>
      <c r="D134" s="465"/>
      <c r="E134" s="465"/>
      <c r="F134" s="465"/>
      <c r="G134" s="465"/>
      <c r="H134" s="465"/>
      <c r="I134" s="465"/>
      <c r="J134" s="466"/>
    </row>
    <row r="135" spans="2:10">
      <c r="B135" s="200" t="s">
        <v>7</v>
      </c>
      <c r="C135" s="474" t="s">
        <v>1697</v>
      </c>
      <c r="D135" s="475"/>
      <c r="E135" s="475"/>
      <c r="F135" s="475"/>
      <c r="G135" s="475"/>
      <c r="H135" s="475"/>
      <c r="I135" s="475"/>
      <c r="J135" s="476"/>
    </row>
    <row r="136" spans="2:10" ht="18">
      <c r="B136" s="205" t="s">
        <v>52</v>
      </c>
      <c r="C136" s="477" t="s">
        <v>53</v>
      </c>
      <c r="D136" s="477"/>
      <c r="E136" s="477"/>
      <c r="F136" s="477"/>
      <c r="G136" s="477"/>
      <c r="H136" s="205" t="s">
        <v>54</v>
      </c>
      <c r="I136" s="205" t="s">
        <v>55</v>
      </c>
      <c r="J136" s="205" t="s">
        <v>56</v>
      </c>
    </row>
    <row r="137" spans="2:10" ht="31.5" customHeight="1">
      <c r="B137" s="200">
        <v>1</v>
      </c>
      <c r="C137" s="451" t="s">
        <v>1698</v>
      </c>
      <c r="D137" s="451"/>
      <c r="E137" s="451"/>
      <c r="F137" s="451"/>
      <c r="G137" s="451"/>
      <c r="H137" s="200" t="s">
        <v>1699</v>
      </c>
      <c r="I137" s="207" t="s">
        <v>1692</v>
      </c>
      <c r="J137" s="200"/>
    </row>
    <row r="138" spans="2:10">
      <c r="B138" s="200">
        <v>2</v>
      </c>
      <c r="C138" s="449"/>
      <c r="D138" s="449"/>
      <c r="E138" s="449"/>
      <c r="F138" s="449"/>
      <c r="G138" s="449"/>
      <c r="H138" s="200"/>
      <c r="I138" s="207"/>
      <c r="J138" s="200"/>
    </row>
    <row r="139" spans="2:10">
      <c r="B139" s="200">
        <v>3</v>
      </c>
      <c r="C139" s="450"/>
      <c r="D139" s="450"/>
      <c r="E139" s="450"/>
      <c r="F139" s="450"/>
      <c r="G139" s="450"/>
      <c r="H139" s="200"/>
      <c r="I139" s="200"/>
      <c r="J139" s="200"/>
    </row>
    <row r="140" spans="2:10">
      <c r="B140" s="450" t="s">
        <v>63</v>
      </c>
      <c r="C140" s="450"/>
      <c r="D140" s="199" t="s">
        <v>31</v>
      </c>
      <c r="E140" s="198" t="s">
        <v>64</v>
      </c>
      <c r="F140" s="467"/>
      <c r="G140" s="469"/>
      <c r="H140" s="199"/>
      <c r="I140" s="199"/>
      <c r="J140" s="199"/>
    </row>
    <row r="141" spans="2:10" ht="45">
      <c r="B141" s="201" t="s">
        <v>66</v>
      </c>
      <c r="C141" s="450"/>
      <c r="D141" s="450"/>
      <c r="E141" s="201" t="s">
        <v>67</v>
      </c>
      <c r="F141" s="450"/>
      <c r="G141" s="450"/>
      <c r="H141" s="201" t="s">
        <v>68</v>
      </c>
      <c r="I141" s="450"/>
      <c r="J141" s="450"/>
    </row>
    <row r="146" spans="2:10" ht="26.25">
      <c r="B146" s="446" t="s">
        <v>13</v>
      </c>
      <c r="C146" s="447"/>
      <c r="D146" s="446" t="s">
        <v>14</v>
      </c>
      <c r="E146" s="446"/>
      <c r="F146" s="446"/>
      <c r="G146" s="446"/>
      <c r="H146" s="446"/>
      <c r="I146" s="446"/>
      <c r="J146" s="197" t="s">
        <v>15</v>
      </c>
    </row>
    <row r="147" spans="2:10" ht="20.25">
      <c r="B147" s="447"/>
      <c r="C147" s="447"/>
      <c r="D147" s="448" t="s">
        <v>16</v>
      </c>
      <c r="E147" s="448"/>
      <c r="F147" s="448"/>
      <c r="G147" s="448"/>
      <c r="H147" s="448"/>
      <c r="I147" s="448"/>
      <c r="J147" s="197" t="s">
        <v>17</v>
      </c>
    </row>
    <row r="148" spans="2:10">
      <c r="B148" s="449" t="s">
        <v>18</v>
      </c>
      <c r="C148" s="449"/>
      <c r="D148" s="244">
        <v>45686</v>
      </c>
      <c r="E148" s="199" t="s">
        <v>1460</v>
      </c>
      <c r="F148" s="450" t="s">
        <v>159</v>
      </c>
      <c r="G148" s="450"/>
      <c r="H148" s="201" t="s">
        <v>21</v>
      </c>
      <c r="I148" s="202" t="s">
        <v>1472</v>
      </c>
      <c r="J148" s="199" t="s">
        <v>23</v>
      </c>
    </row>
    <row r="149" spans="2:10">
      <c r="B149" s="449" t="s">
        <v>24</v>
      </c>
      <c r="C149" s="449"/>
      <c r="D149" s="203">
        <v>0.31944444444444442</v>
      </c>
      <c r="E149" s="204" t="s">
        <v>25</v>
      </c>
      <c r="F149" s="450" t="s">
        <v>26</v>
      </c>
      <c r="G149" s="450"/>
      <c r="H149" s="199" t="s">
        <v>27</v>
      </c>
      <c r="I149" s="202" t="s">
        <v>917</v>
      </c>
      <c r="J149" s="202" t="s">
        <v>29</v>
      </c>
    </row>
    <row r="150" spans="2:10">
      <c r="B150" s="449" t="s">
        <v>30</v>
      </c>
      <c r="C150" s="449"/>
      <c r="D150" s="199" t="s">
        <v>31</v>
      </c>
      <c r="E150" s="199" t="s">
        <v>32</v>
      </c>
      <c r="F150" s="450">
        <v>50</v>
      </c>
      <c r="G150" s="450"/>
      <c r="H150" s="201" t="s">
        <v>33</v>
      </c>
      <c r="I150" s="204" t="s">
        <v>1523</v>
      </c>
      <c r="J150" s="202"/>
    </row>
    <row r="151" spans="2:10">
      <c r="B151" s="451" t="s">
        <v>35</v>
      </c>
      <c r="C151" s="451"/>
      <c r="D151" s="464" t="s">
        <v>1700</v>
      </c>
      <c r="E151" s="465"/>
      <c r="F151" s="465"/>
      <c r="G151" s="465"/>
      <c r="H151" s="465"/>
      <c r="I151" s="465"/>
      <c r="J151" s="469"/>
    </row>
    <row r="152" spans="2:10">
      <c r="B152" s="452" t="s">
        <v>1701</v>
      </c>
      <c r="C152" s="453"/>
      <c r="D152" s="453"/>
      <c r="E152" s="453"/>
      <c r="F152" s="453"/>
      <c r="G152" s="453"/>
      <c r="H152" s="453"/>
      <c r="I152" s="453"/>
      <c r="J152" s="454"/>
    </row>
    <row r="153" spans="2:10">
      <c r="B153" s="455"/>
      <c r="C153" s="456"/>
      <c r="D153" s="456"/>
      <c r="E153" s="456"/>
      <c r="F153" s="456"/>
      <c r="G153" s="456"/>
      <c r="H153" s="456"/>
      <c r="I153" s="456"/>
      <c r="J153" s="457"/>
    </row>
    <row r="154" spans="2:10">
      <c r="B154" s="455"/>
      <c r="C154" s="456"/>
      <c r="D154" s="456"/>
      <c r="E154" s="456"/>
      <c r="F154" s="456"/>
      <c r="G154" s="456"/>
      <c r="H154" s="456"/>
      <c r="I154" s="456"/>
      <c r="J154" s="457"/>
    </row>
    <row r="155" spans="2:10">
      <c r="B155" s="458"/>
      <c r="C155" s="459"/>
      <c r="D155" s="459"/>
      <c r="E155" s="459"/>
      <c r="F155" s="459"/>
      <c r="G155" s="459"/>
      <c r="H155" s="459"/>
      <c r="I155" s="459"/>
      <c r="J155" s="460"/>
    </row>
    <row r="156" spans="2:10" ht="12.75" customHeight="1">
      <c r="B156" s="461" t="s">
        <v>38</v>
      </c>
      <c r="C156" s="462"/>
      <c r="D156" s="462"/>
      <c r="E156" s="462"/>
      <c r="F156" s="462"/>
      <c r="G156" s="462"/>
      <c r="H156" s="462"/>
      <c r="I156" s="463"/>
      <c r="J156" s="205" t="s">
        <v>39</v>
      </c>
    </row>
    <row r="157" spans="2:10">
      <c r="B157" s="200">
        <v>1</v>
      </c>
      <c r="C157" s="464" t="s">
        <v>1702</v>
      </c>
      <c r="D157" s="465"/>
      <c r="E157" s="465"/>
      <c r="F157" s="465"/>
      <c r="G157" s="465"/>
      <c r="H157" s="465"/>
      <c r="I157" s="466"/>
      <c r="J157" s="200" t="s">
        <v>43</v>
      </c>
    </row>
    <row r="158" spans="2:10">
      <c r="B158" s="200">
        <v>2</v>
      </c>
      <c r="C158" s="464"/>
      <c r="D158" s="465"/>
      <c r="E158" s="465"/>
      <c r="F158" s="465"/>
      <c r="G158" s="465"/>
      <c r="H158" s="465"/>
      <c r="I158" s="466"/>
      <c r="J158" s="200"/>
    </row>
    <row r="159" spans="2:10">
      <c r="B159" s="200">
        <v>3</v>
      </c>
      <c r="C159" s="467"/>
      <c r="D159" s="468"/>
      <c r="E159" s="468"/>
      <c r="F159" s="468"/>
      <c r="G159" s="468"/>
      <c r="H159" s="468"/>
      <c r="I159" s="469"/>
      <c r="J159" s="200"/>
    </row>
    <row r="160" spans="2:10" ht="18">
      <c r="B160" s="461" t="s">
        <v>44</v>
      </c>
      <c r="C160" s="462"/>
      <c r="D160" s="462"/>
      <c r="E160" s="462"/>
      <c r="F160" s="462"/>
      <c r="G160" s="462"/>
      <c r="H160" s="462"/>
      <c r="I160" s="462"/>
      <c r="J160" s="463"/>
    </row>
    <row r="161" spans="2:10">
      <c r="B161" s="200" t="s">
        <v>45</v>
      </c>
      <c r="C161" s="470" t="s">
        <v>1675</v>
      </c>
      <c r="D161" s="471"/>
      <c r="E161" s="471"/>
      <c r="F161" s="471"/>
      <c r="G161" s="471"/>
      <c r="H161" s="471"/>
      <c r="I161" s="471"/>
      <c r="J161" s="472"/>
    </row>
    <row r="162" spans="2:10">
      <c r="B162" s="206" t="s">
        <v>45</v>
      </c>
      <c r="C162" s="473" t="s">
        <v>1703</v>
      </c>
      <c r="D162" s="473"/>
      <c r="E162" s="473"/>
      <c r="F162" s="473"/>
      <c r="G162" s="473"/>
      <c r="H162" s="473"/>
      <c r="I162" s="473"/>
      <c r="J162" s="473"/>
    </row>
    <row r="163" spans="2:10">
      <c r="B163" s="206" t="s">
        <v>45</v>
      </c>
      <c r="C163" s="473" t="s">
        <v>1704</v>
      </c>
      <c r="D163" s="473"/>
      <c r="E163" s="473"/>
      <c r="F163" s="473"/>
      <c r="G163" s="473"/>
      <c r="H163" s="473"/>
      <c r="I163" s="473"/>
      <c r="J163" s="473"/>
    </row>
    <row r="164" spans="2:10">
      <c r="B164" s="206" t="s">
        <v>45</v>
      </c>
      <c r="C164" s="474" t="s">
        <v>1705</v>
      </c>
      <c r="D164" s="475"/>
      <c r="E164" s="475"/>
      <c r="F164" s="475"/>
      <c r="G164" s="475"/>
      <c r="H164" s="475"/>
      <c r="I164" s="475"/>
      <c r="J164" s="476"/>
    </row>
    <row r="165" spans="2:10">
      <c r="B165" s="206" t="s">
        <v>45</v>
      </c>
      <c r="C165" s="474"/>
      <c r="D165" s="475"/>
      <c r="E165" s="475"/>
      <c r="F165" s="475"/>
      <c r="G165" s="475"/>
      <c r="H165" s="475"/>
      <c r="I165" s="475"/>
      <c r="J165" s="476"/>
    </row>
    <row r="166" spans="2:10">
      <c r="B166" s="206" t="s">
        <v>45</v>
      </c>
      <c r="C166" s="464"/>
      <c r="D166" s="465"/>
      <c r="E166" s="465"/>
      <c r="F166" s="465"/>
      <c r="G166" s="465"/>
      <c r="H166" s="465"/>
      <c r="I166" s="465"/>
      <c r="J166" s="466"/>
    </row>
    <row r="167" spans="2:10">
      <c r="B167" s="200" t="s">
        <v>45</v>
      </c>
      <c r="C167" s="464"/>
      <c r="D167" s="465"/>
      <c r="E167" s="465"/>
      <c r="F167" s="465"/>
      <c r="G167" s="465"/>
      <c r="H167" s="465"/>
      <c r="I167" s="465"/>
      <c r="J167" s="466"/>
    </row>
    <row r="168" spans="2:10">
      <c r="B168" s="200" t="s">
        <v>7</v>
      </c>
      <c r="C168" s="474" t="s">
        <v>1705</v>
      </c>
      <c r="D168" s="475"/>
      <c r="E168" s="475"/>
      <c r="F168" s="475"/>
      <c r="G168" s="475"/>
      <c r="H168" s="475"/>
      <c r="I168" s="475"/>
      <c r="J168" s="476"/>
    </row>
    <row r="169" spans="2:10" ht="18">
      <c r="B169" s="205" t="s">
        <v>52</v>
      </c>
      <c r="C169" s="477" t="s">
        <v>53</v>
      </c>
      <c r="D169" s="477"/>
      <c r="E169" s="477"/>
      <c r="F169" s="477"/>
      <c r="G169" s="477"/>
      <c r="H169" s="205" t="s">
        <v>54</v>
      </c>
      <c r="I169" s="205" t="s">
        <v>55</v>
      </c>
      <c r="J169" s="205" t="s">
        <v>56</v>
      </c>
    </row>
    <row r="170" spans="2:10" ht="33" customHeight="1">
      <c r="B170" s="200">
        <v>1</v>
      </c>
      <c r="C170" s="451" t="s">
        <v>1668</v>
      </c>
      <c r="D170" s="451"/>
      <c r="E170" s="451"/>
      <c r="F170" s="451"/>
      <c r="G170" s="451"/>
      <c r="H170" s="200" t="s">
        <v>1699</v>
      </c>
      <c r="I170" s="207" t="s">
        <v>1692</v>
      </c>
      <c r="J170" s="200"/>
    </row>
    <row r="171" spans="2:10">
      <c r="B171" s="200">
        <v>2</v>
      </c>
      <c r="C171" s="449"/>
      <c r="D171" s="449"/>
      <c r="E171" s="449"/>
      <c r="F171" s="449"/>
      <c r="G171" s="449"/>
      <c r="H171" s="200"/>
      <c r="I171" s="207"/>
      <c r="J171" s="200"/>
    </row>
    <row r="172" spans="2:10">
      <c r="B172" s="200">
        <v>3</v>
      </c>
      <c r="C172" s="450"/>
      <c r="D172" s="450"/>
      <c r="E172" s="450"/>
      <c r="F172" s="450"/>
      <c r="G172" s="450"/>
      <c r="H172" s="200"/>
      <c r="I172" s="200"/>
      <c r="J172" s="200"/>
    </row>
    <row r="173" spans="2:10">
      <c r="B173" s="450" t="s">
        <v>63</v>
      </c>
      <c r="C173" s="450"/>
      <c r="D173" s="199" t="s">
        <v>31</v>
      </c>
      <c r="E173" s="198" t="s">
        <v>64</v>
      </c>
      <c r="F173" s="467"/>
      <c r="G173" s="469"/>
      <c r="H173" s="199"/>
      <c r="I173" s="199"/>
      <c r="J173" s="199"/>
    </row>
    <row r="174" spans="2:10" ht="45">
      <c r="B174" s="201" t="s">
        <v>66</v>
      </c>
      <c r="C174" s="450"/>
      <c r="D174" s="450"/>
      <c r="E174" s="201" t="s">
        <v>67</v>
      </c>
      <c r="F174" s="450"/>
      <c r="G174" s="450"/>
      <c r="H174" s="201" t="s">
        <v>68</v>
      </c>
      <c r="I174" s="450"/>
      <c r="J174" s="450"/>
    </row>
    <row r="178" spans="2:10" ht="26.25" customHeight="1">
      <c r="B178" s="245"/>
      <c r="C178" s="245"/>
      <c r="D178" s="245"/>
      <c r="E178" s="245"/>
      <c r="F178" s="245"/>
      <c r="G178" s="245"/>
      <c r="H178" s="245"/>
      <c r="I178" s="245"/>
      <c r="J178" s="245"/>
    </row>
    <row r="179" spans="2:10" ht="20.25" customHeight="1">
      <c r="B179" s="245"/>
      <c r="C179" s="245"/>
      <c r="D179" s="245"/>
      <c r="E179" s="245"/>
      <c r="F179" s="245"/>
      <c r="G179" s="245"/>
      <c r="H179" s="245"/>
      <c r="I179" s="245"/>
      <c r="J179" s="245"/>
    </row>
    <row r="180" spans="2:10" ht="15" customHeight="1">
      <c r="B180" s="245"/>
      <c r="C180" s="245"/>
      <c r="D180" s="245"/>
      <c r="E180" s="245"/>
      <c r="F180" s="245"/>
      <c r="G180" s="245"/>
      <c r="H180" s="245"/>
      <c r="I180" s="245"/>
      <c r="J180" s="245"/>
    </row>
    <row r="181" spans="2:10" ht="15" customHeight="1">
      <c r="B181" s="245"/>
      <c r="C181" s="245"/>
      <c r="D181" s="245"/>
      <c r="E181" s="245"/>
      <c r="F181" s="245"/>
      <c r="G181" s="245"/>
      <c r="H181" s="245"/>
      <c r="I181" s="245"/>
      <c r="J181" s="245"/>
    </row>
    <row r="182" spans="2:10" ht="15" customHeight="1">
      <c r="B182" s="245"/>
      <c r="C182" s="245"/>
      <c r="D182" s="245"/>
      <c r="E182" s="245"/>
      <c r="F182" s="245"/>
      <c r="G182" s="245"/>
      <c r="H182" s="245"/>
      <c r="I182" s="245"/>
      <c r="J182" s="245"/>
    </row>
    <row r="183" spans="2:10" ht="15" customHeight="1">
      <c r="B183" s="245"/>
      <c r="C183" s="245"/>
      <c r="D183" s="245"/>
      <c r="E183" s="245"/>
      <c r="F183" s="245"/>
      <c r="G183" s="245"/>
      <c r="H183" s="245"/>
      <c r="I183" s="245"/>
      <c r="J183" s="245"/>
    </row>
    <row r="184" spans="2:10" ht="15" customHeight="1">
      <c r="B184" s="245"/>
      <c r="C184" s="245"/>
      <c r="D184" s="245"/>
      <c r="E184" s="245"/>
      <c r="F184" s="245"/>
      <c r="G184" s="245"/>
      <c r="H184" s="245"/>
      <c r="I184" s="245"/>
      <c r="J184" s="245"/>
    </row>
    <row r="185" spans="2:10" ht="15" customHeight="1">
      <c r="B185" s="245"/>
      <c r="C185" s="245"/>
      <c r="D185" s="245"/>
      <c r="E185" s="245"/>
      <c r="F185" s="245"/>
      <c r="G185" s="245"/>
      <c r="H185" s="245"/>
      <c r="I185" s="245"/>
      <c r="J185" s="245"/>
    </row>
    <row r="186" spans="2:10" ht="15" customHeight="1">
      <c r="B186" s="245"/>
      <c r="C186" s="245"/>
      <c r="D186" s="245"/>
      <c r="E186" s="245"/>
      <c r="F186" s="245"/>
      <c r="G186" s="245"/>
      <c r="H186" s="245"/>
      <c r="I186" s="245"/>
      <c r="J186" s="245"/>
    </row>
    <row r="187" spans="2:10" ht="15" customHeight="1">
      <c r="B187" s="245"/>
      <c r="C187" s="245"/>
      <c r="D187" s="245"/>
      <c r="E187" s="245"/>
      <c r="F187" s="245"/>
      <c r="G187" s="245"/>
      <c r="H187" s="245"/>
      <c r="I187" s="245"/>
      <c r="J187" s="245"/>
    </row>
    <row r="188" spans="2:10" ht="18" customHeight="1">
      <c r="B188" s="245"/>
      <c r="C188" s="245"/>
      <c r="D188" s="245"/>
      <c r="E188" s="245"/>
      <c r="F188" s="245"/>
      <c r="G188" s="245"/>
      <c r="H188" s="245"/>
      <c r="I188" s="245"/>
      <c r="J188" s="245"/>
    </row>
    <row r="189" spans="2:10" ht="15" customHeight="1">
      <c r="B189" s="245"/>
      <c r="C189" s="245"/>
      <c r="D189" s="245"/>
      <c r="E189" s="245"/>
      <c r="F189" s="245"/>
      <c r="G189" s="245"/>
      <c r="H189" s="245"/>
      <c r="I189" s="245"/>
      <c r="J189" s="245"/>
    </row>
    <row r="190" spans="2:10" ht="15" customHeight="1">
      <c r="B190" s="245"/>
      <c r="C190" s="245"/>
      <c r="D190" s="245"/>
      <c r="E190" s="245"/>
      <c r="F190" s="245"/>
      <c r="G190" s="245"/>
      <c r="H190" s="245"/>
      <c r="I190" s="245"/>
      <c r="J190" s="245"/>
    </row>
    <row r="191" spans="2:10" ht="15" customHeight="1">
      <c r="B191" s="245"/>
      <c r="C191" s="245"/>
      <c r="D191" s="245"/>
      <c r="E191" s="245"/>
      <c r="F191" s="245"/>
      <c r="G191" s="245"/>
      <c r="H191" s="245"/>
      <c r="I191" s="245"/>
      <c r="J191" s="245"/>
    </row>
    <row r="192" spans="2:10" ht="18" customHeight="1">
      <c r="B192" s="245"/>
      <c r="C192" s="245"/>
      <c r="D192" s="245"/>
      <c r="E192" s="245"/>
      <c r="F192" s="245"/>
      <c r="G192" s="245"/>
      <c r="H192" s="245"/>
      <c r="I192" s="245"/>
      <c r="J192" s="245"/>
    </row>
    <row r="193" spans="2:10" ht="15" customHeight="1">
      <c r="B193" s="245"/>
      <c r="C193" s="245"/>
      <c r="D193" s="245"/>
      <c r="E193" s="245"/>
      <c r="F193" s="245"/>
      <c r="G193" s="245"/>
      <c r="H193" s="245"/>
      <c r="I193" s="245"/>
      <c r="J193" s="245"/>
    </row>
    <row r="194" spans="2:10" ht="15" customHeight="1">
      <c r="B194" s="245"/>
      <c r="C194" s="245"/>
      <c r="D194" s="245"/>
      <c r="E194" s="245"/>
      <c r="F194" s="245"/>
      <c r="G194" s="245"/>
      <c r="H194" s="245"/>
      <c r="I194" s="245"/>
      <c r="J194" s="245"/>
    </row>
    <row r="195" spans="2:10" ht="15" customHeight="1">
      <c r="B195" s="245"/>
      <c r="C195" s="245"/>
      <c r="D195" s="245"/>
      <c r="E195" s="245"/>
      <c r="F195" s="245"/>
      <c r="G195" s="245"/>
      <c r="H195" s="245"/>
      <c r="I195" s="245"/>
      <c r="J195" s="245"/>
    </row>
    <row r="196" spans="2:10" ht="15" customHeight="1">
      <c r="B196" s="245"/>
      <c r="C196" s="245"/>
      <c r="D196" s="245"/>
      <c r="E196" s="245"/>
      <c r="F196" s="245"/>
      <c r="G196" s="245"/>
      <c r="H196" s="245"/>
      <c r="I196" s="245"/>
      <c r="J196" s="245"/>
    </row>
    <row r="197" spans="2:10" ht="15" customHeight="1">
      <c r="B197" s="245"/>
      <c r="C197" s="245"/>
      <c r="D197" s="245"/>
      <c r="E197" s="245"/>
      <c r="F197" s="245"/>
      <c r="G197" s="245"/>
      <c r="H197" s="245"/>
      <c r="I197" s="245"/>
      <c r="J197" s="245"/>
    </row>
    <row r="198" spans="2:10" ht="15" customHeight="1">
      <c r="B198" s="245"/>
      <c r="C198" s="245"/>
      <c r="D198" s="245"/>
      <c r="E198" s="245"/>
      <c r="F198" s="245"/>
      <c r="G198" s="245"/>
      <c r="H198" s="245"/>
      <c r="I198" s="245"/>
      <c r="J198" s="245"/>
    </row>
    <row r="199" spans="2:10" ht="15" customHeight="1">
      <c r="B199" s="245"/>
      <c r="C199" s="245"/>
      <c r="D199" s="245"/>
      <c r="E199" s="245"/>
      <c r="F199" s="245"/>
      <c r="G199" s="245"/>
      <c r="H199" s="245"/>
      <c r="I199" s="245"/>
      <c r="J199" s="245"/>
    </row>
    <row r="200" spans="2:10" ht="15" customHeight="1">
      <c r="B200" s="245"/>
      <c r="C200" s="245"/>
      <c r="D200" s="245"/>
      <c r="E200" s="245"/>
      <c r="F200" s="245"/>
      <c r="G200" s="245"/>
      <c r="H200" s="245"/>
      <c r="I200" s="245"/>
      <c r="J200" s="245"/>
    </row>
    <row r="201" spans="2:10" ht="18" customHeight="1">
      <c r="B201" s="245"/>
      <c r="C201" s="245"/>
      <c r="D201" s="245"/>
      <c r="E201" s="245"/>
      <c r="F201" s="245"/>
      <c r="G201" s="245"/>
      <c r="H201" s="245"/>
      <c r="I201" s="245"/>
      <c r="J201" s="245"/>
    </row>
    <row r="202" spans="2:10" ht="15" customHeight="1">
      <c r="B202" s="245"/>
      <c r="C202" s="245"/>
      <c r="D202" s="245"/>
      <c r="E202" s="245"/>
      <c r="F202" s="245"/>
      <c r="G202" s="245"/>
      <c r="H202" s="245"/>
      <c r="I202" s="245"/>
      <c r="J202" s="245"/>
    </row>
    <row r="203" spans="2:10" ht="15" customHeight="1">
      <c r="B203" s="245"/>
      <c r="C203" s="245"/>
      <c r="D203" s="245"/>
      <c r="E203" s="245"/>
      <c r="F203" s="245"/>
      <c r="G203" s="245"/>
      <c r="H203" s="245"/>
      <c r="I203" s="245"/>
      <c r="J203" s="245"/>
    </row>
    <row r="204" spans="2:10" ht="15" customHeight="1">
      <c r="B204" s="245"/>
      <c r="C204" s="245"/>
      <c r="D204" s="245"/>
      <c r="E204" s="245"/>
      <c r="F204" s="245"/>
      <c r="G204" s="245"/>
      <c r="H204" s="245"/>
      <c r="I204" s="245"/>
      <c r="J204" s="245"/>
    </row>
    <row r="205" spans="2:10" ht="15" customHeight="1">
      <c r="B205" s="245"/>
      <c r="C205" s="245"/>
      <c r="D205" s="245"/>
      <c r="E205" s="245"/>
      <c r="F205" s="245"/>
      <c r="G205" s="245"/>
      <c r="H205" s="245"/>
      <c r="I205" s="245"/>
      <c r="J205" s="245"/>
    </row>
    <row r="206" spans="2:10" ht="15" customHeight="1">
      <c r="B206" s="245"/>
      <c r="C206" s="245"/>
      <c r="D206" s="245"/>
      <c r="E206" s="245"/>
      <c r="F206" s="245"/>
      <c r="G206" s="245"/>
      <c r="H206" s="245"/>
      <c r="I206" s="245"/>
      <c r="J206" s="245"/>
    </row>
  </sheetData>
  <autoFilter ref="B2:K13" xr:uid="{7E3221BD-3E6C-4BA8-BFAD-98351ACD7F09}">
    <filterColumn colId="1" showButton="0"/>
  </autoFilter>
  <mergeCells count="183">
    <mergeCell ref="C141:D141"/>
    <mergeCell ref="F141:G141"/>
    <mergeCell ref="I141:J141"/>
    <mergeCell ref="C132:J132"/>
    <mergeCell ref="C133:J133"/>
    <mergeCell ref="C134:J134"/>
    <mergeCell ref="C135:J135"/>
    <mergeCell ref="C136:G136"/>
    <mergeCell ref="C137:G137"/>
    <mergeCell ref="C138:G138"/>
    <mergeCell ref="C139:G139"/>
    <mergeCell ref="B140:C140"/>
    <mergeCell ref="F140:G140"/>
    <mergeCell ref="C129:J129"/>
    <mergeCell ref="C130:J130"/>
    <mergeCell ref="C131:J131"/>
    <mergeCell ref="B119:J122"/>
    <mergeCell ref="B123:I123"/>
    <mergeCell ref="C124:I124"/>
    <mergeCell ref="B118:C118"/>
    <mergeCell ref="D118:J118"/>
    <mergeCell ref="F115:G115"/>
    <mergeCell ref="B116:C116"/>
    <mergeCell ref="F116:G116"/>
    <mergeCell ref="B117:C117"/>
    <mergeCell ref="C125:I125"/>
    <mergeCell ref="C126:I126"/>
    <mergeCell ref="B127:J127"/>
    <mergeCell ref="C128:J128"/>
    <mergeCell ref="F117:G117"/>
    <mergeCell ref="B95:J95"/>
    <mergeCell ref="C96:J96"/>
    <mergeCell ref="C97:J97"/>
    <mergeCell ref="C98:J98"/>
    <mergeCell ref="C99:J99"/>
    <mergeCell ref="B113:C114"/>
    <mergeCell ref="D113:I113"/>
    <mergeCell ref="D114:I114"/>
    <mergeCell ref="B115:C115"/>
    <mergeCell ref="C100:J100"/>
    <mergeCell ref="C101:J101"/>
    <mergeCell ref="C102:J102"/>
    <mergeCell ref="C103:J103"/>
    <mergeCell ref="C104:G104"/>
    <mergeCell ref="C109:D109"/>
    <mergeCell ref="F109:G109"/>
    <mergeCell ref="I109:J109"/>
    <mergeCell ref="C105:G105"/>
    <mergeCell ref="C106:G106"/>
    <mergeCell ref="C107:G107"/>
    <mergeCell ref="B108:C108"/>
    <mergeCell ref="F108:G108"/>
    <mergeCell ref="B87:J90"/>
    <mergeCell ref="B91:I91"/>
    <mergeCell ref="C92:I92"/>
    <mergeCell ref="C93:I93"/>
    <mergeCell ref="C94:I94"/>
    <mergeCell ref="B84:C84"/>
    <mergeCell ref="F84:G84"/>
    <mergeCell ref="B85:C85"/>
    <mergeCell ref="F85:G85"/>
    <mergeCell ref="B86:C86"/>
    <mergeCell ref="D86:J86"/>
    <mergeCell ref="B81:C82"/>
    <mergeCell ref="D81:I81"/>
    <mergeCell ref="D82:I82"/>
    <mergeCell ref="B83:C83"/>
    <mergeCell ref="F83:G83"/>
    <mergeCell ref="C78:D78"/>
    <mergeCell ref="F78:G78"/>
    <mergeCell ref="I78:J78"/>
    <mergeCell ref="C36:J36"/>
    <mergeCell ref="C74:G74"/>
    <mergeCell ref="C75:G75"/>
    <mergeCell ref="C76:G76"/>
    <mergeCell ref="B77:C77"/>
    <mergeCell ref="F77:G77"/>
    <mergeCell ref="C69:J69"/>
    <mergeCell ref="C70:J70"/>
    <mergeCell ref="C71:J71"/>
    <mergeCell ref="C72:J72"/>
    <mergeCell ref="C73:G73"/>
    <mergeCell ref="B64:J64"/>
    <mergeCell ref="C65:J65"/>
    <mergeCell ref="C66:J66"/>
    <mergeCell ref="C67:J67"/>
    <mergeCell ref="C68:J68"/>
    <mergeCell ref="B56:J59"/>
    <mergeCell ref="B60:I60"/>
    <mergeCell ref="C61:I61"/>
    <mergeCell ref="C62:I62"/>
    <mergeCell ref="C63:I63"/>
    <mergeCell ref="B53:C53"/>
    <mergeCell ref="F53:G53"/>
    <mergeCell ref="B54:C54"/>
    <mergeCell ref="F54:G54"/>
    <mergeCell ref="B55:C55"/>
    <mergeCell ref="D55:J55"/>
    <mergeCell ref="B50:C51"/>
    <mergeCell ref="D50:I50"/>
    <mergeCell ref="D51:I51"/>
    <mergeCell ref="B52:C52"/>
    <mergeCell ref="F52:G52"/>
    <mergeCell ref="B33:J33"/>
    <mergeCell ref="B22:C22"/>
    <mergeCell ref="F22:G22"/>
    <mergeCell ref="B23:C23"/>
    <mergeCell ref="F23:G23"/>
    <mergeCell ref="B24:C24"/>
    <mergeCell ref="D24:J24"/>
    <mergeCell ref="B25:J28"/>
    <mergeCell ref="B29:I29"/>
    <mergeCell ref="C30:I30"/>
    <mergeCell ref="C31:I31"/>
    <mergeCell ref="C32:I32"/>
    <mergeCell ref="B46:C46"/>
    <mergeCell ref="F46:G46"/>
    <mergeCell ref="C47:D47"/>
    <mergeCell ref="F47:G47"/>
    <mergeCell ref="I47:J47"/>
    <mergeCell ref="C45:G45"/>
    <mergeCell ref="C34:J34"/>
    <mergeCell ref="K2:K3"/>
    <mergeCell ref="M5:N5"/>
    <mergeCell ref="L6:M6"/>
    <mergeCell ref="C15:D15"/>
    <mergeCell ref="B19:C20"/>
    <mergeCell ref="D19:I19"/>
    <mergeCell ref="D20:I20"/>
    <mergeCell ref="B21:C21"/>
    <mergeCell ref="F21:G21"/>
    <mergeCell ref="E13:K16"/>
    <mergeCell ref="H2:H3"/>
    <mergeCell ref="B2:B3"/>
    <mergeCell ref="C2:D2"/>
    <mergeCell ref="E2:E3"/>
    <mergeCell ref="F2:F3"/>
    <mergeCell ref="G2:G3"/>
    <mergeCell ref="I2:I3"/>
    <mergeCell ref="J2:J3"/>
    <mergeCell ref="C35:J35"/>
    <mergeCell ref="C37:J37"/>
    <mergeCell ref="C38:J38"/>
    <mergeCell ref="C39:J39"/>
    <mergeCell ref="C40:J40"/>
    <mergeCell ref="C41:J41"/>
    <mergeCell ref="C42:G42"/>
    <mergeCell ref="C43:G43"/>
    <mergeCell ref="C44:G44"/>
    <mergeCell ref="B146:C147"/>
    <mergeCell ref="D146:I146"/>
    <mergeCell ref="D147:I147"/>
    <mergeCell ref="B148:C148"/>
    <mergeCell ref="F148:G148"/>
    <mergeCell ref="B149:C149"/>
    <mergeCell ref="F149:G149"/>
    <mergeCell ref="B150:C150"/>
    <mergeCell ref="F150:G150"/>
    <mergeCell ref="B151:C151"/>
    <mergeCell ref="D151:J151"/>
    <mergeCell ref="B152:J155"/>
    <mergeCell ref="B156:I156"/>
    <mergeCell ref="C157:I157"/>
    <mergeCell ref="C158:I158"/>
    <mergeCell ref="C159:I159"/>
    <mergeCell ref="B160:J160"/>
    <mergeCell ref="C161:J161"/>
    <mergeCell ref="C171:G171"/>
    <mergeCell ref="C172:G172"/>
    <mergeCell ref="B173:C173"/>
    <mergeCell ref="F173:G173"/>
    <mergeCell ref="C174:D174"/>
    <mergeCell ref="F174:G174"/>
    <mergeCell ref="I174:J174"/>
    <mergeCell ref="C162:J162"/>
    <mergeCell ref="C163:J163"/>
    <mergeCell ref="C164:J164"/>
    <mergeCell ref="C165:J165"/>
    <mergeCell ref="C166:J166"/>
    <mergeCell ref="C167:J167"/>
    <mergeCell ref="C168:J168"/>
    <mergeCell ref="C169:G169"/>
    <mergeCell ref="C170:G170"/>
  </mergeCells>
  <phoneticPr fontId="0" type="noConversion"/>
  <printOptions horizontalCentered="1" verticalCentered="1"/>
  <pageMargins left="0.7" right="0.7" top="0.75" bottom="0.75" header="0.3" footer="0.3"/>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2567-0BE5-478D-BEF4-6EF3AC0B3735}">
  <sheetPr>
    <pageSetUpPr fitToPage="1"/>
  </sheetPr>
  <dimension ref="A1:P34"/>
  <sheetViews>
    <sheetView topLeftCell="A5" workbookViewId="0">
      <selection activeCell="C18" sqref="C18"/>
    </sheetView>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c r="H2" s="536"/>
      <c r="I2" s="536"/>
      <c r="J2" s="537" t="s">
        <v>73</v>
      </c>
      <c r="K2" s="537"/>
      <c r="L2" s="538"/>
    </row>
    <row r="3" spans="1:16">
      <c r="A3" s="539" t="s">
        <v>74</v>
      </c>
      <c r="B3" s="540"/>
      <c r="C3" s="540"/>
      <c r="D3" s="540"/>
      <c r="E3" s="540"/>
      <c r="F3" s="540"/>
      <c r="G3" s="540"/>
      <c r="H3" s="540"/>
      <c r="I3" s="541"/>
      <c r="J3" s="542" t="s">
        <v>75</v>
      </c>
      <c r="K3" s="542"/>
      <c r="L3" s="542"/>
    </row>
    <row r="4" spans="1:16" ht="12.75" customHeight="1">
      <c r="A4" s="510" t="s">
        <v>76</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95</v>
      </c>
      <c r="B10" s="492"/>
      <c r="C10" s="495" t="s">
        <v>96</v>
      </c>
      <c r="D10" s="495"/>
      <c r="E10" s="492" t="s">
        <v>97</v>
      </c>
      <c r="F10" s="492"/>
      <c r="G10" s="492"/>
      <c r="H10" s="496" t="s">
        <v>98</v>
      </c>
      <c r="I10" s="495"/>
      <c r="J10" s="495" t="s">
        <v>99</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101</v>
      </c>
      <c r="F12" s="492"/>
      <c r="G12" s="492"/>
      <c r="H12" s="495"/>
      <c r="I12" s="495"/>
      <c r="J12" s="495"/>
      <c r="K12" s="499"/>
      <c r="L12" s="500"/>
    </row>
    <row r="13" spans="1:16">
      <c r="A13" s="492" t="s">
        <v>102</v>
      </c>
      <c r="B13" s="492"/>
      <c r="C13" s="495"/>
      <c r="D13" s="495"/>
      <c r="E13" s="493"/>
      <c r="F13" s="493"/>
      <c r="G13" s="493"/>
      <c r="H13" s="495"/>
      <c r="I13" s="495"/>
      <c r="J13" s="495"/>
      <c r="K13" s="499"/>
      <c r="L13" s="500"/>
    </row>
    <row r="14" spans="1:16" ht="30" customHeight="1">
      <c r="A14" s="492"/>
      <c r="B14" s="492"/>
      <c r="C14" s="495"/>
      <c r="D14" s="495"/>
      <c r="E14" s="492" t="s">
        <v>103</v>
      </c>
      <c r="F14" s="492"/>
      <c r="G14" s="492"/>
      <c r="H14" s="495"/>
      <c r="I14" s="495"/>
      <c r="J14" s="495"/>
      <c r="K14" s="499"/>
      <c r="L14" s="500"/>
    </row>
    <row r="15" spans="1:16" ht="12.75" customHeight="1">
      <c r="A15" s="492" t="s">
        <v>104</v>
      </c>
      <c r="B15" s="492"/>
      <c r="C15" s="495"/>
      <c r="D15" s="495"/>
      <c r="E15" s="503"/>
      <c r="F15" s="503"/>
      <c r="G15" s="503"/>
      <c r="H15" s="495"/>
      <c r="I15" s="495"/>
      <c r="J15" s="495"/>
      <c r="K15" s="499"/>
      <c r="L15" s="500"/>
    </row>
    <row r="16" spans="1:16" ht="35.25" customHeight="1">
      <c r="A16" s="492"/>
      <c r="B16" s="492"/>
      <c r="C16" s="495"/>
      <c r="D16" s="495"/>
      <c r="E16" s="492" t="s">
        <v>101</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c r="B18" s="478"/>
      <c r="C18" s="495"/>
      <c r="D18" s="495"/>
      <c r="E18" s="493"/>
      <c r="F18" s="493"/>
      <c r="G18" s="493"/>
      <c r="H18" s="495"/>
      <c r="I18" s="495"/>
      <c r="J18" s="495"/>
      <c r="K18" s="499"/>
      <c r="L18" s="500"/>
    </row>
    <row r="19" spans="1:12" ht="29.25" customHeight="1">
      <c r="A19" s="478"/>
      <c r="B19" s="478"/>
      <c r="C19" s="495"/>
      <c r="D19" s="495"/>
      <c r="E19" s="492" t="s">
        <v>103</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101</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103</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106</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114</v>
      </c>
      <c r="K31" s="134"/>
      <c r="L31" s="134" t="s">
        <v>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sheetData>
  <mergeCells count="56">
    <mergeCell ref="E8:G9"/>
    <mergeCell ref="H8:I9"/>
    <mergeCell ref="A1:L1"/>
    <mergeCell ref="E2:F2"/>
    <mergeCell ref="G2:I2"/>
    <mergeCell ref="J2:L2"/>
    <mergeCell ref="A3:I3"/>
    <mergeCell ref="J3:L3"/>
    <mergeCell ref="E27:G27"/>
    <mergeCell ref="E28:G28"/>
    <mergeCell ref="J8:J9"/>
    <mergeCell ref="K8:L9"/>
    <mergeCell ref="A4:G5"/>
    <mergeCell ref="H4:I5"/>
    <mergeCell ref="J4:J5"/>
    <mergeCell ref="K4:L5"/>
    <mergeCell ref="E6:L6"/>
    <mergeCell ref="A7:B7"/>
    <mergeCell ref="C7:D7"/>
    <mergeCell ref="E7:G7"/>
    <mergeCell ref="H7:I7"/>
    <mergeCell ref="K7:L7"/>
    <mergeCell ref="A8:B9"/>
    <mergeCell ref="C8:D9"/>
    <mergeCell ref="O10:P10"/>
    <mergeCell ref="E11:G11"/>
    <mergeCell ref="O11:P11"/>
    <mergeCell ref="E12:G12"/>
    <mergeCell ref="A13:B14"/>
    <mergeCell ref="E13:G13"/>
    <mergeCell ref="E14:G14"/>
    <mergeCell ref="A10:B12"/>
    <mergeCell ref="C10:D29"/>
    <mergeCell ref="E10:G10"/>
    <mergeCell ref="H10:I29"/>
    <mergeCell ref="J10:J29"/>
    <mergeCell ref="K10:L29"/>
    <mergeCell ref="A15:B17"/>
    <mergeCell ref="E15:G15"/>
    <mergeCell ref="E16:G17"/>
    <mergeCell ref="A18:B29"/>
    <mergeCell ref="A30:H31"/>
    <mergeCell ref="A32:H33"/>
    <mergeCell ref="A34:B34"/>
    <mergeCell ref="C34:D34"/>
    <mergeCell ref="E34:H34"/>
    <mergeCell ref="E29:G29"/>
    <mergeCell ref="E18:G18"/>
    <mergeCell ref="E19:G19"/>
    <mergeCell ref="E20:G20"/>
    <mergeCell ref="E21:G21"/>
    <mergeCell ref="E22:G22"/>
    <mergeCell ref="E23:G23"/>
    <mergeCell ref="E24:G24"/>
    <mergeCell ref="E25:G25"/>
    <mergeCell ref="E26:G26"/>
  </mergeCells>
  <pageMargins left="0.2" right="0.2" top="0.5" bottom="0.5" header="0.05" footer="0.05"/>
  <pageSetup paperSize="9" scale="5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BE8B-0BCF-4B4E-B0F7-A4900669AE97}">
  <sheetPr>
    <pageSetUpPr fitToPage="1"/>
  </sheetPr>
  <dimension ref="B2:K200"/>
  <sheetViews>
    <sheetView workbookViewId="0">
      <selection activeCell="C25" sqref="C25:I25"/>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20.5703125" customWidth="1"/>
    <col min="10" max="10" width="50.85546875" customWidth="1"/>
    <col min="11" max="11" width="58.42578125" customWidth="1"/>
    <col min="13" max="13" width="11.28515625" customWidth="1"/>
  </cols>
  <sheetData>
    <row r="2" spans="2:11">
      <c r="B2" s="443" t="s">
        <v>0</v>
      </c>
      <c r="C2" s="445" t="s">
        <v>1</v>
      </c>
      <c r="D2" s="438"/>
      <c r="E2" s="438" t="s">
        <v>2</v>
      </c>
      <c r="F2" s="438" t="s">
        <v>3</v>
      </c>
      <c r="G2" s="438" t="s">
        <v>4</v>
      </c>
      <c r="H2" s="438" t="s">
        <v>5</v>
      </c>
      <c r="I2" s="438" t="s">
        <v>6</v>
      </c>
      <c r="J2" s="438" t="s">
        <v>7</v>
      </c>
      <c r="K2" s="440" t="s">
        <v>8</v>
      </c>
    </row>
    <row r="3" spans="2:11">
      <c r="B3" s="444"/>
      <c r="C3" s="41" t="s">
        <v>9</v>
      </c>
      <c r="D3" s="42" t="s">
        <v>10</v>
      </c>
      <c r="E3" s="439"/>
      <c r="F3" s="439"/>
      <c r="G3" s="439"/>
      <c r="H3" s="439"/>
      <c r="I3" s="439"/>
      <c r="J3" s="439"/>
      <c r="K3" s="441"/>
    </row>
    <row r="4" spans="2:11" s="3" customFormat="1" ht="42" customHeight="1">
      <c r="B4" s="32">
        <v>1</v>
      </c>
      <c r="C4" s="37"/>
      <c r="D4" s="37">
        <v>20</v>
      </c>
      <c r="E4" s="174">
        <v>45689</v>
      </c>
      <c r="F4" s="37" t="s">
        <v>124</v>
      </c>
      <c r="G4" s="37" t="s">
        <v>140</v>
      </c>
      <c r="H4" s="37" t="s">
        <v>1706</v>
      </c>
      <c r="I4" s="37" t="s">
        <v>146</v>
      </c>
      <c r="J4" s="37" t="s">
        <v>1707</v>
      </c>
      <c r="K4" s="37" t="s">
        <v>1708</v>
      </c>
    </row>
    <row r="5" spans="2:11" s="3" customFormat="1" ht="42" customHeight="1">
      <c r="B5" s="32">
        <v>2</v>
      </c>
      <c r="C5" s="37">
        <v>13</v>
      </c>
      <c r="D5" s="37"/>
      <c r="E5" s="174">
        <v>45690</v>
      </c>
      <c r="F5" s="37" t="s">
        <v>159</v>
      </c>
      <c r="G5" s="37"/>
      <c r="H5" s="37" t="s">
        <v>1709</v>
      </c>
      <c r="I5" s="37" t="s">
        <v>146</v>
      </c>
      <c r="J5" s="37"/>
      <c r="K5" s="37"/>
    </row>
    <row r="6" spans="2:11" s="3" customFormat="1" ht="61.5" customHeight="1">
      <c r="B6" s="32">
        <v>3</v>
      </c>
      <c r="C6" s="37"/>
      <c r="D6" s="37">
        <v>95</v>
      </c>
      <c r="E6" s="174">
        <v>45700</v>
      </c>
      <c r="F6" s="37" t="s">
        <v>124</v>
      </c>
      <c r="G6" s="37" t="s">
        <v>174</v>
      </c>
      <c r="H6" s="37" t="s">
        <v>1710</v>
      </c>
      <c r="I6" s="37" t="s">
        <v>127</v>
      </c>
      <c r="J6" s="37"/>
      <c r="K6" s="37"/>
    </row>
    <row r="7" spans="2:11">
      <c r="B7" s="6" t="s">
        <v>11</v>
      </c>
      <c r="C7" s="7">
        <f>SUM(C4:C6)</f>
        <v>13</v>
      </c>
      <c r="D7" s="7">
        <f>SUM(D4:D6)</f>
        <v>115</v>
      </c>
      <c r="E7" s="434"/>
      <c r="F7" s="435"/>
      <c r="G7" s="435"/>
      <c r="H7" s="435"/>
      <c r="I7" s="435"/>
      <c r="J7" s="435"/>
      <c r="K7" s="435"/>
    </row>
    <row r="8" spans="2:11">
      <c r="B8" s="9"/>
      <c r="C8" s="10"/>
      <c r="D8" s="11"/>
      <c r="E8" s="434"/>
      <c r="F8" s="435"/>
      <c r="G8" s="435"/>
      <c r="H8" s="435"/>
      <c r="I8" s="435"/>
      <c r="J8" s="435"/>
      <c r="K8" s="435"/>
    </row>
    <row r="9" spans="2:11">
      <c r="B9" s="6" t="s">
        <v>12</v>
      </c>
      <c r="C9" s="432">
        <f>SUM(C7,D7)</f>
        <v>128</v>
      </c>
      <c r="D9" s="433"/>
      <c r="E9" s="434"/>
      <c r="F9" s="435"/>
      <c r="G9" s="435"/>
      <c r="H9" s="435"/>
      <c r="I9" s="435"/>
      <c r="J9" s="435"/>
      <c r="K9" s="435"/>
    </row>
    <row r="10" spans="2:11">
      <c r="B10" s="12"/>
      <c r="C10" s="13"/>
      <c r="D10" s="14"/>
      <c r="E10" s="436"/>
      <c r="F10" s="437"/>
      <c r="G10" s="437"/>
      <c r="H10" s="437"/>
      <c r="I10" s="437"/>
      <c r="J10" s="437"/>
      <c r="K10" s="437"/>
    </row>
    <row r="13" spans="2:11" ht="26.25">
      <c r="B13" s="446" t="s">
        <v>13</v>
      </c>
      <c r="C13" s="447"/>
      <c r="D13" s="446" t="s">
        <v>14</v>
      </c>
      <c r="E13" s="446"/>
      <c r="F13" s="446"/>
      <c r="G13" s="446"/>
      <c r="H13" s="446"/>
      <c r="I13" s="446"/>
      <c r="J13" s="197" t="s">
        <v>15</v>
      </c>
    </row>
    <row r="14" spans="2:11" ht="20.25">
      <c r="B14" s="447"/>
      <c r="C14" s="447"/>
      <c r="D14" s="448" t="s">
        <v>16</v>
      </c>
      <c r="E14" s="448"/>
      <c r="F14" s="448"/>
      <c r="G14" s="448"/>
      <c r="H14" s="448"/>
      <c r="I14" s="448"/>
      <c r="J14" s="197" t="s">
        <v>17</v>
      </c>
    </row>
    <row r="15" spans="2:11">
      <c r="B15" s="449" t="s">
        <v>18</v>
      </c>
      <c r="C15" s="449"/>
      <c r="D15" s="244">
        <v>45700</v>
      </c>
      <c r="E15" s="199" t="s">
        <v>1460</v>
      </c>
      <c r="F15" s="450" t="s">
        <v>124</v>
      </c>
      <c r="G15" s="450"/>
      <c r="H15" s="201" t="s">
        <v>21</v>
      </c>
      <c r="I15" s="202" t="s">
        <v>1669</v>
      </c>
      <c r="J15" s="199" t="s">
        <v>23</v>
      </c>
    </row>
    <row r="16" spans="2:11">
      <c r="B16" s="449" t="s">
        <v>24</v>
      </c>
      <c r="C16" s="449"/>
      <c r="D16" s="203" t="s">
        <v>1711</v>
      </c>
      <c r="E16" s="204" t="s">
        <v>25</v>
      </c>
      <c r="F16" s="450" t="s">
        <v>26</v>
      </c>
      <c r="G16" s="450"/>
      <c r="H16" s="199" t="s">
        <v>27</v>
      </c>
      <c r="I16" s="202" t="s">
        <v>917</v>
      </c>
      <c r="J16" s="202" t="s">
        <v>29</v>
      </c>
    </row>
    <row r="17" spans="2:10">
      <c r="B17" s="449" t="s">
        <v>30</v>
      </c>
      <c r="C17" s="449"/>
      <c r="D17" s="199" t="s">
        <v>31</v>
      </c>
      <c r="E17" s="199" t="s">
        <v>32</v>
      </c>
      <c r="F17" s="450">
        <v>97</v>
      </c>
      <c r="G17" s="450"/>
      <c r="H17" s="201" t="s">
        <v>33</v>
      </c>
      <c r="I17" s="204" t="s">
        <v>1712</v>
      </c>
      <c r="J17" s="202"/>
    </row>
    <row r="18" spans="2:10">
      <c r="B18" s="451" t="s">
        <v>35</v>
      </c>
      <c r="C18" s="451"/>
      <c r="D18" s="464" t="s">
        <v>1672</v>
      </c>
      <c r="E18" s="465"/>
      <c r="F18" s="465"/>
      <c r="G18" s="465"/>
      <c r="H18" s="465"/>
      <c r="I18" s="465"/>
      <c r="J18" s="469"/>
    </row>
    <row r="19" spans="2:10">
      <c r="B19" s="452" t="s">
        <v>1713</v>
      </c>
      <c r="C19" s="453"/>
      <c r="D19" s="453"/>
      <c r="E19" s="453"/>
      <c r="F19" s="453"/>
      <c r="G19" s="453"/>
      <c r="H19" s="453"/>
      <c r="I19" s="453"/>
      <c r="J19" s="454"/>
    </row>
    <row r="20" spans="2:10">
      <c r="B20" s="455"/>
      <c r="C20" s="456"/>
      <c r="D20" s="456"/>
      <c r="E20" s="456"/>
      <c r="F20" s="456"/>
      <c r="G20" s="456"/>
      <c r="H20" s="456"/>
      <c r="I20" s="456"/>
      <c r="J20" s="457"/>
    </row>
    <row r="21" spans="2:10">
      <c r="B21" s="455"/>
      <c r="C21" s="456"/>
      <c r="D21" s="456"/>
      <c r="E21" s="456"/>
      <c r="F21" s="456"/>
      <c r="G21" s="456"/>
      <c r="H21" s="456"/>
      <c r="I21" s="456"/>
      <c r="J21" s="457"/>
    </row>
    <row r="22" spans="2:10">
      <c r="B22" s="458"/>
      <c r="C22" s="459"/>
      <c r="D22" s="459"/>
      <c r="E22" s="459"/>
      <c r="F22" s="459"/>
      <c r="G22" s="459"/>
      <c r="H22" s="459"/>
      <c r="I22" s="459"/>
      <c r="J22" s="460"/>
    </row>
    <row r="23" spans="2:10" ht="18">
      <c r="B23" s="461" t="s">
        <v>38</v>
      </c>
      <c r="C23" s="462"/>
      <c r="D23" s="462"/>
      <c r="E23" s="462"/>
      <c r="F23" s="462"/>
      <c r="G23" s="462"/>
      <c r="H23" s="462"/>
      <c r="I23" s="463"/>
      <c r="J23" s="205" t="s">
        <v>39</v>
      </c>
    </row>
    <row r="24" spans="2:10">
      <c r="B24" s="200">
        <v>1</v>
      </c>
      <c r="C24" s="464" t="s">
        <v>1714</v>
      </c>
      <c r="D24" s="465"/>
      <c r="E24" s="465"/>
      <c r="F24" s="465"/>
      <c r="G24" s="465"/>
      <c r="H24" s="465"/>
      <c r="I24" s="466"/>
      <c r="J24" s="200" t="s">
        <v>43</v>
      </c>
    </row>
    <row r="25" spans="2:10">
      <c r="B25" s="200">
        <v>2</v>
      </c>
      <c r="C25" s="464" t="s">
        <v>1715</v>
      </c>
      <c r="D25" s="465"/>
      <c r="E25" s="465"/>
      <c r="F25" s="465"/>
      <c r="G25" s="465"/>
      <c r="H25" s="465"/>
      <c r="I25" s="466"/>
      <c r="J25" s="200" t="s">
        <v>43</v>
      </c>
    </row>
    <row r="26" spans="2:10">
      <c r="B26" s="200">
        <v>3</v>
      </c>
      <c r="C26" s="467"/>
      <c r="D26" s="468"/>
      <c r="E26" s="468"/>
      <c r="F26" s="468"/>
      <c r="G26" s="468"/>
      <c r="H26" s="468"/>
      <c r="I26" s="469"/>
      <c r="J26" s="200"/>
    </row>
    <row r="27" spans="2:10" ht="18">
      <c r="B27" s="461" t="s">
        <v>44</v>
      </c>
      <c r="C27" s="462"/>
      <c r="D27" s="462"/>
      <c r="E27" s="462"/>
      <c r="F27" s="462"/>
      <c r="G27" s="462"/>
      <c r="H27" s="462"/>
      <c r="I27" s="462"/>
      <c r="J27" s="463"/>
    </row>
    <row r="28" spans="2:10">
      <c r="B28" s="200" t="s">
        <v>45</v>
      </c>
      <c r="C28" s="470" t="s">
        <v>1716</v>
      </c>
      <c r="D28" s="471"/>
      <c r="E28" s="471"/>
      <c r="F28" s="471"/>
      <c r="G28" s="471"/>
      <c r="H28" s="471"/>
      <c r="I28" s="471"/>
      <c r="J28" s="472"/>
    </row>
    <row r="29" spans="2:10">
      <c r="B29" s="206" t="s">
        <v>45</v>
      </c>
      <c r="C29" s="473" t="s">
        <v>1717</v>
      </c>
      <c r="D29" s="473"/>
      <c r="E29" s="473"/>
      <c r="F29" s="473"/>
      <c r="G29" s="473"/>
      <c r="H29" s="473"/>
      <c r="I29" s="473"/>
      <c r="J29" s="473"/>
    </row>
    <row r="30" spans="2:10">
      <c r="B30" s="206" t="s">
        <v>45</v>
      </c>
      <c r="C30" s="473" t="s">
        <v>1718</v>
      </c>
      <c r="D30" s="473"/>
      <c r="E30" s="473"/>
      <c r="F30" s="473"/>
      <c r="G30" s="473"/>
      <c r="H30" s="473"/>
      <c r="I30" s="473"/>
      <c r="J30" s="473"/>
    </row>
    <row r="31" spans="2:10">
      <c r="B31" s="206" t="s">
        <v>45</v>
      </c>
      <c r="C31" s="473" t="s">
        <v>1719</v>
      </c>
      <c r="D31" s="473"/>
      <c r="E31" s="473"/>
      <c r="F31" s="473"/>
      <c r="G31" s="473"/>
      <c r="H31" s="473"/>
      <c r="I31" s="473"/>
      <c r="J31" s="473"/>
    </row>
    <row r="32" spans="2:10">
      <c r="B32" s="206" t="s">
        <v>45</v>
      </c>
      <c r="C32" s="474" t="s">
        <v>1720</v>
      </c>
      <c r="D32" s="475"/>
      <c r="E32" s="475"/>
      <c r="F32" s="475"/>
      <c r="G32" s="475"/>
      <c r="H32" s="475"/>
      <c r="I32" s="475"/>
      <c r="J32" s="476"/>
    </row>
    <row r="33" spans="2:10">
      <c r="B33" s="206" t="s">
        <v>45</v>
      </c>
      <c r="C33" s="464"/>
      <c r="D33" s="465"/>
      <c r="E33" s="465"/>
      <c r="F33" s="465"/>
      <c r="G33" s="465"/>
      <c r="H33" s="465"/>
      <c r="I33" s="465"/>
      <c r="J33" s="466"/>
    </row>
    <row r="34" spans="2:10">
      <c r="B34" s="200" t="s">
        <v>45</v>
      </c>
      <c r="C34" s="464"/>
      <c r="D34" s="465"/>
      <c r="E34" s="465"/>
      <c r="F34" s="465"/>
      <c r="G34" s="465"/>
      <c r="H34" s="465"/>
      <c r="I34" s="465"/>
      <c r="J34" s="466"/>
    </row>
    <row r="35" spans="2:10">
      <c r="B35" s="200" t="s">
        <v>7</v>
      </c>
      <c r="C35" s="474" t="s">
        <v>1720</v>
      </c>
      <c r="D35" s="475"/>
      <c r="E35" s="475"/>
      <c r="F35" s="475"/>
      <c r="G35" s="475"/>
      <c r="H35" s="475"/>
      <c r="I35" s="475"/>
      <c r="J35" s="476"/>
    </row>
    <row r="36" spans="2:10" ht="18">
      <c r="B36" s="205" t="s">
        <v>52</v>
      </c>
      <c r="C36" s="477" t="s">
        <v>53</v>
      </c>
      <c r="D36" s="477"/>
      <c r="E36" s="477"/>
      <c r="F36" s="477"/>
      <c r="G36" s="477"/>
      <c r="H36" s="205" t="s">
        <v>54</v>
      </c>
      <c r="I36" s="205" t="s">
        <v>55</v>
      </c>
      <c r="J36" s="205" t="s">
        <v>56</v>
      </c>
    </row>
    <row r="37" spans="2:10">
      <c r="B37" s="200">
        <v>1</v>
      </c>
      <c r="C37" s="451" t="s">
        <v>1721</v>
      </c>
      <c r="D37" s="451"/>
      <c r="E37" s="451"/>
      <c r="F37" s="451"/>
      <c r="G37" s="451"/>
      <c r="H37" s="200" t="s">
        <v>1722</v>
      </c>
      <c r="I37" s="207" t="s">
        <v>1723</v>
      </c>
      <c r="J37" s="200"/>
    </row>
    <row r="38" spans="2:10">
      <c r="B38" s="200">
        <v>2</v>
      </c>
      <c r="C38" s="449"/>
      <c r="D38" s="449"/>
      <c r="E38" s="449"/>
      <c r="F38" s="449"/>
      <c r="G38" s="449"/>
      <c r="H38" s="200"/>
      <c r="I38" s="207"/>
      <c r="J38" s="200"/>
    </row>
    <row r="39" spans="2:10">
      <c r="B39" s="200">
        <v>3</v>
      </c>
      <c r="C39" s="450"/>
      <c r="D39" s="450"/>
      <c r="E39" s="450"/>
      <c r="F39" s="450"/>
      <c r="G39" s="450"/>
      <c r="H39" s="200"/>
      <c r="I39" s="200"/>
      <c r="J39" s="200"/>
    </row>
    <row r="40" spans="2:10">
      <c r="B40" s="450" t="s">
        <v>63</v>
      </c>
      <c r="C40" s="450"/>
      <c r="D40" s="199" t="s">
        <v>31</v>
      </c>
      <c r="E40" s="198" t="s">
        <v>64</v>
      </c>
      <c r="F40" s="467"/>
      <c r="G40" s="469"/>
      <c r="H40" s="199"/>
      <c r="I40" s="199"/>
      <c r="J40" s="199"/>
    </row>
    <row r="41" spans="2:10" ht="45">
      <c r="B41" s="201" t="s">
        <v>66</v>
      </c>
      <c r="C41" s="450"/>
      <c r="D41" s="450"/>
      <c r="E41" s="201" t="s">
        <v>67</v>
      </c>
      <c r="F41" s="450"/>
      <c r="G41" s="450"/>
      <c r="H41" s="201" t="s">
        <v>68</v>
      </c>
      <c r="I41" s="450"/>
      <c r="J41" s="450"/>
    </row>
    <row r="44" spans="2:10" ht="26.25" customHeight="1">
      <c r="B44" s="446" t="s">
        <v>13</v>
      </c>
      <c r="C44" s="447"/>
      <c r="D44" s="446" t="s">
        <v>14</v>
      </c>
      <c r="E44" s="446"/>
      <c r="F44" s="446"/>
      <c r="G44" s="446"/>
      <c r="H44" s="446"/>
      <c r="I44" s="446"/>
      <c r="J44" s="197" t="s">
        <v>15</v>
      </c>
    </row>
    <row r="45" spans="2:10" ht="20.25" customHeight="1">
      <c r="B45" s="447"/>
      <c r="C45" s="447"/>
      <c r="D45" s="448" t="s">
        <v>16</v>
      </c>
      <c r="E45" s="448"/>
      <c r="F45" s="448"/>
      <c r="G45" s="448"/>
      <c r="H45" s="448"/>
      <c r="I45" s="448"/>
      <c r="J45" s="197" t="s">
        <v>17</v>
      </c>
    </row>
    <row r="46" spans="2:10">
      <c r="B46" s="449" t="s">
        <v>18</v>
      </c>
      <c r="C46" s="449"/>
      <c r="D46" s="244">
        <v>45667</v>
      </c>
      <c r="E46" s="199" t="s">
        <v>1460</v>
      </c>
      <c r="F46" s="450" t="s">
        <v>159</v>
      </c>
      <c r="G46" s="450"/>
      <c r="H46" s="201" t="s">
        <v>21</v>
      </c>
      <c r="I46" s="202" t="s">
        <v>1669</v>
      </c>
      <c r="J46" s="199" t="s">
        <v>23</v>
      </c>
    </row>
    <row r="47" spans="2:10">
      <c r="B47" s="449" t="s">
        <v>24</v>
      </c>
      <c r="C47" s="449"/>
      <c r="D47" s="203"/>
      <c r="E47" s="204" t="s">
        <v>25</v>
      </c>
      <c r="F47" s="450" t="s">
        <v>26</v>
      </c>
      <c r="G47" s="450"/>
      <c r="H47" s="199" t="s">
        <v>27</v>
      </c>
      <c r="I47" s="202" t="s">
        <v>917</v>
      </c>
      <c r="J47" s="202" t="s">
        <v>29</v>
      </c>
    </row>
    <row r="48" spans="2:10">
      <c r="B48" s="449" t="s">
        <v>30</v>
      </c>
      <c r="C48" s="449"/>
      <c r="D48" s="199" t="s">
        <v>31</v>
      </c>
      <c r="E48" s="199" t="s">
        <v>32</v>
      </c>
      <c r="F48" s="450"/>
      <c r="G48" s="450"/>
      <c r="H48" s="201" t="s">
        <v>33</v>
      </c>
      <c r="I48" s="204"/>
      <c r="J48" s="202"/>
    </row>
    <row r="49" spans="2:10" ht="15" customHeight="1">
      <c r="B49" s="451" t="s">
        <v>35</v>
      </c>
      <c r="C49" s="451"/>
      <c r="D49" s="464" t="s">
        <v>1681</v>
      </c>
      <c r="E49" s="465"/>
      <c r="F49" s="465"/>
      <c r="G49" s="465"/>
      <c r="H49" s="465"/>
      <c r="I49" s="465"/>
      <c r="J49" s="469"/>
    </row>
    <row r="50" spans="2:10" ht="15" customHeight="1">
      <c r="B50" s="452" t="s">
        <v>1724</v>
      </c>
      <c r="C50" s="453"/>
      <c r="D50" s="453"/>
      <c r="E50" s="453"/>
      <c r="F50" s="453"/>
      <c r="G50" s="453"/>
      <c r="H50" s="453"/>
      <c r="I50" s="453"/>
      <c r="J50" s="454"/>
    </row>
    <row r="51" spans="2:10">
      <c r="B51" s="455"/>
      <c r="C51" s="456"/>
      <c r="D51" s="456"/>
      <c r="E51" s="456"/>
      <c r="F51" s="456"/>
      <c r="G51" s="456"/>
      <c r="H51" s="456"/>
      <c r="I51" s="456"/>
      <c r="J51" s="457"/>
    </row>
    <row r="52" spans="2:10">
      <c r="B52" s="455"/>
      <c r="C52" s="456"/>
      <c r="D52" s="456"/>
      <c r="E52" s="456"/>
      <c r="F52" s="456"/>
      <c r="G52" s="456"/>
      <c r="H52" s="456"/>
      <c r="I52" s="456"/>
      <c r="J52" s="457"/>
    </row>
    <row r="53" spans="2:10">
      <c r="B53" s="458"/>
      <c r="C53" s="459"/>
      <c r="D53" s="459"/>
      <c r="E53" s="459"/>
      <c r="F53" s="459"/>
      <c r="G53" s="459"/>
      <c r="H53" s="459"/>
      <c r="I53" s="459"/>
      <c r="J53" s="460"/>
    </row>
    <row r="54" spans="2:10" ht="18">
      <c r="B54" s="461" t="s">
        <v>38</v>
      </c>
      <c r="C54" s="462"/>
      <c r="D54" s="462"/>
      <c r="E54" s="462"/>
      <c r="F54" s="462"/>
      <c r="G54" s="462"/>
      <c r="H54" s="462"/>
      <c r="I54" s="463"/>
      <c r="J54" s="205" t="s">
        <v>39</v>
      </c>
    </row>
    <row r="55" spans="2:10">
      <c r="B55" s="200">
        <v>1</v>
      </c>
      <c r="C55" s="464"/>
      <c r="D55" s="465"/>
      <c r="E55" s="465"/>
      <c r="F55" s="465"/>
      <c r="G55" s="465"/>
      <c r="H55" s="465"/>
      <c r="I55" s="466"/>
      <c r="J55" s="200" t="s">
        <v>43</v>
      </c>
    </row>
    <row r="56" spans="2:10">
      <c r="B56" s="200">
        <v>2</v>
      </c>
      <c r="C56" s="464"/>
      <c r="D56" s="465"/>
      <c r="E56" s="465"/>
      <c r="F56" s="465"/>
      <c r="G56" s="465"/>
      <c r="H56" s="465"/>
      <c r="I56" s="466"/>
      <c r="J56" s="200"/>
    </row>
    <row r="57" spans="2:10">
      <c r="B57" s="200">
        <v>3</v>
      </c>
      <c r="C57" s="467"/>
      <c r="D57" s="468"/>
      <c r="E57" s="468"/>
      <c r="F57" s="468"/>
      <c r="G57" s="468"/>
      <c r="H57" s="468"/>
      <c r="I57" s="469"/>
      <c r="J57" s="200"/>
    </row>
    <row r="58" spans="2:10" ht="18">
      <c r="B58" s="461" t="s">
        <v>44</v>
      </c>
      <c r="C58" s="462"/>
      <c r="D58" s="462"/>
      <c r="E58" s="462"/>
      <c r="F58" s="462"/>
      <c r="G58" s="462"/>
      <c r="H58" s="462"/>
      <c r="I58" s="462"/>
      <c r="J58" s="463"/>
    </row>
    <row r="59" spans="2:10">
      <c r="B59" s="200" t="s">
        <v>45</v>
      </c>
      <c r="C59" s="470"/>
      <c r="D59" s="471"/>
      <c r="E59" s="471"/>
      <c r="F59" s="471"/>
      <c r="G59" s="471"/>
      <c r="H59" s="471"/>
      <c r="I59" s="471"/>
      <c r="J59" s="472"/>
    </row>
    <row r="60" spans="2:10">
      <c r="B60" s="206" t="s">
        <v>45</v>
      </c>
      <c r="C60" s="473"/>
      <c r="D60" s="473"/>
      <c r="E60" s="473"/>
      <c r="F60" s="473"/>
      <c r="G60" s="473"/>
      <c r="H60" s="473"/>
      <c r="I60" s="473"/>
      <c r="J60" s="473"/>
    </row>
    <row r="61" spans="2:10">
      <c r="B61" s="206" t="s">
        <v>45</v>
      </c>
      <c r="C61" s="473"/>
      <c r="D61" s="473"/>
      <c r="E61" s="473"/>
      <c r="F61" s="473"/>
      <c r="G61" s="473"/>
      <c r="H61" s="473"/>
      <c r="I61" s="473"/>
      <c r="J61" s="473"/>
    </row>
    <row r="62" spans="2:10">
      <c r="B62" s="206" t="s">
        <v>45</v>
      </c>
      <c r="C62" s="473"/>
      <c r="D62" s="473"/>
      <c r="E62" s="473"/>
      <c r="F62" s="473"/>
      <c r="G62" s="473"/>
      <c r="H62" s="473"/>
      <c r="I62" s="473"/>
      <c r="J62" s="473"/>
    </row>
    <row r="63" spans="2:10">
      <c r="B63" s="206" t="s">
        <v>45</v>
      </c>
      <c r="C63" s="474"/>
      <c r="D63" s="475"/>
      <c r="E63" s="475"/>
      <c r="F63" s="475"/>
      <c r="G63" s="475"/>
      <c r="H63" s="475"/>
      <c r="I63" s="475"/>
      <c r="J63" s="476"/>
    </row>
    <row r="64" spans="2:10">
      <c r="B64" s="206" t="s">
        <v>45</v>
      </c>
      <c r="C64" s="464"/>
      <c r="D64" s="465"/>
      <c r="E64" s="465"/>
      <c r="F64" s="465"/>
      <c r="G64" s="465"/>
      <c r="H64" s="465"/>
      <c r="I64" s="465"/>
      <c r="J64" s="466"/>
    </row>
    <row r="65" spans="2:10">
      <c r="B65" s="200" t="s">
        <v>45</v>
      </c>
      <c r="C65" s="464"/>
      <c r="D65" s="465"/>
      <c r="E65" s="465"/>
      <c r="F65" s="465"/>
      <c r="G65" s="465"/>
      <c r="H65" s="465"/>
      <c r="I65" s="465"/>
      <c r="J65" s="466"/>
    </row>
    <row r="66" spans="2:10">
      <c r="B66" s="200" t="s">
        <v>7</v>
      </c>
      <c r="C66" s="474"/>
      <c r="D66" s="475"/>
      <c r="E66" s="475"/>
      <c r="F66" s="475"/>
      <c r="G66" s="475"/>
      <c r="H66" s="475"/>
      <c r="I66" s="475"/>
      <c r="J66" s="476"/>
    </row>
    <row r="67" spans="2:10" ht="18">
      <c r="B67" s="205" t="s">
        <v>52</v>
      </c>
      <c r="C67" s="477" t="s">
        <v>53</v>
      </c>
      <c r="D67" s="477"/>
      <c r="E67" s="477"/>
      <c r="F67" s="477"/>
      <c r="G67" s="477"/>
      <c r="H67" s="205" t="s">
        <v>54</v>
      </c>
      <c r="I67" s="205" t="s">
        <v>55</v>
      </c>
      <c r="J67" s="205" t="s">
        <v>56</v>
      </c>
    </row>
    <row r="68" spans="2:10">
      <c r="B68" s="200">
        <v>1</v>
      </c>
      <c r="C68" s="451"/>
      <c r="D68" s="451"/>
      <c r="E68" s="451"/>
      <c r="F68" s="451"/>
      <c r="G68" s="451"/>
      <c r="H68" s="200"/>
      <c r="I68" s="207"/>
      <c r="J68" s="200"/>
    </row>
    <row r="69" spans="2:10">
      <c r="B69" s="200">
        <v>2</v>
      </c>
      <c r="C69" s="449"/>
      <c r="D69" s="449"/>
      <c r="E69" s="449"/>
      <c r="F69" s="449"/>
      <c r="G69" s="449"/>
      <c r="H69" s="200"/>
      <c r="I69" s="207"/>
      <c r="J69" s="200"/>
    </row>
    <row r="70" spans="2:10">
      <c r="B70" s="200">
        <v>3</v>
      </c>
      <c r="C70" s="450"/>
      <c r="D70" s="450"/>
      <c r="E70" s="450"/>
      <c r="F70" s="450"/>
      <c r="G70" s="450"/>
      <c r="H70" s="200"/>
      <c r="I70" s="200"/>
      <c r="J70" s="200"/>
    </row>
    <row r="71" spans="2:10">
      <c r="B71" s="450" t="s">
        <v>63</v>
      </c>
      <c r="C71" s="450"/>
      <c r="D71" s="199" t="s">
        <v>31</v>
      </c>
      <c r="E71" s="198" t="s">
        <v>64</v>
      </c>
      <c r="F71" s="467"/>
      <c r="G71" s="469"/>
      <c r="H71" s="199"/>
      <c r="I71" s="199"/>
      <c r="J71" s="199"/>
    </row>
    <row r="72" spans="2:10" ht="45">
      <c r="B72" s="201" t="s">
        <v>66</v>
      </c>
      <c r="C72" s="450"/>
      <c r="D72" s="450"/>
      <c r="E72" s="201" t="s">
        <v>67</v>
      </c>
      <c r="F72" s="450"/>
      <c r="G72" s="450"/>
      <c r="H72" s="201" t="s">
        <v>68</v>
      </c>
      <c r="I72" s="450"/>
      <c r="J72" s="450"/>
    </row>
    <row r="75" spans="2:10" ht="26.25">
      <c r="B75" s="446"/>
      <c r="C75" s="447"/>
      <c r="D75" s="446"/>
      <c r="E75" s="446"/>
      <c r="F75" s="446"/>
      <c r="G75" s="446"/>
      <c r="H75" s="446"/>
      <c r="I75" s="446"/>
      <c r="J75" s="197"/>
    </row>
    <row r="76" spans="2:10" ht="20.25">
      <c r="B76" s="447"/>
      <c r="C76" s="447"/>
      <c r="D76" s="448"/>
      <c r="E76" s="448"/>
      <c r="F76" s="448"/>
      <c r="G76" s="448"/>
      <c r="H76" s="448"/>
      <c r="I76" s="448"/>
      <c r="J76" s="197"/>
    </row>
    <row r="77" spans="2:10">
      <c r="B77" s="449"/>
      <c r="C77" s="449"/>
      <c r="D77" s="244"/>
      <c r="E77" s="199"/>
      <c r="F77" s="450"/>
      <c r="G77" s="450"/>
      <c r="H77" s="201"/>
      <c r="I77" s="202"/>
      <c r="J77" s="199"/>
    </row>
    <row r="78" spans="2:10">
      <c r="B78" s="449"/>
      <c r="C78" s="449"/>
      <c r="D78" s="203"/>
      <c r="E78" s="204"/>
      <c r="F78" s="450"/>
      <c r="G78" s="450"/>
      <c r="H78" s="199"/>
      <c r="I78" s="202"/>
      <c r="J78" s="202"/>
    </row>
    <row r="79" spans="2:10">
      <c r="B79" s="449"/>
      <c r="C79" s="449"/>
      <c r="D79" s="199"/>
      <c r="E79" s="199"/>
      <c r="F79" s="450"/>
      <c r="G79" s="450"/>
      <c r="H79" s="201"/>
      <c r="I79" s="204"/>
      <c r="J79" s="202"/>
    </row>
    <row r="80" spans="2:10">
      <c r="B80" s="451"/>
      <c r="C80" s="451"/>
      <c r="D80" s="464"/>
      <c r="E80" s="465"/>
      <c r="F80" s="465"/>
      <c r="G80" s="465"/>
      <c r="H80" s="465"/>
      <c r="I80" s="465"/>
      <c r="J80" s="469"/>
    </row>
    <row r="81" spans="2:10">
      <c r="B81" s="452"/>
      <c r="C81" s="453"/>
      <c r="D81" s="453"/>
      <c r="E81" s="453"/>
      <c r="F81" s="453"/>
      <c r="G81" s="453"/>
      <c r="H81" s="453"/>
      <c r="I81" s="453"/>
      <c r="J81" s="454"/>
    </row>
    <row r="82" spans="2:10">
      <c r="B82" s="455"/>
      <c r="C82" s="456"/>
      <c r="D82" s="456"/>
      <c r="E82" s="456"/>
      <c r="F82" s="456"/>
      <c r="G82" s="456"/>
      <c r="H82" s="456"/>
      <c r="I82" s="456"/>
      <c r="J82" s="457"/>
    </row>
    <row r="83" spans="2:10">
      <c r="B83" s="455"/>
      <c r="C83" s="456"/>
      <c r="D83" s="456"/>
      <c r="E83" s="456"/>
      <c r="F83" s="456"/>
      <c r="G83" s="456"/>
      <c r="H83" s="456"/>
      <c r="I83" s="456"/>
      <c r="J83" s="457"/>
    </row>
    <row r="84" spans="2:10">
      <c r="B84" s="458"/>
      <c r="C84" s="459"/>
      <c r="D84" s="459"/>
      <c r="E84" s="459"/>
      <c r="F84" s="459"/>
      <c r="G84" s="459"/>
      <c r="H84" s="459"/>
      <c r="I84" s="459"/>
      <c r="J84" s="460"/>
    </row>
    <row r="85" spans="2:10" ht="18">
      <c r="B85" s="461"/>
      <c r="C85" s="462"/>
      <c r="D85" s="462"/>
      <c r="E85" s="462"/>
      <c r="F85" s="462"/>
      <c r="G85" s="462"/>
      <c r="H85" s="462"/>
      <c r="I85" s="463"/>
      <c r="J85" s="205"/>
    </row>
    <row r="86" spans="2:10">
      <c r="B86" s="200"/>
      <c r="C86" s="464"/>
      <c r="D86" s="465"/>
      <c r="E86" s="465"/>
      <c r="F86" s="465"/>
      <c r="G86" s="465"/>
      <c r="H86" s="465"/>
      <c r="I86" s="466"/>
      <c r="J86" s="200"/>
    </row>
    <row r="87" spans="2:10">
      <c r="B87" s="200"/>
      <c r="C87" s="464"/>
      <c r="D87" s="465"/>
      <c r="E87" s="465"/>
      <c r="F87" s="465"/>
      <c r="G87" s="465"/>
      <c r="H87" s="465"/>
      <c r="I87" s="466"/>
      <c r="J87" s="200"/>
    </row>
    <row r="88" spans="2:10">
      <c r="B88" s="200"/>
      <c r="C88" s="467"/>
      <c r="D88" s="468"/>
      <c r="E88" s="468"/>
      <c r="F88" s="468"/>
      <c r="G88" s="468"/>
      <c r="H88" s="468"/>
      <c r="I88" s="469"/>
      <c r="J88" s="200"/>
    </row>
    <row r="89" spans="2:10" ht="18">
      <c r="B89" s="461"/>
      <c r="C89" s="462"/>
      <c r="D89" s="462"/>
      <c r="E89" s="462"/>
      <c r="F89" s="462"/>
      <c r="G89" s="462"/>
      <c r="H89" s="462"/>
      <c r="I89" s="462"/>
      <c r="J89" s="463"/>
    </row>
    <row r="90" spans="2:10">
      <c r="B90" s="200"/>
      <c r="C90" s="470"/>
      <c r="D90" s="471"/>
      <c r="E90" s="471"/>
      <c r="F90" s="471"/>
      <c r="G90" s="471"/>
      <c r="H90" s="471"/>
      <c r="I90" s="471"/>
      <c r="J90" s="472"/>
    </row>
    <row r="91" spans="2:10">
      <c r="B91" s="206"/>
      <c r="C91" s="473"/>
      <c r="D91" s="473"/>
      <c r="E91" s="473"/>
      <c r="F91" s="473"/>
      <c r="G91" s="473"/>
      <c r="H91" s="473"/>
      <c r="I91" s="473"/>
      <c r="J91" s="473"/>
    </row>
    <row r="92" spans="2:10">
      <c r="B92" s="206"/>
      <c r="C92" s="473"/>
      <c r="D92" s="473"/>
      <c r="E92" s="473"/>
      <c r="F92" s="473"/>
      <c r="G92" s="473"/>
      <c r="H92" s="473"/>
      <c r="I92" s="473"/>
      <c r="J92" s="473"/>
    </row>
    <row r="93" spans="2:10">
      <c r="B93" s="206"/>
      <c r="C93" s="474"/>
      <c r="D93" s="475"/>
      <c r="E93" s="475"/>
      <c r="F93" s="475"/>
      <c r="G93" s="475"/>
      <c r="H93" s="475"/>
      <c r="I93" s="475"/>
      <c r="J93" s="476"/>
    </row>
    <row r="94" spans="2:10">
      <c r="B94" s="206"/>
      <c r="C94" s="474"/>
      <c r="D94" s="475"/>
      <c r="E94" s="475"/>
      <c r="F94" s="475"/>
      <c r="G94" s="475"/>
      <c r="H94" s="475"/>
      <c r="I94" s="475"/>
      <c r="J94" s="476"/>
    </row>
    <row r="95" spans="2:10">
      <c r="B95" s="206"/>
      <c r="C95" s="464"/>
      <c r="D95" s="465"/>
      <c r="E95" s="465"/>
      <c r="F95" s="465"/>
      <c r="G95" s="465"/>
      <c r="H95" s="465"/>
      <c r="I95" s="465"/>
      <c r="J95" s="466"/>
    </row>
    <row r="96" spans="2:10">
      <c r="B96" s="200"/>
      <c r="C96" s="464"/>
      <c r="D96" s="465"/>
      <c r="E96" s="465"/>
      <c r="F96" s="465"/>
      <c r="G96" s="465"/>
      <c r="H96" s="465"/>
      <c r="I96" s="465"/>
      <c r="J96" s="466"/>
    </row>
    <row r="97" spans="2:10">
      <c r="B97" s="200"/>
      <c r="C97" s="474"/>
      <c r="D97" s="475"/>
      <c r="E97" s="475"/>
      <c r="F97" s="475"/>
      <c r="G97" s="475"/>
      <c r="H97" s="475"/>
      <c r="I97" s="475"/>
      <c r="J97" s="476"/>
    </row>
    <row r="98" spans="2:10" ht="18">
      <c r="B98" s="205"/>
      <c r="C98" s="477"/>
      <c r="D98" s="477"/>
      <c r="E98" s="477"/>
      <c r="F98" s="477"/>
      <c r="G98" s="477"/>
      <c r="H98" s="205"/>
      <c r="I98" s="205"/>
      <c r="J98" s="205"/>
    </row>
    <row r="99" spans="2:10">
      <c r="B99" s="200"/>
      <c r="C99" s="451"/>
      <c r="D99" s="451"/>
      <c r="E99" s="451"/>
      <c r="F99" s="451"/>
      <c r="G99" s="451"/>
      <c r="H99" s="200"/>
      <c r="I99" s="207"/>
      <c r="J99" s="200"/>
    </row>
    <row r="100" spans="2:10">
      <c r="B100" s="200"/>
      <c r="C100" s="449"/>
      <c r="D100" s="449"/>
      <c r="E100" s="449"/>
      <c r="F100" s="449"/>
      <c r="G100" s="449"/>
      <c r="H100" s="200"/>
      <c r="I100" s="207"/>
      <c r="J100" s="200"/>
    </row>
    <row r="101" spans="2:10">
      <c r="B101" s="200"/>
      <c r="C101" s="450"/>
      <c r="D101" s="450"/>
      <c r="E101" s="450"/>
      <c r="F101" s="450"/>
      <c r="G101" s="450"/>
      <c r="H101" s="200"/>
      <c r="I101" s="200"/>
      <c r="J101" s="200"/>
    </row>
    <row r="102" spans="2:10">
      <c r="B102" s="450"/>
      <c r="C102" s="450"/>
      <c r="D102" s="199"/>
      <c r="E102" s="198"/>
      <c r="F102" s="467"/>
      <c r="G102" s="469"/>
      <c r="H102" s="199"/>
      <c r="I102" s="199"/>
      <c r="J102" s="199"/>
    </row>
    <row r="103" spans="2:10">
      <c r="B103" s="201"/>
      <c r="C103" s="450"/>
      <c r="D103" s="450"/>
      <c r="E103" s="201"/>
      <c r="F103" s="450"/>
      <c r="G103" s="450"/>
      <c r="H103" s="201"/>
      <c r="I103" s="450"/>
      <c r="J103" s="450"/>
    </row>
    <row r="107" spans="2:10" ht="26.25">
      <c r="B107" s="446"/>
      <c r="C107" s="447"/>
      <c r="D107" s="446"/>
      <c r="E107" s="446"/>
      <c r="F107" s="446"/>
      <c r="G107" s="446"/>
      <c r="H107" s="446"/>
      <c r="I107" s="446"/>
      <c r="J107" s="197"/>
    </row>
    <row r="108" spans="2:10" ht="20.25">
      <c r="B108" s="447"/>
      <c r="C108" s="447"/>
      <c r="D108" s="448"/>
      <c r="E108" s="448"/>
      <c r="F108" s="448"/>
      <c r="G108" s="448"/>
      <c r="H108" s="448"/>
      <c r="I108" s="448"/>
      <c r="J108" s="197"/>
    </row>
    <row r="109" spans="2:10">
      <c r="B109" s="449"/>
      <c r="C109" s="449"/>
      <c r="D109" s="244"/>
      <c r="E109" s="199"/>
      <c r="F109" s="450"/>
      <c r="G109" s="450"/>
      <c r="H109" s="201"/>
      <c r="I109" s="202"/>
      <c r="J109" s="199"/>
    </row>
    <row r="110" spans="2:10">
      <c r="B110" s="449"/>
      <c r="C110" s="449"/>
      <c r="D110" s="203"/>
      <c r="E110" s="204"/>
      <c r="F110" s="450"/>
      <c r="G110" s="450"/>
      <c r="H110" s="199"/>
      <c r="I110" s="202"/>
      <c r="J110" s="202"/>
    </row>
    <row r="111" spans="2:10">
      <c r="B111" s="449"/>
      <c r="C111" s="449"/>
      <c r="D111" s="199"/>
      <c r="E111" s="199"/>
      <c r="F111" s="450"/>
      <c r="G111" s="450"/>
      <c r="H111" s="201"/>
      <c r="I111" s="204"/>
      <c r="J111" s="202"/>
    </row>
    <row r="112" spans="2:10">
      <c r="B112" s="451"/>
      <c r="C112" s="451"/>
      <c r="D112" s="464"/>
      <c r="E112" s="465"/>
      <c r="F112" s="465"/>
      <c r="G112" s="465"/>
      <c r="H112" s="465"/>
      <c r="I112" s="465"/>
      <c r="J112" s="469"/>
    </row>
    <row r="113" spans="2:10">
      <c r="B113" s="452"/>
      <c r="C113" s="453"/>
      <c r="D113" s="453"/>
      <c r="E113" s="453"/>
      <c r="F113" s="453"/>
      <c r="G113" s="453"/>
      <c r="H113" s="453"/>
      <c r="I113" s="453"/>
      <c r="J113" s="454"/>
    </row>
    <row r="114" spans="2:10">
      <c r="B114" s="455"/>
      <c r="C114" s="456"/>
      <c r="D114" s="456"/>
      <c r="E114" s="456"/>
      <c r="F114" s="456"/>
      <c r="G114" s="456"/>
      <c r="H114" s="456"/>
      <c r="I114" s="456"/>
      <c r="J114" s="457"/>
    </row>
    <row r="115" spans="2:10">
      <c r="B115" s="455"/>
      <c r="C115" s="456"/>
      <c r="D115" s="456"/>
      <c r="E115" s="456"/>
      <c r="F115" s="456"/>
      <c r="G115" s="456"/>
      <c r="H115" s="456"/>
      <c r="I115" s="456"/>
      <c r="J115" s="457"/>
    </row>
    <row r="116" spans="2:10">
      <c r="B116" s="458"/>
      <c r="C116" s="459"/>
      <c r="D116" s="459"/>
      <c r="E116" s="459"/>
      <c r="F116" s="459"/>
      <c r="G116" s="459"/>
      <c r="H116" s="459"/>
      <c r="I116" s="459"/>
      <c r="J116" s="460"/>
    </row>
    <row r="117" spans="2:10" ht="18">
      <c r="B117" s="461"/>
      <c r="C117" s="462"/>
      <c r="D117" s="462"/>
      <c r="E117" s="462"/>
      <c r="F117" s="462"/>
      <c r="G117" s="462"/>
      <c r="H117" s="462"/>
      <c r="I117" s="463"/>
      <c r="J117" s="205"/>
    </row>
    <row r="118" spans="2:10">
      <c r="B118" s="200"/>
      <c r="C118" s="464"/>
      <c r="D118" s="465"/>
      <c r="E118" s="465"/>
      <c r="F118" s="465"/>
      <c r="G118" s="465"/>
      <c r="H118" s="465"/>
      <c r="I118" s="466"/>
      <c r="J118" s="200"/>
    </row>
    <row r="119" spans="2:10">
      <c r="B119" s="200"/>
      <c r="C119" s="464"/>
      <c r="D119" s="465"/>
      <c r="E119" s="465"/>
      <c r="F119" s="465"/>
      <c r="G119" s="465"/>
      <c r="H119" s="465"/>
      <c r="I119" s="466"/>
      <c r="J119" s="200"/>
    </row>
    <row r="120" spans="2:10">
      <c r="B120" s="200"/>
      <c r="C120" s="467"/>
      <c r="D120" s="468"/>
      <c r="E120" s="468"/>
      <c r="F120" s="468"/>
      <c r="G120" s="468"/>
      <c r="H120" s="468"/>
      <c r="I120" s="469"/>
      <c r="J120" s="200"/>
    </row>
    <row r="121" spans="2:10" ht="18">
      <c r="B121" s="461"/>
      <c r="C121" s="462"/>
      <c r="D121" s="462"/>
      <c r="E121" s="462"/>
      <c r="F121" s="462"/>
      <c r="G121" s="462"/>
      <c r="H121" s="462"/>
      <c r="I121" s="462"/>
      <c r="J121" s="463"/>
    </row>
    <row r="122" spans="2:10">
      <c r="B122" s="200"/>
      <c r="C122" s="470"/>
      <c r="D122" s="471"/>
      <c r="E122" s="471"/>
      <c r="F122" s="471"/>
      <c r="G122" s="471"/>
      <c r="H122" s="471"/>
      <c r="I122" s="471"/>
      <c r="J122" s="472"/>
    </row>
    <row r="123" spans="2:10">
      <c r="B123" s="206"/>
      <c r="C123" s="473"/>
      <c r="D123" s="473"/>
      <c r="E123" s="473"/>
      <c r="F123" s="473"/>
      <c r="G123" s="473"/>
      <c r="H123" s="473"/>
      <c r="I123" s="473"/>
      <c r="J123" s="473"/>
    </row>
    <row r="124" spans="2:10">
      <c r="B124" s="206"/>
      <c r="C124" s="473"/>
      <c r="D124" s="473"/>
      <c r="E124" s="473"/>
      <c r="F124" s="473"/>
      <c r="G124" s="473"/>
      <c r="H124" s="473"/>
      <c r="I124" s="473"/>
      <c r="J124" s="473"/>
    </row>
    <row r="125" spans="2:10">
      <c r="B125" s="206"/>
      <c r="C125" s="474"/>
      <c r="D125" s="475"/>
      <c r="E125" s="475"/>
      <c r="F125" s="475"/>
      <c r="G125" s="475"/>
      <c r="H125" s="475"/>
      <c r="I125" s="475"/>
      <c r="J125" s="476"/>
    </row>
    <row r="126" spans="2:10">
      <c r="B126" s="206"/>
      <c r="C126" s="474"/>
      <c r="D126" s="475"/>
      <c r="E126" s="475"/>
      <c r="F126" s="475"/>
      <c r="G126" s="475"/>
      <c r="H126" s="475"/>
      <c r="I126" s="475"/>
      <c r="J126" s="476"/>
    </row>
    <row r="127" spans="2:10">
      <c r="B127" s="206"/>
      <c r="C127" s="464"/>
      <c r="D127" s="465"/>
      <c r="E127" s="465"/>
      <c r="F127" s="465"/>
      <c r="G127" s="465"/>
      <c r="H127" s="465"/>
      <c r="I127" s="465"/>
      <c r="J127" s="466"/>
    </row>
    <row r="128" spans="2:10">
      <c r="B128" s="200"/>
      <c r="C128" s="464"/>
      <c r="D128" s="465"/>
      <c r="E128" s="465"/>
      <c r="F128" s="465"/>
      <c r="G128" s="465"/>
      <c r="H128" s="465"/>
      <c r="I128" s="465"/>
      <c r="J128" s="466"/>
    </row>
    <row r="129" spans="2:10">
      <c r="B129" s="200"/>
      <c r="C129" s="474"/>
      <c r="D129" s="475"/>
      <c r="E129" s="475"/>
      <c r="F129" s="475"/>
      <c r="G129" s="475"/>
      <c r="H129" s="475"/>
      <c r="I129" s="475"/>
      <c r="J129" s="476"/>
    </row>
    <row r="130" spans="2:10" ht="18">
      <c r="B130" s="205"/>
      <c r="C130" s="477"/>
      <c r="D130" s="477"/>
      <c r="E130" s="477"/>
      <c r="F130" s="477"/>
      <c r="G130" s="477"/>
      <c r="H130" s="205"/>
      <c r="I130" s="205"/>
      <c r="J130" s="205"/>
    </row>
    <row r="131" spans="2:10" ht="31.5" customHeight="1">
      <c r="B131" s="200"/>
      <c r="C131" s="451"/>
      <c r="D131" s="451"/>
      <c r="E131" s="451"/>
      <c r="F131" s="451"/>
      <c r="G131" s="451"/>
      <c r="H131" s="200"/>
      <c r="I131" s="207"/>
      <c r="J131" s="200"/>
    </row>
    <row r="132" spans="2:10">
      <c r="B132" s="200"/>
      <c r="C132" s="449"/>
      <c r="D132" s="449"/>
      <c r="E132" s="449"/>
      <c r="F132" s="449"/>
      <c r="G132" s="449"/>
      <c r="H132" s="200"/>
      <c r="I132" s="207"/>
      <c r="J132" s="200"/>
    </row>
    <row r="133" spans="2:10">
      <c r="B133" s="200"/>
      <c r="C133" s="450"/>
      <c r="D133" s="450"/>
      <c r="E133" s="450"/>
      <c r="F133" s="450"/>
      <c r="G133" s="450"/>
      <c r="H133" s="200"/>
      <c r="I133" s="200"/>
      <c r="J133" s="200"/>
    </row>
    <row r="134" spans="2:10">
      <c r="B134" s="450"/>
      <c r="C134" s="450"/>
      <c r="D134" s="199"/>
      <c r="E134" s="198"/>
      <c r="F134" s="467"/>
      <c r="G134" s="469"/>
      <c r="H134" s="199"/>
      <c r="I134" s="199"/>
      <c r="J134" s="199"/>
    </row>
    <row r="135" spans="2:10">
      <c r="B135" s="201"/>
      <c r="C135" s="450"/>
      <c r="D135" s="450"/>
      <c r="E135" s="201"/>
      <c r="F135" s="450"/>
      <c r="G135" s="450"/>
      <c r="H135" s="201"/>
      <c r="I135" s="450"/>
      <c r="J135" s="450"/>
    </row>
    <row r="140" spans="2:10" ht="26.25">
      <c r="B140" s="446"/>
      <c r="C140" s="447"/>
      <c r="D140" s="446"/>
      <c r="E140" s="446"/>
      <c r="F140" s="446"/>
      <c r="G140" s="446"/>
      <c r="H140" s="446"/>
      <c r="I140" s="446"/>
      <c r="J140" s="197"/>
    </row>
    <row r="141" spans="2:10" ht="20.25">
      <c r="B141" s="447"/>
      <c r="C141" s="447"/>
      <c r="D141" s="448"/>
      <c r="E141" s="448"/>
      <c r="F141" s="448"/>
      <c r="G141" s="448"/>
      <c r="H141" s="448"/>
      <c r="I141" s="448"/>
      <c r="J141" s="197"/>
    </row>
    <row r="142" spans="2:10">
      <c r="B142" s="449"/>
      <c r="C142" s="449"/>
      <c r="D142" s="244"/>
      <c r="E142" s="199"/>
      <c r="F142" s="450"/>
      <c r="G142" s="450"/>
      <c r="H142" s="201"/>
      <c r="I142" s="202"/>
      <c r="J142" s="199"/>
    </row>
    <row r="143" spans="2:10">
      <c r="B143" s="449"/>
      <c r="C143" s="449"/>
      <c r="D143" s="203"/>
      <c r="E143" s="204"/>
      <c r="F143" s="450"/>
      <c r="G143" s="450"/>
      <c r="H143" s="199"/>
      <c r="I143" s="202"/>
      <c r="J143" s="202"/>
    </row>
    <row r="144" spans="2:10">
      <c r="B144" s="449"/>
      <c r="C144" s="449"/>
      <c r="D144" s="199"/>
      <c r="E144" s="199"/>
      <c r="F144" s="450"/>
      <c r="G144" s="450"/>
      <c r="H144" s="201"/>
      <c r="I144" s="204"/>
      <c r="J144" s="202"/>
    </row>
    <row r="145" spans="2:10">
      <c r="B145" s="451"/>
      <c r="C145" s="451"/>
      <c r="D145" s="464"/>
      <c r="E145" s="465"/>
      <c r="F145" s="465"/>
      <c r="G145" s="465"/>
      <c r="H145" s="465"/>
      <c r="I145" s="465"/>
      <c r="J145" s="469"/>
    </row>
    <row r="146" spans="2:10">
      <c r="B146" s="452"/>
      <c r="C146" s="453"/>
      <c r="D146" s="453"/>
      <c r="E146" s="453"/>
      <c r="F146" s="453"/>
      <c r="G146" s="453"/>
      <c r="H146" s="453"/>
      <c r="I146" s="453"/>
      <c r="J146" s="454"/>
    </row>
    <row r="147" spans="2:10">
      <c r="B147" s="455"/>
      <c r="C147" s="456"/>
      <c r="D147" s="456"/>
      <c r="E147" s="456"/>
      <c r="F147" s="456"/>
      <c r="G147" s="456"/>
      <c r="H147" s="456"/>
      <c r="I147" s="456"/>
      <c r="J147" s="457"/>
    </row>
    <row r="148" spans="2:10">
      <c r="B148" s="455"/>
      <c r="C148" s="456"/>
      <c r="D148" s="456"/>
      <c r="E148" s="456"/>
      <c r="F148" s="456"/>
      <c r="G148" s="456"/>
      <c r="H148" s="456"/>
      <c r="I148" s="456"/>
      <c r="J148" s="457"/>
    </row>
    <row r="149" spans="2:10">
      <c r="B149" s="458"/>
      <c r="C149" s="459"/>
      <c r="D149" s="459"/>
      <c r="E149" s="459"/>
      <c r="F149" s="459"/>
      <c r="G149" s="459"/>
      <c r="H149" s="459"/>
      <c r="I149" s="459"/>
      <c r="J149" s="460"/>
    </row>
    <row r="150" spans="2:10" ht="12.75" customHeight="1">
      <c r="B150" s="461"/>
      <c r="C150" s="462"/>
      <c r="D150" s="462"/>
      <c r="E150" s="462"/>
      <c r="F150" s="462"/>
      <c r="G150" s="462"/>
      <c r="H150" s="462"/>
      <c r="I150" s="463"/>
      <c r="J150" s="205"/>
    </row>
    <row r="151" spans="2:10">
      <c r="B151" s="200"/>
      <c r="C151" s="464"/>
      <c r="D151" s="465"/>
      <c r="E151" s="465"/>
      <c r="F151" s="465"/>
      <c r="G151" s="465"/>
      <c r="H151" s="465"/>
      <c r="I151" s="466"/>
      <c r="J151" s="200"/>
    </row>
    <row r="152" spans="2:10">
      <c r="B152" s="200"/>
      <c r="C152" s="464"/>
      <c r="D152" s="465"/>
      <c r="E152" s="465"/>
      <c r="F152" s="465"/>
      <c r="G152" s="465"/>
      <c r="H152" s="465"/>
      <c r="I152" s="466"/>
      <c r="J152" s="200"/>
    </row>
    <row r="153" spans="2:10">
      <c r="B153" s="200"/>
      <c r="C153" s="467"/>
      <c r="D153" s="468"/>
      <c r="E153" s="468"/>
      <c r="F153" s="468"/>
      <c r="G153" s="468"/>
      <c r="H153" s="468"/>
      <c r="I153" s="469"/>
      <c r="J153" s="200"/>
    </row>
    <row r="154" spans="2:10" ht="18">
      <c r="B154" s="461"/>
      <c r="C154" s="462"/>
      <c r="D154" s="462"/>
      <c r="E154" s="462"/>
      <c r="F154" s="462"/>
      <c r="G154" s="462"/>
      <c r="H154" s="462"/>
      <c r="I154" s="462"/>
      <c r="J154" s="463"/>
    </row>
    <row r="155" spans="2:10">
      <c r="B155" s="200"/>
      <c r="C155" s="470"/>
      <c r="D155" s="471"/>
      <c r="E155" s="471"/>
      <c r="F155" s="471"/>
      <c r="G155" s="471"/>
      <c r="H155" s="471"/>
      <c r="I155" s="471"/>
      <c r="J155" s="472"/>
    </row>
    <row r="156" spans="2:10">
      <c r="B156" s="206"/>
      <c r="C156" s="473"/>
      <c r="D156" s="473"/>
      <c r="E156" s="473"/>
      <c r="F156" s="473"/>
      <c r="G156" s="473"/>
      <c r="H156" s="473"/>
      <c r="I156" s="473"/>
      <c r="J156" s="473"/>
    </row>
    <row r="157" spans="2:10">
      <c r="B157" s="206"/>
      <c r="C157" s="473"/>
      <c r="D157" s="473"/>
      <c r="E157" s="473"/>
      <c r="F157" s="473"/>
      <c r="G157" s="473"/>
      <c r="H157" s="473"/>
      <c r="I157" s="473"/>
      <c r="J157" s="473"/>
    </row>
    <row r="158" spans="2:10">
      <c r="B158" s="206"/>
      <c r="C158" s="474"/>
      <c r="D158" s="475"/>
      <c r="E158" s="475"/>
      <c r="F158" s="475"/>
      <c r="G158" s="475"/>
      <c r="H158" s="475"/>
      <c r="I158" s="475"/>
      <c r="J158" s="476"/>
    </row>
    <row r="159" spans="2:10">
      <c r="B159" s="206"/>
      <c r="C159" s="474"/>
      <c r="D159" s="475"/>
      <c r="E159" s="475"/>
      <c r="F159" s="475"/>
      <c r="G159" s="475"/>
      <c r="H159" s="475"/>
      <c r="I159" s="475"/>
      <c r="J159" s="476"/>
    </row>
    <row r="160" spans="2:10">
      <c r="B160" s="206"/>
      <c r="C160" s="464"/>
      <c r="D160" s="465"/>
      <c r="E160" s="465"/>
      <c r="F160" s="465"/>
      <c r="G160" s="465"/>
      <c r="H160" s="465"/>
      <c r="I160" s="465"/>
      <c r="J160" s="466"/>
    </row>
    <row r="161" spans="2:10">
      <c r="B161" s="200"/>
      <c r="C161" s="464"/>
      <c r="D161" s="465"/>
      <c r="E161" s="465"/>
      <c r="F161" s="465"/>
      <c r="G161" s="465"/>
      <c r="H161" s="465"/>
      <c r="I161" s="465"/>
      <c r="J161" s="466"/>
    </row>
    <row r="162" spans="2:10">
      <c r="B162" s="200"/>
      <c r="C162" s="474"/>
      <c r="D162" s="475"/>
      <c r="E162" s="475"/>
      <c r="F162" s="475"/>
      <c r="G162" s="475"/>
      <c r="H162" s="475"/>
      <c r="I162" s="475"/>
      <c r="J162" s="476"/>
    </row>
    <row r="163" spans="2:10" ht="18">
      <c r="B163" s="205"/>
      <c r="C163" s="477"/>
      <c r="D163" s="477"/>
      <c r="E163" s="477"/>
      <c r="F163" s="477"/>
      <c r="G163" s="477"/>
      <c r="H163" s="205"/>
      <c r="I163" s="205"/>
      <c r="J163" s="205"/>
    </row>
    <row r="164" spans="2:10" ht="33" customHeight="1">
      <c r="B164" s="200"/>
      <c r="C164" s="451"/>
      <c r="D164" s="451"/>
      <c r="E164" s="451"/>
      <c r="F164" s="451"/>
      <c r="G164" s="451"/>
      <c r="H164" s="200"/>
      <c r="I164" s="207"/>
      <c r="J164" s="200"/>
    </row>
    <row r="165" spans="2:10">
      <c r="B165" s="200"/>
      <c r="C165" s="449"/>
      <c r="D165" s="449"/>
      <c r="E165" s="449"/>
      <c r="F165" s="449"/>
      <c r="G165" s="449"/>
      <c r="H165" s="200"/>
      <c r="I165" s="207"/>
      <c r="J165" s="200"/>
    </row>
    <row r="166" spans="2:10">
      <c r="B166" s="200"/>
      <c r="C166" s="450"/>
      <c r="D166" s="450"/>
      <c r="E166" s="450"/>
      <c r="F166" s="450"/>
      <c r="G166" s="450"/>
      <c r="H166" s="200"/>
      <c r="I166" s="200"/>
      <c r="J166" s="200"/>
    </row>
    <row r="167" spans="2:10">
      <c r="B167" s="450"/>
      <c r="C167" s="450"/>
      <c r="D167" s="199"/>
      <c r="E167" s="198"/>
      <c r="F167" s="467"/>
      <c r="G167" s="469"/>
      <c r="H167" s="199"/>
      <c r="I167" s="199"/>
      <c r="J167" s="199"/>
    </row>
    <row r="168" spans="2:10">
      <c r="B168" s="201"/>
      <c r="C168" s="450"/>
      <c r="D168" s="450"/>
      <c r="E168" s="201"/>
      <c r="F168" s="450"/>
      <c r="G168" s="450"/>
      <c r="H168" s="201"/>
      <c r="I168" s="450"/>
      <c r="J168" s="450"/>
    </row>
    <row r="172" spans="2:10" ht="26.25" customHeight="1">
      <c r="B172" s="245"/>
      <c r="C172" s="245"/>
      <c r="D172" s="245"/>
      <c r="E172" s="245"/>
      <c r="F172" s="245"/>
      <c r="G172" s="245"/>
      <c r="H172" s="245"/>
      <c r="I172" s="245"/>
      <c r="J172" s="245"/>
    </row>
    <row r="173" spans="2:10" ht="20.25" customHeight="1">
      <c r="B173" s="245"/>
      <c r="C173" s="245"/>
      <c r="D173" s="245"/>
      <c r="E173" s="245"/>
      <c r="F173" s="245"/>
      <c r="G173" s="245"/>
      <c r="H173" s="245"/>
      <c r="I173" s="245"/>
      <c r="J173" s="245"/>
    </row>
    <row r="174" spans="2:10" ht="15" customHeight="1">
      <c r="B174" s="245"/>
      <c r="C174" s="245"/>
      <c r="D174" s="245"/>
      <c r="E174" s="245"/>
      <c r="F174" s="245"/>
      <c r="G174" s="245"/>
      <c r="H174" s="245"/>
      <c r="I174" s="245"/>
      <c r="J174" s="245"/>
    </row>
    <row r="175" spans="2:10" ht="15" customHeight="1">
      <c r="B175" s="245"/>
      <c r="C175" s="245"/>
      <c r="D175" s="245"/>
      <c r="E175" s="245"/>
      <c r="F175" s="245"/>
      <c r="G175" s="245"/>
      <c r="H175" s="245"/>
      <c r="I175" s="245"/>
      <c r="J175" s="245"/>
    </row>
    <row r="176" spans="2:10" ht="15" customHeight="1">
      <c r="B176" s="245"/>
      <c r="C176" s="245"/>
      <c r="D176" s="245"/>
      <c r="E176" s="245"/>
      <c r="F176" s="245"/>
      <c r="G176" s="245"/>
      <c r="H176" s="245"/>
      <c r="I176" s="245"/>
      <c r="J176" s="245"/>
    </row>
    <row r="177" spans="2:10" ht="15" customHeight="1">
      <c r="B177" s="245"/>
      <c r="C177" s="245"/>
      <c r="D177" s="245"/>
      <c r="E177" s="245"/>
      <c r="F177" s="245"/>
      <c r="G177" s="245"/>
      <c r="H177" s="245"/>
      <c r="I177" s="245"/>
      <c r="J177" s="245"/>
    </row>
    <row r="178" spans="2:10" ht="15" customHeight="1">
      <c r="B178" s="245"/>
      <c r="C178" s="245"/>
      <c r="D178" s="245"/>
      <c r="E178" s="245"/>
      <c r="F178" s="245"/>
      <c r="G178" s="245"/>
      <c r="H178" s="245"/>
      <c r="I178" s="245"/>
      <c r="J178" s="245"/>
    </row>
    <row r="179" spans="2:10" ht="15" customHeight="1">
      <c r="B179" s="245"/>
      <c r="C179" s="245"/>
      <c r="D179" s="245"/>
      <c r="E179" s="245"/>
      <c r="F179" s="245"/>
      <c r="G179" s="245"/>
      <c r="H179" s="245"/>
      <c r="I179" s="245"/>
      <c r="J179" s="245"/>
    </row>
    <row r="180" spans="2:10" ht="15" customHeight="1">
      <c r="B180" s="245"/>
      <c r="C180" s="245"/>
      <c r="D180" s="245"/>
      <c r="E180" s="245"/>
      <c r="F180" s="245"/>
      <c r="G180" s="245"/>
      <c r="H180" s="245"/>
      <c r="I180" s="245"/>
      <c r="J180" s="245"/>
    </row>
    <row r="181" spans="2:10" ht="15" customHeight="1">
      <c r="B181" s="245"/>
      <c r="C181" s="245"/>
      <c r="D181" s="245"/>
      <c r="E181" s="245"/>
      <c r="F181" s="245"/>
      <c r="G181" s="245"/>
      <c r="H181" s="245"/>
      <c r="I181" s="245"/>
      <c r="J181" s="245"/>
    </row>
    <row r="182" spans="2:10" ht="18" customHeight="1">
      <c r="B182" s="245"/>
      <c r="C182" s="245"/>
      <c r="D182" s="245"/>
      <c r="E182" s="245"/>
      <c r="F182" s="245"/>
      <c r="G182" s="245"/>
      <c r="H182" s="245"/>
      <c r="I182" s="245"/>
      <c r="J182" s="245"/>
    </row>
    <row r="183" spans="2:10" ht="15" customHeight="1">
      <c r="B183" s="245"/>
      <c r="C183" s="245"/>
      <c r="D183" s="245"/>
      <c r="E183" s="245"/>
      <c r="F183" s="245"/>
      <c r="G183" s="245"/>
      <c r="H183" s="245"/>
      <c r="I183" s="245"/>
      <c r="J183" s="245"/>
    </row>
    <row r="184" spans="2:10" ht="15" customHeight="1">
      <c r="B184" s="245"/>
      <c r="C184" s="245"/>
      <c r="D184" s="245"/>
      <c r="E184" s="245"/>
      <c r="F184" s="245"/>
      <c r="G184" s="245"/>
      <c r="H184" s="245"/>
      <c r="I184" s="245"/>
      <c r="J184" s="245"/>
    </row>
    <row r="185" spans="2:10" ht="15" customHeight="1">
      <c r="B185" s="245"/>
      <c r="C185" s="245"/>
      <c r="D185" s="245"/>
      <c r="E185" s="245"/>
      <c r="F185" s="245"/>
      <c r="G185" s="245"/>
      <c r="H185" s="245"/>
      <c r="I185" s="245"/>
      <c r="J185" s="245"/>
    </row>
    <row r="186" spans="2:10" ht="18" customHeight="1">
      <c r="B186" s="245"/>
      <c r="C186" s="245"/>
      <c r="D186" s="245"/>
      <c r="E186" s="245"/>
      <c r="F186" s="245"/>
      <c r="G186" s="245"/>
      <c r="H186" s="245"/>
      <c r="I186" s="245"/>
      <c r="J186" s="245"/>
    </row>
    <row r="187" spans="2:10" ht="15" customHeight="1">
      <c r="B187" s="245"/>
      <c r="C187" s="245"/>
      <c r="D187" s="245"/>
      <c r="E187" s="245"/>
      <c r="F187" s="245"/>
      <c r="G187" s="245"/>
      <c r="H187" s="245"/>
      <c r="I187" s="245"/>
      <c r="J187" s="245"/>
    </row>
    <row r="188" spans="2:10" ht="15" customHeight="1">
      <c r="B188" s="245"/>
      <c r="C188" s="245"/>
      <c r="D188" s="245"/>
      <c r="E188" s="245"/>
      <c r="F188" s="245"/>
      <c r="G188" s="245"/>
      <c r="H188" s="245"/>
      <c r="I188" s="245"/>
      <c r="J188" s="245"/>
    </row>
    <row r="189" spans="2:10" ht="15" customHeight="1">
      <c r="B189" s="245"/>
      <c r="C189" s="245"/>
      <c r="D189" s="245"/>
      <c r="E189" s="245"/>
      <c r="F189" s="245"/>
      <c r="G189" s="245"/>
      <c r="H189" s="245"/>
      <c r="I189" s="245"/>
      <c r="J189" s="245"/>
    </row>
    <row r="190" spans="2:10" ht="15" customHeight="1">
      <c r="B190" s="245"/>
      <c r="C190" s="245"/>
      <c r="D190" s="245"/>
      <c r="E190" s="245"/>
      <c r="F190" s="245"/>
      <c r="G190" s="245"/>
      <c r="H190" s="245"/>
      <c r="I190" s="245"/>
      <c r="J190" s="245"/>
    </row>
    <row r="191" spans="2:10" ht="15" customHeight="1">
      <c r="B191" s="245"/>
      <c r="C191" s="245"/>
      <c r="D191" s="245"/>
      <c r="E191" s="245"/>
      <c r="F191" s="245"/>
      <c r="G191" s="245"/>
      <c r="H191" s="245"/>
      <c r="I191" s="245"/>
      <c r="J191" s="245"/>
    </row>
    <row r="192" spans="2:10" ht="15" customHeight="1">
      <c r="B192" s="245"/>
      <c r="C192" s="245"/>
      <c r="D192" s="245"/>
      <c r="E192" s="245"/>
      <c r="F192" s="245"/>
      <c r="G192" s="245"/>
      <c r="H192" s="245"/>
      <c r="I192" s="245"/>
      <c r="J192" s="245"/>
    </row>
    <row r="193" spans="2:10" ht="15" customHeight="1">
      <c r="B193" s="245"/>
      <c r="C193" s="245"/>
      <c r="D193" s="245"/>
      <c r="E193" s="245"/>
      <c r="F193" s="245"/>
      <c r="G193" s="245"/>
      <c r="H193" s="245"/>
      <c r="I193" s="245"/>
      <c r="J193" s="245"/>
    </row>
    <row r="194" spans="2:10" ht="15" customHeight="1">
      <c r="B194" s="245"/>
      <c r="C194" s="245"/>
      <c r="D194" s="245"/>
      <c r="E194" s="245"/>
      <c r="F194" s="245"/>
      <c r="G194" s="245"/>
      <c r="H194" s="245"/>
      <c r="I194" s="245"/>
      <c r="J194" s="245"/>
    </row>
    <row r="195" spans="2:10" ht="18" customHeight="1">
      <c r="B195" s="245"/>
      <c r="C195" s="245"/>
      <c r="D195" s="245"/>
      <c r="E195" s="245"/>
      <c r="F195" s="245"/>
      <c r="G195" s="245"/>
      <c r="H195" s="245"/>
      <c r="I195" s="245"/>
      <c r="J195" s="245"/>
    </row>
    <row r="196" spans="2:10" ht="15" customHeight="1">
      <c r="B196" s="245"/>
      <c r="C196" s="245"/>
      <c r="D196" s="245"/>
      <c r="E196" s="245"/>
      <c r="F196" s="245"/>
      <c r="G196" s="245"/>
      <c r="H196" s="245"/>
      <c r="I196" s="245"/>
      <c r="J196" s="245"/>
    </row>
    <row r="197" spans="2:10" ht="15" customHeight="1">
      <c r="B197" s="245"/>
      <c r="C197" s="245"/>
      <c r="D197" s="245"/>
      <c r="E197" s="245"/>
      <c r="F197" s="245"/>
      <c r="G197" s="245"/>
      <c r="H197" s="245"/>
      <c r="I197" s="245"/>
      <c r="J197" s="245"/>
    </row>
    <row r="198" spans="2:10" ht="15" customHeight="1">
      <c r="B198" s="245"/>
      <c r="C198" s="245"/>
      <c r="D198" s="245"/>
      <c r="E198" s="245"/>
      <c r="F198" s="245"/>
      <c r="G198" s="245"/>
      <c r="H198" s="245"/>
      <c r="I198" s="245"/>
      <c r="J198" s="245"/>
    </row>
    <row r="199" spans="2:10" ht="15" customHeight="1">
      <c r="B199" s="245"/>
      <c r="C199" s="245"/>
      <c r="D199" s="245"/>
      <c r="E199" s="245"/>
      <c r="F199" s="245"/>
      <c r="G199" s="245"/>
      <c r="H199" s="245"/>
      <c r="I199" s="245"/>
      <c r="J199" s="245"/>
    </row>
    <row r="200" spans="2:10" ht="15" customHeight="1">
      <c r="B200" s="245"/>
      <c r="C200" s="245"/>
      <c r="D200" s="245"/>
      <c r="E200" s="245"/>
      <c r="F200" s="245"/>
      <c r="G200" s="245"/>
      <c r="H200" s="245"/>
      <c r="I200" s="245"/>
      <c r="J200" s="245"/>
    </row>
  </sheetData>
  <autoFilter ref="B2:K7" xr:uid="{7E3221BD-3E6C-4BA8-BFAD-98351ACD7F09}">
    <filterColumn colId="1" showButton="0"/>
  </autoFilter>
  <mergeCells count="181">
    <mergeCell ref="B167:C167"/>
    <mergeCell ref="F167:G167"/>
    <mergeCell ref="C168:D168"/>
    <mergeCell ref="F168:G168"/>
    <mergeCell ref="I168:J168"/>
    <mergeCell ref="C161:J161"/>
    <mergeCell ref="C162:J162"/>
    <mergeCell ref="C163:G163"/>
    <mergeCell ref="C164:G164"/>
    <mergeCell ref="C165:G165"/>
    <mergeCell ref="C166:G166"/>
    <mergeCell ref="C155:J155"/>
    <mergeCell ref="C156:J156"/>
    <mergeCell ref="C157:J157"/>
    <mergeCell ref="C158:J158"/>
    <mergeCell ref="C159:J159"/>
    <mergeCell ref="C160:J160"/>
    <mergeCell ref="B146:J149"/>
    <mergeCell ref="B150:I150"/>
    <mergeCell ref="C151:I151"/>
    <mergeCell ref="C152:I152"/>
    <mergeCell ref="C153:I153"/>
    <mergeCell ref="B154:J154"/>
    <mergeCell ref="B143:C143"/>
    <mergeCell ref="F143:G143"/>
    <mergeCell ref="B144:C144"/>
    <mergeCell ref="F144:G144"/>
    <mergeCell ref="B145:C145"/>
    <mergeCell ref="D145:J145"/>
    <mergeCell ref="I135:J135"/>
    <mergeCell ref="B140:C141"/>
    <mergeCell ref="D140:I140"/>
    <mergeCell ref="D141:I141"/>
    <mergeCell ref="B142:C142"/>
    <mergeCell ref="F142:G142"/>
    <mergeCell ref="C132:G132"/>
    <mergeCell ref="C133:G133"/>
    <mergeCell ref="B134:C134"/>
    <mergeCell ref="F134:G134"/>
    <mergeCell ref="C135:D135"/>
    <mergeCell ref="F135:G135"/>
    <mergeCell ref="C126:J126"/>
    <mergeCell ref="C127:J127"/>
    <mergeCell ref="C128:J128"/>
    <mergeCell ref="C129:J129"/>
    <mergeCell ref="C130:G130"/>
    <mergeCell ref="C131:G131"/>
    <mergeCell ref="C120:I120"/>
    <mergeCell ref="B121:J121"/>
    <mergeCell ref="C122:J122"/>
    <mergeCell ref="C123:J123"/>
    <mergeCell ref="C124:J124"/>
    <mergeCell ref="C125:J125"/>
    <mergeCell ref="B112:C112"/>
    <mergeCell ref="D112:J112"/>
    <mergeCell ref="B113:J116"/>
    <mergeCell ref="B117:I117"/>
    <mergeCell ref="C118:I118"/>
    <mergeCell ref="C119:I119"/>
    <mergeCell ref="B109:C109"/>
    <mergeCell ref="F109:G109"/>
    <mergeCell ref="B110:C110"/>
    <mergeCell ref="F110:G110"/>
    <mergeCell ref="B111:C111"/>
    <mergeCell ref="F111:G111"/>
    <mergeCell ref="B102:C102"/>
    <mergeCell ref="F102:G102"/>
    <mergeCell ref="C103:D103"/>
    <mergeCell ref="F103:G103"/>
    <mergeCell ref="I103:J103"/>
    <mergeCell ref="B107:C108"/>
    <mergeCell ref="D107:I107"/>
    <mergeCell ref="D108:I108"/>
    <mergeCell ref="C96:J96"/>
    <mergeCell ref="C97:J97"/>
    <mergeCell ref="C98:G98"/>
    <mergeCell ref="C99:G99"/>
    <mergeCell ref="C100:G100"/>
    <mergeCell ref="C101:G101"/>
    <mergeCell ref="C90:J90"/>
    <mergeCell ref="C91:J91"/>
    <mergeCell ref="C92:J92"/>
    <mergeCell ref="C93:J93"/>
    <mergeCell ref="C94:J94"/>
    <mergeCell ref="C95:J95"/>
    <mergeCell ref="B81:J84"/>
    <mergeCell ref="B85:I85"/>
    <mergeCell ref="C86:I86"/>
    <mergeCell ref="C87:I87"/>
    <mergeCell ref="C88:I88"/>
    <mergeCell ref="B89:J89"/>
    <mergeCell ref="B78:C78"/>
    <mergeCell ref="F78:G78"/>
    <mergeCell ref="B79:C79"/>
    <mergeCell ref="F79:G79"/>
    <mergeCell ref="B80:C80"/>
    <mergeCell ref="D80:J80"/>
    <mergeCell ref="I72:J72"/>
    <mergeCell ref="B75:C76"/>
    <mergeCell ref="D75:I75"/>
    <mergeCell ref="D76:I76"/>
    <mergeCell ref="B77:C77"/>
    <mergeCell ref="F77:G77"/>
    <mergeCell ref="C69:G69"/>
    <mergeCell ref="C70:G70"/>
    <mergeCell ref="B71:C71"/>
    <mergeCell ref="F71:G71"/>
    <mergeCell ref="C72:D72"/>
    <mergeCell ref="F72:G72"/>
    <mergeCell ref="C63:J63"/>
    <mergeCell ref="C64:J64"/>
    <mergeCell ref="C65:J65"/>
    <mergeCell ref="C66:J66"/>
    <mergeCell ref="C67:G67"/>
    <mergeCell ref="C68:G68"/>
    <mergeCell ref="C57:I57"/>
    <mergeCell ref="B58:J58"/>
    <mergeCell ref="C59:J59"/>
    <mergeCell ref="C60:J60"/>
    <mergeCell ref="C61:J61"/>
    <mergeCell ref="C62:J62"/>
    <mergeCell ref="B49:C49"/>
    <mergeCell ref="D49:J49"/>
    <mergeCell ref="B50:J53"/>
    <mergeCell ref="B54:I54"/>
    <mergeCell ref="C55:I55"/>
    <mergeCell ref="C56:I56"/>
    <mergeCell ref="B46:C46"/>
    <mergeCell ref="F46:G46"/>
    <mergeCell ref="B47:C47"/>
    <mergeCell ref="F47:G47"/>
    <mergeCell ref="B48:C48"/>
    <mergeCell ref="F48:G48"/>
    <mergeCell ref="B40:C40"/>
    <mergeCell ref="F40:G40"/>
    <mergeCell ref="C41:D41"/>
    <mergeCell ref="F41:G41"/>
    <mergeCell ref="I41:J41"/>
    <mergeCell ref="B44:C45"/>
    <mergeCell ref="D44:I44"/>
    <mergeCell ref="D45:I45"/>
    <mergeCell ref="C34:J34"/>
    <mergeCell ref="C35:J35"/>
    <mergeCell ref="C36:G36"/>
    <mergeCell ref="C37:G37"/>
    <mergeCell ref="C38:G38"/>
    <mergeCell ref="C39:G39"/>
    <mergeCell ref="C28:J28"/>
    <mergeCell ref="C29:J29"/>
    <mergeCell ref="C30:J30"/>
    <mergeCell ref="C31:J31"/>
    <mergeCell ref="C32:J32"/>
    <mergeCell ref="C33:J33"/>
    <mergeCell ref="B19:J22"/>
    <mergeCell ref="B23:I23"/>
    <mergeCell ref="C24:I24"/>
    <mergeCell ref="C25:I25"/>
    <mergeCell ref="C26:I26"/>
    <mergeCell ref="B27:J27"/>
    <mergeCell ref="B16:C16"/>
    <mergeCell ref="F16:G16"/>
    <mergeCell ref="B17:C17"/>
    <mergeCell ref="F17:G17"/>
    <mergeCell ref="B18:C18"/>
    <mergeCell ref="D18:J18"/>
    <mergeCell ref="C9:D9"/>
    <mergeCell ref="B13:C14"/>
    <mergeCell ref="D13:I13"/>
    <mergeCell ref="D14:I14"/>
    <mergeCell ref="B15:C15"/>
    <mergeCell ref="F15:G15"/>
    <mergeCell ref="I2:I3"/>
    <mergeCell ref="J2:J3"/>
    <mergeCell ref="K2:K3"/>
    <mergeCell ref="E7:K10"/>
    <mergeCell ref="B2:B3"/>
    <mergeCell ref="C2:D2"/>
    <mergeCell ref="E2:E3"/>
    <mergeCell ref="F2:F3"/>
    <mergeCell ref="G2:G3"/>
    <mergeCell ref="H2:H3"/>
  </mergeCells>
  <phoneticPr fontId="0" type="noConversion"/>
  <printOptions horizontalCentered="1" verticalCentered="1"/>
  <pageMargins left="0.7" right="0.7" top="0.75" bottom="0.75" header="0.3" footer="0.3"/>
  <pageSetup paperSize="9"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87A6-EB05-4E3B-A8B9-5CFE9F2128A5}">
  <sheetPr filterMode="1">
    <pageSetUpPr fitToPage="1"/>
  </sheetPr>
  <dimension ref="B2:U448"/>
  <sheetViews>
    <sheetView topLeftCell="C13" workbookViewId="0">
      <selection activeCell="C398" sqref="C398:I398"/>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20.5703125" customWidth="1"/>
    <col min="10" max="10" width="50.85546875" customWidth="1"/>
    <col min="11" max="11" width="58.42578125" customWidth="1"/>
    <col min="13" max="13" width="11.28515625" customWidth="1"/>
    <col min="21" max="21" width="0" hidden="1" customWidth="1"/>
  </cols>
  <sheetData>
    <row r="2" spans="2:15">
      <c r="B2" s="443" t="s">
        <v>0</v>
      </c>
      <c r="C2" s="445" t="s">
        <v>1</v>
      </c>
      <c r="D2" s="438"/>
      <c r="E2" s="438" t="s">
        <v>2</v>
      </c>
      <c r="F2" s="438" t="s">
        <v>3</v>
      </c>
      <c r="G2" s="438" t="s">
        <v>4</v>
      </c>
      <c r="H2" s="438" t="s">
        <v>5</v>
      </c>
      <c r="I2" s="438" t="s">
        <v>6</v>
      </c>
      <c r="J2" s="438" t="s">
        <v>7</v>
      </c>
      <c r="K2" s="440" t="s">
        <v>8</v>
      </c>
    </row>
    <row r="3" spans="2:15">
      <c r="B3" s="444"/>
      <c r="C3" s="41" t="s">
        <v>9</v>
      </c>
      <c r="D3" s="42" t="s">
        <v>10</v>
      </c>
      <c r="E3" s="439"/>
      <c r="F3" s="439"/>
      <c r="G3" s="439"/>
      <c r="H3" s="439"/>
      <c r="I3" s="439"/>
      <c r="J3" s="439"/>
      <c r="K3" s="441"/>
    </row>
    <row r="4" spans="2:15" s="3" customFormat="1" ht="42" customHeight="1">
      <c r="B4" s="32">
        <v>1</v>
      </c>
      <c r="C4" s="37"/>
      <c r="D4" s="37">
        <v>35</v>
      </c>
      <c r="E4" s="174">
        <v>45724</v>
      </c>
      <c r="F4" s="37" t="s">
        <v>131</v>
      </c>
      <c r="G4" s="37" t="s">
        <v>152</v>
      </c>
      <c r="H4" s="36" t="s">
        <v>1725</v>
      </c>
      <c r="I4" s="248" t="s">
        <v>127</v>
      </c>
      <c r="J4" s="36" t="s">
        <v>1726</v>
      </c>
      <c r="K4" s="171" t="s">
        <v>1727</v>
      </c>
    </row>
    <row r="5" spans="2:15" s="3" customFormat="1" ht="42" customHeight="1">
      <c r="B5" s="32">
        <v>2</v>
      </c>
      <c r="C5" s="37"/>
      <c r="D5" s="37">
        <v>5</v>
      </c>
      <c r="E5" s="174">
        <v>45725</v>
      </c>
      <c r="F5" s="37" t="s">
        <v>131</v>
      </c>
      <c r="G5" s="91"/>
      <c r="H5" s="36" t="s">
        <v>1431</v>
      </c>
      <c r="I5" s="251" t="s">
        <v>146</v>
      </c>
      <c r="J5" s="250"/>
      <c r="K5" s="171"/>
    </row>
    <row r="6" spans="2:15" s="3" customFormat="1" ht="78" customHeight="1">
      <c r="B6" s="32">
        <v>3</v>
      </c>
      <c r="C6" s="37">
        <v>105</v>
      </c>
      <c r="D6" s="37"/>
      <c r="E6" s="174">
        <v>45728</v>
      </c>
      <c r="F6" s="37" t="s">
        <v>131</v>
      </c>
      <c r="G6" s="37" t="s">
        <v>174</v>
      </c>
      <c r="H6" s="234" t="s">
        <v>1728</v>
      </c>
      <c r="I6" s="248" t="s">
        <v>127</v>
      </c>
      <c r="J6" s="250" t="s">
        <v>1729</v>
      </c>
      <c r="K6" s="36" t="s">
        <v>1730</v>
      </c>
      <c r="L6" s="153"/>
      <c r="M6" s="153"/>
      <c r="N6" s="153"/>
      <c r="O6" s="153"/>
    </row>
    <row r="7" spans="2:15" s="3" customFormat="1" ht="42" customHeight="1">
      <c r="B7" s="32">
        <v>4</v>
      </c>
      <c r="C7" s="37"/>
      <c r="D7" s="37">
        <v>10</v>
      </c>
      <c r="E7" s="174">
        <v>45729</v>
      </c>
      <c r="F7" s="37" t="s">
        <v>131</v>
      </c>
      <c r="G7" s="91"/>
      <c r="H7" s="36" t="s">
        <v>1731</v>
      </c>
      <c r="I7" s="246" t="s">
        <v>146</v>
      </c>
      <c r="J7" s="233"/>
      <c r="K7" s="36"/>
      <c r="L7" s="153"/>
      <c r="M7" s="153"/>
      <c r="N7" s="153"/>
      <c r="O7" s="153"/>
    </row>
    <row r="8" spans="2:15" s="3" customFormat="1" ht="42" customHeight="1">
      <c r="B8" s="32"/>
      <c r="C8" s="119">
        <v>90</v>
      </c>
      <c r="D8" s="37"/>
      <c r="E8" s="174">
        <v>45730</v>
      </c>
      <c r="F8" s="37" t="s">
        <v>131</v>
      </c>
      <c r="G8" s="37" t="s">
        <v>174</v>
      </c>
      <c r="H8" s="36" t="s">
        <v>475</v>
      </c>
      <c r="I8" s="248" t="s">
        <v>127</v>
      </c>
      <c r="J8" s="250" t="s">
        <v>1732</v>
      </c>
      <c r="K8" s="36" t="s">
        <v>1733</v>
      </c>
      <c r="L8" s="153"/>
      <c r="M8" s="153"/>
      <c r="N8" s="153"/>
      <c r="O8" s="153"/>
    </row>
    <row r="9" spans="2:15" s="3" customFormat="1" ht="42" customHeight="1">
      <c r="B9" s="32">
        <v>5</v>
      </c>
      <c r="C9" s="37"/>
      <c r="D9" s="37">
        <v>145</v>
      </c>
      <c r="E9" s="174">
        <v>45730</v>
      </c>
      <c r="F9" s="37" t="s">
        <v>124</v>
      </c>
      <c r="G9" s="91" t="s">
        <v>1734</v>
      </c>
      <c r="H9" s="36" t="s">
        <v>1735</v>
      </c>
      <c r="I9" s="248" t="s">
        <v>127</v>
      </c>
      <c r="J9" s="250"/>
      <c r="K9" s="36"/>
      <c r="L9" s="153"/>
      <c r="M9" s="153"/>
      <c r="N9" s="153"/>
      <c r="O9" s="153"/>
    </row>
    <row r="10" spans="2:15" s="3" customFormat="1" ht="42" customHeight="1">
      <c r="B10" s="32">
        <v>6</v>
      </c>
      <c r="C10" s="37"/>
      <c r="D10" s="37">
        <v>242</v>
      </c>
      <c r="E10" s="174">
        <v>45730</v>
      </c>
      <c r="F10" s="37" t="s">
        <v>124</v>
      </c>
      <c r="G10" s="91" t="s">
        <v>1734</v>
      </c>
      <c r="H10" s="36" t="s">
        <v>1736</v>
      </c>
      <c r="I10" s="248" t="s">
        <v>127</v>
      </c>
      <c r="J10" s="250"/>
      <c r="K10" s="36"/>
      <c r="L10" s="153"/>
      <c r="M10" s="153"/>
      <c r="N10" s="153"/>
      <c r="O10" s="153"/>
    </row>
    <row r="11" spans="2:15" s="3" customFormat="1" ht="42" customHeight="1">
      <c r="B11" s="32">
        <v>7</v>
      </c>
      <c r="C11" s="37"/>
      <c r="D11" s="37">
        <v>4</v>
      </c>
      <c r="E11" s="174">
        <v>45731</v>
      </c>
      <c r="F11" s="37" t="s">
        <v>131</v>
      </c>
      <c r="G11" s="91"/>
      <c r="H11" s="36" t="s">
        <v>1737</v>
      </c>
      <c r="I11" s="246" t="s">
        <v>146</v>
      </c>
      <c r="J11" s="233"/>
      <c r="K11" s="36"/>
      <c r="L11" s="153"/>
      <c r="M11" s="153"/>
      <c r="N11" s="153"/>
      <c r="O11" s="153"/>
    </row>
    <row r="12" spans="2:15" s="3" customFormat="1" ht="42" customHeight="1">
      <c r="B12" s="32">
        <v>8</v>
      </c>
      <c r="C12" s="37">
        <v>140</v>
      </c>
      <c r="D12" s="37"/>
      <c r="E12" s="174">
        <v>45732</v>
      </c>
      <c r="F12" s="37" t="s">
        <v>131</v>
      </c>
      <c r="G12" s="37" t="s">
        <v>332</v>
      </c>
      <c r="H12" s="152" t="s">
        <v>1738</v>
      </c>
      <c r="I12" s="248" t="s">
        <v>127</v>
      </c>
      <c r="J12" s="250"/>
      <c r="K12" s="36"/>
      <c r="L12" s="153"/>
      <c r="M12" s="153"/>
      <c r="N12" s="153"/>
      <c r="O12" s="153"/>
    </row>
    <row r="13" spans="2:15" s="3" customFormat="1" ht="42" customHeight="1">
      <c r="B13" s="32">
        <v>9</v>
      </c>
      <c r="C13" s="37"/>
      <c r="D13" s="37">
        <v>14</v>
      </c>
      <c r="E13" s="174">
        <v>45733</v>
      </c>
      <c r="F13" s="37" t="s">
        <v>124</v>
      </c>
      <c r="G13" s="91"/>
      <c r="H13" s="36" t="s">
        <v>1739</v>
      </c>
      <c r="I13" s="246" t="s">
        <v>146</v>
      </c>
      <c r="J13" s="233"/>
      <c r="K13" s="36"/>
      <c r="L13" s="153"/>
      <c r="M13" s="153"/>
      <c r="N13" s="153"/>
      <c r="O13" s="153"/>
    </row>
    <row r="14" spans="2:15" s="3" customFormat="1" ht="41.25" customHeight="1">
      <c r="B14" s="32">
        <v>10</v>
      </c>
      <c r="C14" s="37">
        <v>208</v>
      </c>
      <c r="D14" s="37"/>
      <c r="E14" s="174">
        <v>45733</v>
      </c>
      <c r="F14" s="37" t="s">
        <v>124</v>
      </c>
      <c r="G14" s="37" t="s">
        <v>140</v>
      </c>
      <c r="H14" s="252" t="s">
        <v>1740</v>
      </c>
      <c r="I14" s="248" t="s">
        <v>127</v>
      </c>
      <c r="J14" s="250" t="s">
        <v>1741</v>
      </c>
      <c r="K14" s="36"/>
      <c r="L14" s="247"/>
      <c r="M14" s="247"/>
      <c r="N14" s="247"/>
      <c r="O14" s="247"/>
    </row>
    <row r="15" spans="2:15" s="3" customFormat="1" ht="42" customHeight="1">
      <c r="B15" s="32">
        <v>11</v>
      </c>
      <c r="C15" s="37">
        <v>151</v>
      </c>
      <c r="D15" s="37"/>
      <c r="E15" s="174">
        <v>45734</v>
      </c>
      <c r="F15" s="37" t="s">
        <v>124</v>
      </c>
      <c r="G15" s="37" t="s">
        <v>140</v>
      </c>
      <c r="H15" s="76" t="s">
        <v>1742</v>
      </c>
      <c r="I15" s="248" t="s">
        <v>127</v>
      </c>
      <c r="J15" s="250" t="s">
        <v>1743</v>
      </c>
      <c r="K15" s="36" t="s">
        <v>1744</v>
      </c>
    </row>
    <row r="16" spans="2:15" s="3" customFormat="1" ht="42" customHeight="1">
      <c r="B16" s="32">
        <v>12</v>
      </c>
      <c r="C16" s="37"/>
      <c r="D16" s="37">
        <v>6</v>
      </c>
      <c r="E16" s="174">
        <v>45740</v>
      </c>
      <c r="F16" s="37" t="s">
        <v>131</v>
      </c>
      <c r="G16" s="37"/>
      <c r="H16" s="76" t="s">
        <v>1745</v>
      </c>
      <c r="I16" s="246" t="s">
        <v>146</v>
      </c>
      <c r="J16" s="249"/>
      <c r="K16" s="37"/>
    </row>
    <row r="17" spans="2:11" s="3" customFormat="1" ht="42" customHeight="1">
      <c r="B17" s="32">
        <v>13</v>
      </c>
      <c r="C17" s="37"/>
      <c r="D17" s="37">
        <v>114.99999999999991</v>
      </c>
      <c r="E17" s="174">
        <v>45740</v>
      </c>
      <c r="F17" s="37" t="s">
        <v>131</v>
      </c>
      <c r="G17" s="37"/>
      <c r="H17" s="76" t="s">
        <v>1746</v>
      </c>
      <c r="I17" s="248" t="s">
        <v>127</v>
      </c>
      <c r="J17" s="250"/>
      <c r="K17" s="36"/>
    </row>
    <row r="18" spans="2:11" s="3" customFormat="1" ht="42" customHeight="1">
      <c r="B18" s="32">
        <v>14</v>
      </c>
      <c r="C18" s="37"/>
      <c r="D18" s="37">
        <v>765</v>
      </c>
      <c r="E18" s="174">
        <v>45741</v>
      </c>
      <c r="F18" s="37" t="s">
        <v>124</v>
      </c>
      <c r="G18" s="37"/>
      <c r="H18" s="76" t="s">
        <v>1747</v>
      </c>
      <c r="I18" s="248" t="s">
        <v>127</v>
      </c>
      <c r="J18" s="250"/>
      <c r="K18" s="36"/>
    </row>
    <row r="19" spans="2:11" s="3" customFormat="1" ht="42" customHeight="1">
      <c r="B19" s="32">
        <v>15</v>
      </c>
      <c r="C19" s="37"/>
      <c r="D19" s="37">
        <v>210.00000000000006</v>
      </c>
      <c r="E19" s="174">
        <v>45741</v>
      </c>
      <c r="F19" s="37" t="s">
        <v>131</v>
      </c>
      <c r="G19" s="37"/>
      <c r="H19" s="76" t="s">
        <v>1748</v>
      </c>
      <c r="I19" s="248" t="s">
        <v>127</v>
      </c>
      <c r="J19" s="250"/>
      <c r="K19" s="36"/>
    </row>
    <row r="20" spans="2:11" s="3" customFormat="1" ht="42" customHeight="1">
      <c r="B20" s="32">
        <v>16</v>
      </c>
      <c r="C20" s="37"/>
      <c r="D20" s="119">
        <v>149.99999999999994</v>
      </c>
      <c r="E20" s="174">
        <v>45741</v>
      </c>
      <c r="F20" s="37" t="s">
        <v>131</v>
      </c>
      <c r="G20" s="37"/>
      <c r="H20" s="76" t="s">
        <v>1749</v>
      </c>
      <c r="I20" s="248" t="s">
        <v>127</v>
      </c>
      <c r="J20" s="250"/>
      <c r="K20" s="36"/>
    </row>
    <row r="21" spans="2:11" s="3" customFormat="1" ht="42" customHeight="1">
      <c r="B21" s="32">
        <v>17</v>
      </c>
      <c r="C21" s="119">
        <v>42</v>
      </c>
      <c r="D21" s="37"/>
      <c r="E21" s="174">
        <v>45745</v>
      </c>
      <c r="F21" s="37" t="s">
        <v>159</v>
      </c>
      <c r="G21" s="37" t="s">
        <v>332</v>
      </c>
      <c r="H21" s="76" t="s">
        <v>1750</v>
      </c>
      <c r="I21" s="248" t="s">
        <v>127</v>
      </c>
      <c r="J21" s="250"/>
      <c r="K21" s="36"/>
    </row>
    <row r="22" spans="2:11" s="3" customFormat="1" ht="42" customHeight="1">
      <c r="B22" s="32">
        <v>18</v>
      </c>
      <c r="C22" s="37"/>
      <c r="D22" s="37">
        <v>410</v>
      </c>
      <c r="E22" s="174">
        <v>45746</v>
      </c>
      <c r="F22" s="37" t="s">
        <v>131</v>
      </c>
      <c r="G22" s="37"/>
      <c r="H22" s="76" t="s">
        <v>1747</v>
      </c>
      <c r="I22" s="248" t="s">
        <v>127</v>
      </c>
      <c r="J22" s="250"/>
      <c r="K22" s="36"/>
    </row>
    <row r="23" spans="2:11" s="3" customFormat="1" ht="42" customHeight="1">
      <c r="B23" s="32">
        <v>19</v>
      </c>
      <c r="C23" s="37"/>
      <c r="D23" s="37"/>
      <c r="E23" s="37"/>
      <c r="F23" s="37"/>
      <c r="G23" s="37"/>
      <c r="H23" s="36"/>
      <c r="I23" s="37"/>
      <c r="J23" s="250"/>
      <c r="K23" s="36"/>
    </row>
    <row r="24" spans="2:11" ht="42" customHeight="1">
      <c r="B24" s="32">
        <v>20</v>
      </c>
      <c r="C24" s="37"/>
      <c r="D24" s="37"/>
      <c r="E24" s="37"/>
      <c r="F24" s="37"/>
      <c r="G24" s="37"/>
      <c r="H24" s="36"/>
      <c r="I24" s="37"/>
      <c r="J24" s="250"/>
      <c r="K24" s="36"/>
    </row>
    <row r="25" spans="2:11" ht="42" customHeight="1">
      <c r="B25" s="32">
        <v>21</v>
      </c>
      <c r="C25" s="37"/>
      <c r="D25" s="37"/>
      <c r="E25" s="37"/>
      <c r="F25" s="37"/>
      <c r="G25" s="37"/>
      <c r="H25" s="36"/>
      <c r="I25" s="37"/>
      <c r="J25" s="250"/>
      <c r="K25" s="36"/>
    </row>
    <row r="26" spans="2:11" ht="42" customHeight="1">
      <c r="B26" s="32">
        <v>22</v>
      </c>
      <c r="C26" s="37"/>
      <c r="D26" s="37"/>
      <c r="E26" s="37"/>
      <c r="F26" s="37"/>
      <c r="G26" s="37"/>
      <c r="H26" s="36"/>
      <c r="I26" s="37"/>
      <c r="J26" s="250"/>
      <c r="K26" s="36"/>
    </row>
    <row r="27" spans="2:11" ht="42" customHeight="1">
      <c r="B27" s="32">
        <v>23</v>
      </c>
      <c r="C27" s="37"/>
      <c r="D27" s="37"/>
      <c r="E27" s="37"/>
      <c r="F27" s="37"/>
      <c r="G27" s="37"/>
      <c r="H27" s="36"/>
      <c r="I27" s="37"/>
      <c r="J27" s="37"/>
      <c r="K27" s="37"/>
    </row>
    <row r="28" spans="2:11" ht="89.25" customHeight="1">
      <c r="B28" s="32">
        <v>24</v>
      </c>
      <c r="C28" s="37"/>
      <c r="D28" s="37"/>
      <c r="E28" s="37"/>
      <c r="F28" s="37"/>
      <c r="G28" s="37"/>
      <c r="H28" s="36"/>
      <c r="I28" s="37"/>
      <c r="J28" s="37"/>
      <c r="K28" s="37"/>
    </row>
    <row r="29" spans="2:11" ht="42" customHeight="1">
      <c r="B29" s="32">
        <v>25</v>
      </c>
      <c r="C29" s="37"/>
      <c r="D29" s="37"/>
      <c r="E29" s="37"/>
      <c r="F29" s="37"/>
      <c r="G29" s="37"/>
      <c r="H29" s="36"/>
      <c r="I29" s="37"/>
      <c r="J29" s="37"/>
      <c r="K29" s="37"/>
    </row>
    <row r="30" spans="2:11" ht="42" customHeight="1">
      <c r="B30" s="32">
        <v>26</v>
      </c>
      <c r="C30" s="37"/>
      <c r="D30" s="37"/>
      <c r="E30" s="37"/>
      <c r="F30" s="37"/>
      <c r="G30" s="37"/>
      <c r="H30" s="37"/>
      <c r="I30" s="37"/>
      <c r="J30" s="37"/>
      <c r="K30" s="37"/>
    </row>
    <row r="31" spans="2:11">
      <c r="B31" s="6" t="s">
        <v>11</v>
      </c>
      <c r="C31" s="7">
        <f>SUM(C4:C30)</f>
        <v>736</v>
      </c>
      <c r="D31" s="7">
        <f>SUM(D4:D30)</f>
        <v>2111</v>
      </c>
      <c r="E31" s="434"/>
      <c r="F31" s="435"/>
      <c r="G31" s="435"/>
      <c r="H31" s="435"/>
      <c r="I31" s="435"/>
      <c r="J31" s="435"/>
      <c r="K31" s="435"/>
    </row>
    <row r="32" spans="2:11">
      <c r="B32" s="9"/>
      <c r="C32" s="10"/>
      <c r="D32" s="11"/>
      <c r="E32" s="434"/>
      <c r="F32" s="435"/>
      <c r="G32" s="435"/>
      <c r="H32" s="435"/>
      <c r="I32" s="435"/>
      <c r="J32" s="435"/>
      <c r="K32" s="435"/>
    </row>
    <row r="33" spans="2:11">
      <c r="B33" s="6" t="s">
        <v>12</v>
      </c>
      <c r="C33" s="432">
        <f>SUM(C31,D31)</f>
        <v>2847</v>
      </c>
      <c r="D33" s="433"/>
      <c r="E33" s="434"/>
      <c r="F33" s="435"/>
      <c r="G33" s="435"/>
      <c r="H33" s="435"/>
      <c r="I33" s="435"/>
      <c r="J33" s="435"/>
      <c r="K33" s="435"/>
    </row>
    <row r="34" spans="2:11">
      <c r="B34" s="12"/>
      <c r="C34" s="13"/>
      <c r="D34" s="14"/>
      <c r="E34" s="436"/>
      <c r="F34" s="437"/>
      <c r="G34" s="437"/>
      <c r="H34" s="437"/>
      <c r="I34" s="437"/>
      <c r="J34" s="437"/>
      <c r="K34" s="437"/>
    </row>
    <row r="37" spans="2:11" ht="26.25">
      <c r="B37" s="446" t="s">
        <v>13</v>
      </c>
      <c r="C37" s="447"/>
      <c r="D37" s="446" t="s">
        <v>14</v>
      </c>
      <c r="E37" s="446"/>
      <c r="F37" s="446"/>
      <c r="G37" s="446"/>
      <c r="H37" s="446"/>
      <c r="I37" s="446"/>
      <c r="J37" s="197" t="s">
        <v>15</v>
      </c>
    </row>
    <row r="38" spans="2:11" ht="20.25">
      <c r="B38" s="447"/>
      <c r="C38" s="447"/>
      <c r="D38" s="448" t="s">
        <v>16</v>
      </c>
      <c r="E38" s="448"/>
      <c r="F38" s="448"/>
      <c r="G38" s="448"/>
      <c r="H38" s="448"/>
      <c r="I38" s="448"/>
      <c r="J38" s="197" t="s">
        <v>17</v>
      </c>
    </row>
    <row r="39" spans="2:11">
      <c r="B39" s="449" t="s">
        <v>18</v>
      </c>
      <c r="C39" s="449"/>
      <c r="D39" s="244">
        <v>45724</v>
      </c>
      <c r="E39" s="199" t="s">
        <v>1460</v>
      </c>
      <c r="F39" s="450" t="s">
        <v>131</v>
      </c>
      <c r="G39" s="450"/>
      <c r="H39" s="201" t="s">
        <v>21</v>
      </c>
      <c r="I39" s="202" t="s">
        <v>1669</v>
      </c>
      <c r="J39" s="199" t="s">
        <v>23</v>
      </c>
    </row>
    <row r="40" spans="2:11">
      <c r="B40" s="449" t="s">
        <v>24</v>
      </c>
      <c r="C40" s="449"/>
      <c r="D40" s="203">
        <v>0.61111111111111116</v>
      </c>
      <c r="E40" s="204" t="s">
        <v>25</v>
      </c>
      <c r="F40" s="450" t="s">
        <v>26</v>
      </c>
      <c r="G40" s="450"/>
      <c r="H40" s="199" t="s">
        <v>27</v>
      </c>
      <c r="I40" s="202" t="s">
        <v>917</v>
      </c>
      <c r="J40" s="202" t="s">
        <v>29</v>
      </c>
    </row>
    <row r="41" spans="2:11">
      <c r="B41" s="449" t="s">
        <v>30</v>
      </c>
      <c r="C41" s="449"/>
      <c r="D41" s="199" t="s">
        <v>31</v>
      </c>
      <c r="E41" s="199" t="s">
        <v>32</v>
      </c>
      <c r="F41" s="450">
        <v>35</v>
      </c>
      <c r="G41" s="450"/>
      <c r="H41" s="201" t="s">
        <v>33</v>
      </c>
      <c r="I41" s="204" t="s">
        <v>1751</v>
      </c>
      <c r="J41" s="202"/>
    </row>
    <row r="42" spans="2:11">
      <c r="B42" s="451" t="s">
        <v>35</v>
      </c>
      <c r="C42" s="451"/>
      <c r="D42" s="464" t="s">
        <v>1681</v>
      </c>
      <c r="E42" s="465"/>
      <c r="F42" s="465"/>
      <c r="G42" s="465"/>
      <c r="H42" s="465"/>
      <c r="I42" s="465"/>
      <c r="J42" s="469"/>
    </row>
    <row r="43" spans="2:11">
      <c r="B43" s="452" t="s">
        <v>1752</v>
      </c>
      <c r="C43" s="453"/>
      <c r="D43" s="453"/>
      <c r="E43" s="453"/>
      <c r="F43" s="453"/>
      <c r="G43" s="453"/>
      <c r="H43" s="453"/>
      <c r="I43" s="453"/>
      <c r="J43" s="454"/>
    </row>
    <row r="44" spans="2:11">
      <c r="B44" s="455"/>
      <c r="C44" s="456"/>
      <c r="D44" s="456"/>
      <c r="E44" s="456"/>
      <c r="F44" s="456"/>
      <c r="G44" s="456"/>
      <c r="H44" s="456"/>
      <c r="I44" s="456"/>
      <c r="J44" s="457"/>
    </row>
    <row r="45" spans="2:11">
      <c r="B45" s="455"/>
      <c r="C45" s="456"/>
      <c r="D45" s="456"/>
      <c r="E45" s="456"/>
      <c r="F45" s="456"/>
      <c r="G45" s="456"/>
      <c r="H45" s="456"/>
      <c r="I45" s="456"/>
      <c r="J45" s="457"/>
    </row>
    <row r="46" spans="2:11">
      <c r="B46" s="458"/>
      <c r="C46" s="459"/>
      <c r="D46" s="459"/>
      <c r="E46" s="459"/>
      <c r="F46" s="459"/>
      <c r="G46" s="459"/>
      <c r="H46" s="459"/>
      <c r="I46" s="459"/>
      <c r="J46" s="460"/>
    </row>
    <row r="47" spans="2:11" ht="18">
      <c r="B47" s="461" t="s">
        <v>38</v>
      </c>
      <c r="C47" s="462"/>
      <c r="D47" s="462"/>
      <c r="E47" s="462"/>
      <c r="F47" s="462"/>
      <c r="G47" s="462"/>
      <c r="H47" s="462"/>
      <c r="I47" s="463"/>
      <c r="J47" s="205" t="s">
        <v>39</v>
      </c>
    </row>
    <row r="48" spans="2:11">
      <c r="B48" s="200">
        <v>1</v>
      </c>
      <c r="C48" s="464" t="s">
        <v>1753</v>
      </c>
      <c r="D48" s="465"/>
      <c r="E48" s="465"/>
      <c r="F48" s="465"/>
      <c r="G48" s="465"/>
      <c r="H48" s="465"/>
      <c r="I48" s="466"/>
      <c r="J48" s="200" t="s">
        <v>43</v>
      </c>
    </row>
    <row r="49" spans="2:10">
      <c r="B49" s="200">
        <v>2</v>
      </c>
      <c r="C49" s="464"/>
      <c r="D49" s="465"/>
      <c r="E49" s="465"/>
      <c r="F49" s="465"/>
      <c r="G49" s="465"/>
      <c r="H49" s="465"/>
      <c r="I49" s="466"/>
      <c r="J49" s="200"/>
    </row>
    <row r="50" spans="2:10">
      <c r="B50" s="200">
        <v>3</v>
      </c>
      <c r="C50" s="467"/>
      <c r="D50" s="468"/>
      <c r="E50" s="468"/>
      <c r="F50" s="468"/>
      <c r="G50" s="468"/>
      <c r="H50" s="468"/>
      <c r="I50" s="469"/>
      <c r="J50" s="200"/>
    </row>
    <row r="51" spans="2:10" ht="18">
      <c r="B51" s="461" t="s">
        <v>44</v>
      </c>
      <c r="C51" s="462"/>
      <c r="D51" s="462"/>
      <c r="E51" s="462"/>
      <c r="F51" s="462"/>
      <c r="G51" s="462"/>
      <c r="H51" s="462"/>
      <c r="I51" s="462"/>
      <c r="J51" s="463"/>
    </row>
    <row r="52" spans="2:10">
      <c r="B52" s="200" t="s">
        <v>45</v>
      </c>
      <c r="C52" s="470" t="s">
        <v>1754</v>
      </c>
      <c r="D52" s="471"/>
      <c r="E52" s="471"/>
      <c r="F52" s="471"/>
      <c r="G52" s="471"/>
      <c r="H52" s="471"/>
      <c r="I52" s="471"/>
      <c r="J52" s="472"/>
    </row>
    <row r="53" spans="2:10">
      <c r="B53" s="206" t="s">
        <v>45</v>
      </c>
      <c r="C53" s="473" t="s">
        <v>1755</v>
      </c>
      <c r="D53" s="473"/>
      <c r="E53" s="473"/>
      <c r="F53" s="473"/>
      <c r="G53" s="473"/>
      <c r="H53" s="473"/>
      <c r="I53" s="473"/>
      <c r="J53" s="473"/>
    </row>
    <row r="54" spans="2:10">
      <c r="B54" s="206" t="s">
        <v>45</v>
      </c>
      <c r="C54" s="473" t="s">
        <v>1756</v>
      </c>
      <c r="D54" s="473"/>
      <c r="E54" s="473"/>
      <c r="F54" s="473"/>
      <c r="G54" s="473"/>
      <c r="H54" s="473"/>
      <c r="I54" s="473"/>
      <c r="J54" s="473"/>
    </row>
    <row r="55" spans="2:10">
      <c r="B55" s="206" t="s">
        <v>45</v>
      </c>
      <c r="C55" s="473"/>
      <c r="D55" s="473"/>
      <c r="E55" s="473"/>
      <c r="F55" s="473"/>
      <c r="G55" s="473"/>
      <c r="H55" s="473"/>
      <c r="I55" s="473"/>
      <c r="J55" s="473"/>
    </row>
    <row r="56" spans="2:10">
      <c r="B56" s="206" t="s">
        <v>45</v>
      </c>
      <c r="C56" s="474"/>
      <c r="D56" s="475"/>
      <c r="E56" s="475"/>
      <c r="F56" s="475"/>
      <c r="G56" s="475"/>
      <c r="H56" s="475"/>
      <c r="I56" s="475"/>
      <c r="J56" s="476"/>
    </row>
    <row r="57" spans="2:10">
      <c r="B57" s="206" t="s">
        <v>45</v>
      </c>
      <c r="C57" s="464"/>
      <c r="D57" s="465"/>
      <c r="E57" s="465"/>
      <c r="F57" s="465"/>
      <c r="G57" s="465"/>
      <c r="H57" s="465"/>
      <c r="I57" s="465"/>
      <c r="J57" s="466"/>
    </row>
    <row r="58" spans="2:10">
      <c r="B58" s="200" t="s">
        <v>45</v>
      </c>
      <c r="C58" s="464"/>
      <c r="D58" s="465"/>
      <c r="E58" s="465"/>
      <c r="F58" s="465"/>
      <c r="G58" s="465"/>
      <c r="H58" s="465"/>
      <c r="I58" s="465"/>
      <c r="J58" s="466"/>
    </row>
    <row r="59" spans="2:10">
      <c r="B59" s="200" t="s">
        <v>7</v>
      </c>
      <c r="C59" s="473" t="s">
        <v>1756</v>
      </c>
      <c r="D59" s="473"/>
      <c r="E59" s="473"/>
      <c r="F59" s="473"/>
      <c r="G59" s="473"/>
      <c r="H59" s="473"/>
      <c r="I59" s="473"/>
      <c r="J59" s="473"/>
    </row>
    <row r="60" spans="2:10" ht="18">
      <c r="B60" s="205" t="s">
        <v>52</v>
      </c>
      <c r="C60" s="477" t="s">
        <v>53</v>
      </c>
      <c r="D60" s="477"/>
      <c r="E60" s="477"/>
      <c r="F60" s="477"/>
      <c r="G60" s="477"/>
      <c r="H60" s="205" t="s">
        <v>54</v>
      </c>
      <c r="I60" s="205" t="s">
        <v>55</v>
      </c>
      <c r="J60" s="205" t="s">
        <v>56</v>
      </c>
    </row>
    <row r="61" spans="2:10">
      <c r="B61" s="200">
        <v>1</v>
      </c>
      <c r="C61" s="451"/>
      <c r="D61" s="451"/>
      <c r="E61" s="451"/>
      <c r="F61" s="451"/>
      <c r="G61" s="451"/>
      <c r="H61" s="200"/>
      <c r="I61" s="207"/>
      <c r="J61" s="200"/>
    </row>
    <row r="62" spans="2:10">
      <c r="B62" s="200">
        <v>2</v>
      </c>
      <c r="C62" s="449"/>
      <c r="D62" s="449"/>
      <c r="E62" s="449"/>
      <c r="F62" s="449"/>
      <c r="G62" s="449"/>
      <c r="H62" s="200"/>
      <c r="I62" s="207"/>
      <c r="J62" s="200"/>
    </row>
    <row r="63" spans="2:10">
      <c r="B63" s="200">
        <v>3</v>
      </c>
      <c r="C63" s="450"/>
      <c r="D63" s="450"/>
      <c r="E63" s="450"/>
      <c r="F63" s="450"/>
      <c r="G63" s="450"/>
      <c r="H63" s="200"/>
      <c r="I63" s="200"/>
      <c r="J63" s="200"/>
    </row>
    <row r="64" spans="2:10">
      <c r="B64" s="450" t="s">
        <v>63</v>
      </c>
      <c r="C64" s="450"/>
      <c r="D64" s="199" t="s">
        <v>31</v>
      </c>
      <c r="E64" s="198" t="s">
        <v>64</v>
      </c>
      <c r="F64" s="467"/>
      <c r="G64" s="469"/>
      <c r="H64" s="199"/>
      <c r="I64" s="199"/>
      <c r="J64" s="199"/>
    </row>
    <row r="65" spans="2:10" ht="45">
      <c r="B65" s="201" t="s">
        <v>66</v>
      </c>
      <c r="C65" s="450"/>
      <c r="D65" s="450"/>
      <c r="E65" s="201" t="s">
        <v>67</v>
      </c>
      <c r="F65" s="450"/>
      <c r="G65" s="450"/>
      <c r="H65" s="201" t="s">
        <v>68</v>
      </c>
      <c r="I65" s="450"/>
      <c r="J65" s="450"/>
    </row>
    <row r="68" spans="2:10" ht="26.25" customHeight="1">
      <c r="B68" s="446" t="s">
        <v>13</v>
      </c>
      <c r="C68" s="447"/>
      <c r="D68" s="446" t="s">
        <v>14</v>
      </c>
      <c r="E68" s="446"/>
      <c r="F68" s="446"/>
      <c r="G68" s="446"/>
      <c r="H68" s="446"/>
      <c r="I68" s="446"/>
      <c r="J68" s="197" t="s">
        <v>15</v>
      </c>
    </row>
    <row r="69" spans="2:10" ht="20.25" customHeight="1">
      <c r="B69" s="447"/>
      <c r="C69" s="447"/>
      <c r="D69" s="448" t="s">
        <v>16</v>
      </c>
      <c r="E69" s="448"/>
      <c r="F69" s="448"/>
      <c r="G69" s="448"/>
      <c r="H69" s="448"/>
      <c r="I69" s="448"/>
      <c r="J69" s="197" t="s">
        <v>17</v>
      </c>
    </row>
    <row r="70" spans="2:10">
      <c r="B70" s="449" t="s">
        <v>18</v>
      </c>
      <c r="C70" s="449"/>
      <c r="D70" s="244">
        <v>45728</v>
      </c>
      <c r="E70" s="199" t="s">
        <v>1460</v>
      </c>
      <c r="F70" s="450" t="s">
        <v>131</v>
      </c>
      <c r="G70" s="450"/>
      <c r="H70" s="201" t="s">
        <v>21</v>
      </c>
      <c r="I70" s="202" t="s">
        <v>1669</v>
      </c>
      <c r="J70" s="199" t="s">
        <v>23</v>
      </c>
    </row>
    <row r="71" spans="2:10">
      <c r="B71" s="449" t="s">
        <v>24</v>
      </c>
      <c r="C71" s="449"/>
      <c r="D71" s="203">
        <v>0.72916666666666663</v>
      </c>
      <c r="E71" s="204" t="s">
        <v>25</v>
      </c>
      <c r="F71" s="450" t="s">
        <v>26</v>
      </c>
      <c r="G71" s="450"/>
      <c r="H71" s="199" t="s">
        <v>27</v>
      </c>
      <c r="I71" s="202" t="s">
        <v>867</v>
      </c>
      <c r="J71" s="202" t="s">
        <v>29</v>
      </c>
    </row>
    <row r="72" spans="2:10">
      <c r="B72" s="449" t="s">
        <v>30</v>
      </c>
      <c r="C72" s="449"/>
      <c r="D72" s="199" t="s">
        <v>31</v>
      </c>
      <c r="E72" s="199" t="s">
        <v>32</v>
      </c>
      <c r="F72" s="450">
        <v>105</v>
      </c>
      <c r="G72" s="450"/>
      <c r="H72" s="201" t="s">
        <v>33</v>
      </c>
      <c r="I72" s="204" t="s">
        <v>1757</v>
      </c>
      <c r="J72" s="202"/>
    </row>
    <row r="73" spans="2:10" ht="15" customHeight="1">
      <c r="B73" s="451" t="s">
        <v>35</v>
      </c>
      <c r="C73" s="451"/>
      <c r="D73" s="464" t="s">
        <v>1672</v>
      </c>
      <c r="E73" s="465"/>
      <c r="F73" s="465"/>
      <c r="G73" s="465"/>
      <c r="H73" s="465"/>
      <c r="I73" s="465"/>
      <c r="J73" s="469"/>
    </row>
    <row r="74" spans="2:10" ht="15" customHeight="1">
      <c r="B74" s="452" t="s">
        <v>1758</v>
      </c>
      <c r="C74" s="453"/>
      <c r="D74" s="453"/>
      <c r="E74" s="453"/>
      <c r="F74" s="453"/>
      <c r="G74" s="453"/>
      <c r="H74" s="453"/>
      <c r="I74" s="453"/>
      <c r="J74" s="454"/>
    </row>
    <row r="75" spans="2:10">
      <c r="B75" s="455"/>
      <c r="C75" s="456"/>
      <c r="D75" s="456"/>
      <c r="E75" s="456"/>
      <c r="F75" s="456"/>
      <c r="G75" s="456"/>
      <c r="H75" s="456"/>
      <c r="I75" s="456"/>
      <c r="J75" s="457"/>
    </row>
    <row r="76" spans="2:10">
      <c r="B76" s="455"/>
      <c r="C76" s="456"/>
      <c r="D76" s="456"/>
      <c r="E76" s="456"/>
      <c r="F76" s="456"/>
      <c r="G76" s="456"/>
      <c r="H76" s="456"/>
      <c r="I76" s="456"/>
      <c r="J76" s="457"/>
    </row>
    <row r="77" spans="2:10">
      <c r="B77" s="458"/>
      <c r="C77" s="459"/>
      <c r="D77" s="459"/>
      <c r="E77" s="459"/>
      <c r="F77" s="459"/>
      <c r="G77" s="459"/>
      <c r="H77" s="459"/>
      <c r="I77" s="459"/>
      <c r="J77" s="460"/>
    </row>
    <row r="78" spans="2:10" ht="18">
      <c r="B78" s="461" t="s">
        <v>38</v>
      </c>
      <c r="C78" s="462"/>
      <c r="D78" s="462"/>
      <c r="E78" s="462"/>
      <c r="F78" s="462"/>
      <c r="G78" s="462"/>
      <c r="H78" s="462"/>
      <c r="I78" s="463"/>
      <c r="J78" s="205" t="s">
        <v>39</v>
      </c>
    </row>
    <row r="79" spans="2:10">
      <c r="B79" s="200">
        <v>1</v>
      </c>
      <c r="C79" s="464" t="s">
        <v>1759</v>
      </c>
      <c r="D79" s="465"/>
      <c r="E79" s="465"/>
      <c r="F79" s="465"/>
      <c r="G79" s="465"/>
      <c r="H79" s="465"/>
      <c r="I79" s="466"/>
      <c r="J79" s="200" t="s">
        <v>43</v>
      </c>
    </row>
    <row r="80" spans="2:10">
      <c r="B80" s="200">
        <v>2</v>
      </c>
      <c r="C80" s="464"/>
      <c r="D80" s="465"/>
      <c r="E80" s="465"/>
      <c r="F80" s="465"/>
      <c r="G80" s="465"/>
      <c r="H80" s="465"/>
      <c r="I80" s="466"/>
      <c r="J80" s="200"/>
    </row>
    <row r="81" spans="2:10">
      <c r="B81" s="200">
        <v>3</v>
      </c>
      <c r="C81" s="467"/>
      <c r="D81" s="468"/>
      <c r="E81" s="468"/>
      <c r="F81" s="468"/>
      <c r="G81" s="468"/>
      <c r="H81" s="468"/>
      <c r="I81" s="469"/>
      <c r="J81" s="200"/>
    </row>
    <row r="82" spans="2:10" ht="18">
      <c r="B82" s="461" t="s">
        <v>44</v>
      </c>
      <c r="C82" s="462"/>
      <c r="D82" s="462"/>
      <c r="E82" s="462"/>
      <c r="F82" s="462"/>
      <c r="G82" s="462"/>
      <c r="H82" s="462"/>
      <c r="I82" s="462"/>
      <c r="J82" s="463"/>
    </row>
    <row r="83" spans="2:10">
      <c r="B83" s="200" t="s">
        <v>45</v>
      </c>
      <c r="C83" s="470" t="s">
        <v>1760</v>
      </c>
      <c r="D83" s="471"/>
      <c r="E83" s="471"/>
      <c r="F83" s="471"/>
      <c r="G83" s="471"/>
      <c r="H83" s="471"/>
      <c r="I83" s="471"/>
      <c r="J83" s="472"/>
    </row>
    <row r="84" spans="2:10">
      <c r="B84" s="206" t="s">
        <v>45</v>
      </c>
      <c r="C84" s="473" t="s">
        <v>1761</v>
      </c>
      <c r="D84" s="473"/>
      <c r="E84" s="473"/>
      <c r="F84" s="473"/>
      <c r="G84" s="473"/>
      <c r="H84" s="473"/>
      <c r="I84" s="473"/>
      <c r="J84" s="473"/>
    </row>
    <row r="85" spans="2:10">
      <c r="B85" s="206" t="s">
        <v>45</v>
      </c>
      <c r="C85" s="473" t="s">
        <v>1762</v>
      </c>
      <c r="D85" s="473"/>
      <c r="E85" s="473"/>
      <c r="F85" s="473"/>
      <c r="G85" s="473"/>
      <c r="H85" s="473"/>
      <c r="I85" s="473"/>
      <c r="J85" s="473"/>
    </row>
    <row r="86" spans="2:10">
      <c r="B86" s="206" t="s">
        <v>45</v>
      </c>
      <c r="C86" s="473" t="s">
        <v>1763</v>
      </c>
      <c r="D86" s="473"/>
      <c r="E86" s="473"/>
      <c r="F86" s="473"/>
      <c r="G86" s="473"/>
      <c r="H86" s="473"/>
      <c r="I86" s="473"/>
      <c r="J86" s="473"/>
    </row>
    <row r="87" spans="2:10">
      <c r="B87" s="206" t="s">
        <v>45</v>
      </c>
      <c r="C87" s="474"/>
      <c r="D87" s="475"/>
      <c r="E87" s="475"/>
      <c r="F87" s="475"/>
      <c r="G87" s="475"/>
      <c r="H87" s="475"/>
      <c r="I87" s="475"/>
      <c r="J87" s="476"/>
    </row>
    <row r="88" spans="2:10">
      <c r="B88" s="206" t="s">
        <v>45</v>
      </c>
      <c r="C88" s="464"/>
      <c r="D88" s="465"/>
      <c r="E88" s="465"/>
      <c r="F88" s="465"/>
      <c r="G88" s="465"/>
      <c r="H88" s="465"/>
      <c r="I88" s="465"/>
      <c r="J88" s="466"/>
    </row>
    <row r="89" spans="2:10">
      <c r="B89" s="200" t="s">
        <v>45</v>
      </c>
      <c r="C89" s="464"/>
      <c r="D89" s="465"/>
      <c r="E89" s="465"/>
      <c r="F89" s="465"/>
      <c r="G89" s="465"/>
      <c r="H89" s="465"/>
      <c r="I89" s="465"/>
      <c r="J89" s="466"/>
    </row>
    <row r="90" spans="2:10">
      <c r="B90" s="200" t="s">
        <v>7</v>
      </c>
      <c r="C90" s="473" t="s">
        <v>1763</v>
      </c>
      <c r="D90" s="473"/>
      <c r="E90" s="473"/>
      <c r="F90" s="473"/>
      <c r="G90" s="473"/>
      <c r="H90" s="473"/>
      <c r="I90" s="473"/>
      <c r="J90" s="473"/>
    </row>
    <row r="91" spans="2:10" ht="18">
      <c r="B91" s="205" t="s">
        <v>52</v>
      </c>
      <c r="C91" s="477" t="s">
        <v>53</v>
      </c>
      <c r="D91" s="477"/>
      <c r="E91" s="477"/>
      <c r="F91" s="477"/>
      <c r="G91" s="477"/>
      <c r="H91" s="205" t="s">
        <v>54</v>
      </c>
      <c r="I91" s="205" t="s">
        <v>55</v>
      </c>
      <c r="J91" s="205" t="s">
        <v>56</v>
      </c>
    </row>
    <row r="92" spans="2:10">
      <c r="B92" s="200">
        <v>1</v>
      </c>
      <c r="C92" s="451" t="s">
        <v>1730</v>
      </c>
      <c r="D92" s="451"/>
      <c r="E92" s="451"/>
      <c r="F92" s="451"/>
      <c r="G92" s="451"/>
      <c r="H92" s="200"/>
      <c r="I92" s="207"/>
      <c r="J92" s="200"/>
    </row>
    <row r="93" spans="2:10">
      <c r="B93" s="200">
        <v>2</v>
      </c>
      <c r="C93" s="449" t="s">
        <v>1764</v>
      </c>
      <c r="D93" s="449"/>
      <c r="E93" s="449"/>
      <c r="F93" s="449"/>
      <c r="G93" s="449"/>
      <c r="H93" s="200"/>
      <c r="I93" s="207"/>
      <c r="J93" s="200"/>
    </row>
    <row r="94" spans="2:10">
      <c r="B94" s="200">
        <v>3</v>
      </c>
      <c r="C94" s="450"/>
      <c r="D94" s="450"/>
      <c r="E94" s="450"/>
      <c r="F94" s="450"/>
      <c r="G94" s="450"/>
      <c r="H94" s="200"/>
      <c r="I94" s="200"/>
      <c r="J94" s="200"/>
    </row>
    <row r="95" spans="2:10">
      <c r="B95" s="450" t="s">
        <v>63</v>
      </c>
      <c r="C95" s="450"/>
      <c r="D95" s="199" t="s">
        <v>31</v>
      </c>
      <c r="E95" s="198" t="s">
        <v>64</v>
      </c>
      <c r="F95" s="467"/>
      <c r="G95" s="469"/>
      <c r="H95" s="199"/>
      <c r="I95" s="199"/>
      <c r="J95" s="199"/>
    </row>
    <row r="96" spans="2:10" ht="45">
      <c r="B96" s="201" t="s">
        <v>66</v>
      </c>
      <c r="C96" s="450"/>
      <c r="D96" s="450"/>
      <c r="E96" s="201" t="s">
        <v>67</v>
      </c>
      <c r="F96" s="450"/>
      <c r="G96" s="450"/>
      <c r="H96" s="201" t="s">
        <v>68</v>
      </c>
      <c r="I96" s="450"/>
      <c r="J96" s="450"/>
    </row>
    <row r="97" spans="2:10">
      <c r="B97" s="247"/>
      <c r="C97" s="253"/>
      <c r="D97" s="253"/>
      <c r="E97" s="247"/>
      <c r="F97" s="253"/>
      <c r="G97" s="253"/>
      <c r="H97" s="247"/>
      <c r="I97" s="253"/>
      <c r="J97" s="253"/>
    </row>
    <row r="98" spans="2:10">
      <c r="B98" s="247"/>
      <c r="C98" s="253"/>
      <c r="D98" s="253"/>
      <c r="E98" s="247"/>
      <c r="F98" s="253"/>
      <c r="G98" s="253"/>
      <c r="H98" s="247"/>
      <c r="I98" s="253"/>
      <c r="J98" s="253"/>
    </row>
    <row r="99" spans="2:10" ht="26.25">
      <c r="B99" s="446" t="s">
        <v>13</v>
      </c>
      <c r="C99" s="447"/>
      <c r="D99" s="446" t="s">
        <v>14</v>
      </c>
      <c r="E99" s="446"/>
      <c r="F99" s="446"/>
      <c r="G99" s="446"/>
      <c r="H99" s="446"/>
      <c r="I99" s="446"/>
      <c r="J99" s="197" t="s">
        <v>15</v>
      </c>
    </row>
    <row r="100" spans="2:10" ht="20.25">
      <c r="B100" s="447"/>
      <c r="C100" s="447"/>
      <c r="D100" s="448" t="s">
        <v>16</v>
      </c>
      <c r="E100" s="448"/>
      <c r="F100" s="448"/>
      <c r="G100" s="448"/>
      <c r="H100" s="448"/>
      <c r="I100" s="448"/>
      <c r="J100" s="197" t="s">
        <v>17</v>
      </c>
    </row>
    <row r="101" spans="2:10">
      <c r="B101" s="449" t="s">
        <v>18</v>
      </c>
      <c r="C101" s="449"/>
      <c r="D101" s="244">
        <v>45730</v>
      </c>
      <c r="E101" s="199" t="s">
        <v>1460</v>
      </c>
      <c r="F101" s="450" t="s">
        <v>131</v>
      </c>
      <c r="G101" s="450"/>
      <c r="H101" s="201" t="s">
        <v>21</v>
      </c>
      <c r="I101" s="202" t="s">
        <v>1669</v>
      </c>
      <c r="J101" s="199" t="s">
        <v>23</v>
      </c>
    </row>
    <row r="102" spans="2:10">
      <c r="B102" s="449" t="s">
        <v>24</v>
      </c>
      <c r="C102" s="449"/>
      <c r="D102" s="203">
        <v>0.72916666666666663</v>
      </c>
      <c r="E102" s="204" t="s">
        <v>25</v>
      </c>
      <c r="F102" s="450" t="s">
        <v>26</v>
      </c>
      <c r="G102" s="450"/>
      <c r="H102" s="199" t="s">
        <v>27</v>
      </c>
      <c r="I102" s="202" t="s">
        <v>867</v>
      </c>
      <c r="J102" s="202" t="s">
        <v>29</v>
      </c>
    </row>
    <row r="103" spans="2:10">
      <c r="B103" s="449" t="s">
        <v>30</v>
      </c>
      <c r="C103" s="449"/>
      <c r="D103" s="199" t="s">
        <v>31</v>
      </c>
      <c r="E103" s="199" t="s">
        <v>32</v>
      </c>
      <c r="F103" s="450">
        <v>90</v>
      </c>
      <c r="G103" s="450"/>
      <c r="H103" s="201" t="s">
        <v>33</v>
      </c>
      <c r="I103" s="204" t="s">
        <v>1757</v>
      </c>
      <c r="J103" s="202"/>
    </row>
    <row r="104" spans="2:10">
      <c r="B104" s="451" t="s">
        <v>35</v>
      </c>
      <c r="C104" s="451"/>
      <c r="D104" s="464" t="s">
        <v>1672</v>
      </c>
      <c r="E104" s="465"/>
      <c r="F104" s="465"/>
      <c r="G104" s="465"/>
      <c r="H104" s="465"/>
      <c r="I104" s="465"/>
      <c r="J104" s="469"/>
    </row>
    <row r="105" spans="2:10">
      <c r="B105" s="452" t="s">
        <v>1765</v>
      </c>
      <c r="C105" s="453"/>
      <c r="D105" s="453"/>
      <c r="E105" s="453"/>
      <c r="F105" s="453"/>
      <c r="G105" s="453"/>
      <c r="H105" s="453"/>
      <c r="I105" s="453"/>
      <c r="J105" s="454"/>
    </row>
    <row r="106" spans="2:10">
      <c r="B106" s="455"/>
      <c r="C106" s="456"/>
      <c r="D106" s="456"/>
      <c r="E106" s="456"/>
      <c r="F106" s="456"/>
      <c r="G106" s="456"/>
      <c r="H106" s="456"/>
      <c r="I106" s="456"/>
      <c r="J106" s="457"/>
    </row>
    <row r="107" spans="2:10">
      <c r="B107" s="455"/>
      <c r="C107" s="456"/>
      <c r="D107" s="456"/>
      <c r="E107" s="456"/>
      <c r="F107" s="456"/>
      <c r="G107" s="456"/>
      <c r="H107" s="456"/>
      <c r="I107" s="456"/>
      <c r="J107" s="457"/>
    </row>
    <row r="108" spans="2:10">
      <c r="B108" s="458"/>
      <c r="C108" s="459"/>
      <c r="D108" s="459"/>
      <c r="E108" s="459"/>
      <c r="F108" s="459"/>
      <c r="G108" s="459"/>
      <c r="H108" s="459"/>
      <c r="I108" s="459"/>
      <c r="J108" s="460"/>
    </row>
    <row r="109" spans="2:10" ht="18">
      <c r="B109" s="461" t="s">
        <v>38</v>
      </c>
      <c r="C109" s="462"/>
      <c r="D109" s="462"/>
      <c r="E109" s="462"/>
      <c r="F109" s="462"/>
      <c r="G109" s="462"/>
      <c r="H109" s="462"/>
      <c r="I109" s="463"/>
      <c r="J109" s="205" t="s">
        <v>39</v>
      </c>
    </row>
    <row r="110" spans="2:10">
      <c r="B110" s="200">
        <v>1</v>
      </c>
      <c r="C110" s="464" t="s">
        <v>1733</v>
      </c>
      <c r="D110" s="465"/>
      <c r="E110" s="465"/>
      <c r="F110" s="465"/>
      <c r="G110" s="465"/>
      <c r="H110" s="465"/>
      <c r="I110" s="466"/>
      <c r="J110" s="200" t="s">
        <v>43</v>
      </c>
    </row>
    <row r="111" spans="2:10">
      <c r="B111" s="200">
        <v>2</v>
      </c>
      <c r="C111" s="464" t="s">
        <v>1766</v>
      </c>
      <c r="D111" s="465"/>
      <c r="E111" s="465"/>
      <c r="F111" s="465"/>
      <c r="G111" s="465"/>
      <c r="H111" s="465"/>
      <c r="I111" s="466"/>
      <c r="J111" s="200" t="s">
        <v>43</v>
      </c>
    </row>
    <row r="112" spans="2:10">
      <c r="B112" s="200">
        <v>3</v>
      </c>
      <c r="C112" s="467"/>
      <c r="D112" s="468"/>
      <c r="E112" s="468"/>
      <c r="F112" s="468"/>
      <c r="G112" s="468"/>
      <c r="H112" s="468"/>
      <c r="I112" s="469"/>
      <c r="J112" s="200"/>
    </row>
    <row r="113" spans="2:10" ht="18">
      <c r="B113" s="461" t="s">
        <v>44</v>
      </c>
      <c r="C113" s="462"/>
      <c r="D113" s="462"/>
      <c r="E113" s="462"/>
      <c r="F113" s="462"/>
      <c r="G113" s="462"/>
      <c r="H113" s="462"/>
      <c r="I113" s="462"/>
      <c r="J113" s="463"/>
    </row>
    <row r="114" spans="2:10">
      <c r="B114" s="200" t="s">
        <v>45</v>
      </c>
      <c r="C114" s="470" t="s">
        <v>1767</v>
      </c>
      <c r="D114" s="471"/>
      <c r="E114" s="471"/>
      <c r="F114" s="471"/>
      <c r="G114" s="471"/>
      <c r="H114" s="471"/>
      <c r="I114" s="471"/>
      <c r="J114" s="472"/>
    </row>
    <row r="115" spans="2:10">
      <c r="B115" s="206" t="s">
        <v>45</v>
      </c>
      <c r="C115" s="473" t="s">
        <v>1768</v>
      </c>
      <c r="D115" s="473"/>
      <c r="E115" s="473"/>
      <c r="F115" s="473"/>
      <c r="G115" s="473"/>
      <c r="H115" s="473"/>
      <c r="I115" s="473"/>
      <c r="J115" s="473"/>
    </row>
    <row r="116" spans="2:10">
      <c r="B116" s="206" t="s">
        <v>45</v>
      </c>
      <c r="C116" s="473" t="s">
        <v>1769</v>
      </c>
      <c r="D116" s="473"/>
      <c r="E116" s="473"/>
      <c r="F116" s="473"/>
      <c r="G116" s="473"/>
      <c r="H116" s="473"/>
      <c r="I116" s="473"/>
      <c r="J116" s="473"/>
    </row>
    <row r="117" spans="2:10">
      <c r="B117" s="206" t="s">
        <v>45</v>
      </c>
      <c r="C117" s="473" t="s">
        <v>1770</v>
      </c>
      <c r="D117" s="473"/>
      <c r="E117" s="473"/>
      <c r="F117" s="473"/>
      <c r="G117" s="473"/>
      <c r="H117" s="473"/>
      <c r="I117" s="473"/>
      <c r="J117" s="473"/>
    </row>
    <row r="118" spans="2:10">
      <c r="B118" s="206" t="s">
        <v>45</v>
      </c>
      <c r="C118" s="474" t="s">
        <v>1732</v>
      </c>
      <c r="D118" s="475"/>
      <c r="E118" s="475"/>
      <c r="F118" s="475"/>
      <c r="G118" s="475"/>
      <c r="H118" s="475"/>
      <c r="I118" s="475"/>
      <c r="J118" s="476"/>
    </row>
    <row r="119" spans="2:10">
      <c r="B119" s="206" t="s">
        <v>45</v>
      </c>
      <c r="C119" s="464"/>
      <c r="D119" s="465"/>
      <c r="E119" s="465"/>
      <c r="F119" s="465"/>
      <c r="G119" s="465"/>
      <c r="H119" s="465"/>
      <c r="I119" s="465"/>
      <c r="J119" s="466"/>
    </row>
    <row r="120" spans="2:10">
      <c r="B120" s="200" t="s">
        <v>45</v>
      </c>
      <c r="C120" s="464"/>
      <c r="D120" s="465"/>
      <c r="E120" s="465"/>
      <c r="F120" s="465"/>
      <c r="G120" s="465"/>
      <c r="H120" s="465"/>
      <c r="I120" s="465"/>
      <c r="J120" s="466"/>
    </row>
    <row r="121" spans="2:10">
      <c r="B121" s="200" t="s">
        <v>7</v>
      </c>
      <c r="C121" s="473" t="s">
        <v>1771</v>
      </c>
      <c r="D121" s="473"/>
      <c r="E121" s="473"/>
      <c r="F121" s="473"/>
      <c r="G121" s="473"/>
      <c r="H121" s="473"/>
      <c r="I121" s="473"/>
      <c r="J121" s="473"/>
    </row>
    <row r="122" spans="2:10" ht="18">
      <c r="B122" s="205" t="s">
        <v>52</v>
      </c>
      <c r="C122" s="477" t="s">
        <v>53</v>
      </c>
      <c r="D122" s="477"/>
      <c r="E122" s="477"/>
      <c r="F122" s="477"/>
      <c r="G122" s="477"/>
      <c r="H122" s="205" t="s">
        <v>54</v>
      </c>
      <c r="I122" s="205" t="s">
        <v>55</v>
      </c>
      <c r="J122" s="205" t="s">
        <v>56</v>
      </c>
    </row>
    <row r="123" spans="2:10">
      <c r="B123" s="200">
        <v>1</v>
      </c>
      <c r="C123" s="451" t="s">
        <v>1772</v>
      </c>
      <c r="D123" s="451"/>
      <c r="E123" s="451"/>
      <c r="F123" s="451"/>
      <c r="G123" s="451"/>
      <c r="H123" s="200" t="s">
        <v>1773</v>
      </c>
      <c r="I123" s="207" t="s">
        <v>1557</v>
      </c>
      <c r="J123" s="200" t="s">
        <v>1507</v>
      </c>
    </row>
    <row r="124" spans="2:10">
      <c r="B124" s="200">
        <v>2</v>
      </c>
      <c r="C124" s="449"/>
      <c r="D124" s="449"/>
      <c r="E124" s="449"/>
      <c r="F124" s="449"/>
      <c r="G124" s="449"/>
      <c r="H124" s="200"/>
      <c r="I124" s="207"/>
      <c r="J124" s="200"/>
    </row>
    <row r="125" spans="2:10">
      <c r="B125" s="200">
        <v>3</v>
      </c>
      <c r="C125" s="450"/>
      <c r="D125" s="450"/>
      <c r="E125" s="450"/>
      <c r="F125" s="450"/>
      <c r="G125" s="450"/>
      <c r="H125" s="200"/>
      <c r="I125" s="200"/>
      <c r="J125" s="200"/>
    </row>
    <row r="126" spans="2:10">
      <c r="B126" s="450" t="s">
        <v>63</v>
      </c>
      <c r="C126" s="450"/>
      <c r="D126" s="199" t="s">
        <v>31</v>
      </c>
      <c r="E126" s="198" t="s">
        <v>64</v>
      </c>
      <c r="F126" s="467"/>
      <c r="G126" s="469"/>
      <c r="H126" s="199"/>
      <c r="I126" s="199"/>
      <c r="J126" s="199"/>
    </row>
    <row r="127" spans="2:10" ht="45">
      <c r="B127" s="201" t="s">
        <v>66</v>
      </c>
      <c r="C127" s="450"/>
      <c r="D127" s="450"/>
      <c r="E127" s="201" t="s">
        <v>67</v>
      </c>
      <c r="F127" s="450"/>
      <c r="G127" s="450"/>
      <c r="H127" s="201" t="s">
        <v>68</v>
      </c>
      <c r="I127" s="450"/>
      <c r="J127" s="450"/>
    </row>
    <row r="128" spans="2:10">
      <c r="B128" s="247"/>
      <c r="C128" s="253"/>
      <c r="D128" s="253"/>
      <c r="E128" s="247"/>
      <c r="F128" s="253"/>
      <c r="G128" s="253"/>
      <c r="H128" s="247"/>
      <c r="I128" s="253"/>
      <c r="J128" s="253"/>
    </row>
    <row r="130" spans="2:10" ht="26.25" customHeight="1">
      <c r="B130" s="446" t="s">
        <v>13</v>
      </c>
      <c r="C130" s="447"/>
      <c r="D130" s="446" t="s">
        <v>14</v>
      </c>
      <c r="E130" s="446"/>
      <c r="F130" s="446"/>
      <c r="G130" s="446"/>
      <c r="H130" s="446"/>
      <c r="I130" s="446"/>
      <c r="J130" s="197" t="s">
        <v>15</v>
      </c>
    </row>
    <row r="131" spans="2:10" ht="20.25" customHeight="1">
      <c r="B131" s="447"/>
      <c r="C131" s="447"/>
      <c r="D131" s="448" t="s">
        <v>16</v>
      </c>
      <c r="E131" s="448"/>
      <c r="F131" s="448"/>
      <c r="G131" s="448"/>
      <c r="H131" s="448"/>
      <c r="I131" s="448"/>
      <c r="J131" s="197" t="s">
        <v>17</v>
      </c>
    </row>
    <row r="132" spans="2:10">
      <c r="B132" s="449" t="s">
        <v>18</v>
      </c>
      <c r="C132" s="449"/>
      <c r="D132" s="244">
        <v>45730</v>
      </c>
      <c r="E132" s="199" t="s">
        <v>1460</v>
      </c>
      <c r="F132" s="450" t="s">
        <v>124</v>
      </c>
      <c r="G132" s="450"/>
      <c r="H132" s="201" t="s">
        <v>21</v>
      </c>
      <c r="I132" s="202" t="s">
        <v>1472</v>
      </c>
      <c r="J132" s="199" t="s">
        <v>23</v>
      </c>
    </row>
    <row r="133" spans="2:10">
      <c r="B133" s="449" t="s">
        <v>24</v>
      </c>
      <c r="C133" s="449"/>
      <c r="D133" s="203">
        <v>0.72916666666666663</v>
      </c>
      <c r="E133" s="204" t="s">
        <v>25</v>
      </c>
      <c r="F133" s="450" t="s">
        <v>26</v>
      </c>
      <c r="G133" s="450"/>
      <c r="H133" s="199" t="s">
        <v>27</v>
      </c>
      <c r="I133" s="202" t="s">
        <v>917</v>
      </c>
      <c r="J133" s="202" t="s">
        <v>29</v>
      </c>
    </row>
    <row r="134" spans="2:10">
      <c r="B134" s="449" t="s">
        <v>30</v>
      </c>
      <c r="C134" s="449"/>
      <c r="D134" s="199" t="s">
        <v>31</v>
      </c>
      <c r="E134" s="199" t="s">
        <v>32</v>
      </c>
      <c r="F134" s="450">
        <v>145</v>
      </c>
      <c r="G134" s="450"/>
      <c r="H134" s="201" t="s">
        <v>33</v>
      </c>
      <c r="I134" s="204" t="s">
        <v>1774</v>
      </c>
      <c r="J134" s="202"/>
    </row>
    <row r="135" spans="2:10" ht="15" customHeight="1">
      <c r="B135" s="451" t="s">
        <v>35</v>
      </c>
      <c r="C135" s="451"/>
      <c r="D135" s="464" t="s">
        <v>1494</v>
      </c>
      <c r="E135" s="465"/>
      <c r="F135" s="465"/>
      <c r="G135" s="465"/>
      <c r="H135" s="465"/>
      <c r="I135" s="465"/>
      <c r="J135" s="469"/>
    </row>
    <row r="136" spans="2:10" ht="15" customHeight="1">
      <c r="B136" s="452" t="s">
        <v>1775</v>
      </c>
      <c r="C136" s="453"/>
      <c r="D136" s="453"/>
      <c r="E136" s="453"/>
      <c r="F136" s="453"/>
      <c r="G136" s="453"/>
      <c r="H136" s="453"/>
      <c r="I136" s="453"/>
      <c r="J136" s="454"/>
    </row>
    <row r="137" spans="2:10">
      <c r="B137" s="455"/>
      <c r="C137" s="456"/>
      <c r="D137" s="456"/>
      <c r="E137" s="456"/>
      <c r="F137" s="456"/>
      <c r="G137" s="456"/>
      <c r="H137" s="456"/>
      <c r="I137" s="456"/>
      <c r="J137" s="457"/>
    </row>
    <row r="138" spans="2:10">
      <c r="B138" s="455"/>
      <c r="C138" s="456"/>
      <c r="D138" s="456"/>
      <c r="E138" s="456"/>
      <c r="F138" s="456"/>
      <c r="G138" s="456"/>
      <c r="H138" s="456"/>
      <c r="I138" s="456"/>
      <c r="J138" s="457"/>
    </row>
    <row r="139" spans="2:10">
      <c r="B139" s="458"/>
      <c r="C139" s="459"/>
      <c r="D139" s="459"/>
      <c r="E139" s="459"/>
      <c r="F139" s="459"/>
      <c r="G139" s="459"/>
      <c r="H139" s="459"/>
      <c r="I139" s="459"/>
      <c r="J139" s="460"/>
    </row>
    <row r="140" spans="2:10" ht="18">
      <c r="B140" s="461" t="s">
        <v>38</v>
      </c>
      <c r="C140" s="462"/>
      <c r="D140" s="462"/>
      <c r="E140" s="462"/>
      <c r="F140" s="462"/>
      <c r="G140" s="462"/>
      <c r="H140" s="462"/>
      <c r="I140" s="463"/>
      <c r="J140" s="205" t="s">
        <v>39</v>
      </c>
    </row>
    <row r="141" spans="2:10">
      <c r="B141" s="200">
        <v>1</v>
      </c>
      <c r="C141" s="464" t="s">
        <v>1776</v>
      </c>
      <c r="D141" s="465"/>
      <c r="E141" s="465"/>
      <c r="F141" s="465"/>
      <c r="G141" s="465"/>
      <c r="H141" s="465"/>
      <c r="I141" s="466"/>
      <c r="J141" s="200" t="s">
        <v>43</v>
      </c>
    </row>
    <row r="142" spans="2:10">
      <c r="B142" s="200">
        <v>2</v>
      </c>
      <c r="C142" s="464"/>
      <c r="D142" s="465"/>
      <c r="E142" s="465"/>
      <c r="F142" s="465"/>
      <c r="G142" s="465"/>
      <c r="H142" s="465"/>
      <c r="I142" s="466"/>
      <c r="J142" s="200"/>
    </row>
    <row r="143" spans="2:10">
      <c r="B143" s="200">
        <v>3</v>
      </c>
      <c r="C143" s="467"/>
      <c r="D143" s="468"/>
      <c r="E143" s="468"/>
      <c r="F143" s="468"/>
      <c r="G143" s="468"/>
      <c r="H143" s="468"/>
      <c r="I143" s="469"/>
      <c r="J143" s="200"/>
    </row>
    <row r="144" spans="2:10" ht="18">
      <c r="B144" s="461" t="s">
        <v>44</v>
      </c>
      <c r="C144" s="462"/>
      <c r="D144" s="462"/>
      <c r="E144" s="462"/>
      <c r="F144" s="462"/>
      <c r="G144" s="462"/>
      <c r="H144" s="462"/>
      <c r="I144" s="462"/>
      <c r="J144" s="463"/>
    </row>
    <row r="145" spans="2:10">
      <c r="B145" s="200" t="s">
        <v>45</v>
      </c>
      <c r="C145" s="470" t="s">
        <v>1760</v>
      </c>
      <c r="D145" s="471"/>
      <c r="E145" s="471"/>
      <c r="F145" s="471"/>
      <c r="G145" s="471"/>
      <c r="H145" s="471"/>
      <c r="I145" s="471"/>
      <c r="J145" s="472"/>
    </row>
    <row r="146" spans="2:10">
      <c r="B146" s="206" t="s">
        <v>45</v>
      </c>
      <c r="C146" s="473" t="s">
        <v>1777</v>
      </c>
      <c r="D146" s="473"/>
      <c r="E146" s="473"/>
      <c r="F146" s="473"/>
      <c r="G146" s="473"/>
      <c r="H146" s="473"/>
      <c r="I146" s="473"/>
      <c r="J146" s="473"/>
    </row>
    <row r="147" spans="2:10">
      <c r="B147" s="206" t="s">
        <v>45</v>
      </c>
      <c r="C147" s="473" t="s">
        <v>1778</v>
      </c>
      <c r="D147" s="473"/>
      <c r="E147" s="473"/>
      <c r="F147" s="473"/>
      <c r="G147" s="473"/>
      <c r="H147" s="473"/>
      <c r="I147" s="473"/>
      <c r="J147" s="473"/>
    </row>
    <row r="148" spans="2:10">
      <c r="B148" s="206" t="s">
        <v>45</v>
      </c>
      <c r="C148" s="473" t="s">
        <v>1779</v>
      </c>
      <c r="D148" s="473"/>
      <c r="E148" s="473"/>
      <c r="F148" s="473"/>
      <c r="G148" s="473"/>
      <c r="H148" s="473"/>
      <c r="I148" s="473"/>
      <c r="J148" s="473"/>
    </row>
    <row r="149" spans="2:10">
      <c r="B149" s="206" t="s">
        <v>45</v>
      </c>
      <c r="C149" s="474"/>
      <c r="D149" s="475"/>
      <c r="E149" s="475"/>
      <c r="F149" s="475"/>
      <c r="G149" s="475"/>
      <c r="H149" s="475"/>
      <c r="I149" s="475"/>
      <c r="J149" s="476"/>
    </row>
    <row r="150" spans="2:10">
      <c r="B150" s="206" t="s">
        <v>45</v>
      </c>
      <c r="C150" s="464"/>
      <c r="D150" s="465"/>
      <c r="E150" s="465"/>
      <c r="F150" s="465"/>
      <c r="G150" s="465"/>
      <c r="H150" s="465"/>
      <c r="I150" s="465"/>
      <c r="J150" s="466"/>
    </row>
    <row r="151" spans="2:10">
      <c r="B151" s="200" t="s">
        <v>45</v>
      </c>
      <c r="C151" s="464"/>
      <c r="D151" s="465"/>
      <c r="E151" s="465"/>
      <c r="F151" s="465"/>
      <c r="G151" s="465"/>
      <c r="H151" s="465"/>
      <c r="I151" s="465"/>
      <c r="J151" s="466"/>
    </row>
    <row r="152" spans="2:10">
      <c r="B152" s="200" t="s">
        <v>7</v>
      </c>
      <c r="C152" s="473" t="s">
        <v>1780</v>
      </c>
      <c r="D152" s="473"/>
      <c r="E152" s="473"/>
      <c r="F152" s="473"/>
      <c r="G152" s="473"/>
      <c r="H152" s="473"/>
      <c r="I152" s="473"/>
      <c r="J152" s="473"/>
    </row>
    <row r="153" spans="2:10" ht="18">
      <c r="B153" s="205" t="s">
        <v>52</v>
      </c>
      <c r="C153" s="477" t="s">
        <v>53</v>
      </c>
      <c r="D153" s="477"/>
      <c r="E153" s="477"/>
      <c r="F153" s="477"/>
      <c r="G153" s="477"/>
      <c r="H153" s="205" t="s">
        <v>54</v>
      </c>
      <c r="I153" s="205" t="s">
        <v>55</v>
      </c>
      <c r="J153" s="205" t="s">
        <v>56</v>
      </c>
    </row>
    <row r="154" spans="2:10">
      <c r="B154" s="200">
        <v>1</v>
      </c>
      <c r="C154" s="451" t="s">
        <v>1781</v>
      </c>
      <c r="D154" s="451"/>
      <c r="E154" s="451"/>
      <c r="F154" s="451"/>
      <c r="G154" s="451"/>
      <c r="H154" s="200" t="s">
        <v>1782</v>
      </c>
      <c r="I154" s="207" t="s">
        <v>1557</v>
      </c>
      <c r="J154" s="200" t="s">
        <v>1783</v>
      </c>
    </row>
    <row r="155" spans="2:10">
      <c r="B155" s="200">
        <v>2</v>
      </c>
      <c r="C155" s="449" t="s">
        <v>1784</v>
      </c>
      <c r="D155" s="449"/>
      <c r="E155" s="449"/>
      <c r="F155" s="449"/>
      <c r="G155" s="449"/>
      <c r="H155" s="200" t="s">
        <v>1785</v>
      </c>
      <c r="I155" s="207" t="s">
        <v>1557</v>
      </c>
      <c r="J155" s="200" t="s">
        <v>1507</v>
      </c>
    </row>
    <row r="156" spans="2:10">
      <c r="B156" s="200">
        <v>3</v>
      </c>
      <c r="C156" s="450"/>
      <c r="D156" s="450"/>
      <c r="E156" s="450"/>
      <c r="F156" s="450"/>
      <c r="G156" s="450"/>
      <c r="H156" s="200"/>
      <c r="I156" s="200"/>
      <c r="J156" s="200"/>
    </row>
    <row r="157" spans="2:10">
      <c r="B157" s="450" t="s">
        <v>63</v>
      </c>
      <c r="C157" s="450"/>
      <c r="D157" s="199" t="s">
        <v>31</v>
      </c>
      <c r="E157" s="198" t="s">
        <v>64</v>
      </c>
      <c r="F157" s="467"/>
      <c r="G157" s="469"/>
      <c r="H157" s="199"/>
      <c r="I157" s="199"/>
      <c r="J157" s="199"/>
    </row>
    <row r="158" spans="2:10" ht="45">
      <c r="B158" s="201" t="s">
        <v>66</v>
      </c>
      <c r="C158" s="450"/>
      <c r="D158" s="450"/>
      <c r="E158" s="201" t="s">
        <v>67</v>
      </c>
      <c r="F158" s="450"/>
      <c r="G158" s="450"/>
      <c r="H158" s="201" t="s">
        <v>68</v>
      </c>
      <c r="I158" s="450"/>
      <c r="J158" s="450"/>
    </row>
    <row r="160" spans="2:10">
      <c r="B160" s="247"/>
      <c r="C160" s="253"/>
      <c r="D160" s="253"/>
      <c r="E160" s="247"/>
      <c r="F160" s="253"/>
      <c r="G160" s="253"/>
      <c r="H160" s="247"/>
      <c r="I160" s="253"/>
      <c r="J160" s="253"/>
    </row>
    <row r="161" spans="2:10" ht="26.25" customHeight="1">
      <c r="B161" s="446" t="s">
        <v>13</v>
      </c>
      <c r="C161" s="447"/>
      <c r="D161" s="446" t="s">
        <v>14</v>
      </c>
      <c r="E161" s="446"/>
      <c r="F161" s="446"/>
      <c r="G161" s="446"/>
      <c r="H161" s="446"/>
      <c r="I161" s="446"/>
      <c r="J161" s="197" t="s">
        <v>15</v>
      </c>
    </row>
    <row r="162" spans="2:10" ht="20.25" customHeight="1">
      <c r="B162" s="447"/>
      <c r="C162" s="447"/>
      <c r="D162" s="448" t="s">
        <v>16</v>
      </c>
      <c r="E162" s="448"/>
      <c r="F162" s="448"/>
      <c r="G162" s="448"/>
      <c r="H162" s="448"/>
      <c r="I162" s="448"/>
      <c r="J162" s="197" t="s">
        <v>17</v>
      </c>
    </row>
    <row r="163" spans="2:10">
      <c r="B163" s="449" t="s">
        <v>18</v>
      </c>
      <c r="C163" s="449"/>
      <c r="D163" s="244">
        <v>45729</v>
      </c>
      <c r="E163" s="199" t="s">
        <v>1460</v>
      </c>
      <c r="F163" s="450" t="s">
        <v>124</v>
      </c>
      <c r="G163" s="450"/>
      <c r="H163" s="201" t="s">
        <v>21</v>
      </c>
      <c r="I163" s="202" t="s">
        <v>1472</v>
      </c>
      <c r="J163" s="199" t="s">
        <v>23</v>
      </c>
    </row>
    <row r="164" spans="2:10">
      <c r="B164" s="449" t="s">
        <v>24</v>
      </c>
      <c r="C164" s="449"/>
      <c r="D164" s="203">
        <v>0.72916666666666663</v>
      </c>
      <c r="E164" s="204" t="s">
        <v>25</v>
      </c>
      <c r="F164" s="450" t="s">
        <v>26</v>
      </c>
      <c r="G164" s="450"/>
      <c r="H164" s="199" t="s">
        <v>27</v>
      </c>
      <c r="I164" s="202" t="s">
        <v>917</v>
      </c>
      <c r="J164" s="202" t="s">
        <v>29</v>
      </c>
    </row>
    <row r="165" spans="2:10">
      <c r="B165" s="449" t="s">
        <v>30</v>
      </c>
      <c r="C165" s="449"/>
      <c r="D165" s="199" t="s">
        <v>31</v>
      </c>
      <c r="E165" s="199" t="s">
        <v>32</v>
      </c>
      <c r="F165" s="450">
        <v>242</v>
      </c>
      <c r="G165" s="450"/>
      <c r="H165" s="201" t="s">
        <v>33</v>
      </c>
      <c r="I165" s="204" t="s">
        <v>1786</v>
      </c>
      <c r="J165" s="202"/>
    </row>
    <row r="166" spans="2:10" ht="15" customHeight="1">
      <c r="B166" s="451" t="s">
        <v>35</v>
      </c>
      <c r="C166" s="451"/>
      <c r="D166" s="464" t="s">
        <v>1494</v>
      </c>
      <c r="E166" s="465"/>
      <c r="F166" s="465"/>
      <c r="G166" s="465"/>
      <c r="H166" s="465"/>
      <c r="I166" s="465"/>
      <c r="J166" s="469"/>
    </row>
    <row r="167" spans="2:10" ht="15" customHeight="1">
      <c r="B167" s="452" t="s">
        <v>1787</v>
      </c>
      <c r="C167" s="453"/>
      <c r="D167" s="453"/>
      <c r="E167" s="453"/>
      <c r="F167" s="453"/>
      <c r="G167" s="453"/>
      <c r="H167" s="453"/>
      <c r="I167" s="453"/>
      <c r="J167" s="454"/>
    </row>
    <row r="168" spans="2:10">
      <c r="B168" s="455"/>
      <c r="C168" s="456"/>
      <c r="D168" s="456"/>
      <c r="E168" s="456"/>
      <c r="F168" s="456"/>
      <c r="G168" s="456"/>
      <c r="H168" s="456"/>
      <c r="I168" s="456"/>
      <c r="J168" s="457"/>
    </row>
    <row r="169" spans="2:10">
      <c r="B169" s="455"/>
      <c r="C169" s="456"/>
      <c r="D169" s="456"/>
      <c r="E169" s="456"/>
      <c r="F169" s="456"/>
      <c r="G169" s="456"/>
      <c r="H169" s="456"/>
      <c r="I169" s="456"/>
      <c r="J169" s="457"/>
    </row>
    <row r="170" spans="2:10">
      <c r="B170" s="458"/>
      <c r="C170" s="459"/>
      <c r="D170" s="459"/>
      <c r="E170" s="459"/>
      <c r="F170" s="459"/>
      <c r="G170" s="459"/>
      <c r="H170" s="459"/>
      <c r="I170" s="459"/>
      <c r="J170" s="460"/>
    </row>
    <row r="171" spans="2:10" ht="18">
      <c r="B171" s="461" t="s">
        <v>38</v>
      </c>
      <c r="C171" s="462"/>
      <c r="D171" s="462"/>
      <c r="E171" s="462"/>
      <c r="F171" s="462"/>
      <c r="G171" s="462"/>
      <c r="H171" s="462"/>
      <c r="I171" s="463"/>
      <c r="J171" s="205" t="s">
        <v>39</v>
      </c>
    </row>
    <row r="172" spans="2:10">
      <c r="B172" s="200">
        <v>1</v>
      </c>
      <c r="C172" s="464" t="s">
        <v>1788</v>
      </c>
      <c r="D172" s="465"/>
      <c r="E172" s="465"/>
      <c r="F172" s="465"/>
      <c r="G172" s="465"/>
      <c r="H172" s="465"/>
      <c r="I172" s="466"/>
      <c r="J172" s="200" t="s">
        <v>43</v>
      </c>
    </row>
    <row r="173" spans="2:10">
      <c r="B173" s="200">
        <v>2</v>
      </c>
      <c r="C173" s="464"/>
      <c r="D173" s="465"/>
      <c r="E173" s="465"/>
      <c r="F173" s="465"/>
      <c r="G173" s="465"/>
      <c r="H173" s="465"/>
      <c r="I173" s="466"/>
      <c r="J173" s="200"/>
    </row>
    <row r="174" spans="2:10">
      <c r="B174" s="200">
        <v>3</v>
      </c>
      <c r="C174" s="467"/>
      <c r="D174" s="468"/>
      <c r="E174" s="468"/>
      <c r="F174" s="468"/>
      <c r="G174" s="468"/>
      <c r="H174" s="468"/>
      <c r="I174" s="469"/>
      <c r="J174" s="200"/>
    </row>
    <row r="175" spans="2:10" ht="18">
      <c r="B175" s="461" t="s">
        <v>44</v>
      </c>
      <c r="C175" s="462"/>
      <c r="D175" s="462"/>
      <c r="E175" s="462"/>
      <c r="F175" s="462"/>
      <c r="G175" s="462"/>
      <c r="H175" s="462"/>
      <c r="I175" s="462"/>
      <c r="J175" s="463"/>
    </row>
    <row r="176" spans="2:10">
      <c r="B176" s="200" t="s">
        <v>45</v>
      </c>
      <c r="C176" s="470" t="s">
        <v>1760</v>
      </c>
      <c r="D176" s="471"/>
      <c r="E176" s="471"/>
      <c r="F176" s="471"/>
      <c r="G176" s="471"/>
      <c r="H176" s="471"/>
      <c r="I176" s="471"/>
      <c r="J176" s="472"/>
    </row>
    <row r="177" spans="2:10">
      <c r="B177" s="206" t="s">
        <v>45</v>
      </c>
      <c r="C177" s="473" t="s">
        <v>1789</v>
      </c>
      <c r="D177" s="473"/>
      <c r="E177" s="473"/>
      <c r="F177" s="473"/>
      <c r="G177" s="473"/>
      <c r="H177" s="473"/>
      <c r="I177" s="473"/>
      <c r="J177" s="473"/>
    </row>
    <row r="178" spans="2:10">
      <c r="B178" s="206" t="s">
        <v>45</v>
      </c>
      <c r="C178" s="473" t="s">
        <v>1790</v>
      </c>
      <c r="D178" s="473"/>
      <c r="E178" s="473"/>
      <c r="F178" s="473"/>
      <c r="G178" s="473"/>
      <c r="H178" s="473"/>
      <c r="I178" s="473"/>
      <c r="J178" s="473"/>
    </row>
    <row r="179" spans="2:10">
      <c r="B179" s="206" t="s">
        <v>45</v>
      </c>
      <c r="C179" s="473" t="s">
        <v>1791</v>
      </c>
      <c r="D179" s="473"/>
      <c r="E179" s="473"/>
      <c r="F179" s="473"/>
      <c r="G179" s="473"/>
      <c r="H179" s="473"/>
      <c r="I179" s="473"/>
      <c r="J179" s="473"/>
    </row>
    <row r="180" spans="2:10">
      <c r="B180" s="206" t="s">
        <v>45</v>
      </c>
      <c r="C180" s="474" t="s">
        <v>1792</v>
      </c>
      <c r="D180" s="475"/>
      <c r="E180" s="475"/>
      <c r="F180" s="475"/>
      <c r="G180" s="475"/>
      <c r="H180" s="475"/>
      <c r="I180" s="475"/>
      <c r="J180" s="476"/>
    </row>
    <row r="181" spans="2:10">
      <c r="B181" s="206" t="s">
        <v>45</v>
      </c>
      <c r="C181" s="464"/>
      <c r="D181" s="465"/>
      <c r="E181" s="465"/>
      <c r="F181" s="465"/>
      <c r="G181" s="465"/>
      <c r="H181" s="465"/>
      <c r="I181" s="465"/>
      <c r="J181" s="466"/>
    </row>
    <row r="182" spans="2:10">
      <c r="B182" s="200" t="s">
        <v>45</v>
      </c>
      <c r="C182" s="464"/>
      <c r="D182" s="465"/>
      <c r="E182" s="465"/>
      <c r="F182" s="465"/>
      <c r="G182" s="465"/>
      <c r="H182" s="465"/>
      <c r="I182" s="465"/>
      <c r="J182" s="466"/>
    </row>
    <row r="183" spans="2:10">
      <c r="B183" s="200" t="s">
        <v>7</v>
      </c>
      <c r="C183" s="473" t="s">
        <v>1793</v>
      </c>
      <c r="D183" s="473"/>
      <c r="E183" s="473"/>
      <c r="F183" s="473"/>
      <c r="G183" s="473"/>
      <c r="H183" s="473"/>
      <c r="I183" s="473"/>
      <c r="J183" s="473"/>
    </row>
    <row r="184" spans="2:10" ht="18">
      <c r="B184" s="205" t="s">
        <v>52</v>
      </c>
      <c r="C184" s="477" t="s">
        <v>53</v>
      </c>
      <c r="D184" s="477"/>
      <c r="E184" s="477"/>
      <c r="F184" s="477"/>
      <c r="G184" s="477"/>
      <c r="H184" s="205" t="s">
        <v>54</v>
      </c>
      <c r="I184" s="205" t="s">
        <v>55</v>
      </c>
      <c r="J184" s="205" t="s">
        <v>56</v>
      </c>
    </row>
    <row r="185" spans="2:10">
      <c r="B185" s="200">
        <v>1</v>
      </c>
      <c r="C185" s="451" t="s">
        <v>1794</v>
      </c>
      <c r="D185" s="451"/>
      <c r="E185" s="451"/>
      <c r="F185" s="451"/>
      <c r="G185" s="451"/>
      <c r="H185" s="200"/>
      <c r="I185" s="207"/>
      <c r="J185" s="200"/>
    </row>
    <row r="186" spans="2:10">
      <c r="B186" s="200">
        <v>2</v>
      </c>
      <c r="C186" s="990" t="s">
        <v>1795</v>
      </c>
      <c r="D186" s="991"/>
      <c r="E186" s="991"/>
      <c r="F186" s="991"/>
      <c r="G186" s="992"/>
      <c r="H186" s="200" t="s">
        <v>1796</v>
      </c>
      <c r="I186" s="207"/>
      <c r="J186" s="200"/>
    </row>
    <row r="187" spans="2:10">
      <c r="B187" s="200">
        <v>3</v>
      </c>
      <c r="C187" s="449" t="s">
        <v>1797</v>
      </c>
      <c r="D187" s="449"/>
      <c r="E187" s="449"/>
      <c r="F187" s="449"/>
      <c r="G187" s="449"/>
      <c r="H187" s="200" t="s">
        <v>1798</v>
      </c>
      <c r="I187" s="200" t="s">
        <v>1692</v>
      </c>
      <c r="J187" s="200"/>
    </row>
    <row r="188" spans="2:10">
      <c r="B188" s="200">
        <v>4</v>
      </c>
      <c r="C188" s="449" t="s">
        <v>1799</v>
      </c>
      <c r="D188" s="449"/>
      <c r="E188" s="449"/>
      <c r="F188" s="449"/>
      <c r="G188" s="449"/>
      <c r="H188" s="254" t="s">
        <v>1800</v>
      </c>
      <c r="I188" s="254" t="s">
        <v>1692</v>
      </c>
      <c r="J188" s="200"/>
    </row>
    <row r="189" spans="2:10">
      <c r="B189" s="450" t="s">
        <v>63</v>
      </c>
      <c r="C189" s="450"/>
      <c r="D189" s="199" t="s">
        <v>31</v>
      </c>
      <c r="E189" s="198" t="s">
        <v>64</v>
      </c>
      <c r="F189" s="467"/>
      <c r="G189" s="468"/>
      <c r="H189" s="88"/>
      <c r="I189" s="88"/>
      <c r="J189" s="255"/>
    </row>
    <row r="190" spans="2:10" ht="45">
      <c r="B190" s="256" t="s">
        <v>66</v>
      </c>
      <c r="C190" s="1084"/>
      <c r="D190" s="1084"/>
      <c r="E190" s="256" t="s">
        <v>67</v>
      </c>
      <c r="F190" s="1084"/>
      <c r="G190" s="1084"/>
      <c r="H190" s="257" t="s">
        <v>68</v>
      </c>
      <c r="I190" s="1083"/>
      <c r="J190" s="1084"/>
    </row>
    <row r="191" spans="2:10">
      <c r="B191" s="247"/>
      <c r="C191" s="253"/>
      <c r="D191" s="253"/>
      <c r="E191" s="247"/>
      <c r="F191" s="253"/>
      <c r="G191" s="253"/>
      <c r="H191" s="247"/>
      <c r="I191" s="253"/>
      <c r="J191" s="253"/>
    </row>
    <row r="192" spans="2:10">
      <c r="B192" s="247"/>
      <c r="C192" s="253"/>
      <c r="D192" s="253"/>
      <c r="E192" s="247"/>
      <c r="F192" s="253"/>
      <c r="G192" s="253"/>
      <c r="H192" s="247"/>
      <c r="I192" s="253"/>
      <c r="J192" s="253"/>
    </row>
    <row r="193" spans="2:10" ht="26.25">
      <c r="B193" s="1085" t="s">
        <v>13</v>
      </c>
      <c r="C193" s="1086"/>
      <c r="D193" s="1085" t="s">
        <v>14</v>
      </c>
      <c r="E193" s="1085"/>
      <c r="F193" s="1085"/>
      <c r="G193" s="1085"/>
      <c r="H193" s="1085"/>
      <c r="I193" s="1085"/>
      <c r="J193" s="258" t="s">
        <v>15</v>
      </c>
    </row>
    <row r="194" spans="2:10" ht="20.25" customHeight="1">
      <c r="B194" s="447"/>
      <c r="C194" s="447"/>
      <c r="D194" s="448" t="s">
        <v>16</v>
      </c>
      <c r="E194" s="448"/>
      <c r="F194" s="448"/>
      <c r="G194" s="448"/>
      <c r="H194" s="448"/>
      <c r="I194" s="448"/>
      <c r="J194" s="197" t="s">
        <v>17</v>
      </c>
    </row>
    <row r="195" spans="2:10">
      <c r="B195" s="449" t="s">
        <v>18</v>
      </c>
      <c r="C195" s="449"/>
      <c r="D195" s="244">
        <v>45732</v>
      </c>
      <c r="E195" s="199" t="s">
        <v>1460</v>
      </c>
      <c r="F195" s="450" t="s">
        <v>131</v>
      </c>
      <c r="G195" s="450"/>
      <c r="H195" s="201" t="s">
        <v>21</v>
      </c>
      <c r="I195" s="202" t="s">
        <v>1669</v>
      </c>
      <c r="J195" s="199" t="s">
        <v>23</v>
      </c>
    </row>
    <row r="196" spans="2:10">
      <c r="B196" s="449" t="s">
        <v>24</v>
      </c>
      <c r="C196" s="449"/>
      <c r="D196" s="203">
        <v>1.2500000000000001E-2</v>
      </c>
      <c r="E196" s="204" t="s">
        <v>25</v>
      </c>
      <c r="F196" s="450" t="s">
        <v>26</v>
      </c>
      <c r="G196" s="450"/>
      <c r="H196" s="199" t="s">
        <v>27</v>
      </c>
      <c r="I196" s="202" t="s">
        <v>867</v>
      </c>
      <c r="J196" s="202" t="s">
        <v>29</v>
      </c>
    </row>
    <row r="197" spans="2:10" ht="30">
      <c r="B197" s="449" t="s">
        <v>30</v>
      </c>
      <c r="C197" s="449"/>
      <c r="D197" s="199" t="s">
        <v>31</v>
      </c>
      <c r="E197" s="199" t="s">
        <v>32</v>
      </c>
      <c r="F197" s="450">
        <v>140</v>
      </c>
      <c r="G197" s="450"/>
      <c r="H197" s="201" t="s">
        <v>33</v>
      </c>
      <c r="I197" s="247" t="s">
        <v>1801</v>
      </c>
      <c r="J197" s="202"/>
    </row>
    <row r="198" spans="2:10">
      <c r="B198" s="451" t="s">
        <v>35</v>
      </c>
      <c r="C198" s="451"/>
      <c r="D198" s="464" t="s">
        <v>1802</v>
      </c>
      <c r="E198" s="465"/>
      <c r="F198" s="465"/>
      <c r="G198" s="465"/>
      <c r="H198" s="465"/>
      <c r="I198" s="465"/>
      <c r="J198" s="469"/>
    </row>
    <row r="199" spans="2:10">
      <c r="B199" s="452" t="s">
        <v>1803</v>
      </c>
      <c r="C199" s="453"/>
      <c r="D199" s="453"/>
      <c r="E199" s="453"/>
      <c r="F199" s="453"/>
      <c r="G199" s="453"/>
      <c r="H199" s="453"/>
      <c r="I199" s="453"/>
      <c r="J199" s="454"/>
    </row>
    <row r="200" spans="2:10">
      <c r="B200" s="455"/>
      <c r="C200" s="456"/>
      <c r="D200" s="456"/>
      <c r="E200" s="456"/>
      <c r="F200" s="456"/>
      <c r="G200" s="456"/>
      <c r="H200" s="456"/>
      <c r="I200" s="456"/>
      <c r="J200" s="457"/>
    </row>
    <row r="201" spans="2:10">
      <c r="B201" s="455"/>
      <c r="C201" s="456"/>
      <c r="D201" s="456"/>
      <c r="E201" s="456"/>
      <c r="F201" s="456"/>
      <c r="G201" s="456"/>
      <c r="H201" s="456"/>
      <c r="I201" s="456"/>
      <c r="J201" s="457"/>
    </row>
    <row r="202" spans="2:10">
      <c r="B202" s="458"/>
      <c r="C202" s="459"/>
      <c r="D202" s="459"/>
      <c r="E202" s="459"/>
      <c r="F202" s="459"/>
      <c r="G202" s="459"/>
      <c r="H202" s="459"/>
      <c r="I202" s="459"/>
      <c r="J202" s="460"/>
    </row>
    <row r="203" spans="2:10" ht="18">
      <c r="B203" s="461" t="s">
        <v>38</v>
      </c>
      <c r="C203" s="462"/>
      <c r="D203" s="462"/>
      <c r="E203" s="462"/>
      <c r="F203" s="462"/>
      <c r="G203" s="462"/>
      <c r="H203" s="462"/>
      <c r="I203" s="463"/>
      <c r="J203" s="205" t="s">
        <v>39</v>
      </c>
    </row>
    <row r="204" spans="2:10">
      <c r="B204" s="200">
        <v>1</v>
      </c>
      <c r="C204" s="464" t="s">
        <v>1804</v>
      </c>
      <c r="D204" s="465"/>
      <c r="E204" s="465"/>
      <c r="F204" s="465"/>
      <c r="G204" s="465"/>
      <c r="H204" s="465"/>
      <c r="I204" s="466"/>
      <c r="J204" s="200" t="s">
        <v>43</v>
      </c>
    </row>
    <row r="205" spans="2:10">
      <c r="B205" s="200">
        <v>2</v>
      </c>
      <c r="C205" s="464" t="s">
        <v>1805</v>
      </c>
      <c r="D205" s="465"/>
      <c r="E205" s="465"/>
      <c r="F205" s="465"/>
      <c r="G205" s="465"/>
      <c r="H205" s="465"/>
      <c r="I205" s="466"/>
      <c r="J205" s="200" t="s">
        <v>43</v>
      </c>
    </row>
    <row r="206" spans="2:10">
      <c r="B206" s="200">
        <v>3</v>
      </c>
      <c r="C206" s="464" t="s">
        <v>1806</v>
      </c>
      <c r="D206" s="465"/>
      <c r="E206" s="465"/>
      <c r="F206" s="465"/>
      <c r="G206" s="465"/>
      <c r="H206" s="465"/>
      <c r="I206" s="466"/>
      <c r="J206" s="200" t="s">
        <v>43</v>
      </c>
    </row>
    <row r="207" spans="2:10" ht="18">
      <c r="B207" s="461" t="s">
        <v>44</v>
      </c>
      <c r="C207" s="462"/>
      <c r="D207" s="462"/>
      <c r="E207" s="462"/>
      <c r="F207" s="462"/>
      <c r="G207" s="462"/>
      <c r="H207" s="462"/>
      <c r="I207" s="462"/>
      <c r="J207" s="463"/>
    </row>
    <row r="208" spans="2:10">
      <c r="B208" s="200" t="s">
        <v>45</v>
      </c>
      <c r="C208" s="1058" t="s">
        <v>1807</v>
      </c>
      <c r="D208" s="471"/>
      <c r="E208" s="471"/>
      <c r="F208" s="471"/>
      <c r="G208" s="471"/>
      <c r="H208" s="471"/>
      <c r="I208" s="471"/>
      <c r="J208" s="472"/>
    </row>
    <row r="209" spans="2:10">
      <c r="B209" s="206" t="s">
        <v>45</v>
      </c>
      <c r="C209" s="1059" t="s">
        <v>1808</v>
      </c>
      <c r="D209" s="473"/>
      <c r="E209" s="473"/>
      <c r="F209" s="473"/>
      <c r="G209" s="473"/>
      <c r="H209" s="473"/>
      <c r="I209" s="473"/>
      <c r="J209" s="473"/>
    </row>
    <row r="210" spans="2:10">
      <c r="B210" s="206" t="s">
        <v>45</v>
      </c>
      <c r="C210" s="473" t="s">
        <v>1809</v>
      </c>
      <c r="D210" s="473"/>
      <c r="E210" s="473"/>
      <c r="F210" s="473"/>
      <c r="G210" s="473"/>
      <c r="H210" s="473"/>
      <c r="I210" s="473"/>
      <c r="J210" s="473"/>
    </row>
    <row r="211" spans="2:10">
      <c r="B211" s="206" t="s">
        <v>45</v>
      </c>
      <c r="C211" s="473" t="s">
        <v>1810</v>
      </c>
      <c r="D211" s="473"/>
      <c r="E211" s="473"/>
      <c r="F211" s="473"/>
      <c r="G211" s="473"/>
      <c r="H211" s="473"/>
      <c r="I211" s="473"/>
      <c r="J211" s="473"/>
    </row>
    <row r="212" spans="2:10">
      <c r="B212" s="206" t="s">
        <v>45</v>
      </c>
      <c r="C212" s="473"/>
      <c r="D212" s="473"/>
      <c r="E212" s="473"/>
      <c r="F212" s="473"/>
      <c r="G212" s="473"/>
      <c r="H212" s="473"/>
      <c r="I212" s="473"/>
      <c r="J212" s="473"/>
    </row>
    <row r="213" spans="2:10">
      <c r="B213" s="206" t="s">
        <v>45</v>
      </c>
      <c r="C213" s="464"/>
      <c r="D213" s="465"/>
      <c r="E213" s="465"/>
      <c r="F213" s="465"/>
      <c r="G213" s="465"/>
      <c r="H213" s="465"/>
      <c r="I213" s="465"/>
      <c r="J213" s="466"/>
    </row>
    <row r="214" spans="2:10">
      <c r="B214" s="200" t="s">
        <v>45</v>
      </c>
      <c r="C214" s="464"/>
      <c r="D214" s="465"/>
      <c r="E214" s="465"/>
      <c r="F214" s="465"/>
      <c r="G214" s="465"/>
      <c r="H214" s="465"/>
      <c r="I214" s="465"/>
      <c r="J214" s="466"/>
    </row>
    <row r="215" spans="2:10">
      <c r="B215" s="200" t="s">
        <v>7</v>
      </c>
      <c r="C215" s="473" t="s">
        <v>1810</v>
      </c>
      <c r="D215" s="473"/>
      <c r="E215" s="473"/>
      <c r="F215" s="473"/>
      <c r="G215" s="473"/>
      <c r="H215" s="473"/>
      <c r="I215" s="473"/>
      <c r="J215" s="473"/>
    </row>
    <row r="216" spans="2:10" ht="18">
      <c r="B216" s="205" t="s">
        <v>52</v>
      </c>
      <c r="C216" s="477" t="s">
        <v>53</v>
      </c>
      <c r="D216" s="477"/>
      <c r="E216" s="477"/>
      <c r="F216" s="477"/>
      <c r="G216" s="477"/>
      <c r="H216" s="205" t="s">
        <v>54</v>
      </c>
      <c r="I216" s="205" t="s">
        <v>55</v>
      </c>
      <c r="J216" s="205" t="s">
        <v>56</v>
      </c>
    </row>
    <row r="217" spans="2:10" ht="20.25" customHeight="1">
      <c r="B217" s="200">
        <v>1</v>
      </c>
      <c r="C217" s="451" t="s">
        <v>1811</v>
      </c>
      <c r="D217" s="451"/>
      <c r="E217" s="451"/>
      <c r="F217" s="451"/>
      <c r="G217" s="451"/>
      <c r="H217" s="200" t="s">
        <v>1798</v>
      </c>
      <c r="I217" s="207" t="s">
        <v>1692</v>
      </c>
      <c r="J217" s="200" t="s">
        <v>1507</v>
      </c>
    </row>
    <row r="218" spans="2:10">
      <c r="B218" s="200">
        <v>2</v>
      </c>
      <c r="C218" s="449"/>
      <c r="D218" s="449"/>
      <c r="E218" s="449"/>
      <c r="F218" s="449"/>
      <c r="G218" s="449"/>
      <c r="H218" s="200"/>
      <c r="I218" s="207"/>
      <c r="J218" s="200"/>
    </row>
    <row r="219" spans="2:10">
      <c r="B219" s="200">
        <v>3</v>
      </c>
      <c r="C219" s="450"/>
      <c r="D219" s="450"/>
      <c r="E219" s="450"/>
      <c r="F219" s="450"/>
      <c r="G219" s="450"/>
      <c r="H219" s="200"/>
      <c r="I219" s="200"/>
      <c r="J219" s="200"/>
    </row>
    <row r="220" spans="2:10">
      <c r="B220" s="450" t="s">
        <v>63</v>
      </c>
      <c r="C220" s="450"/>
      <c r="D220" s="199" t="s">
        <v>31</v>
      </c>
      <c r="E220" s="198" t="s">
        <v>64</v>
      </c>
      <c r="F220" s="467"/>
      <c r="G220" s="469"/>
      <c r="H220" s="199"/>
      <c r="I220" s="199"/>
      <c r="J220" s="199"/>
    </row>
    <row r="221" spans="2:10" ht="45">
      <c r="B221" s="201" t="s">
        <v>66</v>
      </c>
      <c r="C221" s="450"/>
      <c r="D221" s="450"/>
      <c r="E221" s="201" t="s">
        <v>67</v>
      </c>
      <c r="F221" s="450"/>
      <c r="G221" s="450"/>
      <c r="H221" s="201" t="s">
        <v>68</v>
      </c>
      <c r="I221" s="450"/>
      <c r="J221" s="450"/>
    </row>
    <row r="223" spans="2:10" ht="26.25">
      <c r="B223" s="446" t="s">
        <v>13</v>
      </c>
      <c r="C223" s="447"/>
      <c r="D223" s="446" t="s">
        <v>14</v>
      </c>
      <c r="E223" s="446"/>
      <c r="F223" s="446"/>
      <c r="G223" s="446"/>
      <c r="H223" s="446"/>
      <c r="I223" s="446"/>
      <c r="J223" s="197" t="s">
        <v>15</v>
      </c>
    </row>
    <row r="224" spans="2:10" ht="20.25" customHeight="1">
      <c r="B224" s="447"/>
      <c r="C224" s="447"/>
      <c r="D224" s="448" t="s">
        <v>16</v>
      </c>
      <c r="E224" s="448"/>
      <c r="F224" s="448"/>
      <c r="G224" s="448"/>
      <c r="H224" s="448"/>
      <c r="I224" s="448"/>
      <c r="J224" s="197" t="s">
        <v>17</v>
      </c>
    </row>
    <row r="225" spans="2:21" s="87" customFormat="1">
      <c r="B225" s="1069" t="s">
        <v>18</v>
      </c>
      <c r="C225" s="1069"/>
      <c r="D225" s="262">
        <v>45733</v>
      </c>
      <c r="E225" s="263" t="s">
        <v>1460</v>
      </c>
      <c r="F225" s="1070" t="s">
        <v>124</v>
      </c>
      <c r="G225" s="1070"/>
      <c r="H225" s="264" t="s">
        <v>21</v>
      </c>
      <c r="I225" s="265" t="s">
        <v>1669</v>
      </c>
      <c r="J225" s="263" t="s">
        <v>23</v>
      </c>
      <c r="U225"/>
    </row>
    <row r="226" spans="2:21" s="87" customFormat="1">
      <c r="B226" s="1069" t="s">
        <v>24</v>
      </c>
      <c r="C226" s="1069"/>
      <c r="D226" s="266">
        <v>1.2500000000000001E-2</v>
      </c>
      <c r="E226" s="267" t="s">
        <v>25</v>
      </c>
      <c r="F226" s="1070" t="s">
        <v>26</v>
      </c>
      <c r="G226" s="1070"/>
      <c r="H226" s="263" t="s">
        <v>27</v>
      </c>
      <c r="I226" s="265" t="s">
        <v>867</v>
      </c>
      <c r="J226" s="265" t="s">
        <v>31</v>
      </c>
      <c r="U226"/>
    </row>
    <row r="227" spans="2:21" s="87" customFormat="1" ht="30">
      <c r="B227" s="1069" t="s">
        <v>30</v>
      </c>
      <c r="C227" s="1069"/>
      <c r="D227" s="263" t="s">
        <v>31</v>
      </c>
      <c r="E227" s="263" t="s">
        <v>32</v>
      </c>
      <c r="F227" s="1070">
        <v>208</v>
      </c>
      <c r="G227" s="1070"/>
      <c r="H227" s="264" t="s">
        <v>33</v>
      </c>
      <c r="I227" s="268" t="s">
        <v>1812</v>
      </c>
      <c r="J227" s="265"/>
      <c r="U227"/>
    </row>
    <row r="228" spans="2:21" s="87" customFormat="1">
      <c r="B228" s="1071" t="s">
        <v>35</v>
      </c>
      <c r="C228" s="1071"/>
      <c r="D228" s="1072" t="s">
        <v>1813</v>
      </c>
      <c r="E228" s="1073"/>
      <c r="F228" s="1073"/>
      <c r="G228" s="1073"/>
      <c r="H228" s="1073"/>
      <c r="I228" s="1073"/>
      <c r="J228" s="1018"/>
      <c r="U228"/>
    </row>
    <row r="229" spans="2:21" s="87" customFormat="1">
      <c r="B229" s="1074" t="s">
        <v>1814</v>
      </c>
      <c r="C229" s="1075"/>
      <c r="D229" s="1075"/>
      <c r="E229" s="1075"/>
      <c r="F229" s="1075"/>
      <c r="G229" s="1075"/>
      <c r="H229" s="1075"/>
      <c r="I229" s="1075"/>
      <c r="J229" s="1076"/>
      <c r="U229"/>
    </row>
    <row r="230" spans="2:21" s="87" customFormat="1">
      <c r="B230" s="1077"/>
      <c r="C230" s="1078"/>
      <c r="D230" s="1078"/>
      <c r="E230" s="1078"/>
      <c r="F230" s="1078"/>
      <c r="G230" s="1078"/>
      <c r="H230" s="1078"/>
      <c r="I230" s="1078"/>
      <c r="J230" s="1079"/>
      <c r="U230"/>
    </row>
    <row r="231" spans="2:21" s="87" customFormat="1">
      <c r="B231" s="1077"/>
      <c r="C231" s="1078"/>
      <c r="D231" s="1078"/>
      <c r="E231" s="1078"/>
      <c r="F231" s="1078"/>
      <c r="G231" s="1078"/>
      <c r="H231" s="1078"/>
      <c r="I231" s="1078"/>
      <c r="J231" s="1079"/>
      <c r="U231"/>
    </row>
    <row r="232" spans="2:21" s="87" customFormat="1">
      <c r="B232" s="1080"/>
      <c r="C232" s="1081"/>
      <c r="D232" s="1081"/>
      <c r="E232" s="1081"/>
      <c r="F232" s="1081"/>
      <c r="G232" s="1081"/>
      <c r="H232" s="1081"/>
      <c r="I232" s="1081"/>
      <c r="J232" s="1082"/>
      <c r="U232"/>
    </row>
    <row r="233" spans="2:21" ht="18">
      <c r="B233" s="461" t="s">
        <v>38</v>
      </c>
      <c r="C233" s="462"/>
      <c r="D233" s="462"/>
      <c r="E233" s="462"/>
      <c r="F233" s="462"/>
      <c r="G233" s="462"/>
      <c r="H233" s="462"/>
      <c r="I233" s="463"/>
      <c r="J233" s="205" t="s">
        <v>39</v>
      </c>
    </row>
    <row r="234" spans="2:21">
      <c r="B234" s="200">
        <v>1</v>
      </c>
      <c r="C234" s="464" t="s">
        <v>1815</v>
      </c>
      <c r="D234" s="465"/>
      <c r="E234" s="465"/>
      <c r="F234" s="465"/>
      <c r="G234" s="465"/>
      <c r="H234" s="465"/>
      <c r="I234" s="466"/>
      <c r="J234" s="200" t="s">
        <v>43</v>
      </c>
    </row>
    <row r="235" spans="2:21">
      <c r="B235" s="200">
        <v>2</v>
      </c>
      <c r="C235" s="464" t="s">
        <v>1816</v>
      </c>
      <c r="D235" s="465"/>
      <c r="E235" s="465"/>
      <c r="F235" s="465"/>
      <c r="G235" s="465"/>
      <c r="H235" s="465"/>
      <c r="I235" s="466"/>
      <c r="J235" s="200" t="s">
        <v>43</v>
      </c>
    </row>
    <row r="236" spans="2:21">
      <c r="B236" s="200">
        <v>3</v>
      </c>
      <c r="C236" s="464" t="s">
        <v>1817</v>
      </c>
      <c r="D236" s="465"/>
      <c r="E236" s="465"/>
      <c r="F236" s="465"/>
      <c r="G236" s="465"/>
      <c r="H236" s="465"/>
      <c r="I236" s="466"/>
      <c r="J236" s="200"/>
    </row>
    <row r="237" spans="2:21" ht="18">
      <c r="B237" s="461" t="s">
        <v>44</v>
      </c>
      <c r="C237" s="462"/>
      <c r="D237" s="462"/>
      <c r="E237" s="462"/>
      <c r="F237" s="462"/>
      <c r="G237" s="462"/>
      <c r="H237" s="462"/>
      <c r="I237" s="462"/>
      <c r="J237" s="463"/>
    </row>
    <row r="238" spans="2:21">
      <c r="B238" s="200" t="s">
        <v>45</v>
      </c>
      <c r="C238" s="1058" t="s">
        <v>1740</v>
      </c>
      <c r="D238" s="471"/>
      <c r="E238" s="471"/>
      <c r="F238" s="471"/>
      <c r="G238" s="471"/>
      <c r="H238" s="471"/>
      <c r="I238" s="471"/>
      <c r="J238" s="472"/>
    </row>
    <row r="239" spans="2:21">
      <c r="B239" s="206" t="s">
        <v>45</v>
      </c>
      <c r="C239" s="473" t="s">
        <v>1818</v>
      </c>
      <c r="D239" s="473"/>
      <c r="E239" s="473"/>
      <c r="F239" s="473"/>
      <c r="G239" s="473"/>
      <c r="H239" s="473"/>
      <c r="I239" s="473"/>
      <c r="J239" s="473"/>
    </row>
    <row r="240" spans="2:21">
      <c r="B240" s="206" t="s">
        <v>45</v>
      </c>
      <c r="C240" s="473" t="s">
        <v>1819</v>
      </c>
      <c r="D240" s="473"/>
      <c r="E240" s="473"/>
      <c r="F240" s="473"/>
      <c r="G240" s="473"/>
      <c r="H240" s="473"/>
      <c r="I240" s="473"/>
      <c r="J240" s="473"/>
    </row>
    <row r="241" spans="2:10">
      <c r="B241" s="206" t="s">
        <v>45</v>
      </c>
      <c r="C241" s="1059" t="s">
        <v>1820</v>
      </c>
      <c r="D241" s="473"/>
      <c r="E241" s="473"/>
      <c r="F241" s="473"/>
      <c r="G241" s="473"/>
      <c r="H241" s="473"/>
      <c r="I241" s="473"/>
      <c r="J241" s="473"/>
    </row>
    <row r="242" spans="2:10">
      <c r="B242" s="206" t="s">
        <v>45</v>
      </c>
      <c r="C242" s="473"/>
      <c r="D242" s="473"/>
      <c r="E242" s="473"/>
      <c r="F242" s="473"/>
      <c r="G242" s="473"/>
      <c r="H242" s="473"/>
      <c r="I242" s="473"/>
      <c r="J242" s="473"/>
    </row>
    <row r="243" spans="2:10">
      <c r="B243" s="206" t="s">
        <v>45</v>
      </c>
      <c r="C243" s="464"/>
      <c r="D243" s="465"/>
      <c r="E243" s="465"/>
      <c r="F243" s="465"/>
      <c r="G243" s="465"/>
      <c r="H243" s="465"/>
      <c r="I243" s="465"/>
      <c r="J243" s="466"/>
    </row>
    <row r="244" spans="2:10">
      <c r="B244" s="200" t="s">
        <v>45</v>
      </c>
      <c r="C244" s="464"/>
      <c r="D244" s="465"/>
      <c r="E244" s="465"/>
      <c r="F244" s="465"/>
      <c r="G244" s="465"/>
      <c r="H244" s="465"/>
      <c r="I244" s="465"/>
      <c r="J244" s="466"/>
    </row>
    <row r="245" spans="2:10">
      <c r="B245" s="200" t="s">
        <v>7</v>
      </c>
      <c r="C245" s="1059" t="s">
        <v>1821</v>
      </c>
      <c r="D245" s="1060"/>
      <c r="E245" s="1060"/>
      <c r="F245" s="1060"/>
      <c r="G245" s="1060"/>
      <c r="H245" s="1060"/>
      <c r="I245" s="1060"/>
      <c r="J245" s="1060"/>
    </row>
    <row r="246" spans="2:10" ht="18">
      <c r="B246" s="205" t="s">
        <v>52</v>
      </c>
      <c r="C246" s="477" t="s">
        <v>53</v>
      </c>
      <c r="D246" s="477"/>
      <c r="E246" s="477"/>
      <c r="F246" s="477"/>
      <c r="G246" s="477"/>
      <c r="H246" s="205" t="s">
        <v>54</v>
      </c>
      <c r="I246" s="205" t="s">
        <v>55</v>
      </c>
      <c r="J246" s="205" t="s">
        <v>56</v>
      </c>
    </row>
    <row r="247" spans="2:10">
      <c r="B247" s="200">
        <v>1</v>
      </c>
      <c r="C247" s="451" t="s">
        <v>1822</v>
      </c>
      <c r="D247" s="451"/>
      <c r="E247" s="451"/>
      <c r="F247" s="451"/>
      <c r="G247" s="451"/>
      <c r="H247" s="200" t="s">
        <v>1823</v>
      </c>
      <c r="I247" s="207" t="s">
        <v>1692</v>
      </c>
      <c r="J247" s="200" t="s">
        <v>1507</v>
      </c>
    </row>
    <row r="248" spans="2:10">
      <c r="B248" s="200">
        <v>2</v>
      </c>
      <c r="C248" s="449" t="s">
        <v>1824</v>
      </c>
      <c r="D248" s="449"/>
      <c r="E248" s="449"/>
      <c r="F248" s="449"/>
      <c r="G248" s="449"/>
      <c r="H248" s="200"/>
      <c r="I248" s="207"/>
      <c r="J248" s="200"/>
    </row>
    <row r="249" spans="2:10">
      <c r="B249" s="200">
        <v>3</v>
      </c>
      <c r="C249" s="450"/>
      <c r="D249" s="450"/>
      <c r="E249" s="450"/>
      <c r="F249" s="450"/>
      <c r="G249" s="450"/>
      <c r="H249" s="200"/>
      <c r="I249" s="200"/>
      <c r="J249" s="200"/>
    </row>
    <row r="250" spans="2:10">
      <c r="B250" s="450" t="s">
        <v>63</v>
      </c>
      <c r="C250" s="450"/>
      <c r="D250" s="199" t="s">
        <v>31</v>
      </c>
      <c r="E250" s="198" t="s">
        <v>64</v>
      </c>
      <c r="F250" s="467"/>
      <c r="G250" s="469"/>
      <c r="H250" s="199"/>
      <c r="I250" s="199"/>
      <c r="J250" s="199"/>
    </row>
    <row r="251" spans="2:10" ht="45">
      <c r="B251" s="201" t="s">
        <v>66</v>
      </c>
      <c r="C251" s="450"/>
      <c r="D251" s="450"/>
      <c r="E251" s="201" t="s">
        <v>67</v>
      </c>
      <c r="F251" s="450"/>
      <c r="G251" s="450"/>
      <c r="H251" s="201" t="s">
        <v>68</v>
      </c>
      <c r="I251" s="450"/>
      <c r="J251" s="450"/>
    </row>
    <row r="253" spans="2:10">
      <c r="B253" s="247"/>
      <c r="C253" s="253"/>
      <c r="D253" s="253"/>
      <c r="E253" s="247"/>
      <c r="F253" s="253"/>
      <c r="G253" s="253"/>
      <c r="H253" s="247"/>
      <c r="I253" s="253"/>
      <c r="J253" s="253"/>
    </row>
    <row r="255" spans="2:10" ht="26.25">
      <c r="B255" s="446" t="s">
        <v>13</v>
      </c>
      <c r="C255" s="447"/>
      <c r="D255" s="446" t="s">
        <v>14</v>
      </c>
      <c r="E255" s="446"/>
      <c r="F255" s="446"/>
      <c r="G255" s="446"/>
      <c r="H255" s="446"/>
      <c r="I255" s="446"/>
      <c r="J255" s="197" t="s">
        <v>15</v>
      </c>
    </row>
    <row r="256" spans="2:10" ht="20.25" customHeight="1">
      <c r="B256" s="447"/>
      <c r="C256" s="447"/>
      <c r="D256" s="448" t="s">
        <v>16</v>
      </c>
      <c r="E256" s="448"/>
      <c r="F256" s="448"/>
      <c r="G256" s="448"/>
      <c r="H256" s="448"/>
      <c r="I256" s="448"/>
      <c r="J256" s="197" t="s">
        <v>17</v>
      </c>
    </row>
    <row r="257" spans="2:10">
      <c r="B257" s="449" t="s">
        <v>18</v>
      </c>
      <c r="C257" s="449"/>
      <c r="D257" s="244">
        <v>45734</v>
      </c>
      <c r="E257" s="199" t="s">
        <v>1460</v>
      </c>
      <c r="F257" s="450" t="s">
        <v>124</v>
      </c>
      <c r="G257" s="450"/>
      <c r="H257" s="201" t="s">
        <v>21</v>
      </c>
      <c r="I257" s="202" t="s">
        <v>1669</v>
      </c>
      <c r="J257" s="199" t="s">
        <v>23</v>
      </c>
    </row>
    <row r="258" spans="2:10">
      <c r="B258" s="449" t="s">
        <v>24</v>
      </c>
      <c r="C258" s="449"/>
      <c r="D258" s="203">
        <v>1.2500000000000001E-2</v>
      </c>
      <c r="E258" s="204" t="s">
        <v>25</v>
      </c>
      <c r="F258" s="450" t="s">
        <v>26</v>
      </c>
      <c r="G258" s="450"/>
      <c r="H258" s="199" t="s">
        <v>27</v>
      </c>
      <c r="I258" s="202" t="s">
        <v>867</v>
      </c>
      <c r="J258" s="202" t="s">
        <v>31</v>
      </c>
    </row>
    <row r="259" spans="2:10" ht="30">
      <c r="B259" s="449" t="s">
        <v>30</v>
      </c>
      <c r="C259" s="449"/>
      <c r="D259" s="199" t="s">
        <v>31</v>
      </c>
      <c r="E259" s="199" t="s">
        <v>32</v>
      </c>
      <c r="F259" s="450">
        <v>151</v>
      </c>
      <c r="G259" s="450"/>
      <c r="H259" s="201" t="s">
        <v>33</v>
      </c>
      <c r="I259" s="247" t="s">
        <v>1812</v>
      </c>
      <c r="J259" s="202"/>
    </row>
    <row r="260" spans="2:10">
      <c r="B260" s="451" t="s">
        <v>35</v>
      </c>
      <c r="C260" s="451"/>
      <c r="D260" s="464" t="s">
        <v>1813</v>
      </c>
      <c r="E260" s="465"/>
      <c r="F260" s="465"/>
      <c r="G260" s="465"/>
      <c r="H260" s="465"/>
      <c r="I260" s="465"/>
      <c r="J260" s="469"/>
    </row>
    <row r="261" spans="2:10">
      <c r="B261" s="452" t="s">
        <v>1814</v>
      </c>
      <c r="C261" s="453"/>
      <c r="D261" s="453"/>
      <c r="E261" s="453"/>
      <c r="F261" s="453"/>
      <c r="G261" s="453"/>
      <c r="H261" s="453"/>
      <c r="I261" s="453"/>
      <c r="J261" s="454"/>
    </row>
    <row r="262" spans="2:10">
      <c r="B262" s="455"/>
      <c r="C262" s="456"/>
      <c r="D262" s="456"/>
      <c r="E262" s="456"/>
      <c r="F262" s="456"/>
      <c r="G262" s="456"/>
      <c r="H262" s="456"/>
      <c r="I262" s="456"/>
      <c r="J262" s="457"/>
    </row>
    <row r="263" spans="2:10">
      <c r="B263" s="455"/>
      <c r="C263" s="456"/>
      <c r="D263" s="456"/>
      <c r="E263" s="456"/>
      <c r="F263" s="456"/>
      <c r="G263" s="456"/>
      <c r="H263" s="456"/>
      <c r="I263" s="456"/>
      <c r="J263" s="457"/>
    </row>
    <row r="264" spans="2:10">
      <c r="B264" s="458"/>
      <c r="C264" s="459"/>
      <c r="D264" s="459"/>
      <c r="E264" s="459"/>
      <c r="F264" s="459"/>
      <c r="G264" s="459"/>
      <c r="H264" s="459"/>
      <c r="I264" s="459"/>
      <c r="J264" s="460"/>
    </row>
    <row r="265" spans="2:10" ht="18">
      <c r="B265" s="461" t="s">
        <v>38</v>
      </c>
      <c r="C265" s="462"/>
      <c r="D265" s="462"/>
      <c r="E265" s="462"/>
      <c r="F265" s="462"/>
      <c r="G265" s="462"/>
      <c r="H265" s="462"/>
      <c r="I265" s="463"/>
      <c r="J265" s="205" t="s">
        <v>39</v>
      </c>
    </row>
    <row r="266" spans="2:10">
      <c r="B266" s="200">
        <v>1</v>
      </c>
      <c r="C266" s="464" t="s">
        <v>1825</v>
      </c>
      <c r="D266" s="465"/>
      <c r="E266" s="465"/>
      <c r="F266" s="465"/>
      <c r="G266" s="465"/>
      <c r="H266" s="465"/>
      <c r="I266" s="466"/>
      <c r="J266" s="200" t="s">
        <v>43</v>
      </c>
    </row>
    <row r="267" spans="2:10">
      <c r="B267" s="200">
        <v>2</v>
      </c>
      <c r="C267" s="464" t="s">
        <v>1826</v>
      </c>
      <c r="D267" s="465"/>
      <c r="E267" s="465"/>
      <c r="F267" s="465"/>
      <c r="G267" s="465"/>
      <c r="H267" s="465"/>
      <c r="I267" s="466"/>
      <c r="J267" s="200" t="s">
        <v>43</v>
      </c>
    </row>
    <row r="268" spans="2:10">
      <c r="B268" s="200">
        <v>3</v>
      </c>
      <c r="C268" s="467"/>
      <c r="D268" s="468"/>
      <c r="E268" s="468"/>
      <c r="F268" s="468"/>
      <c r="G268" s="468"/>
      <c r="H268" s="468"/>
      <c r="I268" s="469"/>
      <c r="J268" s="200"/>
    </row>
    <row r="269" spans="2:10" ht="18">
      <c r="B269" s="461" t="s">
        <v>44</v>
      </c>
      <c r="C269" s="462"/>
      <c r="D269" s="462"/>
      <c r="E269" s="462"/>
      <c r="F269" s="462"/>
      <c r="G269" s="462"/>
      <c r="H269" s="462"/>
      <c r="I269" s="462"/>
      <c r="J269" s="463"/>
    </row>
    <row r="270" spans="2:10">
      <c r="B270" s="200" t="s">
        <v>45</v>
      </c>
      <c r="C270" s="1058" t="s">
        <v>1740</v>
      </c>
      <c r="D270" s="471"/>
      <c r="E270" s="471"/>
      <c r="F270" s="471"/>
      <c r="G270" s="471"/>
      <c r="H270" s="471"/>
      <c r="I270" s="471"/>
      <c r="J270" s="472"/>
    </row>
    <row r="271" spans="2:10">
      <c r="B271" s="206" t="s">
        <v>45</v>
      </c>
      <c r="C271" s="473" t="s">
        <v>1818</v>
      </c>
      <c r="D271" s="473"/>
      <c r="E271" s="473"/>
      <c r="F271" s="473"/>
      <c r="G271" s="473"/>
      <c r="H271" s="473"/>
      <c r="I271" s="473"/>
      <c r="J271" s="473"/>
    </row>
    <row r="272" spans="2:10">
      <c r="B272" s="206" t="s">
        <v>45</v>
      </c>
      <c r="C272" s="473" t="s">
        <v>1827</v>
      </c>
      <c r="D272" s="473"/>
      <c r="E272" s="473"/>
      <c r="F272" s="473"/>
      <c r="G272" s="473"/>
      <c r="H272" s="473"/>
      <c r="I272" s="473"/>
      <c r="J272" s="473"/>
    </row>
    <row r="273" spans="2:10">
      <c r="B273" s="206" t="s">
        <v>45</v>
      </c>
      <c r="C273" s="1059"/>
      <c r="D273" s="473"/>
      <c r="E273" s="473"/>
      <c r="F273" s="473"/>
      <c r="G273" s="473"/>
      <c r="H273" s="473"/>
      <c r="I273" s="473"/>
      <c r="J273" s="473"/>
    </row>
    <row r="274" spans="2:10">
      <c r="B274" s="206" t="s">
        <v>45</v>
      </c>
      <c r="C274" s="473"/>
      <c r="D274" s="473"/>
      <c r="E274" s="473"/>
      <c r="F274" s="473"/>
      <c r="G274" s="473"/>
      <c r="H274" s="473"/>
      <c r="I274" s="473"/>
      <c r="J274" s="473"/>
    </row>
    <row r="275" spans="2:10">
      <c r="B275" s="206" t="s">
        <v>45</v>
      </c>
      <c r="C275" s="464"/>
      <c r="D275" s="465"/>
      <c r="E275" s="465"/>
      <c r="F275" s="465"/>
      <c r="G275" s="465"/>
      <c r="H275" s="465"/>
      <c r="I275" s="465"/>
      <c r="J275" s="466"/>
    </row>
    <row r="276" spans="2:10">
      <c r="B276" s="200" t="s">
        <v>45</v>
      </c>
      <c r="C276" s="464"/>
      <c r="D276" s="465"/>
      <c r="E276" s="465"/>
      <c r="F276" s="465"/>
      <c r="G276" s="465"/>
      <c r="H276" s="465"/>
      <c r="I276" s="465"/>
      <c r="J276" s="466"/>
    </row>
    <row r="277" spans="2:10">
      <c r="B277" s="200" t="s">
        <v>7</v>
      </c>
      <c r="C277" s="473" t="s">
        <v>1827</v>
      </c>
      <c r="D277" s="473"/>
      <c r="E277" s="473"/>
      <c r="F277" s="473"/>
      <c r="G277" s="473"/>
      <c r="H277" s="473"/>
      <c r="I277" s="473"/>
      <c r="J277" s="473"/>
    </row>
    <row r="278" spans="2:10" ht="18">
      <c r="B278" s="205" t="s">
        <v>52</v>
      </c>
      <c r="C278" s="477" t="s">
        <v>53</v>
      </c>
      <c r="D278" s="477"/>
      <c r="E278" s="477"/>
      <c r="F278" s="477"/>
      <c r="G278" s="477"/>
      <c r="H278" s="205" t="s">
        <v>54</v>
      </c>
      <c r="I278" s="205" t="s">
        <v>55</v>
      </c>
      <c r="J278" s="205" t="s">
        <v>56</v>
      </c>
    </row>
    <row r="279" spans="2:10">
      <c r="B279" s="200">
        <v>1</v>
      </c>
      <c r="C279" s="451" t="s">
        <v>1822</v>
      </c>
      <c r="D279" s="451"/>
      <c r="E279" s="451"/>
      <c r="F279" s="451"/>
      <c r="G279" s="451"/>
      <c r="H279" s="200" t="s">
        <v>1823</v>
      </c>
      <c r="I279" s="207" t="s">
        <v>1692</v>
      </c>
      <c r="J279" s="200" t="s">
        <v>1507</v>
      </c>
    </row>
    <row r="280" spans="2:10">
      <c r="B280" s="200">
        <v>2</v>
      </c>
      <c r="C280" s="449"/>
      <c r="D280" s="449"/>
      <c r="E280" s="449"/>
      <c r="F280" s="449"/>
      <c r="G280" s="449"/>
      <c r="H280" s="200"/>
      <c r="I280" s="207"/>
      <c r="J280" s="200"/>
    </row>
    <row r="281" spans="2:10">
      <c r="B281" s="200">
        <v>3</v>
      </c>
      <c r="C281" s="450"/>
      <c r="D281" s="450"/>
      <c r="E281" s="450"/>
      <c r="F281" s="450"/>
      <c r="G281" s="450"/>
      <c r="H281" s="200"/>
      <c r="I281" s="200"/>
      <c r="J281" s="200"/>
    </row>
    <row r="282" spans="2:10">
      <c r="B282" s="450" t="s">
        <v>63</v>
      </c>
      <c r="C282" s="450"/>
      <c r="D282" s="199" t="s">
        <v>31</v>
      </c>
      <c r="E282" s="198" t="s">
        <v>64</v>
      </c>
      <c r="F282" s="467"/>
      <c r="G282" s="469"/>
      <c r="H282" s="199"/>
      <c r="I282" s="199"/>
      <c r="J282" s="199"/>
    </row>
    <row r="283" spans="2:10" ht="45">
      <c r="B283" s="201" t="s">
        <v>66</v>
      </c>
      <c r="C283" s="450"/>
      <c r="D283" s="450"/>
      <c r="E283" s="201" t="s">
        <v>67</v>
      </c>
      <c r="F283" s="450"/>
      <c r="G283" s="450"/>
      <c r="H283" s="201" t="s">
        <v>68</v>
      </c>
      <c r="I283" s="450"/>
      <c r="J283" s="450"/>
    </row>
    <row r="289" spans="2:10" ht="26.25">
      <c r="B289" s="446" t="s">
        <v>13</v>
      </c>
      <c r="C289" s="447"/>
      <c r="D289" s="446" t="s">
        <v>14</v>
      </c>
      <c r="E289" s="446"/>
      <c r="F289" s="446"/>
      <c r="G289" s="446"/>
      <c r="H289" s="446"/>
      <c r="I289" s="446"/>
      <c r="J289" s="197" t="s">
        <v>15</v>
      </c>
    </row>
    <row r="290" spans="2:10" ht="20.25" customHeight="1">
      <c r="B290" s="447"/>
      <c r="C290" s="447"/>
      <c r="D290" s="448" t="s">
        <v>16</v>
      </c>
      <c r="E290" s="448"/>
      <c r="F290" s="448"/>
      <c r="G290" s="448"/>
      <c r="H290" s="448"/>
      <c r="I290" s="448"/>
      <c r="J290" s="197" t="s">
        <v>17</v>
      </c>
    </row>
    <row r="291" spans="2:10">
      <c r="B291" s="449" t="s">
        <v>18</v>
      </c>
      <c r="C291" s="449"/>
      <c r="D291" s="244">
        <v>45740</v>
      </c>
      <c r="E291" s="199" t="s">
        <v>1460</v>
      </c>
      <c r="F291" s="450" t="s">
        <v>131</v>
      </c>
      <c r="G291" s="450"/>
      <c r="H291" s="201" t="s">
        <v>21</v>
      </c>
      <c r="I291" s="202" t="s">
        <v>1669</v>
      </c>
      <c r="J291" s="199" t="s">
        <v>23</v>
      </c>
    </row>
    <row r="292" spans="2:10">
      <c r="B292" s="449" t="s">
        <v>24</v>
      </c>
      <c r="C292" s="449"/>
      <c r="D292" s="203"/>
      <c r="E292" s="204" t="s">
        <v>25</v>
      </c>
      <c r="F292" s="450" t="s">
        <v>26</v>
      </c>
      <c r="G292" s="450"/>
      <c r="H292" s="199" t="s">
        <v>27</v>
      </c>
      <c r="I292" s="202" t="s">
        <v>917</v>
      </c>
      <c r="J292" s="202" t="s">
        <v>29</v>
      </c>
    </row>
    <row r="293" spans="2:10">
      <c r="B293" s="449" t="s">
        <v>30</v>
      </c>
      <c r="C293" s="449"/>
      <c r="D293" s="199" t="s">
        <v>31</v>
      </c>
      <c r="E293" s="199" t="s">
        <v>32</v>
      </c>
      <c r="F293" s="450" t="s">
        <v>1828</v>
      </c>
      <c r="G293" s="450"/>
      <c r="H293" s="201" t="s">
        <v>33</v>
      </c>
      <c r="I293" s="247" t="s">
        <v>1829</v>
      </c>
      <c r="J293" s="202"/>
    </row>
    <row r="294" spans="2:10">
      <c r="B294" s="451" t="s">
        <v>35</v>
      </c>
      <c r="C294" s="451"/>
      <c r="D294" s="464" t="s">
        <v>1830</v>
      </c>
      <c r="E294" s="465"/>
      <c r="F294" s="465"/>
      <c r="G294" s="465"/>
      <c r="H294" s="465"/>
      <c r="I294" s="465"/>
      <c r="J294" s="469"/>
    </row>
    <row r="295" spans="2:10">
      <c r="B295" s="452" t="s">
        <v>1831</v>
      </c>
      <c r="C295" s="453"/>
      <c r="D295" s="453"/>
      <c r="E295" s="453"/>
      <c r="F295" s="453"/>
      <c r="G295" s="453"/>
      <c r="H295" s="453"/>
      <c r="I295" s="453"/>
      <c r="J295" s="454"/>
    </row>
    <row r="296" spans="2:10">
      <c r="B296" s="455"/>
      <c r="C296" s="456"/>
      <c r="D296" s="456"/>
      <c r="E296" s="456"/>
      <c r="F296" s="456"/>
      <c r="G296" s="456"/>
      <c r="H296" s="456"/>
      <c r="I296" s="456"/>
      <c r="J296" s="457"/>
    </row>
    <row r="297" spans="2:10">
      <c r="B297" s="455"/>
      <c r="C297" s="456"/>
      <c r="D297" s="456"/>
      <c r="E297" s="456"/>
      <c r="F297" s="456"/>
      <c r="G297" s="456"/>
      <c r="H297" s="456"/>
      <c r="I297" s="456"/>
      <c r="J297" s="457"/>
    </row>
    <row r="298" spans="2:10">
      <c r="B298" s="458"/>
      <c r="C298" s="459"/>
      <c r="D298" s="459"/>
      <c r="E298" s="459"/>
      <c r="F298" s="459"/>
      <c r="G298" s="459"/>
      <c r="H298" s="459"/>
      <c r="I298" s="459"/>
      <c r="J298" s="460"/>
    </row>
    <row r="299" spans="2:10" ht="12.75" customHeight="1">
      <c r="B299" s="461" t="s">
        <v>38</v>
      </c>
      <c r="C299" s="462"/>
      <c r="D299" s="462"/>
      <c r="E299" s="462"/>
      <c r="F299" s="462"/>
      <c r="G299" s="462"/>
      <c r="H299" s="462"/>
      <c r="I299" s="463"/>
      <c r="J299" s="205" t="s">
        <v>39</v>
      </c>
    </row>
    <row r="300" spans="2:10">
      <c r="B300" s="200">
        <v>1</v>
      </c>
      <c r="C300" s="464" t="s">
        <v>1832</v>
      </c>
      <c r="D300" s="465"/>
      <c r="E300" s="465"/>
      <c r="F300" s="465"/>
      <c r="G300" s="465"/>
      <c r="H300" s="465"/>
      <c r="I300" s="466"/>
      <c r="J300" s="200" t="s">
        <v>43</v>
      </c>
    </row>
    <row r="301" spans="2:10">
      <c r="B301" s="200">
        <v>2</v>
      </c>
      <c r="C301" s="464" t="s">
        <v>1833</v>
      </c>
      <c r="D301" s="465"/>
      <c r="E301" s="465"/>
      <c r="F301" s="465"/>
      <c r="G301" s="465"/>
      <c r="H301" s="465"/>
      <c r="I301" s="466"/>
      <c r="J301" s="200" t="s">
        <v>43</v>
      </c>
    </row>
    <row r="302" spans="2:10">
      <c r="B302" s="200">
        <v>3</v>
      </c>
      <c r="C302" s="464" t="s">
        <v>1834</v>
      </c>
      <c r="D302" s="465"/>
      <c r="E302" s="465"/>
      <c r="F302" s="465"/>
      <c r="G302" s="465"/>
      <c r="H302" s="465"/>
      <c r="I302" s="466"/>
      <c r="J302" s="200" t="s">
        <v>43</v>
      </c>
    </row>
    <row r="303" spans="2:10">
      <c r="B303" s="200">
        <v>4</v>
      </c>
      <c r="C303" s="464" t="s">
        <v>1835</v>
      </c>
      <c r="D303" s="465"/>
      <c r="E303" s="465"/>
      <c r="F303" s="465"/>
      <c r="G303" s="465"/>
      <c r="H303" s="465"/>
      <c r="I303" s="466"/>
      <c r="J303" s="200" t="s">
        <v>43</v>
      </c>
    </row>
    <row r="304" spans="2:10" ht="18">
      <c r="B304" s="461"/>
      <c r="C304" s="462"/>
      <c r="D304" s="462"/>
      <c r="E304" s="462"/>
      <c r="F304" s="462"/>
      <c r="G304" s="462"/>
      <c r="H304" s="462"/>
      <c r="I304" s="462"/>
      <c r="J304" s="463"/>
    </row>
    <row r="305" spans="2:10">
      <c r="B305" s="200" t="s">
        <v>45</v>
      </c>
      <c r="C305" s="1058" t="s">
        <v>1836</v>
      </c>
      <c r="D305" s="471"/>
      <c r="E305" s="471"/>
      <c r="F305" s="471"/>
      <c r="G305" s="471"/>
      <c r="H305" s="471"/>
      <c r="I305" s="471"/>
      <c r="J305" s="472"/>
    </row>
    <row r="306" spans="2:10">
      <c r="B306" s="206" t="s">
        <v>45</v>
      </c>
      <c r="C306" s="1059" t="s">
        <v>1837</v>
      </c>
      <c r="D306" s="473"/>
      <c r="E306" s="473"/>
      <c r="F306" s="473"/>
      <c r="G306" s="473"/>
      <c r="H306" s="473"/>
      <c r="I306" s="473"/>
      <c r="J306" s="473"/>
    </row>
    <row r="307" spans="2:10">
      <c r="B307" s="206" t="s">
        <v>45</v>
      </c>
      <c r="C307" s="473" t="s">
        <v>1838</v>
      </c>
      <c r="D307" s="473"/>
      <c r="E307" s="473"/>
      <c r="F307" s="473"/>
      <c r="G307" s="473"/>
      <c r="H307" s="473"/>
      <c r="I307" s="473"/>
      <c r="J307" s="473"/>
    </row>
    <row r="308" spans="2:10">
      <c r="B308" s="206" t="s">
        <v>45</v>
      </c>
      <c r="C308" s="473"/>
      <c r="D308" s="473"/>
      <c r="E308" s="473"/>
      <c r="F308" s="473"/>
      <c r="G308" s="473"/>
      <c r="H308" s="473"/>
      <c r="I308" s="473"/>
      <c r="J308" s="473"/>
    </row>
    <row r="309" spans="2:10">
      <c r="B309" s="206" t="s">
        <v>45</v>
      </c>
      <c r="C309" s="473"/>
      <c r="D309" s="473"/>
      <c r="E309" s="473"/>
      <c r="F309" s="473"/>
      <c r="G309" s="473"/>
      <c r="H309" s="473"/>
      <c r="I309" s="473"/>
      <c r="J309" s="473"/>
    </row>
    <row r="310" spans="2:10">
      <c r="B310" s="206" t="s">
        <v>45</v>
      </c>
      <c r="C310" s="464"/>
      <c r="D310" s="465"/>
      <c r="E310" s="465"/>
      <c r="F310" s="465"/>
      <c r="G310" s="465"/>
      <c r="H310" s="465"/>
      <c r="I310" s="465"/>
      <c r="J310" s="466"/>
    </row>
    <row r="311" spans="2:10">
      <c r="B311" s="200" t="s">
        <v>45</v>
      </c>
      <c r="C311" s="464"/>
      <c r="D311" s="465"/>
      <c r="E311" s="465"/>
      <c r="F311" s="465"/>
      <c r="G311" s="465"/>
      <c r="H311" s="465"/>
      <c r="I311" s="465"/>
      <c r="J311" s="466"/>
    </row>
    <row r="312" spans="2:10">
      <c r="B312" s="200" t="s">
        <v>7</v>
      </c>
      <c r="C312" s="473" t="s">
        <v>1839</v>
      </c>
      <c r="D312" s="473"/>
      <c r="E312" s="473"/>
      <c r="F312" s="473"/>
      <c r="G312" s="473"/>
      <c r="H312" s="473"/>
      <c r="I312" s="473"/>
      <c r="J312" s="473"/>
    </row>
    <row r="313" spans="2:10" ht="18">
      <c r="B313" s="205" t="s">
        <v>52</v>
      </c>
      <c r="C313" s="477" t="s">
        <v>53</v>
      </c>
      <c r="D313" s="477"/>
      <c r="E313" s="477"/>
      <c r="F313" s="477"/>
      <c r="G313" s="477"/>
      <c r="H313" s="205" t="s">
        <v>54</v>
      </c>
      <c r="I313" s="205" t="s">
        <v>55</v>
      </c>
      <c r="J313" s="205" t="s">
        <v>56</v>
      </c>
    </row>
    <row r="314" spans="2:10">
      <c r="B314" s="200">
        <v>1</v>
      </c>
      <c r="C314" s="451" t="s">
        <v>1840</v>
      </c>
      <c r="D314" s="451"/>
      <c r="E314" s="451"/>
      <c r="F314" s="451"/>
      <c r="G314" s="451"/>
      <c r="H314" s="200" t="s">
        <v>1798</v>
      </c>
      <c r="I314" s="207" t="s">
        <v>1692</v>
      </c>
      <c r="J314" s="200" t="s">
        <v>1507</v>
      </c>
    </row>
    <row r="315" spans="2:10">
      <c r="B315" s="200">
        <v>2</v>
      </c>
      <c r="C315" s="449"/>
      <c r="D315" s="449"/>
      <c r="E315" s="449"/>
      <c r="F315" s="449"/>
      <c r="G315" s="449"/>
      <c r="H315" s="200"/>
      <c r="I315" s="207"/>
      <c r="J315" s="200"/>
    </row>
    <row r="316" spans="2:10">
      <c r="B316" s="200">
        <v>3</v>
      </c>
      <c r="C316" s="450"/>
      <c r="D316" s="450"/>
      <c r="E316" s="450"/>
      <c r="F316" s="450"/>
      <c r="G316" s="450"/>
      <c r="H316" s="200"/>
      <c r="I316" s="200"/>
      <c r="J316" s="200"/>
    </row>
    <row r="317" spans="2:10">
      <c r="B317" s="450" t="s">
        <v>63</v>
      </c>
      <c r="C317" s="450"/>
      <c r="D317" s="199" t="s">
        <v>31</v>
      </c>
      <c r="E317" s="198" t="s">
        <v>64</v>
      </c>
      <c r="F317" s="467"/>
      <c r="G317" s="469"/>
      <c r="H317" s="199"/>
      <c r="I317" s="199"/>
      <c r="J317" s="199"/>
    </row>
    <row r="318" spans="2:10" ht="45">
      <c r="B318" s="201" t="s">
        <v>66</v>
      </c>
      <c r="C318" s="450"/>
      <c r="D318" s="450"/>
      <c r="E318" s="201" t="s">
        <v>67</v>
      </c>
      <c r="F318" s="450"/>
      <c r="G318" s="450"/>
      <c r="H318" s="201" t="s">
        <v>68</v>
      </c>
      <c r="I318" s="450"/>
      <c r="J318" s="450"/>
    </row>
    <row r="323" spans="2:10" ht="26.25">
      <c r="B323" s="446" t="s">
        <v>13</v>
      </c>
      <c r="C323" s="447"/>
      <c r="D323" s="446" t="s">
        <v>14</v>
      </c>
      <c r="E323" s="446"/>
      <c r="F323" s="446"/>
      <c r="G323" s="446"/>
      <c r="H323" s="446"/>
      <c r="I323" s="446"/>
      <c r="J323" s="197" t="s">
        <v>15</v>
      </c>
    </row>
    <row r="324" spans="2:10" ht="20.25" customHeight="1">
      <c r="B324" s="447"/>
      <c r="C324" s="447"/>
      <c r="D324" s="448" t="s">
        <v>16</v>
      </c>
      <c r="E324" s="448"/>
      <c r="F324" s="448"/>
      <c r="G324" s="448"/>
      <c r="H324" s="448"/>
      <c r="I324" s="448"/>
      <c r="J324" s="197" t="s">
        <v>17</v>
      </c>
    </row>
    <row r="325" spans="2:10">
      <c r="B325" s="449" t="s">
        <v>18</v>
      </c>
      <c r="C325" s="449"/>
      <c r="D325" s="244">
        <v>45741</v>
      </c>
      <c r="E325" s="199" t="s">
        <v>1460</v>
      </c>
      <c r="F325" s="450" t="s">
        <v>131</v>
      </c>
      <c r="G325" s="450"/>
      <c r="H325" s="201" t="s">
        <v>21</v>
      </c>
      <c r="I325" s="202" t="s">
        <v>1669</v>
      </c>
      <c r="J325" s="199" t="s">
        <v>23</v>
      </c>
    </row>
    <row r="326" spans="2:10">
      <c r="B326" s="449" t="s">
        <v>24</v>
      </c>
      <c r="C326" s="449"/>
      <c r="D326" s="203"/>
      <c r="E326" s="204" t="s">
        <v>25</v>
      </c>
      <c r="F326" s="450" t="s">
        <v>26</v>
      </c>
      <c r="G326" s="450"/>
      <c r="H326" s="199" t="s">
        <v>27</v>
      </c>
      <c r="I326" s="202" t="s">
        <v>917</v>
      </c>
      <c r="J326" s="202" t="s">
        <v>29</v>
      </c>
    </row>
    <row r="327" spans="2:10">
      <c r="B327" s="449" t="s">
        <v>30</v>
      </c>
      <c r="C327" s="449"/>
      <c r="D327" s="199" t="s">
        <v>31</v>
      </c>
      <c r="E327" s="199" t="s">
        <v>32</v>
      </c>
      <c r="F327" s="450">
        <v>210</v>
      </c>
      <c r="G327" s="450"/>
      <c r="H327" s="201" t="s">
        <v>33</v>
      </c>
      <c r="I327" s="247" t="s">
        <v>1841</v>
      </c>
      <c r="J327" s="202"/>
    </row>
    <row r="328" spans="2:10">
      <c r="B328" s="451" t="s">
        <v>35</v>
      </c>
      <c r="C328" s="451"/>
      <c r="D328" s="464" t="s">
        <v>1842</v>
      </c>
      <c r="E328" s="465"/>
      <c r="F328" s="465"/>
      <c r="G328" s="465"/>
      <c r="H328" s="465"/>
      <c r="I328" s="465"/>
      <c r="J328" s="469"/>
    </row>
    <row r="329" spans="2:10">
      <c r="B329" s="452" t="s">
        <v>1843</v>
      </c>
      <c r="C329" s="453"/>
      <c r="D329" s="453"/>
      <c r="E329" s="453"/>
      <c r="F329" s="453"/>
      <c r="G329" s="453"/>
      <c r="H329" s="453"/>
      <c r="I329" s="453"/>
      <c r="J329" s="454"/>
    </row>
    <row r="330" spans="2:10">
      <c r="B330" s="455"/>
      <c r="C330" s="456"/>
      <c r="D330" s="456"/>
      <c r="E330" s="456"/>
      <c r="F330" s="456"/>
      <c r="G330" s="456"/>
      <c r="H330" s="456"/>
      <c r="I330" s="456"/>
      <c r="J330" s="457"/>
    </row>
    <row r="331" spans="2:10">
      <c r="B331" s="455"/>
      <c r="C331" s="456"/>
      <c r="D331" s="456"/>
      <c r="E331" s="456"/>
      <c r="F331" s="456"/>
      <c r="G331" s="456"/>
      <c r="H331" s="456"/>
      <c r="I331" s="456"/>
      <c r="J331" s="457"/>
    </row>
    <row r="332" spans="2:10">
      <c r="B332" s="458"/>
      <c r="C332" s="459"/>
      <c r="D332" s="459"/>
      <c r="E332" s="459"/>
      <c r="F332" s="459"/>
      <c r="G332" s="459"/>
      <c r="H332" s="459"/>
      <c r="I332" s="459"/>
      <c r="J332" s="460"/>
    </row>
    <row r="333" spans="2:10" ht="12.75" customHeight="1">
      <c r="B333" s="461" t="s">
        <v>38</v>
      </c>
      <c r="C333" s="462"/>
      <c r="D333" s="462"/>
      <c r="E333" s="462"/>
      <c r="F333" s="462"/>
      <c r="G333" s="462"/>
      <c r="H333" s="462"/>
      <c r="I333" s="463"/>
      <c r="J333" s="205" t="s">
        <v>39</v>
      </c>
    </row>
    <row r="334" spans="2:10">
      <c r="B334" s="200">
        <v>1</v>
      </c>
      <c r="C334" s="464" t="s">
        <v>1844</v>
      </c>
      <c r="D334" s="465"/>
      <c r="E334" s="465"/>
      <c r="F334" s="465"/>
      <c r="G334" s="465"/>
      <c r="H334" s="465"/>
      <c r="I334" s="466"/>
      <c r="J334" s="200" t="s">
        <v>1845</v>
      </c>
    </row>
    <row r="335" spans="2:10">
      <c r="B335" s="200">
        <v>2</v>
      </c>
      <c r="C335" s="464" t="s">
        <v>1846</v>
      </c>
      <c r="D335" s="465"/>
      <c r="E335" s="465"/>
      <c r="F335" s="465"/>
      <c r="G335" s="465"/>
      <c r="H335" s="465"/>
      <c r="I335" s="466"/>
      <c r="J335" s="200" t="s">
        <v>43</v>
      </c>
    </row>
    <row r="336" spans="2:10">
      <c r="B336" s="200">
        <v>3</v>
      </c>
      <c r="C336" s="464" t="s">
        <v>1847</v>
      </c>
      <c r="D336" s="465"/>
      <c r="E336" s="465"/>
      <c r="F336" s="465"/>
      <c r="G336" s="465"/>
      <c r="H336" s="465"/>
      <c r="I336" s="466"/>
      <c r="J336" s="200" t="s">
        <v>43</v>
      </c>
    </row>
    <row r="337" spans="2:10">
      <c r="B337" s="200">
        <v>4</v>
      </c>
      <c r="C337" s="464" t="s">
        <v>1848</v>
      </c>
      <c r="D337" s="465"/>
      <c r="E337" s="465"/>
      <c r="F337" s="465"/>
      <c r="G337" s="465"/>
      <c r="H337" s="465"/>
      <c r="I337" s="466"/>
      <c r="J337" s="200" t="s">
        <v>43</v>
      </c>
    </row>
    <row r="338" spans="2:10" ht="18">
      <c r="B338" s="461"/>
      <c r="C338" s="462"/>
      <c r="D338" s="462"/>
      <c r="E338" s="462"/>
      <c r="F338" s="462"/>
      <c r="G338" s="462"/>
      <c r="H338" s="462"/>
      <c r="I338" s="462"/>
      <c r="J338" s="463"/>
    </row>
    <row r="339" spans="2:10">
      <c r="B339" s="200" t="s">
        <v>45</v>
      </c>
      <c r="C339" s="1058" t="s">
        <v>1849</v>
      </c>
      <c r="D339" s="471"/>
      <c r="E339" s="471"/>
      <c r="F339" s="471"/>
      <c r="G339" s="471"/>
      <c r="H339" s="471"/>
      <c r="I339" s="471"/>
      <c r="J339" s="472"/>
    </row>
    <row r="340" spans="2:10">
      <c r="B340" s="206" t="s">
        <v>45</v>
      </c>
      <c r="C340" s="1059" t="s">
        <v>1850</v>
      </c>
      <c r="D340" s="473"/>
      <c r="E340" s="473"/>
      <c r="F340" s="473"/>
      <c r="G340" s="473"/>
      <c r="H340" s="473"/>
      <c r="I340" s="473"/>
      <c r="J340" s="473"/>
    </row>
    <row r="341" spans="2:10">
      <c r="B341" s="206" t="s">
        <v>45</v>
      </c>
      <c r="C341" s="473" t="s">
        <v>1851</v>
      </c>
      <c r="D341" s="473"/>
      <c r="E341" s="473"/>
      <c r="F341" s="473"/>
      <c r="G341" s="473"/>
      <c r="H341" s="473"/>
      <c r="I341" s="473"/>
      <c r="J341" s="473"/>
    </row>
    <row r="342" spans="2:10">
      <c r="B342" s="206" t="s">
        <v>45</v>
      </c>
      <c r="C342" s="473"/>
      <c r="D342" s="473"/>
      <c r="E342" s="473"/>
      <c r="F342" s="473"/>
      <c r="G342" s="473"/>
      <c r="H342" s="473"/>
      <c r="I342" s="473"/>
      <c r="J342" s="473"/>
    </row>
    <row r="343" spans="2:10">
      <c r="B343" s="206" t="s">
        <v>45</v>
      </c>
      <c r="C343" s="473"/>
      <c r="D343" s="473"/>
      <c r="E343" s="473"/>
      <c r="F343" s="473"/>
      <c r="G343" s="473"/>
      <c r="H343" s="473"/>
      <c r="I343" s="473"/>
      <c r="J343" s="473"/>
    </row>
    <row r="344" spans="2:10">
      <c r="B344" s="206" t="s">
        <v>45</v>
      </c>
      <c r="C344" s="464"/>
      <c r="D344" s="465"/>
      <c r="E344" s="465"/>
      <c r="F344" s="465"/>
      <c r="G344" s="465"/>
      <c r="H344" s="465"/>
      <c r="I344" s="465"/>
      <c r="J344" s="466"/>
    </row>
    <row r="345" spans="2:10">
      <c r="B345" s="200" t="s">
        <v>45</v>
      </c>
      <c r="C345" s="464"/>
      <c r="D345" s="465"/>
      <c r="E345" s="465"/>
      <c r="F345" s="465"/>
      <c r="G345" s="465"/>
      <c r="H345" s="465"/>
      <c r="I345" s="465"/>
      <c r="J345" s="466"/>
    </row>
    <row r="346" spans="2:10">
      <c r="B346" s="200" t="s">
        <v>7</v>
      </c>
      <c r="C346" s="1060" t="s">
        <v>1851</v>
      </c>
      <c r="D346" s="1060"/>
      <c r="E346" s="1060"/>
      <c r="F346" s="1060"/>
      <c r="G346" s="1060"/>
      <c r="H346" s="1060"/>
      <c r="I346" s="1060"/>
      <c r="J346" s="1060"/>
    </row>
    <row r="347" spans="2:10" ht="18">
      <c r="B347" s="205" t="s">
        <v>52</v>
      </c>
      <c r="C347" s="477" t="s">
        <v>53</v>
      </c>
      <c r="D347" s="477"/>
      <c r="E347" s="477"/>
      <c r="F347" s="477"/>
      <c r="G347" s="477"/>
      <c r="H347" s="205" t="s">
        <v>54</v>
      </c>
      <c r="I347" s="205" t="s">
        <v>55</v>
      </c>
      <c r="J347" s="205" t="s">
        <v>56</v>
      </c>
    </row>
    <row r="348" spans="2:10">
      <c r="B348" s="200">
        <v>1</v>
      </c>
      <c r="C348" s="451" t="s">
        <v>1840</v>
      </c>
      <c r="D348" s="451"/>
      <c r="E348" s="451"/>
      <c r="F348" s="451"/>
      <c r="G348" s="451"/>
      <c r="H348" s="200" t="s">
        <v>1798</v>
      </c>
      <c r="I348" s="207" t="s">
        <v>1692</v>
      </c>
      <c r="J348" s="200" t="s">
        <v>1507</v>
      </c>
    </row>
    <row r="349" spans="2:10">
      <c r="B349" s="200">
        <v>2</v>
      </c>
      <c r="C349" s="449" t="s">
        <v>1852</v>
      </c>
      <c r="D349" s="449"/>
      <c r="E349" s="449"/>
      <c r="F349" s="449"/>
      <c r="G349" s="449"/>
      <c r="H349" s="200"/>
      <c r="I349" s="207"/>
      <c r="J349" s="200"/>
    </row>
    <row r="350" spans="2:10">
      <c r="B350" s="200">
        <v>3</v>
      </c>
      <c r="C350" s="450"/>
      <c r="D350" s="450"/>
      <c r="E350" s="450"/>
      <c r="F350" s="450"/>
      <c r="G350" s="450"/>
      <c r="H350" s="200"/>
      <c r="I350" s="200"/>
      <c r="J350" s="200"/>
    </row>
    <row r="351" spans="2:10">
      <c r="B351" s="450" t="s">
        <v>63</v>
      </c>
      <c r="C351" s="450"/>
      <c r="D351" s="199" t="s">
        <v>31</v>
      </c>
      <c r="E351" s="198" t="s">
        <v>64</v>
      </c>
      <c r="F351" s="467"/>
      <c r="G351" s="469"/>
      <c r="H351" s="199"/>
      <c r="I351" s="199"/>
      <c r="J351" s="199"/>
    </row>
    <row r="352" spans="2:10" ht="45">
      <c r="B352" s="201" t="s">
        <v>66</v>
      </c>
      <c r="C352" s="450"/>
      <c r="D352" s="450"/>
      <c r="E352" s="201" t="s">
        <v>67</v>
      </c>
      <c r="F352" s="450"/>
      <c r="G352" s="450"/>
      <c r="H352" s="201" t="s">
        <v>68</v>
      </c>
      <c r="I352" s="450"/>
      <c r="J352" s="450"/>
    </row>
    <row r="355" spans="2:10" ht="26.25">
      <c r="B355" s="446" t="s">
        <v>13</v>
      </c>
      <c r="C355" s="447"/>
      <c r="D355" s="446" t="s">
        <v>14</v>
      </c>
      <c r="E355" s="446"/>
      <c r="F355" s="446"/>
      <c r="G355" s="446"/>
      <c r="H355" s="446"/>
      <c r="I355" s="446"/>
      <c r="J355" s="197" t="s">
        <v>15</v>
      </c>
    </row>
    <row r="356" spans="2:10" ht="20.25" customHeight="1">
      <c r="B356" s="447"/>
      <c r="C356" s="447"/>
      <c r="D356" s="448" t="s">
        <v>16</v>
      </c>
      <c r="E356" s="448"/>
      <c r="F356" s="448"/>
      <c r="G356" s="448"/>
      <c r="H356" s="448"/>
      <c r="I356" s="448"/>
      <c r="J356" s="197" t="s">
        <v>17</v>
      </c>
    </row>
    <row r="357" spans="2:10">
      <c r="B357" s="449" t="s">
        <v>18</v>
      </c>
      <c r="C357" s="449"/>
      <c r="D357" s="244">
        <v>45741</v>
      </c>
      <c r="E357" s="199" t="s">
        <v>1460</v>
      </c>
      <c r="F357" s="450" t="s">
        <v>131</v>
      </c>
      <c r="G357" s="450"/>
      <c r="H357" s="201" t="s">
        <v>21</v>
      </c>
      <c r="I357" s="202" t="s">
        <v>1669</v>
      </c>
      <c r="J357" s="199" t="s">
        <v>23</v>
      </c>
    </row>
    <row r="358" spans="2:10">
      <c r="B358" s="449" t="s">
        <v>24</v>
      </c>
      <c r="C358" s="449"/>
      <c r="D358" s="203"/>
      <c r="E358" s="204" t="s">
        <v>25</v>
      </c>
      <c r="F358" s="450" t="s">
        <v>26</v>
      </c>
      <c r="G358" s="450"/>
      <c r="H358" s="199" t="s">
        <v>27</v>
      </c>
      <c r="I358" s="202" t="s">
        <v>917</v>
      </c>
      <c r="J358" s="202" t="s">
        <v>29</v>
      </c>
    </row>
    <row r="359" spans="2:10">
      <c r="B359" s="449" t="s">
        <v>30</v>
      </c>
      <c r="C359" s="449"/>
      <c r="D359" s="199" t="s">
        <v>31</v>
      </c>
      <c r="E359" s="199" t="s">
        <v>32</v>
      </c>
      <c r="F359" s="450">
        <v>150</v>
      </c>
      <c r="G359" s="450"/>
      <c r="H359" s="201" t="s">
        <v>33</v>
      </c>
      <c r="I359" s="247" t="s">
        <v>1829</v>
      </c>
      <c r="J359" s="202"/>
    </row>
    <row r="360" spans="2:10">
      <c r="B360" s="451" t="s">
        <v>35</v>
      </c>
      <c r="C360" s="451"/>
      <c r="D360" s="464" t="s">
        <v>1830</v>
      </c>
      <c r="E360" s="465"/>
      <c r="F360" s="465"/>
      <c r="G360" s="465"/>
      <c r="H360" s="465"/>
      <c r="I360" s="465"/>
      <c r="J360" s="469"/>
    </row>
    <row r="361" spans="2:10">
      <c r="B361" s="452" t="s">
        <v>1853</v>
      </c>
      <c r="C361" s="453"/>
      <c r="D361" s="453"/>
      <c r="E361" s="453"/>
      <c r="F361" s="453"/>
      <c r="G361" s="453"/>
      <c r="H361" s="453"/>
      <c r="I361" s="453"/>
      <c r="J361" s="454"/>
    </row>
    <row r="362" spans="2:10">
      <c r="B362" s="455"/>
      <c r="C362" s="456"/>
      <c r="D362" s="456"/>
      <c r="E362" s="456"/>
      <c r="F362" s="456"/>
      <c r="G362" s="456"/>
      <c r="H362" s="456"/>
      <c r="I362" s="456"/>
      <c r="J362" s="457"/>
    </row>
    <row r="363" spans="2:10">
      <c r="B363" s="455"/>
      <c r="C363" s="456"/>
      <c r="D363" s="456"/>
      <c r="E363" s="456"/>
      <c r="F363" s="456"/>
      <c r="G363" s="456"/>
      <c r="H363" s="456"/>
      <c r="I363" s="456"/>
      <c r="J363" s="457"/>
    </row>
    <row r="364" spans="2:10">
      <c r="B364" s="458"/>
      <c r="C364" s="459"/>
      <c r="D364" s="459"/>
      <c r="E364" s="459"/>
      <c r="F364" s="459"/>
      <c r="G364" s="459"/>
      <c r="H364" s="459"/>
      <c r="I364" s="459"/>
      <c r="J364" s="460"/>
    </row>
    <row r="365" spans="2:10" ht="12.75" customHeight="1">
      <c r="B365" s="461" t="s">
        <v>38</v>
      </c>
      <c r="C365" s="462"/>
      <c r="D365" s="462"/>
      <c r="E365" s="462"/>
      <c r="F365" s="462"/>
      <c r="G365" s="462"/>
      <c r="H365" s="462"/>
      <c r="I365" s="463"/>
      <c r="J365" s="205" t="s">
        <v>39</v>
      </c>
    </row>
    <row r="366" spans="2:10">
      <c r="B366" s="200">
        <v>1</v>
      </c>
      <c r="C366" s="464" t="s">
        <v>1854</v>
      </c>
      <c r="D366" s="465"/>
      <c r="E366" s="465"/>
      <c r="F366" s="465"/>
      <c r="G366" s="465"/>
      <c r="H366" s="465"/>
      <c r="I366" s="466"/>
      <c r="J366" s="200" t="s">
        <v>43</v>
      </c>
    </row>
    <row r="367" spans="2:10">
      <c r="B367" s="200">
        <v>2</v>
      </c>
      <c r="C367" s="464" t="s">
        <v>1855</v>
      </c>
      <c r="D367" s="465"/>
      <c r="E367" s="465"/>
      <c r="F367" s="465"/>
      <c r="G367" s="465"/>
      <c r="H367" s="465"/>
      <c r="I367" s="466"/>
      <c r="J367" s="200" t="s">
        <v>43</v>
      </c>
    </row>
    <row r="368" spans="2:10">
      <c r="B368" s="200">
        <v>3</v>
      </c>
      <c r="C368" s="464" t="s">
        <v>1834</v>
      </c>
      <c r="D368" s="465"/>
      <c r="E368" s="465"/>
      <c r="F368" s="465"/>
      <c r="G368" s="465"/>
      <c r="H368" s="465"/>
      <c r="I368" s="466"/>
      <c r="J368" s="200" t="s">
        <v>43</v>
      </c>
    </row>
    <row r="369" spans="2:10">
      <c r="B369" s="200">
        <v>4</v>
      </c>
      <c r="C369" s="464"/>
      <c r="D369" s="465"/>
      <c r="E369" s="465"/>
      <c r="F369" s="465"/>
      <c r="G369" s="465"/>
      <c r="H369" s="465"/>
      <c r="I369" s="466"/>
      <c r="J369" s="200" t="s">
        <v>43</v>
      </c>
    </row>
    <row r="370" spans="2:10" ht="18">
      <c r="B370" s="461"/>
      <c r="C370" s="462"/>
      <c r="D370" s="462"/>
      <c r="E370" s="462"/>
      <c r="F370" s="462"/>
      <c r="G370" s="462"/>
      <c r="H370" s="462"/>
      <c r="I370" s="462"/>
      <c r="J370" s="463"/>
    </row>
    <row r="371" spans="2:10">
      <c r="B371" s="200" t="s">
        <v>45</v>
      </c>
      <c r="C371" s="1058" t="s">
        <v>1856</v>
      </c>
      <c r="D371" s="471"/>
      <c r="E371" s="471"/>
      <c r="F371" s="471"/>
      <c r="G371" s="471"/>
      <c r="H371" s="471"/>
      <c r="I371" s="471"/>
      <c r="J371" s="472"/>
    </row>
    <row r="372" spans="2:10">
      <c r="B372" s="206" t="s">
        <v>45</v>
      </c>
      <c r="C372" s="1059" t="s">
        <v>1857</v>
      </c>
      <c r="D372" s="473"/>
      <c r="E372" s="473"/>
      <c r="F372" s="473"/>
      <c r="G372" s="473"/>
      <c r="H372" s="473"/>
      <c r="I372" s="473"/>
      <c r="J372" s="473"/>
    </row>
    <row r="373" spans="2:10">
      <c r="B373" s="206" t="s">
        <v>45</v>
      </c>
      <c r="C373" s="473"/>
      <c r="D373" s="473"/>
      <c r="E373" s="473"/>
      <c r="F373" s="473"/>
      <c r="G373" s="473"/>
      <c r="H373" s="473"/>
      <c r="I373" s="473"/>
      <c r="J373" s="473"/>
    </row>
    <row r="374" spans="2:10">
      <c r="B374" s="206" t="s">
        <v>45</v>
      </c>
      <c r="C374" s="473"/>
      <c r="D374" s="473"/>
      <c r="E374" s="473"/>
      <c r="F374" s="473"/>
      <c r="G374" s="473"/>
      <c r="H374" s="473"/>
      <c r="I374" s="473"/>
      <c r="J374" s="473"/>
    </row>
    <row r="375" spans="2:10">
      <c r="B375" s="206" t="s">
        <v>45</v>
      </c>
      <c r="C375" s="473"/>
      <c r="D375" s="473"/>
      <c r="E375" s="473"/>
      <c r="F375" s="473"/>
      <c r="G375" s="473"/>
      <c r="H375" s="473"/>
      <c r="I375" s="473"/>
      <c r="J375" s="473"/>
    </row>
    <row r="376" spans="2:10">
      <c r="B376" s="206" t="s">
        <v>45</v>
      </c>
      <c r="C376" s="464"/>
      <c r="D376" s="465"/>
      <c r="E376" s="465"/>
      <c r="F376" s="465"/>
      <c r="G376" s="465"/>
      <c r="H376" s="465"/>
      <c r="I376" s="465"/>
      <c r="J376" s="466"/>
    </row>
    <row r="377" spans="2:10">
      <c r="B377" s="200" t="s">
        <v>45</v>
      </c>
      <c r="C377" s="464"/>
      <c r="D377" s="465"/>
      <c r="E377" s="465"/>
      <c r="F377" s="465"/>
      <c r="G377" s="465"/>
      <c r="H377" s="465"/>
      <c r="I377" s="465"/>
      <c r="J377" s="466"/>
    </row>
    <row r="378" spans="2:10">
      <c r="B378" s="200" t="s">
        <v>7</v>
      </c>
      <c r="C378" s="473" t="s">
        <v>1857</v>
      </c>
      <c r="D378" s="473"/>
      <c r="E378" s="473"/>
      <c r="F378" s="473"/>
      <c r="G378" s="473"/>
      <c r="H378" s="473"/>
      <c r="I378" s="473"/>
      <c r="J378" s="473"/>
    </row>
    <row r="379" spans="2:10" ht="18">
      <c r="B379" s="205" t="s">
        <v>52</v>
      </c>
      <c r="C379" s="477" t="s">
        <v>53</v>
      </c>
      <c r="D379" s="477"/>
      <c r="E379" s="477"/>
      <c r="F379" s="477"/>
      <c r="G379" s="477"/>
      <c r="H379" s="205" t="s">
        <v>54</v>
      </c>
      <c r="I379" s="205" t="s">
        <v>55</v>
      </c>
      <c r="J379" s="205" t="s">
        <v>56</v>
      </c>
    </row>
    <row r="380" spans="2:10">
      <c r="B380" s="200">
        <v>1</v>
      </c>
      <c r="C380" s="451" t="s">
        <v>1840</v>
      </c>
      <c r="D380" s="451"/>
      <c r="E380" s="451"/>
      <c r="F380" s="451"/>
      <c r="G380" s="451"/>
      <c r="H380" s="200" t="s">
        <v>1798</v>
      </c>
      <c r="I380" s="207" t="s">
        <v>1692</v>
      </c>
      <c r="J380" s="200" t="s">
        <v>1507</v>
      </c>
    </row>
    <row r="381" spans="2:10">
      <c r="B381" s="200">
        <v>2</v>
      </c>
      <c r="C381" s="449"/>
      <c r="D381" s="449"/>
      <c r="E381" s="449"/>
      <c r="F381" s="449"/>
      <c r="G381" s="449"/>
      <c r="H381" s="200"/>
      <c r="I381" s="207"/>
      <c r="J381" s="200"/>
    </row>
    <row r="382" spans="2:10">
      <c r="B382" s="200">
        <v>3</v>
      </c>
      <c r="C382" s="450"/>
      <c r="D382" s="450"/>
      <c r="E382" s="450"/>
      <c r="F382" s="450"/>
      <c r="G382" s="450"/>
      <c r="H382" s="200"/>
      <c r="I382" s="200"/>
      <c r="J382" s="200"/>
    </row>
    <row r="383" spans="2:10">
      <c r="B383" s="450" t="s">
        <v>63</v>
      </c>
      <c r="C383" s="450"/>
      <c r="D383" s="199" t="s">
        <v>31</v>
      </c>
      <c r="E383" s="198" t="s">
        <v>64</v>
      </c>
      <c r="F383" s="467"/>
      <c r="G383" s="469"/>
      <c r="H383" s="199"/>
      <c r="I383" s="199"/>
      <c r="J383" s="199"/>
    </row>
    <row r="384" spans="2:10" ht="45">
      <c r="B384" s="201" t="s">
        <v>66</v>
      </c>
      <c r="C384" s="450"/>
      <c r="D384" s="450"/>
      <c r="E384" s="201" t="s">
        <v>67</v>
      </c>
      <c r="F384" s="450"/>
      <c r="G384" s="450"/>
      <c r="H384" s="201" t="s">
        <v>68</v>
      </c>
      <c r="I384" s="450"/>
      <c r="J384" s="450"/>
    </row>
    <row r="387" spans="2:10" ht="26.25" customHeight="1">
      <c r="B387" s="1066" t="s">
        <v>13</v>
      </c>
      <c r="C387" s="1067"/>
      <c r="D387" s="1066" t="s">
        <v>14</v>
      </c>
      <c r="E387" s="1066"/>
      <c r="F387" s="1066"/>
      <c r="G387" s="1066"/>
      <c r="H387" s="1066"/>
      <c r="I387" s="1066"/>
      <c r="J387" s="259" t="s">
        <v>15</v>
      </c>
    </row>
    <row r="388" spans="2:10" ht="20.25" customHeight="1">
      <c r="B388" s="1067"/>
      <c r="C388" s="1067"/>
      <c r="D388" s="1068" t="s">
        <v>16</v>
      </c>
      <c r="E388" s="1068"/>
      <c r="F388" s="1068"/>
      <c r="G388" s="1068"/>
      <c r="H388" s="1068"/>
      <c r="I388" s="1068"/>
      <c r="J388" s="259" t="s">
        <v>17</v>
      </c>
    </row>
    <row r="389" spans="2:10">
      <c r="B389" s="1056" t="s">
        <v>18</v>
      </c>
      <c r="C389" s="1056"/>
      <c r="D389" s="260">
        <v>45745</v>
      </c>
      <c r="E389" s="218" t="s">
        <v>1460</v>
      </c>
      <c r="F389" s="1057" t="s">
        <v>159</v>
      </c>
      <c r="G389" s="1057"/>
      <c r="H389" s="220" t="s">
        <v>21</v>
      </c>
      <c r="I389" s="221" t="s">
        <v>1669</v>
      </c>
      <c r="J389" s="218" t="s">
        <v>23</v>
      </c>
    </row>
    <row r="390" spans="2:10">
      <c r="B390" s="1056" t="s">
        <v>24</v>
      </c>
      <c r="C390" s="1056"/>
      <c r="D390" s="222"/>
      <c r="E390" s="223" t="s">
        <v>25</v>
      </c>
      <c r="F390" s="1057" t="s">
        <v>26</v>
      </c>
      <c r="G390" s="1057"/>
      <c r="H390" s="218" t="s">
        <v>27</v>
      </c>
      <c r="I390" s="221" t="s">
        <v>867</v>
      </c>
      <c r="J390" s="221" t="s">
        <v>29</v>
      </c>
    </row>
    <row r="391" spans="2:10">
      <c r="B391" s="1056" t="s">
        <v>30</v>
      </c>
      <c r="C391" s="1056"/>
      <c r="D391" s="218" t="s">
        <v>31</v>
      </c>
      <c r="E391" s="218" t="s">
        <v>32</v>
      </c>
      <c r="F391" s="1057">
        <v>42</v>
      </c>
      <c r="G391" s="1057"/>
      <c r="H391" s="220" t="s">
        <v>33</v>
      </c>
      <c r="I391" s="261" t="s">
        <v>1858</v>
      </c>
      <c r="J391" s="221"/>
    </row>
    <row r="392" spans="2:10">
      <c r="B392" s="1062" t="s">
        <v>35</v>
      </c>
      <c r="C392" s="1062"/>
      <c r="D392" s="973" t="s">
        <v>1830</v>
      </c>
      <c r="E392" s="974"/>
      <c r="F392" s="974"/>
      <c r="G392" s="974"/>
      <c r="H392" s="974"/>
      <c r="I392" s="974"/>
      <c r="J392" s="975"/>
    </row>
    <row r="393" spans="2:10">
      <c r="B393" s="1031" t="s">
        <v>1859</v>
      </c>
      <c r="C393" s="1032"/>
      <c r="D393" s="1032"/>
      <c r="E393" s="1032"/>
      <c r="F393" s="1032"/>
      <c r="G393" s="1032"/>
      <c r="H393" s="1032"/>
      <c r="I393" s="1032"/>
      <c r="J393" s="1063"/>
    </row>
    <row r="394" spans="2:10">
      <c r="B394" s="1034"/>
      <c r="C394" s="1035"/>
      <c r="D394" s="1035"/>
      <c r="E394" s="1035"/>
      <c r="F394" s="1035"/>
      <c r="G394" s="1035"/>
      <c r="H394" s="1035"/>
      <c r="I394" s="1035"/>
      <c r="J394" s="1064"/>
    </row>
    <row r="395" spans="2:10">
      <c r="B395" s="1034"/>
      <c r="C395" s="1035"/>
      <c r="D395" s="1035"/>
      <c r="E395" s="1035"/>
      <c r="F395" s="1035"/>
      <c r="G395" s="1035"/>
      <c r="H395" s="1035"/>
      <c r="I395" s="1035"/>
      <c r="J395" s="1064"/>
    </row>
    <row r="396" spans="2:10">
      <c r="B396" s="1037"/>
      <c r="C396" s="1038"/>
      <c r="D396" s="1038"/>
      <c r="E396" s="1038"/>
      <c r="F396" s="1038"/>
      <c r="G396" s="1038"/>
      <c r="H396" s="1038"/>
      <c r="I396" s="1038"/>
      <c r="J396" s="1065"/>
    </row>
    <row r="397" spans="2:10" ht="18" customHeight="1">
      <c r="B397" s="979" t="s">
        <v>38</v>
      </c>
      <c r="C397" s="980"/>
      <c r="D397" s="980"/>
      <c r="E397" s="980"/>
      <c r="F397" s="980"/>
      <c r="G397" s="980"/>
      <c r="H397" s="980"/>
      <c r="I397" s="981"/>
      <c r="J397" s="224" t="s">
        <v>39</v>
      </c>
    </row>
    <row r="398" spans="2:10">
      <c r="B398" s="225">
        <v>1</v>
      </c>
      <c r="C398" s="973" t="s">
        <v>1860</v>
      </c>
      <c r="D398" s="974"/>
      <c r="E398" s="974"/>
      <c r="F398" s="974"/>
      <c r="G398" s="974"/>
      <c r="H398" s="974"/>
      <c r="I398" s="982"/>
      <c r="J398" s="225" t="s">
        <v>43</v>
      </c>
    </row>
    <row r="399" spans="2:10">
      <c r="B399" s="225">
        <v>2</v>
      </c>
      <c r="C399" s="973" t="s">
        <v>1861</v>
      </c>
      <c r="D399" s="974"/>
      <c r="E399" s="974"/>
      <c r="F399" s="974"/>
      <c r="G399" s="974"/>
      <c r="H399" s="974"/>
      <c r="I399" s="982"/>
      <c r="J399" s="225" t="s">
        <v>43</v>
      </c>
    </row>
    <row r="400" spans="2:10">
      <c r="B400" s="225">
        <v>3</v>
      </c>
      <c r="C400" s="973" t="s">
        <v>1114</v>
      </c>
      <c r="D400" s="974"/>
      <c r="E400" s="974"/>
      <c r="F400" s="974"/>
      <c r="G400" s="974"/>
      <c r="H400" s="974"/>
      <c r="I400" s="982"/>
      <c r="J400" s="225" t="s">
        <v>43</v>
      </c>
    </row>
    <row r="401" spans="2:10">
      <c r="B401" s="225">
        <v>4</v>
      </c>
      <c r="C401" s="973"/>
      <c r="D401" s="974"/>
      <c r="E401" s="974"/>
      <c r="F401" s="974"/>
      <c r="G401" s="974"/>
      <c r="H401" s="974"/>
      <c r="I401" s="982"/>
      <c r="J401" s="225" t="s">
        <v>43</v>
      </c>
    </row>
    <row r="402" spans="2:10" ht="18" customHeight="1">
      <c r="B402" s="979"/>
      <c r="C402" s="980"/>
      <c r="D402" s="980"/>
      <c r="E402" s="980"/>
      <c r="F402" s="980"/>
      <c r="G402" s="980"/>
      <c r="H402" s="980"/>
      <c r="I402" s="980"/>
      <c r="J402" s="981"/>
    </row>
    <row r="403" spans="2:10">
      <c r="B403" s="225" t="s">
        <v>45</v>
      </c>
      <c r="C403" s="1087" t="s">
        <v>1862</v>
      </c>
      <c r="D403" s="1088"/>
      <c r="E403" s="1088"/>
      <c r="F403" s="1088"/>
      <c r="G403" s="1088"/>
      <c r="H403" s="1088"/>
      <c r="I403" s="1088"/>
      <c r="J403" s="1089"/>
    </row>
    <row r="404" spans="2:10">
      <c r="B404" s="219" t="s">
        <v>45</v>
      </c>
      <c r="C404" s="986" t="s">
        <v>1863</v>
      </c>
      <c r="D404" s="1090"/>
      <c r="E404" s="1090"/>
      <c r="F404" s="1090"/>
      <c r="G404" s="1090"/>
      <c r="H404" s="1090"/>
      <c r="I404" s="1090"/>
      <c r="J404" s="1091"/>
    </row>
    <row r="405" spans="2:10">
      <c r="B405" s="219" t="s">
        <v>45</v>
      </c>
      <c r="C405" s="1060" t="s">
        <v>1864</v>
      </c>
      <c r="D405" s="1060"/>
      <c r="E405" s="1060"/>
      <c r="F405" s="1060"/>
      <c r="G405" s="1060"/>
      <c r="H405" s="1060"/>
      <c r="I405" s="1060"/>
      <c r="J405" s="1060"/>
    </row>
    <row r="406" spans="2:10">
      <c r="B406" s="219" t="s">
        <v>45</v>
      </c>
      <c r="C406" s="1060"/>
      <c r="D406" s="1060"/>
      <c r="E406" s="1060"/>
      <c r="F406" s="1060"/>
      <c r="G406" s="1060"/>
      <c r="H406" s="1060"/>
      <c r="I406" s="1060"/>
      <c r="J406" s="1060"/>
    </row>
    <row r="407" spans="2:10">
      <c r="B407" s="219" t="s">
        <v>45</v>
      </c>
      <c r="C407" s="1060"/>
      <c r="D407" s="1060"/>
      <c r="E407" s="1060"/>
      <c r="F407" s="1060"/>
      <c r="G407" s="1060"/>
      <c r="H407" s="1060"/>
      <c r="I407" s="1060"/>
      <c r="J407" s="1060"/>
    </row>
    <row r="408" spans="2:10">
      <c r="B408" s="219" t="s">
        <v>45</v>
      </c>
      <c r="C408" s="973"/>
      <c r="D408" s="974"/>
      <c r="E408" s="974"/>
      <c r="F408" s="974"/>
      <c r="G408" s="974"/>
      <c r="H408" s="974"/>
      <c r="I408" s="974"/>
      <c r="J408" s="982"/>
    </row>
    <row r="409" spans="2:10">
      <c r="B409" s="225" t="s">
        <v>45</v>
      </c>
      <c r="C409" s="973"/>
      <c r="D409" s="974"/>
      <c r="E409" s="974"/>
      <c r="F409" s="974"/>
      <c r="G409" s="974"/>
      <c r="H409" s="974"/>
      <c r="I409" s="974"/>
      <c r="J409" s="982"/>
    </row>
    <row r="410" spans="2:10">
      <c r="B410" s="225" t="s">
        <v>7</v>
      </c>
      <c r="C410" s="1060" t="s">
        <v>1864</v>
      </c>
      <c r="D410" s="1060"/>
      <c r="E410" s="1060"/>
      <c r="F410" s="1060"/>
      <c r="G410" s="1060"/>
      <c r="H410" s="1060"/>
      <c r="I410" s="1060"/>
      <c r="J410" s="1060"/>
    </row>
    <row r="411" spans="2:10" ht="18" customHeight="1">
      <c r="B411" s="224" t="s">
        <v>52</v>
      </c>
      <c r="C411" s="1061" t="s">
        <v>53</v>
      </c>
      <c r="D411" s="1061"/>
      <c r="E411" s="1061"/>
      <c r="F411" s="1061"/>
      <c r="G411" s="1061"/>
      <c r="H411" s="224" t="s">
        <v>54</v>
      </c>
      <c r="I411" s="224" t="s">
        <v>55</v>
      </c>
      <c r="J411" s="224" t="s">
        <v>56</v>
      </c>
    </row>
    <row r="412" spans="2:10">
      <c r="B412" s="225">
        <v>1</v>
      </c>
      <c r="C412" s="1062" t="s">
        <v>1865</v>
      </c>
      <c r="D412" s="1062"/>
      <c r="E412" s="1062"/>
      <c r="F412" s="1062"/>
      <c r="G412" s="1062"/>
      <c r="H412" s="225" t="s">
        <v>1823</v>
      </c>
      <c r="I412" s="226" t="s">
        <v>1692</v>
      </c>
      <c r="J412" s="225" t="s">
        <v>1507</v>
      </c>
    </row>
    <row r="413" spans="2:10">
      <c r="B413" s="225">
        <v>2</v>
      </c>
      <c r="C413" s="1056" t="s">
        <v>1866</v>
      </c>
      <c r="D413" s="1056"/>
      <c r="E413" s="1056"/>
      <c r="F413" s="1056"/>
      <c r="G413" s="1056"/>
      <c r="H413" s="225" t="s">
        <v>1823</v>
      </c>
      <c r="I413" s="226" t="s">
        <v>1692</v>
      </c>
      <c r="J413" s="225" t="s">
        <v>1507</v>
      </c>
    </row>
    <row r="414" spans="2:10">
      <c r="B414" s="225">
        <v>3</v>
      </c>
      <c r="C414" s="1057"/>
      <c r="D414" s="1057"/>
      <c r="E414" s="1057"/>
      <c r="F414" s="1057"/>
      <c r="G414" s="1057"/>
      <c r="H414" s="225"/>
      <c r="I414" s="225"/>
      <c r="J414" s="225"/>
    </row>
    <row r="415" spans="2:10">
      <c r="B415" s="1057" t="s">
        <v>63</v>
      </c>
      <c r="C415" s="1057"/>
      <c r="D415" s="218" t="s">
        <v>31</v>
      </c>
      <c r="E415" s="227" t="s">
        <v>64</v>
      </c>
      <c r="F415" s="983"/>
      <c r="G415" s="975"/>
      <c r="H415" s="218"/>
      <c r="I415" s="218"/>
      <c r="J415" s="218"/>
    </row>
    <row r="416" spans="2:10" ht="15" customHeight="1">
      <c r="B416" s="220" t="s">
        <v>66</v>
      </c>
      <c r="C416" s="1057"/>
      <c r="D416" s="1057"/>
      <c r="E416" s="220" t="s">
        <v>67</v>
      </c>
      <c r="F416" s="1057"/>
      <c r="G416" s="1057"/>
      <c r="H416" s="220" t="s">
        <v>68</v>
      </c>
      <c r="I416" s="1057"/>
      <c r="J416" s="1057"/>
    </row>
    <row r="419" spans="2:10" ht="26.25" customHeight="1">
      <c r="B419" s="1066" t="s">
        <v>13</v>
      </c>
      <c r="C419" s="1067"/>
      <c r="D419" s="1066" t="s">
        <v>14</v>
      </c>
      <c r="E419" s="1066"/>
      <c r="F419" s="1066"/>
      <c r="G419" s="1066"/>
      <c r="H419" s="1066"/>
      <c r="I419" s="1066"/>
      <c r="J419" s="259" t="s">
        <v>15</v>
      </c>
    </row>
    <row r="420" spans="2:10" ht="20.25" customHeight="1">
      <c r="B420" s="1067"/>
      <c r="C420" s="1067"/>
      <c r="D420" s="1068" t="s">
        <v>16</v>
      </c>
      <c r="E420" s="1068"/>
      <c r="F420" s="1068"/>
      <c r="G420" s="1068"/>
      <c r="H420" s="1068"/>
      <c r="I420" s="1068"/>
      <c r="J420" s="259" t="s">
        <v>17</v>
      </c>
    </row>
    <row r="421" spans="2:10">
      <c r="B421" s="1056" t="s">
        <v>18</v>
      </c>
      <c r="C421" s="1056"/>
      <c r="D421" s="260">
        <v>45746</v>
      </c>
      <c r="E421" s="218" t="s">
        <v>1460</v>
      </c>
      <c r="F421" s="1057" t="s">
        <v>131</v>
      </c>
      <c r="G421" s="1057"/>
      <c r="H421" s="220" t="s">
        <v>21</v>
      </c>
      <c r="I421" s="221" t="s">
        <v>1669</v>
      </c>
      <c r="J421" s="218" t="s">
        <v>23</v>
      </c>
    </row>
    <row r="422" spans="2:10">
      <c r="B422" s="1056" t="s">
        <v>24</v>
      </c>
      <c r="C422" s="1056"/>
      <c r="D422" s="222"/>
      <c r="E422" s="223" t="s">
        <v>25</v>
      </c>
      <c r="F422" s="1057" t="s">
        <v>26</v>
      </c>
      <c r="G422" s="1057"/>
      <c r="H422" s="218" t="s">
        <v>27</v>
      </c>
      <c r="I422" s="221" t="s">
        <v>917</v>
      </c>
      <c r="J422" s="221" t="s">
        <v>31</v>
      </c>
    </row>
    <row r="423" spans="2:10">
      <c r="B423" s="1056" t="s">
        <v>30</v>
      </c>
      <c r="C423" s="1056"/>
      <c r="D423" s="218" t="s">
        <v>31</v>
      </c>
      <c r="E423" s="218" t="s">
        <v>32</v>
      </c>
      <c r="F423" s="1057">
        <v>410</v>
      </c>
      <c r="G423" s="1057"/>
      <c r="H423" s="220" t="s">
        <v>33</v>
      </c>
      <c r="I423" s="261" t="s">
        <v>1829</v>
      </c>
      <c r="J423" s="221"/>
    </row>
    <row r="424" spans="2:10">
      <c r="B424" s="1062" t="s">
        <v>35</v>
      </c>
      <c r="C424" s="1062"/>
      <c r="D424" s="973" t="s">
        <v>1830</v>
      </c>
      <c r="E424" s="974"/>
      <c r="F424" s="974"/>
      <c r="G424" s="974"/>
      <c r="H424" s="974"/>
      <c r="I424" s="974"/>
      <c r="J424" s="975"/>
    </row>
    <row r="425" spans="2:10">
      <c r="B425" s="1031" t="s">
        <v>1867</v>
      </c>
      <c r="C425" s="1032"/>
      <c r="D425" s="1032"/>
      <c r="E425" s="1032"/>
      <c r="F425" s="1032"/>
      <c r="G425" s="1032"/>
      <c r="H425" s="1032"/>
      <c r="I425" s="1032"/>
      <c r="J425" s="1063"/>
    </row>
    <row r="426" spans="2:10">
      <c r="B426" s="1034"/>
      <c r="C426" s="1035"/>
      <c r="D426" s="1035"/>
      <c r="E426" s="1035"/>
      <c r="F426" s="1035"/>
      <c r="G426" s="1035"/>
      <c r="H426" s="1035"/>
      <c r="I426" s="1035"/>
      <c r="J426" s="1064"/>
    </row>
    <row r="427" spans="2:10">
      <c r="B427" s="1034"/>
      <c r="C427" s="1035"/>
      <c r="D427" s="1035"/>
      <c r="E427" s="1035"/>
      <c r="F427" s="1035"/>
      <c r="G427" s="1035"/>
      <c r="H427" s="1035"/>
      <c r="I427" s="1035"/>
      <c r="J427" s="1064"/>
    </row>
    <row r="428" spans="2:10">
      <c r="B428" s="1037"/>
      <c r="C428" s="1038"/>
      <c r="D428" s="1038"/>
      <c r="E428" s="1038"/>
      <c r="F428" s="1038"/>
      <c r="G428" s="1038"/>
      <c r="H428" s="1038"/>
      <c r="I428" s="1038"/>
      <c r="J428" s="1065"/>
    </row>
    <row r="429" spans="2:10" ht="18" customHeight="1">
      <c r="B429" s="979" t="s">
        <v>38</v>
      </c>
      <c r="C429" s="980"/>
      <c r="D429" s="980"/>
      <c r="E429" s="980"/>
      <c r="F429" s="980"/>
      <c r="G429" s="980"/>
      <c r="H429" s="980"/>
      <c r="I429" s="981"/>
      <c r="J429" s="224" t="s">
        <v>39</v>
      </c>
    </row>
    <row r="430" spans="2:10">
      <c r="B430" s="225">
        <v>1</v>
      </c>
      <c r="C430" s="464" t="s">
        <v>1868</v>
      </c>
      <c r="D430" s="465"/>
      <c r="E430" s="465"/>
      <c r="F430" s="465"/>
      <c r="G430" s="465"/>
      <c r="H430" s="465"/>
      <c r="I430" s="466"/>
      <c r="J430" s="225" t="s">
        <v>43</v>
      </c>
    </row>
    <row r="431" spans="2:10">
      <c r="B431" s="225">
        <v>2</v>
      </c>
      <c r="C431" s="464" t="s">
        <v>1869</v>
      </c>
      <c r="D431" s="465"/>
      <c r="E431" s="465"/>
      <c r="F431" s="465"/>
      <c r="G431" s="465"/>
      <c r="H431" s="465"/>
      <c r="I431" s="466"/>
      <c r="J431" s="225" t="s">
        <v>43</v>
      </c>
    </row>
    <row r="432" spans="2:10">
      <c r="B432" s="225">
        <v>3</v>
      </c>
      <c r="C432" s="464" t="s">
        <v>1870</v>
      </c>
      <c r="D432" s="465"/>
      <c r="E432" s="465"/>
      <c r="F432" s="465"/>
      <c r="G432" s="465"/>
      <c r="H432" s="465"/>
      <c r="I432" s="466"/>
      <c r="J432" s="225" t="s">
        <v>43</v>
      </c>
    </row>
    <row r="433" spans="2:10">
      <c r="B433" s="225">
        <v>4</v>
      </c>
      <c r="C433" s="973"/>
      <c r="D433" s="974"/>
      <c r="E433" s="974"/>
      <c r="F433" s="974"/>
      <c r="G433" s="974"/>
      <c r="H433" s="974"/>
      <c r="I433" s="982"/>
      <c r="J433" s="225" t="s">
        <v>43</v>
      </c>
    </row>
    <row r="434" spans="2:10" ht="18" customHeight="1">
      <c r="B434" s="979"/>
      <c r="C434" s="980"/>
      <c r="D434" s="980"/>
      <c r="E434" s="980"/>
      <c r="F434" s="980"/>
      <c r="G434" s="980"/>
      <c r="H434" s="980"/>
      <c r="I434" s="980"/>
      <c r="J434" s="981"/>
    </row>
    <row r="435" spans="2:10">
      <c r="B435" s="225" t="s">
        <v>45</v>
      </c>
      <c r="C435" s="1058" t="s">
        <v>1871</v>
      </c>
      <c r="D435" s="471"/>
      <c r="E435" s="471"/>
      <c r="F435" s="471"/>
      <c r="G435" s="471"/>
      <c r="H435" s="471"/>
      <c r="I435" s="471"/>
      <c r="J435" s="472"/>
    </row>
    <row r="436" spans="2:10">
      <c r="B436" s="219" t="s">
        <v>45</v>
      </c>
      <c r="C436" s="1059" t="s">
        <v>1857</v>
      </c>
      <c r="D436" s="473"/>
      <c r="E436" s="473"/>
      <c r="F436" s="473"/>
      <c r="G436" s="473"/>
      <c r="H436" s="473"/>
      <c r="I436" s="473"/>
      <c r="J436" s="473"/>
    </row>
    <row r="437" spans="2:10">
      <c r="B437" s="219" t="s">
        <v>45</v>
      </c>
      <c r="C437" s="1060"/>
      <c r="D437" s="1060"/>
      <c r="E437" s="1060"/>
      <c r="F437" s="1060"/>
      <c r="G437" s="1060"/>
      <c r="H437" s="1060"/>
      <c r="I437" s="1060"/>
      <c r="J437" s="1060"/>
    </row>
    <row r="438" spans="2:10">
      <c r="B438" s="219" t="s">
        <v>45</v>
      </c>
      <c r="C438" s="1060"/>
      <c r="D438" s="1060"/>
      <c r="E438" s="1060"/>
      <c r="F438" s="1060"/>
      <c r="G438" s="1060"/>
      <c r="H438" s="1060"/>
      <c r="I438" s="1060"/>
      <c r="J438" s="1060"/>
    </row>
    <row r="439" spans="2:10">
      <c r="B439" s="219" t="s">
        <v>45</v>
      </c>
      <c r="C439" s="1060"/>
      <c r="D439" s="1060"/>
      <c r="E439" s="1060"/>
      <c r="F439" s="1060"/>
      <c r="G439" s="1060"/>
      <c r="H439" s="1060"/>
      <c r="I439" s="1060"/>
      <c r="J439" s="1060"/>
    </row>
    <row r="440" spans="2:10">
      <c r="B440" s="219" t="s">
        <v>45</v>
      </c>
      <c r="C440" s="973"/>
      <c r="D440" s="974"/>
      <c r="E440" s="974"/>
      <c r="F440" s="974"/>
      <c r="G440" s="974"/>
      <c r="H440" s="974"/>
      <c r="I440" s="974"/>
      <c r="J440" s="982"/>
    </row>
    <row r="441" spans="2:10">
      <c r="B441" s="225" t="s">
        <v>45</v>
      </c>
      <c r="C441" s="973"/>
      <c r="D441" s="974"/>
      <c r="E441" s="974"/>
      <c r="F441" s="974"/>
      <c r="G441" s="974"/>
      <c r="H441" s="974"/>
      <c r="I441" s="974"/>
      <c r="J441" s="982"/>
    </row>
    <row r="442" spans="2:10">
      <c r="B442" s="225" t="s">
        <v>7</v>
      </c>
      <c r="C442" s="1060" t="s">
        <v>1864</v>
      </c>
      <c r="D442" s="1060"/>
      <c r="E442" s="1060"/>
      <c r="F442" s="1060"/>
      <c r="G442" s="1060"/>
      <c r="H442" s="1060"/>
      <c r="I442" s="1060"/>
      <c r="J442" s="1060"/>
    </row>
    <row r="443" spans="2:10" ht="18" customHeight="1">
      <c r="B443" s="224" t="s">
        <v>52</v>
      </c>
      <c r="C443" s="1061" t="s">
        <v>53</v>
      </c>
      <c r="D443" s="1061"/>
      <c r="E443" s="1061"/>
      <c r="F443" s="1061"/>
      <c r="G443" s="1061"/>
      <c r="H443" s="224" t="s">
        <v>54</v>
      </c>
      <c r="I443" s="224" t="s">
        <v>55</v>
      </c>
      <c r="J443" s="224" t="s">
        <v>56</v>
      </c>
    </row>
    <row r="444" spans="2:10" ht="15" customHeight="1">
      <c r="B444" s="225">
        <v>1</v>
      </c>
      <c r="C444" s="451" t="s">
        <v>1840</v>
      </c>
      <c r="D444" s="451"/>
      <c r="E444" s="451"/>
      <c r="F444" s="451"/>
      <c r="G444" s="451"/>
      <c r="H444" s="225" t="s">
        <v>1823</v>
      </c>
      <c r="I444" s="226" t="s">
        <v>1692</v>
      </c>
      <c r="J444" s="225" t="s">
        <v>1507</v>
      </c>
    </row>
    <row r="445" spans="2:10">
      <c r="B445" s="225">
        <v>2</v>
      </c>
      <c r="C445" s="1056" t="s">
        <v>1872</v>
      </c>
      <c r="D445" s="1056"/>
      <c r="E445" s="1056"/>
      <c r="F445" s="1056"/>
      <c r="G445" s="1056"/>
      <c r="H445" s="225" t="s">
        <v>1823</v>
      </c>
      <c r="I445" s="226" t="s">
        <v>1692</v>
      </c>
      <c r="J445" s="225" t="s">
        <v>1507</v>
      </c>
    </row>
    <row r="446" spans="2:10">
      <c r="B446" s="225">
        <v>3</v>
      </c>
      <c r="C446" s="1056" t="s">
        <v>1873</v>
      </c>
      <c r="D446" s="1056"/>
      <c r="E446" s="1056"/>
      <c r="F446" s="1056"/>
      <c r="G446" s="1056"/>
      <c r="H446" s="225"/>
      <c r="I446" s="225"/>
      <c r="J446" s="225"/>
    </row>
    <row r="447" spans="2:10">
      <c r="B447" s="1057" t="s">
        <v>63</v>
      </c>
      <c r="C447" s="1057"/>
      <c r="D447" s="218" t="s">
        <v>31</v>
      </c>
      <c r="E447" s="227" t="s">
        <v>64</v>
      </c>
      <c r="F447" s="983"/>
      <c r="G447" s="975"/>
      <c r="H447" s="218"/>
      <c r="I447" s="218"/>
      <c r="J447" s="218"/>
    </row>
    <row r="448" spans="2:10" ht="15" customHeight="1">
      <c r="B448" s="220" t="s">
        <v>66</v>
      </c>
      <c r="C448" s="1057"/>
      <c r="D448" s="1057"/>
      <c r="E448" s="220" t="s">
        <v>67</v>
      </c>
      <c r="F448" s="1057"/>
      <c r="G448" s="1057"/>
      <c r="H448" s="220" t="s">
        <v>68</v>
      </c>
      <c r="I448" s="1057"/>
      <c r="J448" s="1057"/>
    </row>
  </sheetData>
  <autoFilter ref="B2:K31" xr:uid="{7E3221BD-3E6C-4BA8-BFAD-98351ACD7F09}">
    <filterColumn colId="1" showButton="0"/>
    <filterColumn colId="7">
      <filters>
        <filter val="Yes"/>
      </filters>
    </filterColumn>
  </autoFilter>
  <mergeCells count="459">
    <mergeCell ref="C412:G412"/>
    <mergeCell ref="C413:G413"/>
    <mergeCell ref="C414:G414"/>
    <mergeCell ref="B415:C415"/>
    <mergeCell ref="F415:G415"/>
    <mergeCell ref="C416:D416"/>
    <mergeCell ref="F416:G416"/>
    <mergeCell ref="I416:J416"/>
    <mergeCell ref="C403:J403"/>
    <mergeCell ref="C404:J404"/>
    <mergeCell ref="C405:J405"/>
    <mergeCell ref="C406:J406"/>
    <mergeCell ref="C407:J407"/>
    <mergeCell ref="C408:J408"/>
    <mergeCell ref="C409:J409"/>
    <mergeCell ref="C410:J410"/>
    <mergeCell ref="C411:G411"/>
    <mergeCell ref="B392:C392"/>
    <mergeCell ref="D392:J392"/>
    <mergeCell ref="B393:J396"/>
    <mergeCell ref="B397:I397"/>
    <mergeCell ref="C398:I398"/>
    <mergeCell ref="C399:I399"/>
    <mergeCell ref="C400:I400"/>
    <mergeCell ref="C401:I401"/>
    <mergeCell ref="B402:J402"/>
    <mergeCell ref="B387:C388"/>
    <mergeCell ref="D387:I387"/>
    <mergeCell ref="D388:I388"/>
    <mergeCell ref="B389:C389"/>
    <mergeCell ref="F389:G389"/>
    <mergeCell ref="B390:C390"/>
    <mergeCell ref="F390:G390"/>
    <mergeCell ref="B391:C391"/>
    <mergeCell ref="F391:G391"/>
    <mergeCell ref="I318:J318"/>
    <mergeCell ref="C315:G315"/>
    <mergeCell ref="C316:G316"/>
    <mergeCell ref="B317:C317"/>
    <mergeCell ref="F317:G317"/>
    <mergeCell ref="C318:D318"/>
    <mergeCell ref="F318:G318"/>
    <mergeCell ref="C309:J309"/>
    <mergeCell ref="C310:J310"/>
    <mergeCell ref="C311:J311"/>
    <mergeCell ref="C312:J312"/>
    <mergeCell ref="C313:G313"/>
    <mergeCell ref="C314:G314"/>
    <mergeCell ref="C277:J277"/>
    <mergeCell ref="C278:G278"/>
    <mergeCell ref="C279:G279"/>
    <mergeCell ref="I283:J283"/>
    <mergeCell ref="C268:I268"/>
    <mergeCell ref="C125:G125"/>
    <mergeCell ref="B126:C126"/>
    <mergeCell ref="F126:G126"/>
    <mergeCell ref="C127:D127"/>
    <mergeCell ref="F127:G127"/>
    <mergeCell ref="I127:J127"/>
    <mergeCell ref="B269:J269"/>
    <mergeCell ref="C270:J270"/>
    <mergeCell ref="C271:J271"/>
    <mergeCell ref="C272:J272"/>
    <mergeCell ref="C246:G246"/>
    <mergeCell ref="C247:G247"/>
    <mergeCell ref="C248:G248"/>
    <mergeCell ref="C249:G249"/>
    <mergeCell ref="B250:C250"/>
    <mergeCell ref="F250:G250"/>
    <mergeCell ref="B259:C259"/>
    <mergeCell ref="F259:G259"/>
    <mergeCell ref="B255:C256"/>
    <mergeCell ref="C308:J308"/>
    <mergeCell ref="B294:C294"/>
    <mergeCell ref="D294:J294"/>
    <mergeCell ref="B295:J298"/>
    <mergeCell ref="B299:I299"/>
    <mergeCell ref="C300:I300"/>
    <mergeCell ref="C301:I301"/>
    <mergeCell ref="C303:I303"/>
    <mergeCell ref="B291:C291"/>
    <mergeCell ref="F291:G291"/>
    <mergeCell ref="B292:C292"/>
    <mergeCell ref="F292:G292"/>
    <mergeCell ref="B293:C293"/>
    <mergeCell ref="F293:G293"/>
    <mergeCell ref="C302:I302"/>
    <mergeCell ref="B304:J304"/>
    <mergeCell ref="C305:J305"/>
    <mergeCell ref="C306:J306"/>
    <mergeCell ref="C307:J307"/>
    <mergeCell ref="D255:I255"/>
    <mergeCell ref="D256:I256"/>
    <mergeCell ref="C267:I267"/>
    <mergeCell ref="B257:C257"/>
    <mergeCell ref="F257:G257"/>
    <mergeCell ref="B258:C258"/>
    <mergeCell ref="F258:G258"/>
    <mergeCell ref="B220:C220"/>
    <mergeCell ref="F220:G220"/>
    <mergeCell ref="C221:D221"/>
    <mergeCell ref="F221:G221"/>
    <mergeCell ref="C242:J242"/>
    <mergeCell ref="C243:J243"/>
    <mergeCell ref="C244:J244"/>
    <mergeCell ref="C245:J245"/>
    <mergeCell ref="B289:C290"/>
    <mergeCell ref="D289:I289"/>
    <mergeCell ref="D290:I290"/>
    <mergeCell ref="C214:J214"/>
    <mergeCell ref="C215:J215"/>
    <mergeCell ref="C216:G216"/>
    <mergeCell ref="C217:G217"/>
    <mergeCell ref="C218:G218"/>
    <mergeCell ref="C219:G219"/>
    <mergeCell ref="C280:G280"/>
    <mergeCell ref="C281:G281"/>
    <mergeCell ref="B282:C282"/>
    <mergeCell ref="F282:G282"/>
    <mergeCell ref="C283:D283"/>
    <mergeCell ref="F283:G283"/>
    <mergeCell ref="C274:J274"/>
    <mergeCell ref="C275:J275"/>
    <mergeCell ref="C276:J276"/>
    <mergeCell ref="C273:J273"/>
    <mergeCell ref="B260:C260"/>
    <mergeCell ref="D260:J260"/>
    <mergeCell ref="B261:J264"/>
    <mergeCell ref="B265:I265"/>
    <mergeCell ref="C266:I266"/>
    <mergeCell ref="B199:J202"/>
    <mergeCell ref="B203:I203"/>
    <mergeCell ref="C204:I204"/>
    <mergeCell ref="C205:I205"/>
    <mergeCell ref="C206:I206"/>
    <mergeCell ref="B207:J207"/>
    <mergeCell ref="C172:I172"/>
    <mergeCell ref="C173:I173"/>
    <mergeCell ref="B163:C163"/>
    <mergeCell ref="F163:G163"/>
    <mergeCell ref="C174:I174"/>
    <mergeCell ref="B175:J175"/>
    <mergeCell ref="C176:J176"/>
    <mergeCell ref="C177:J177"/>
    <mergeCell ref="C178:J178"/>
    <mergeCell ref="C179:J179"/>
    <mergeCell ref="B157:C157"/>
    <mergeCell ref="F157:G157"/>
    <mergeCell ref="C158:D158"/>
    <mergeCell ref="F158:G158"/>
    <mergeCell ref="C251:D251"/>
    <mergeCell ref="F251:G251"/>
    <mergeCell ref="B196:C196"/>
    <mergeCell ref="F196:G196"/>
    <mergeCell ref="B197:C197"/>
    <mergeCell ref="F197:G197"/>
    <mergeCell ref="B198:C198"/>
    <mergeCell ref="D198:J198"/>
    <mergeCell ref="B193:C194"/>
    <mergeCell ref="D193:I193"/>
    <mergeCell ref="D194:I194"/>
    <mergeCell ref="B195:C195"/>
    <mergeCell ref="F195:G195"/>
    <mergeCell ref="I251:J251"/>
    <mergeCell ref="I158:J158"/>
    <mergeCell ref="C241:J241"/>
    <mergeCell ref="C238:J238"/>
    <mergeCell ref="C239:J239"/>
    <mergeCell ref="C240:J240"/>
    <mergeCell ref="C185:G185"/>
    <mergeCell ref="C208:J208"/>
    <mergeCell ref="C209:J209"/>
    <mergeCell ref="C210:J210"/>
    <mergeCell ref="C211:J211"/>
    <mergeCell ref="C212:J212"/>
    <mergeCell ref="C213:J213"/>
    <mergeCell ref="I221:J221"/>
    <mergeCell ref="C147:J147"/>
    <mergeCell ref="C148:J148"/>
    <mergeCell ref="C149:J149"/>
    <mergeCell ref="C150:J150"/>
    <mergeCell ref="I190:J190"/>
    <mergeCell ref="C190:D190"/>
    <mergeCell ref="F190:G190"/>
    <mergeCell ref="C151:J151"/>
    <mergeCell ref="C152:J152"/>
    <mergeCell ref="C153:G153"/>
    <mergeCell ref="C154:G154"/>
    <mergeCell ref="C155:G155"/>
    <mergeCell ref="C156:G156"/>
    <mergeCell ref="B166:C166"/>
    <mergeCell ref="D166:J166"/>
    <mergeCell ref="B167:J170"/>
    <mergeCell ref="B171:I171"/>
    <mergeCell ref="B136:J139"/>
    <mergeCell ref="B140:I140"/>
    <mergeCell ref="C141:I141"/>
    <mergeCell ref="C142:I142"/>
    <mergeCell ref="C143:I143"/>
    <mergeCell ref="B144:J144"/>
    <mergeCell ref="B134:C134"/>
    <mergeCell ref="F134:G134"/>
    <mergeCell ref="B135:C135"/>
    <mergeCell ref="D135:J135"/>
    <mergeCell ref="B130:C131"/>
    <mergeCell ref="D130:I130"/>
    <mergeCell ref="D131:I131"/>
    <mergeCell ref="B132:C132"/>
    <mergeCell ref="F132:G132"/>
    <mergeCell ref="C186:G186"/>
    <mergeCell ref="C187:G187"/>
    <mergeCell ref="C188:G188"/>
    <mergeCell ref="B189:C189"/>
    <mergeCell ref="F189:G189"/>
    <mergeCell ref="C180:J180"/>
    <mergeCell ref="C181:J181"/>
    <mergeCell ref="C182:J182"/>
    <mergeCell ref="C183:J183"/>
    <mergeCell ref="C184:G184"/>
    <mergeCell ref="C145:J145"/>
    <mergeCell ref="C146:J146"/>
    <mergeCell ref="B164:C164"/>
    <mergeCell ref="F164:G164"/>
    <mergeCell ref="B165:C165"/>
    <mergeCell ref="F165:G165"/>
    <mergeCell ref="B161:C162"/>
    <mergeCell ref="D161:I161"/>
    <mergeCell ref="D162:I162"/>
    <mergeCell ref="C94:G94"/>
    <mergeCell ref="C111:I111"/>
    <mergeCell ref="C112:I112"/>
    <mergeCell ref="B113:J113"/>
    <mergeCell ref="B102:C102"/>
    <mergeCell ref="F102:G102"/>
    <mergeCell ref="B103:C103"/>
    <mergeCell ref="F103:G103"/>
    <mergeCell ref="B104:C104"/>
    <mergeCell ref="D104:J104"/>
    <mergeCell ref="B105:J108"/>
    <mergeCell ref="B109:I109"/>
    <mergeCell ref="C110:I110"/>
    <mergeCell ref="B95:C95"/>
    <mergeCell ref="F95:G95"/>
    <mergeCell ref="C96:D96"/>
    <mergeCell ref="F96:G96"/>
    <mergeCell ref="B99:C100"/>
    <mergeCell ref="D99:I99"/>
    <mergeCell ref="D100:I100"/>
    <mergeCell ref="B101:C101"/>
    <mergeCell ref="F101:G101"/>
    <mergeCell ref="I96:J96"/>
    <mergeCell ref="C123:G123"/>
    <mergeCell ref="C124:G124"/>
    <mergeCell ref="B133:C133"/>
    <mergeCell ref="F133:G133"/>
    <mergeCell ref="C83:J83"/>
    <mergeCell ref="C84:J84"/>
    <mergeCell ref="C85:J85"/>
    <mergeCell ref="C86:J86"/>
    <mergeCell ref="C87:J87"/>
    <mergeCell ref="C88:J88"/>
    <mergeCell ref="C114:J114"/>
    <mergeCell ref="C115:J115"/>
    <mergeCell ref="C116:J116"/>
    <mergeCell ref="C117:J117"/>
    <mergeCell ref="C118:J118"/>
    <mergeCell ref="C119:J119"/>
    <mergeCell ref="C120:J120"/>
    <mergeCell ref="C121:J121"/>
    <mergeCell ref="C122:G122"/>
    <mergeCell ref="C89:J89"/>
    <mergeCell ref="C90:J90"/>
    <mergeCell ref="C91:G91"/>
    <mergeCell ref="C92:G92"/>
    <mergeCell ref="C93:G93"/>
    <mergeCell ref="B74:J77"/>
    <mergeCell ref="B78:I78"/>
    <mergeCell ref="C79:I79"/>
    <mergeCell ref="C80:I80"/>
    <mergeCell ref="C81:I81"/>
    <mergeCell ref="B82:J82"/>
    <mergeCell ref="B71:C71"/>
    <mergeCell ref="F71:G71"/>
    <mergeCell ref="B72:C72"/>
    <mergeCell ref="F72:G72"/>
    <mergeCell ref="B73:C73"/>
    <mergeCell ref="D73:J73"/>
    <mergeCell ref="I65:J65"/>
    <mergeCell ref="B68:C69"/>
    <mergeCell ref="D68:I68"/>
    <mergeCell ref="D69:I69"/>
    <mergeCell ref="B70:C70"/>
    <mergeCell ref="F70:G70"/>
    <mergeCell ref="F64:G64"/>
    <mergeCell ref="C65:D65"/>
    <mergeCell ref="F65:G65"/>
    <mergeCell ref="C56:J56"/>
    <mergeCell ref="C57:J57"/>
    <mergeCell ref="C58:J58"/>
    <mergeCell ref="C59:J59"/>
    <mergeCell ref="C60:G60"/>
    <mergeCell ref="C61:G61"/>
    <mergeCell ref="C62:G62"/>
    <mergeCell ref="C63:G63"/>
    <mergeCell ref="B64:C64"/>
    <mergeCell ref="K2:K3"/>
    <mergeCell ref="E31:K34"/>
    <mergeCell ref="C33:D33"/>
    <mergeCell ref="B37:C38"/>
    <mergeCell ref="D37:I37"/>
    <mergeCell ref="D38:I38"/>
    <mergeCell ref="B2:B3"/>
    <mergeCell ref="C2:D2"/>
    <mergeCell ref="E2:E3"/>
    <mergeCell ref="F2:F3"/>
    <mergeCell ref="G2:G3"/>
    <mergeCell ref="H2:H3"/>
    <mergeCell ref="B39:C39"/>
    <mergeCell ref="F39:G39"/>
    <mergeCell ref="B40:C40"/>
    <mergeCell ref="F40:G40"/>
    <mergeCell ref="B41:C41"/>
    <mergeCell ref="F41:G41"/>
    <mergeCell ref="I2:I3"/>
    <mergeCell ref="J2:J3"/>
    <mergeCell ref="C50:I50"/>
    <mergeCell ref="B51:J51"/>
    <mergeCell ref="C52:J52"/>
    <mergeCell ref="C53:J53"/>
    <mergeCell ref="C54:J54"/>
    <mergeCell ref="C55:J55"/>
    <mergeCell ref="B42:C42"/>
    <mergeCell ref="D42:J42"/>
    <mergeCell ref="B43:J46"/>
    <mergeCell ref="B47:I47"/>
    <mergeCell ref="C48:I48"/>
    <mergeCell ref="C49:I49"/>
    <mergeCell ref="C367:I367"/>
    <mergeCell ref="C368:I368"/>
    <mergeCell ref="C369:I369"/>
    <mergeCell ref="B370:J370"/>
    <mergeCell ref="C371:J371"/>
    <mergeCell ref="B361:J364"/>
    <mergeCell ref="B365:I365"/>
    <mergeCell ref="C366:I366"/>
    <mergeCell ref="D356:I356"/>
    <mergeCell ref="B358:C358"/>
    <mergeCell ref="F358:G358"/>
    <mergeCell ref="B359:C359"/>
    <mergeCell ref="F359:G359"/>
    <mergeCell ref="B360:C360"/>
    <mergeCell ref="B355:C356"/>
    <mergeCell ref="D355:I355"/>
    <mergeCell ref="B357:C357"/>
    <mergeCell ref="F357:G357"/>
    <mergeCell ref="D360:J360"/>
    <mergeCell ref="C372:J372"/>
    <mergeCell ref="C373:J373"/>
    <mergeCell ref="C374:J374"/>
    <mergeCell ref="C375:J375"/>
    <mergeCell ref="C376:J376"/>
    <mergeCell ref="C377:J377"/>
    <mergeCell ref="C378:J378"/>
    <mergeCell ref="C379:G379"/>
    <mergeCell ref="C380:G380"/>
    <mergeCell ref="C381:G381"/>
    <mergeCell ref="C382:G382"/>
    <mergeCell ref="B383:C383"/>
    <mergeCell ref="F383:G383"/>
    <mergeCell ref="C384:D384"/>
    <mergeCell ref="F384:G384"/>
    <mergeCell ref="I384:J384"/>
    <mergeCell ref="B223:C224"/>
    <mergeCell ref="D223:I223"/>
    <mergeCell ref="D224:I224"/>
    <mergeCell ref="B225:C225"/>
    <mergeCell ref="F225:G225"/>
    <mergeCell ref="B226:C226"/>
    <mergeCell ref="F226:G226"/>
    <mergeCell ref="B227:C227"/>
    <mergeCell ref="F227:G227"/>
    <mergeCell ref="B228:C228"/>
    <mergeCell ref="D228:J228"/>
    <mergeCell ref="B229:J232"/>
    <mergeCell ref="B233:I233"/>
    <mergeCell ref="C234:I234"/>
    <mergeCell ref="C235:I235"/>
    <mergeCell ref="C236:I236"/>
    <mergeCell ref="B237:J237"/>
    <mergeCell ref="B323:C324"/>
    <mergeCell ref="D323:I323"/>
    <mergeCell ref="D324:I324"/>
    <mergeCell ref="B325:C325"/>
    <mergeCell ref="F325:G325"/>
    <mergeCell ref="B326:C326"/>
    <mergeCell ref="F326:G326"/>
    <mergeCell ref="B327:C327"/>
    <mergeCell ref="F327:G327"/>
    <mergeCell ref="B328:C328"/>
    <mergeCell ref="D328:J328"/>
    <mergeCell ref="B329:J332"/>
    <mergeCell ref="B333:I333"/>
    <mergeCell ref="C334:I334"/>
    <mergeCell ref="C335:I335"/>
    <mergeCell ref="C336:I336"/>
    <mergeCell ref="C337:I337"/>
    <mergeCell ref="B338:J338"/>
    <mergeCell ref="C348:G348"/>
    <mergeCell ref="C349:G349"/>
    <mergeCell ref="C350:G350"/>
    <mergeCell ref="B351:C351"/>
    <mergeCell ref="F351:G351"/>
    <mergeCell ref="C352:D352"/>
    <mergeCell ref="F352:G352"/>
    <mergeCell ref="I352:J352"/>
    <mergeCell ref="C339:J339"/>
    <mergeCell ref="C340:J340"/>
    <mergeCell ref="C341:J341"/>
    <mergeCell ref="C342:J342"/>
    <mergeCell ref="C343:J343"/>
    <mergeCell ref="C344:J344"/>
    <mergeCell ref="C345:J345"/>
    <mergeCell ref="C346:J346"/>
    <mergeCell ref="C347:G347"/>
    <mergeCell ref="B419:C420"/>
    <mergeCell ref="D419:I419"/>
    <mergeCell ref="D420:I420"/>
    <mergeCell ref="B421:C421"/>
    <mergeCell ref="F421:G421"/>
    <mergeCell ref="B422:C422"/>
    <mergeCell ref="F422:G422"/>
    <mergeCell ref="B423:C423"/>
    <mergeCell ref="F423:G423"/>
    <mergeCell ref="B424:C424"/>
    <mergeCell ref="D424:J424"/>
    <mergeCell ref="B425:J428"/>
    <mergeCell ref="B429:I429"/>
    <mergeCell ref="C430:I430"/>
    <mergeCell ref="C431:I431"/>
    <mergeCell ref="C432:I432"/>
    <mergeCell ref="C433:I433"/>
    <mergeCell ref="B434:J434"/>
    <mergeCell ref="C444:G444"/>
    <mergeCell ref="C445:G445"/>
    <mergeCell ref="C446:G446"/>
    <mergeCell ref="B447:C447"/>
    <mergeCell ref="F447:G447"/>
    <mergeCell ref="C448:D448"/>
    <mergeCell ref="F448:G448"/>
    <mergeCell ref="I448:J448"/>
    <mergeCell ref="C435:J435"/>
    <mergeCell ref="C436:J436"/>
    <mergeCell ref="C437:J437"/>
    <mergeCell ref="C438:J438"/>
    <mergeCell ref="C439:J439"/>
    <mergeCell ref="C440:J440"/>
    <mergeCell ref="C441:J441"/>
    <mergeCell ref="C442:J442"/>
    <mergeCell ref="C443:G443"/>
  </mergeCells>
  <phoneticPr fontId="0" type="noConversion"/>
  <printOptions horizontalCentered="1" verticalCentered="1"/>
  <pageMargins left="0.7" right="0.7" top="0.75" bottom="0.75" header="0.3" footer="0.3"/>
  <pageSetup paperSize="9"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E9FD-00D2-4833-AD78-21A0299A69CD}">
  <sheetPr>
    <pageSetUpPr fitToPage="1"/>
  </sheetPr>
  <dimension ref="B2:O312"/>
  <sheetViews>
    <sheetView topLeftCell="A185" workbookViewId="0">
      <selection activeCell="P8" sqref="P8"/>
    </sheetView>
  </sheetViews>
  <sheetFormatPr defaultRowHeight="15"/>
  <cols>
    <col min="2" max="2" width="13.5703125" customWidth="1"/>
    <col min="3" max="3" width="27" customWidth="1"/>
    <col min="4" max="4" width="34.42578125" customWidth="1"/>
    <col min="5" max="5" width="9.140625" customWidth="1"/>
    <col min="6" max="6" width="32.140625" customWidth="1"/>
    <col min="7" max="7" width="31.85546875" customWidth="1"/>
    <col min="8" max="8" width="25.140625" customWidth="1"/>
    <col min="9" max="9" width="20.5703125" customWidth="1"/>
    <col min="10" max="10" width="50.85546875" customWidth="1"/>
    <col min="11" max="11" width="58.42578125" customWidth="1"/>
    <col min="13" max="13" width="11.28515625" customWidth="1"/>
    <col min="21" max="21" width="0" hidden="1" customWidth="1"/>
  </cols>
  <sheetData>
    <row r="2" spans="2:15">
      <c r="B2" s="443" t="s">
        <v>0</v>
      </c>
      <c r="C2" s="445" t="s">
        <v>1</v>
      </c>
      <c r="D2" s="438"/>
      <c r="E2" s="438" t="s">
        <v>2</v>
      </c>
      <c r="F2" s="438" t="s">
        <v>3</v>
      </c>
      <c r="G2" s="438" t="s">
        <v>4</v>
      </c>
      <c r="H2" s="438" t="s">
        <v>5</v>
      </c>
      <c r="I2" s="438" t="s">
        <v>6</v>
      </c>
      <c r="J2" s="438" t="s">
        <v>7</v>
      </c>
      <c r="K2" s="440" t="s">
        <v>8</v>
      </c>
    </row>
    <row r="3" spans="2:15">
      <c r="B3" s="444"/>
      <c r="C3" s="41" t="s">
        <v>9</v>
      </c>
      <c r="D3" s="42" t="s">
        <v>10</v>
      </c>
      <c r="E3" s="439"/>
      <c r="F3" s="745"/>
      <c r="G3" s="745"/>
      <c r="H3" s="745"/>
      <c r="I3" s="745"/>
      <c r="J3" s="745"/>
      <c r="K3" s="441"/>
    </row>
    <row r="4" spans="2:15" s="3" customFormat="1" ht="42" customHeight="1">
      <c r="B4" s="32">
        <v>1</v>
      </c>
      <c r="C4" s="37">
        <v>46</v>
      </c>
      <c r="D4" s="37"/>
      <c r="E4" s="270">
        <v>45748</v>
      </c>
      <c r="F4" s="37" t="s">
        <v>131</v>
      </c>
      <c r="G4" s="37" t="s">
        <v>162</v>
      </c>
      <c r="H4" s="36" t="s">
        <v>1874</v>
      </c>
      <c r="I4" s="41" t="s">
        <v>127</v>
      </c>
      <c r="J4" s="36" t="s">
        <v>1875</v>
      </c>
      <c r="K4" s="271" t="s">
        <v>1876</v>
      </c>
    </row>
    <row r="5" spans="2:15" s="3" customFormat="1" ht="42" customHeight="1">
      <c r="B5" s="32">
        <v>2</v>
      </c>
      <c r="C5" s="37"/>
      <c r="D5" s="37">
        <v>15</v>
      </c>
      <c r="E5" s="270">
        <v>45748</v>
      </c>
      <c r="F5" s="37" t="s">
        <v>131</v>
      </c>
      <c r="G5" s="37" t="s">
        <v>162</v>
      </c>
      <c r="H5" s="36" t="s">
        <v>1877</v>
      </c>
      <c r="I5" s="41"/>
      <c r="J5" s="36"/>
      <c r="K5" s="271"/>
    </row>
    <row r="6" spans="2:15" s="3" customFormat="1" ht="42" customHeight="1">
      <c r="B6" s="32">
        <v>3</v>
      </c>
      <c r="C6" s="37">
        <v>66</v>
      </c>
      <c r="D6" s="37"/>
      <c r="E6" s="270">
        <v>45753</v>
      </c>
      <c r="F6" s="37" t="s">
        <v>159</v>
      </c>
      <c r="G6" s="37" t="s">
        <v>174</v>
      </c>
      <c r="H6" s="37" t="s">
        <v>1878</v>
      </c>
      <c r="I6" s="41" t="s">
        <v>127</v>
      </c>
      <c r="J6" s="36" t="s">
        <v>1879</v>
      </c>
      <c r="K6" s="272" t="s">
        <v>1880</v>
      </c>
      <c r="L6" s="153"/>
      <c r="M6" s="153"/>
      <c r="N6" s="153"/>
      <c r="O6" s="153"/>
    </row>
    <row r="7" spans="2:15" s="3" customFormat="1" ht="42" customHeight="1">
      <c r="B7" s="32">
        <v>4</v>
      </c>
      <c r="C7" s="37">
        <v>60</v>
      </c>
      <c r="D7" s="37"/>
      <c r="E7" s="270">
        <v>45755</v>
      </c>
      <c r="F7" s="37" t="s">
        <v>124</v>
      </c>
      <c r="G7" s="37" t="s">
        <v>140</v>
      </c>
      <c r="H7" s="37" t="s">
        <v>654</v>
      </c>
      <c r="I7" s="41" t="s">
        <v>127</v>
      </c>
      <c r="J7" s="36"/>
      <c r="K7" s="272"/>
      <c r="L7" s="153"/>
      <c r="M7" s="153"/>
      <c r="N7" s="153"/>
      <c r="O7" s="153"/>
    </row>
    <row r="8" spans="2:15" s="3" customFormat="1" ht="42" customHeight="1">
      <c r="B8" s="32">
        <v>5</v>
      </c>
      <c r="C8" s="37"/>
      <c r="D8" s="37">
        <v>15</v>
      </c>
      <c r="E8" s="270">
        <v>45756</v>
      </c>
      <c r="F8" s="37" t="s">
        <v>124</v>
      </c>
      <c r="G8" s="37" t="s">
        <v>140</v>
      </c>
      <c r="H8" s="37" t="s">
        <v>1881</v>
      </c>
      <c r="I8" s="41"/>
      <c r="J8" s="36"/>
      <c r="K8" s="272"/>
      <c r="L8" s="153"/>
      <c r="M8" s="153"/>
      <c r="N8" s="153"/>
      <c r="O8" s="153"/>
    </row>
    <row r="9" spans="2:15" s="3" customFormat="1" ht="42" customHeight="1">
      <c r="B9" s="32">
        <v>6</v>
      </c>
      <c r="C9" s="37">
        <v>10</v>
      </c>
      <c r="D9" s="37"/>
      <c r="E9" s="270">
        <v>45757</v>
      </c>
      <c r="F9" s="37" t="s">
        <v>131</v>
      </c>
      <c r="G9" s="37" t="s">
        <v>125</v>
      </c>
      <c r="H9" s="37" t="s">
        <v>1882</v>
      </c>
      <c r="I9" s="41"/>
      <c r="J9" s="36"/>
      <c r="K9" s="272"/>
      <c r="L9" s="153"/>
      <c r="M9" s="153"/>
      <c r="N9" s="153"/>
      <c r="O9" s="153"/>
    </row>
    <row r="10" spans="2:15" s="3" customFormat="1" ht="87" customHeight="1">
      <c r="B10" s="32">
        <v>7</v>
      </c>
      <c r="C10" s="68">
        <v>87</v>
      </c>
      <c r="D10" s="37"/>
      <c r="E10" s="270">
        <v>45758</v>
      </c>
      <c r="F10" s="37" t="s">
        <v>124</v>
      </c>
      <c r="G10" s="37" t="s">
        <v>140</v>
      </c>
      <c r="H10" s="36" t="s">
        <v>1883</v>
      </c>
      <c r="I10" s="37" t="s">
        <v>127</v>
      </c>
      <c r="J10" s="36" t="s">
        <v>1884</v>
      </c>
      <c r="K10" s="272" t="s">
        <v>1885</v>
      </c>
      <c r="L10" s="153"/>
      <c r="M10" s="153"/>
      <c r="N10" s="153"/>
      <c r="O10" s="153"/>
    </row>
    <row r="11" spans="2:15" s="3" customFormat="1" ht="42" customHeight="1">
      <c r="B11" s="32">
        <v>8</v>
      </c>
      <c r="C11" s="37"/>
      <c r="D11" s="37">
        <v>60</v>
      </c>
      <c r="E11" s="270">
        <v>45761</v>
      </c>
      <c r="F11" s="37" t="s">
        <v>131</v>
      </c>
      <c r="G11" s="37" t="s">
        <v>140</v>
      </c>
      <c r="H11" s="36" t="s">
        <v>1886</v>
      </c>
      <c r="I11" s="37" t="s">
        <v>127</v>
      </c>
      <c r="J11" s="37" t="s">
        <v>1887</v>
      </c>
      <c r="K11" s="272" t="s">
        <v>1888</v>
      </c>
      <c r="L11" s="153"/>
      <c r="M11" s="153"/>
      <c r="N11" s="153"/>
      <c r="O11" s="153"/>
    </row>
    <row r="12" spans="2:15" s="3" customFormat="1" ht="42" customHeight="1">
      <c r="B12" s="32">
        <v>9</v>
      </c>
      <c r="C12" s="37"/>
      <c r="D12" s="273">
        <v>60</v>
      </c>
      <c r="E12" s="270">
        <v>45764</v>
      </c>
      <c r="F12" s="37" t="s">
        <v>159</v>
      </c>
      <c r="G12" s="37" t="s">
        <v>174</v>
      </c>
      <c r="H12" s="36" t="s">
        <v>1889</v>
      </c>
      <c r="I12" s="41"/>
      <c r="J12" s="37"/>
      <c r="K12" s="272"/>
      <c r="L12" s="153"/>
      <c r="M12" s="153"/>
      <c r="N12" s="153"/>
      <c r="O12" s="153"/>
    </row>
    <row r="13" spans="2:15" s="3" customFormat="1" ht="42" customHeight="1">
      <c r="B13" s="32">
        <v>10</v>
      </c>
      <c r="C13" s="37"/>
      <c r="D13" s="37">
        <v>9</v>
      </c>
      <c r="E13" s="270">
        <v>45764</v>
      </c>
      <c r="F13" s="37" t="s">
        <v>159</v>
      </c>
      <c r="G13" s="37" t="s">
        <v>174</v>
      </c>
      <c r="H13" s="36" t="s">
        <v>1890</v>
      </c>
      <c r="I13" s="41"/>
      <c r="J13" s="37"/>
      <c r="K13" s="272"/>
      <c r="L13" s="153"/>
      <c r="M13" s="153"/>
      <c r="N13" s="153"/>
      <c r="O13" s="153"/>
    </row>
    <row r="14" spans="2:15" s="3" customFormat="1" ht="42" customHeight="1">
      <c r="B14" s="32">
        <v>11</v>
      </c>
      <c r="C14" s="273">
        <v>45</v>
      </c>
      <c r="D14" s="37"/>
      <c r="E14" s="270">
        <v>45764</v>
      </c>
      <c r="F14" s="37" t="s">
        <v>131</v>
      </c>
      <c r="G14" s="37" t="s">
        <v>152</v>
      </c>
      <c r="H14" s="36" t="s">
        <v>1891</v>
      </c>
      <c r="I14" s="37" t="s">
        <v>127</v>
      </c>
      <c r="J14" s="36" t="s">
        <v>1892</v>
      </c>
      <c r="K14" s="36" t="s">
        <v>1893</v>
      </c>
      <c r="L14" s="153"/>
      <c r="M14" s="153"/>
      <c r="N14" s="153"/>
      <c r="O14" s="153"/>
    </row>
    <row r="15" spans="2:15" s="3" customFormat="1" ht="42" customHeight="1">
      <c r="B15" s="32">
        <v>12</v>
      </c>
      <c r="C15" s="273">
        <v>240</v>
      </c>
      <c r="D15" s="37"/>
      <c r="E15" s="270">
        <v>45765</v>
      </c>
      <c r="F15" s="37" t="s">
        <v>124</v>
      </c>
      <c r="G15" s="37" t="s">
        <v>140</v>
      </c>
      <c r="H15" s="36" t="s">
        <v>1891</v>
      </c>
      <c r="I15" s="37" t="s">
        <v>127</v>
      </c>
      <c r="J15" s="36" t="s">
        <v>1892</v>
      </c>
      <c r="K15" s="36" t="s">
        <v>1893</v>
      </c>
      <c r="L15" s="153"/>
      <c r="M15" s="153"/>
      <c r="N15" s="153"/>
      <c r="O15" s="153"/>
    </row>
    <row r="16" spans="2:15" s="3" customFormat="1" ht="42" customHeight="1">
      <c r="B16" s="32">
        <v>13</v>
      </c>
      <c r="C16" s="37"/>
      <c r="D16" s="37">
        <v>90</v>
      </c>
      <c r="E16" s="270">
        <v>45771</v>
      </c>
      <c r="F16" s="37" t="s">
        <v>124</v>
      </c>
      <c r="G16" s="37" t="s">
        <v>125</v>
      </c>
      <c r="H16" s="36" t="s">
        <v>1894</v>
      </c>
      <c r="I16" s="41"/>
      <c r="J16" s="37"/>
      <c r="K16" s="272"/>
      <c r="L16" s="153"/>
      <c r="M16" s="153"/>
      <c r="N16" s="153"/>
      <c r="O16" s="153"/>
    </row>
    <row r="17" spans="2:11" ht="42" customHeight="1">
      <c r="B17" s="32">
        <v>14</v>
      </c>
      <c r="C17" s="37"/>
      <c r="D17" s="37">
        <v>20</v>
      </c>
      <c r="E17" s="270">
        <v>45772</v>
      </c>
      <c r="F17" s="37" t="s">
        <v>159</v>
      </c>
      <c r="G17" s="37" t="s">
        <v>332</v>
      </c>
      <c r="H17" s="36" t="s">
        <v>1260</v>
      </c>
      <c r="I17" s="37"/>
      <c r="J17" s="37"/>
      <c r="K17" s="90"/>
    </row>
    <row r="18" spans="2:11" ht="42" customHeight="1">
      <c r="B18" s="32">
        <v>15</v>
      </c>
      <c r="C18" s="37">
        <v>90</v>
      </c>
      <c r="D18" s="37"/>
      <c r="E18" s="270">
        <v>45772</v>
      </c>
      <c r="F18" s="37" t="s">
        <v>124</v>
      </c>
      <c r="G18" s="37" t="s">
        <v>152</v>
      </c>
      <c r="H18" s="36" t="s">
        <v>475</v>
      </c>
      <c r="I18" s="37"/>
      <c r="J18" s="37"/>
      <c r="K18" s="90"/>
    </row>
    <row r="19" spans="2:11" ht="42" customHeight="1">
      <c r="B19" s="32">
        <v>16</v>
      </c>
      <c r="C19" s="37">
        <v>30</v>
      </c>
      <c r="D19" s="37"/>
      <c r="E19" s="270">
        <v>45774</v>
      </c>
      <c r="F19" s="37" t="s">
        <v>124</v>
      </c>
      <c r="G19" s="37" t="s">
        <v>1895</v>
      </c>
      <c r="H19" s="36" t="s">
        <v>1896</v>
      </c>
      <c r="I19" s="37"/>
      <c r="J19" s="37"/>
      <c r="K19" s="90"/>
    </row>
    <row r="20" spans="2:11" ht="42" customHeight="1">
      <c r="B20" s="32"/>
      <c r="C20" s="37"/>
      <c r="D20" s="37"/>
      <c r="E20" s="91"/>
      <c r="F20" s="37"/>
      <c r="G20" s="37"/>
      <c r="H20" s="36"/>
      <c r="I20" s="37"/>
      <c r="J20" s="37"/>
      <c r="K20" s="90"/>
    </row>
    <row r="21" spans="2:11" ht="42" customHeight="1">
      <c r="B21" s="32"/>
      <c r="C21" s="37"/>
      <c r="D21" s="37"/>
      <c r="E21" s="91"/>
      <c r="F21" s="37"/>
      <c r="G21" s="37"/>
      <c r="H21" s="36"/>
      <c r="I21" s="37"/>
      <c r="J21" s="37"/>
      <c r="K21" s="90"/>
    </row>
    <row r="22" spans="2:11" ht="42" customHeight="1">
      <c r="B22" s="32">
        <v>15</v>
      </c>
      <c r="C22" s="37"/>
      <c r="D22" s="37"/>
      <c r="E22" s="91"/>
      <c r="F22" s="37"/>
      <c r="G22" s="37"/>
      <c r="H22" s="37"/>
      <c r="I22" s="37"/>
      <c r="J22" s="37"/>
      <c r="K22" s="90"/>
    </row>
    <row r="23" spans="2:11">
      <c r="B23" s="6" t="s">
        <v>11</v>
      </c>
      <c r="C23" s="7">
        <f>SUM(C4:C22)</f>
        <v>674</v>
      </c>
      <c r="D23" s="7">
        <f>SUM(D4:D22)</f>
        <v>269</v>
      </c>
      <c r="E23" s="434"/>
      <c r="F23" s="435"/>
      <c r="G23" s="435"/>
      <c r="H23" s="435"/>
      <c r="I23" s="435"/>
      <c r="J23" s="435"/>
      <c r="K23" s="435"/>
    </row>
    <row r="24" spans="2:11">
      <c r="B24" s="9"/>
      <c r="C24" s="10"/>
      <c r="D24" s="11"/>
      <c r="E24" s="434"/>
      <c r="F24" s="435"/>
      <c r="G24" s="435"/>
      <c r="H24" s="435"/>
      <c r="I24" s="435"/>
      <c r="J24" s="435"/>
      <c r="K24" s="435"/>
    </row>
    <row r="25" spans="2:11">
      <c r="B25" s="6" t="s">
        <v>12</v>
      </c>
      <c r="C25" s="432">
        <f>SUM(C23,D23)</f>
        <v>943</v>
      </c>
      <c r="D25" s="433"/>
      <c r="E25" s="434"/>
      <c r="F25" s="435"/>
      <c r="G25" s="435"/>
      <c r="H25" s="435"/>
      <c r="I25" s="435"/>
      <c r="J25" s="435"/>
      <c r="K25" s="435"/>
    </row>
    <row r="26" spans="2:11">
      <c r="B26" s="12"/>
      <c r="C26" s="13"/>
      <c r="D26" s="14"/>
      <c r="E26" s="436"/>
      <c r="F26" s="437"/>
      <c r="G26" s="437"/>
      <c r="H26" s="437"/>
      <c r="I26" s="437"/>
      <c r="J26" s="437"/>
      <c r="K26" s="437"/>
    </row>
    <row r="29" spans="2:11" ht="26.25">
      <c r="B29" s="446" t="s">
        <v>13</v>
      </c>
      <c r="C29" s="447"/>
      <c r="D29" s="446" t="s">
        <v>14</v>
      </c>
      <c r="E29" s="446"/>
      <c r="F29" s="446"/>
      <c r="G29" s="446"/>
      <c r="H29" s="446"/>
      <c r="I29" s="446"/>
      <c r="J29" s="197" t="s">
        <v>15</v>
      </c>
    </row>
    <row r="30" spans="2:11" ht="20.25">
      <c r="B30" s="447"/>
      <c r="C30" s="447"/>
      <c r="D30" s="448" t="s">
        <v>16</v>
      </c>
      <c r="E30" s="448"/>
      <c r="F30" s="448"/>
      <c r="G30" s="448"/>
      <c r="H30" s="448"/>
      <c r="I30" s="448"/>
      <c r="J30" s="197" t="s">
        <v>17</v>
      </c>
    </row>
    <row r="31" spans="2:11">
      <c r="B31" s="449" t="s">
        <v>18</v>
      </c>
      <c r="C31" s="449"/>
      <c r="D31" s="244">
        <v>45748</v>
      </c>
      <c r="E31" s="199" t="s">
        <v>1460</v>
      </c>
      <c r="F31" s="450" t="s">
        <v>159</v>
      </c>
      <c r="G31" s="450"/>
      <c r="H31" s="201" t="s">
        <v>21</v>
      </c>
      <c r="I31" s="202" t="s">
        <v>1669</v>
      </c>
      <c r="J31" s="199" t="s">
        <v>23</v>
      </c>
    </row>
    <row r="32" spans="2:11">
      <c r="B32" s="449" t="s">
        <v>24</v>
      </c>
      <c r="C32" s="449"/>
      <c r="D32" s="203" t="s">
        <v>1897</v>
      </c>
      <c r="E32" s="204" t="s">
        <v>25</v>
      </c>
      <c r="F32" s="450" t="s">
        <v>26</v>
      </c>
      <c r="G32" s="450"/>
      <c r="H32" s="199" t="s">
        <v>27</v>
      </c>
      <c r="I32" s="202" t="s">
        <v>867</v>
      </c>
      <c r="J32" s="202" t="s">
        <v>31</v>
      </c>
    </row>
    <row r="33" spans="2:10">
      <c r="B33" s="449" t="s">
        <v>30</v>
      </c>
      <c r="C33" s="449"/>
      <c r="D33" s="199" t="s">
        <v>31</v>
      </c>
      <c r="E33" s="199" t="s">
        <v>32</v>
      </c>
      <c r="F33" s="450">
        <v>46</v>
      </c>
      <c r="G33" s="450"/>
      <c r="H33" s="201" t="s">
        <v>33</v>
      </c>
      <c r="I33" s="204" t="s">
        <v>1858</v>
      </c>
      <c r="J33" s="202"/>
    </row>
    <row r="34" spans="2:10">
      <c r="B34" s="451" t="s">
        <v>35</v>
      </c>
      <c r="C34" s="451"/>
      <c r="D34" s="464" t="s">
        <v>1681</v>
      </c>
      <c r="E34" s="465"/>
      <c r="F34" s="465"/>
      <c r="G34" s="465"/>
      <c r="H34" s="465"/>
      <c r="I34" s="465"/>
      <c r="J34" s="469"/>
    </row>
    <row r="35" spans="2:10">
      <c r="B35" s="452" t="s">
        <v>1898</v>
      </c>
      <c r="C35" s="453"/>
      <c r="D35" s="453"/>
      <c r="E35" s="453"/>
      <c r="F35" s="453"/>
      <c r="G35" s="453"/>
      <c r="H35" s="453"/>
      <c r="I35" s="453"/>
      <c r="J35" s="454"/>
    </row>
    <row r="36" spans="2:10">
      <c r="B36" s="455"/>
      <c r="C36" s="456"/>
      <c r="D36" s="456"/>
      <c r="E36" s="456"/>
      <c r="F36" s="456"/>
      <c r="G36" s="456"/>
      <c r="H36" s="456"/>
      <c r="I36" s="456"/>
      <c r="J36" s="457"/>
    </row>
    <row r="37" spans="2:10">
      <c r="B37" s="455"/>
      <c r="C37" s="456"/>
      <c r="D37" s="456"/>
      <c r="E37" s="456"/>
      <c r="F37" s="456"/>
      <c r="G37" s="456"/>
      <c r="H37" s="456"/>
      <c r="I37" s="456"/>
      <c r="J37" s="457"/>
    </row>
    <row r="38" spans="2:10">
      <c r="B38" s="458"/>
      <c r="C38" s="459"/>
      <c r="D38" s="459"/>
      <c r="E38" s="459"/>
      <c r="F38" s="459"/>
      <c r="G38" s="459"/>
      <c r="H38" s="459"/>
      <c r="I38" s="459"/>
      <c r="J38" s="460"/>
    </row>
    <row r="39" spans="2:10" ht="18">
      <c r="B39" s="461" t="s">
        <v>38</v>
      </c>
      <c r="C39" s="462"/>
      <c r="D39" s="462"/>
      <c r="E39" s="462"/>
      <c r="F39" s="462"/>
      <c r="G39" s="462"/>
      <c r="H39" s="462"/>
      <c r="I39" s="463"/>
      <c r="J39" s="205" t="s">
        <v>39</v>
      </c>
    </row>
    <row r="40" spans="2:10">
      <c r="B40" s="200">
        <v>1</v>
      </c>
      <c r="C40" s="464" t="s">
        <v>1860</v>
      </c>
      <c r="D40" s="465"/>
      <c r="E40" s="465"/>
      <c r="F40" s="465"/>
      <c r="G40" s="465"/>
      <c r="H40" s="465"/>
      <c r="I40" s="466"/>
      <c r="J40" s="200" t="s">
        <v>43</v>
      </c>
    </row>
    <row r="41" spans="2:10">
      <c r="B41" s="200">
        <v>2</v>
      </c>
      <c r="C41" s="464" t="s">
        <v>1861</v>
      </c>
      <c r="D41" s="465"/>
      <c r="E41" s="465"/>
      <c r="F41" s="465"/>
      <c r="G41" s="465"/>
      <c r="H41" s="465"/>
      <c r="I41" s="466"/>
      <c r="J41" s="200"/>
    </row>
    <row r="42" spans="2:10">
      <c r="B42" s="200">
        <v>3</v>
      </c>
      <c r="C42" s="464" t="s">
        <v>1899</v>
      </c>
      <c r="D42" s="465"/>
      <c r="E42" s="465"/>
      <c r="F42" s="465"/>
      <c r="G42" s="465"/>
      <c r="H42" s="465"/>
      <c r="I42" s="466"/>
      <c r="J42" s="200"/>
    </row>
    <row r="43" spans="2:10" ht="18">
      <c r="B43" s="461" t="s">
        <v>44</v>
      </c>
      <c r="C43" s="462"/>
      <c r="D43" s="462"/>
      <c r="E43" s="462"/>
      <c r="F43" s="462"/>
      <c r="G43" s="462"/>
      <c r="H43" s="462"/>
      <c r="I43" s="462"/>
      <c r="J43" s="463"/>
    </row>
    <row r="44" spans="2:10">
      <c r="B44" s="200" t="s">
        <v>45</v>
      </c>
      <c r="C44" s="1058" t="s">
        <v>1862</v>
      </c>
      <c r="D44" s="471"/>
      <c r="E44" s="471"/>
      <c r="F44" s="471"/>
      <c r="G44" s="471"/>
      <c r="H44" s="471"/>
      <c r="I44" s="471"/>
      <c r="J44" s="472"/>
    </row>
    <row r="45" spans="2:10">
      <c r="B45" s="206" t="s">
        <v>45</v>
      </c>
      <c r="C45" s="1059" t="s">
        <v>1900</v>
      </c>
      <c r="D45" s="473"/>
      <c r="E45" s="473"/>
      <c r="F45" s="473"/>
      <c r="G45" s="473"/>
      <c r="H45" s="473"/>
      <c r="I45" s="473"/>
      <c r="J45" s="473"/>
    </row>
    <row r="46" spans="2:10">
      <c r="B46" s="206" t="s">
        <v>45</v>
      </c>
      <c r="C46" s="473" t="s">
        <v>1901</v>
      </c>
      <c r="D46" s="473"/>
      <c r="E46" s="473"/>
      <c r="F46" s="473"/>
      <c r="G46" s="473"/>
      <c r="H46" s="473"/>
      <c r="I46" s="473"/>
      <c r="J46" s="473"/>
    </row>
    <row r="47" spans="2:10">
      <c r="B47" s="206" t="s">
        <v>45</v>
      </c>
      <c r="C47" s="473"/>
      <c r="D47" s="473"/>
      <c r="E47" s="473"/>
      <c r="F47" s="473"/>
      <c r="G47" s="473"/>
      <c r="H47" s="473"/>
      <c r="I47" s="473"/>
      <c r="J47" s="473"/>
    </row>
    <row r="48" spans="2:10">
      <c r="B48" s="206" t="s">
        <v>45</v>
      </c>
      <c r="C48" s="474"/>
      <c r="D48" s="475"/>
      <c r="E48" s="475"/>
      <c r="F48" s="475"/>
      <c r="G48" s="475"/>
      <c r="H48" s="475"/>
      <c r="I48" s="475"/>
      <c r="J48" s="476"/>
    </row>
    <row r="49" spans="2:10">
      <c r="B49" s="206" t="s">
        <v>45</v>
      </c>
      <c r="C49" s="464"/>
      <c r="D49" s="465"/>
      <c r="E49" s="465"/>
      <c r="F49" s="465"/>
      <c r="G49" s="465"/>
      <c r="H49" s="465"/>
      <c r="I49" s="465"/>
      <c r="J49" s="466"/>
    </row>
    <row r="50" spans="2:10">
      <c r="B50" s="200" t="s">
        <v>45</v>
      </c>
      <c r="C50" s="464"/>
      <c r="D50" s="465"/>
      <c r="E50" s="465"/>
      <c r="F50" s="465"/>
      <c r="G50" s="465"/>
      <c r="H50" s="465"/>
      <c r="I50" s="465"/>
      <c r="J50" s="466"/>
    </row>
    <row r="51" spans="2:10">
      <c r="B51" s="200" t="s">
        <v>7</v>
      </c>
      <c r="C51" s="473" t="s">
        <v>1902</v>
      </c>
      <c r="D51" s="473"/>
      <c r="E51" s="473"/>
      <c r="F51" s="473"/>
      <c r="G51" s="473"/>
      <c r="H51" s="473"/>
      <c r="I51" s="473"/>
      <c r="J51" s="473"/>
    </row>
    <row r="52" spans="2:10" ht="18">
      <c r="B52" s="205" t="s">
        <v>52</v>
      </c>
      <c r="C52" s="477" t="s">
        <v>53</v>
      </c>
      <c r="D52" s="477"/>
      <c r="E52" s="477"/>
      <c r="F52" s="477"/>
      <c r="G52" s="477"/>
      <c r="H52" s="205" t="s">
        <v>54</v>
      </c>
      <c r="I52" s="205" t="s">
        <v>55</v>
      </c>
      <c r="J52" s="205" t="s">
        <v>56</v>
      </c>
    </row>
    <row r="53" spans="2:10" ht="15" customHeight="1">
      <c r="B53" s="200">
        <v>1</v>
      </c>
      <c r="C53" s="451" t="s">
        <v>1865</v>
      </c>
      <c r="D53" s="451"/>
      <c r="E53" s="451"/>
      <c r="F53" s="451"/>
      <c r="G53" s="451"/>
      <c r="H53" s="269" t="s">
        <v>1823</v>
      </c>
      <c r="I53" s="207" t="s">
        <v>1692</v>
      </c>
      <c r="J53" s="200" t="s">
        <v>1507</v>
      </c>
    </row>
    <row r="54" spans="2:10">
      <c r="B54" s="200">
        <v>2</v>
      </c>
      <c r="C54" s="449" t="s">
        <v>1866</v>
      </c>
      <c r="D54" s="449"/>
      <c r="E54" s="449"/>
      <c r="F54" s="449"/>
      <c r="G54" s="449"/>
      <c r="H54" s="269" t="s">
        <v>1823</v>
      </c>
      <c r="I54" s="207" t="s">
        <v>1692</v>
      </c>
      <c r="J54" s="200" t="s">
        <v>1507</v>
      </c>
    </row>
    <row r="55" spans="2:10">
      <c r="B55" s="200">
        <v>3</v>
      </c>
      <c r="C55" s="449" t="s">
        <v>1903</v>
      </c>
      <c r="D55" s="449"/>
      <c r="E55" s="449"/>
      <c r="F55" s="449"/>
      <c r="G55" s="449"/>
      <c r="H55" s="269" t="s">
        <v>1556</v>
      </c>
      <c r="I55" s="207" t="s">
        <v>1692</v>
      </c>
      <c r="J55" s="200" t="s">
        <v>1507</v>
      </c>
    </row>
    <row r="56" spans="2:10">
      <c r="B56" s="450" t="s">
        <v>63</v>
      </c>
      <c r="C56" s="450"/>
      <c r="D56" s="199" t="s">
        <v>31</v>
      </c>
      <c r="E56" s="198" t="s">
        <v>64</v>
      </c>
      <c r="F56" s="467"/>
      <c r="G56" s="469"/>
      <c r="H56" s="199"/>
      <c r="I56" s="199"/>
      <c r="J56" s="199"/>
    </row>
    <row r="57" spans="2:10" ht="45">
      <c r="B57" s="256" t="s">
        <v>66</v>
      </c>
      <c r="C57" s="1084"/>
      <c r="D57" s="1084"/>
      <c r="E57" s="256" t="s">
        <v>67</v>
      </c>
      <c r="F57" s="1084"/>
      <c r="G57" s="1084"/>
      <c r="H57" s="256" t="s">
        <v>68</v>
      </c>
      <c r="I57" s="1084"/>
      <c r="J57" s="1084"/>
    </row>
    <row r="58" spans="2:10">
      <c r="B58" s="247"/>
      <c r="C58" s="253"/>
      <c r="D58" s="253"/>
      <c r="E58" s="247"/>
      <c r="F58" s="253"/>
      <c r="G58" s="253"/>
      <c r="H58" s="247"/>
      <c r="I58" s="253"/>
      <c r="J58" s="253"/>
    </row>
    <row r="59" spans="2:10">
      <c r="B59" s="247"/>
      <c r="C59" s="253"/>
      <c r="D59" s="253"/>
      <c r="E59" s="247"/>
      <c r="F59" s="253"/>
      <c r="G59" s="253"/>
      <c r="H59" s="247"/>
      <c r="I59" s="253"/>
      <c r="J59" s="253"/>
    </row>
    <row r="60" spans="2:10" ht="26.25">
      <c r="B60" s="1085" t="s">
        <v>13</v>
      </c>
      <c r="C60" s="1086"/>
      <c r="D60" s="1085" t="s">
        <v>14</v>
      </c>
      <c r="E60" s="1085"/>
      <c r="F60" s="1085"/>
      <c r="G60" s="1085"/>
      <c r="H60" s="1085"/>
      <c r="I60" s="1085"/>
      <c r="J60" s="258" t="s">
        <v>15</v>
      </c>
    </row>
    <row r="61" spans="2:10" ht="20.25">
      <c r="B61" s="447"/>
      <c r="C61" s="447"/>
      <c r="D61" s="448" t="s">
        <v>16</v>
      </c>
      <c r="E61" s="448"/>
      <c r="F61" s="448"/>
      <c r="G61" s="448"/>
      <c r="H61" s="448"/>
      <c r="I61" s="448"/>
      <c r="J61" s="197" t="s">
        <v>17</v>
      </c>
    </row>
    <row r="62" spans="2:10">
      <c r="B62" s="449" t="s">
        <v>18</v>
      </c>
      <c r="C62" s="449"/>
      <c r="D62" s="244">
        <v>45753</v>
      </c>
      <c r="E62" s="199" t="s">
        <v>1460</v>
      </c>
      <c r="F62" s="450" t="s">
        <v>131</v>
      </c>
      <c r="G62" s="450"/>
      <c r="H62" s="201" t="s">
        <v>21</v>
      </c>
      <c r="I62" s="202" t="s">
        <v>1669</v>
      </c>
      <c r="J62" s="199" t="s">
        <v>23</v>
      </c>
    </row>
    <row r="63" spans="2:10">
      <c r="B63" s="449" t="s">
        <v>24</v>
      </c>
      <c r="C63" s="449"/>
      <c r="D63" s="203">
        <v>0.49027777777777776</v>
      </c>
      <c r="E63" s="204" t="s">
        <v>25</v>
      </c>
      <c r="F63" s="450" t="s">
        <v>26</v>
      </c>
      <c r="G63" s="450"/>
      <c r="H63" s="199" t="s">
        <v>27</v>
      </c>
      <c r="I63" s="202" t="s">
        <v>867</v>
      </c>
      <c r="J63" s="202" t="s">
        <v>29</v>
      </c>
    </row>
    <row r="64" spans="2:10">
      <c r="B64" s="449" t="s">
        <v>30</v>
      </c>
      <c r="C64" s="449"/>
      <c r="D64" s="199" t="s">
        <v>31</v>
      </c>
      <c r="E64" s="199" t="s">
        <v>32</v>
      </c>
      <c r="F64" s="450">
        <v>66</v>
      </c>
      <c r="G64" s="450"/>
      <c r="H64" s="201" t="s">
        <v>33</v>
      </c>
      <c r="I64" s="204" t="s">
        <v>1904</v>
      </c>
      <c r="J64" s="202"/>
    </row>
    <row r="65" spans="2:10">
      <c r="B65" s="451" t="s">
        <v>35</v>
      </c>
      <c r="C65" s="451"/>
      <c r="D65" s="464" t="s">
        <v>1905</v>
      </c>
      <c r="E65" s="465"/>
      <c r="F65" s="465"/>
      <c r="G65" s="465"/>
      <c r="H65" s="465"/>
      <c r="I65" s="465"/>
      <c r="J65" s="469"/>
    </row>
    <row r="66" spans="2:10">
      <c r="B66" s="452" t="s">
        <v>1906</v>
      </c>
      <c r="C66" s="453"/>
      <c r="D66" s="453"/>
      <c r="E66" s="453"/>
      <c r="F66" s="453"/>
      <c r="G66" s="453"/>
      <c r="H66" s="453"/>
      <c r="I66" s="453"/>
      <c r="J66" s="454"/>
    </row>
    <row r="67" spans="2:10">
      <c r="B67" s="455"/>
      <c r="C67" s="456"/>
      <c r="D67" s="456"/>
      <c r="E67" s="456"/>
      <c r="F67" s="456"/>
      <c r="G67" s="456"/>
      <c r="H67" s="456"/>
      <c r="I67" s="456"/>
      <c r="J67" s="457"/>
    </row>
    <row r="68" spans="2:10">
      <c r="B68" s="455"/>
      <c r="C68" s="456"/>
      <c r="D68" s="456"/>
      <c r="E68" s="456"/>
      <c r="F68" s="456"/>
      <c r="G68" s="456"/>
      <c r="H68" s="456"/>
      <c r="I68" s="456"/>
      <c r="J68" s="457"/>
    </row>
    <row r="69" spans="2:10">
      <c r="B69" s="458"/>
      <c r="C69" s="459"/>
      <c r="D69" s="459"/>
      <c r="E69" s="459"/>
      <c r="F69" s="459"/>
      <c r="G69" s="459"/>
      <c r="H69" s="459"/>
      <c r="I69" s="459"/>
      <c r="J69" s="460"/>
    </row>
    <row r="70" spans="2:10" ht="18">
      <c r="B70" s="461" t="s">
        <v>38</v>
      </c>
      <c r="C70" s="462"/>
      <c r="D70" s="462"/>
      <c r="E70" s="462"/>
      <c r="F70" s="462"/>
      <c r="G70" s="462"/>
      <c r="H70" s="462"/>
      <c r="I70" s="463"/>
      <c r="J70" s="205" t="s">
        <v>39</v>
      </c>
    </row>
    <row r="71" spans="2:10">
      <c r="B71" s="200">
        <v>1</v>
      </c>
      <c r="C71" s="464" t="s">
        <v>1907</v>
      </c>
      <c r="D71" s="465"/>
      <c r="E71" s="465"/>
      <c r="F71" s="465"/>
      <c r="G71" s="465"/>
      <c r="H71" s="465"/>
      <c r="I71" s="466"/>
      <c r="J71" s="200" t="s">
        <v>43</v>
      </c>
    </row>
    <row r="72" spans="2:10">
      <c r="B72" s="200">
        <v>2</v>
      </c>
      <c r="C72" s="464" t="s">
        <v>1908</v>
      </c>
      <c r="D72" s="465"/>
      <c r="E72" s="465"/>
      <c r="F72" s="465"/>
      <c r="G72" s="465"/>
      <c r="H72" s="465"/>
      <c r="I72" s="466"/>
      <c r="J72" s="200"/>
    </row>
    <row r="73" spans="2:10">
      <c r="B73" s="200">
        <v>3</v>
      </c>
      <c r="C73" s="467"/>
      <c r="D73" s="468"/>
      <c r="E73" s="468"/>
      <c r="F73" s="468"/>
      <c r="G73" s="468"/>
      <c r="H73" s="468"/>
      <c r="I73" s="469"/>
      <c r="J73" s="200"/>
    </row>
    <row r="74" spans="2:10" ht="18">
      <c r="B74" s="461" t="s">
        <v>44</v>
      </c>
      <c r="C74" s="462"/>
      <c r="D74" s="462"/>
      <c r="E74" s="462"/>
      <c r="F74" s="462"/>
      <c r="G74" s="462"/>
      <c r="H74" s="462"/>
      <c r="I74" s="462"/>
      <c r="J74" s="463"/>
    </row>
    <row r="75" spans="2:10">
      <c r="B75" s="200" t="s">
        <v>45</v>
      </c>
      <c r="C75" s="470" t="s">
        <v>1909</v>
      </c>
      <c r="D75" s="471"/>
      <c r="E75" s="471"/>
      <c r="F75" s="471"/>
      <c r="G75" s="471"/>
      <c r="H75" s="471"/>
      <c r="I75" s="471"/>
      <c r="J75" s="472"/>
    </row>
    <row r="76" spans="2:10">
      <c r="B76" s="206" t="s">
        <v>45</v>
      </c>
      <c r="C76" s="473" t="s">
        <v>1910</v>
      </c>
      <c r="D76" s="473"/>
      <c r="E76" s="473"/>
      <c r="F76" s="473"/>
      <c r="G76" s="473"/>
      <c r="H76" s="473"/>
      <c r="I76" s="473"/>
      <c r="J76" s="473"/>
    </row>
    <row r="77" spans="2:10">
      <c r="B77" s="206" t="s">
        <v>45</v>
      </c>
      <c r="C77" s="473" t="s">
        <v>1911</v>
      </c>
      <c r="D77" s="473"/>
      <c r="E77" s="473"/>
      <c r="F77" s="473"/>
      <c r="G77" s="473"/>
      <c r="H77" s="473"/>
      <c r="I77" s="473"/>
      <c r="J77" s="473"/>
    </row>
    <row r="78" spans="2:10">
      <c r="B78" s="206" t="s">
        <v>45</v>
      </c>
      <c r="C78" s="473"/>
      <c r="D78" s="473"/>
      <c r="E78" s="473"/>
      <c r="F78" s="473"/>
      <c r="G78" s="473"/>
      <c r="H78" s="473"/>
      <c r="I78" s="473"/>
      <c r="J78" s="473"/>
    </row>
    <row r="79" spans="2:10">
      <c r="B79" s="206" t="s">
        <v>45</v>
      </c>
      <c r="C79" s="474"/>
      <c r="D79" s="475"/>
      <c r="E79" s="475"/>
      <c r="F79" s="475"/>
      <c r="G79" s="475"/>
      <c r="H79" s="475"/>
      <c r="I79" s="475"/>
      <c r="J79" s="476"/>
    </row>
    <row r="80" spans="2:10">
      <c r="B80" s="206" t="s">
        <v>45</v>
      </c>
      <c r="C80" s="464"/>
      <c r="D80" s="465"/>
      <c r="E80" s="465"/>
      <c r="F80" s="465"/>
      <c r="G80" s="465"/>
      <c r="H80" s="465"/>
      <c r="I80" s="465"/>
      <c r="J80" s="466"/>
    </row>
    <row r="81" spans="2:10">
      <c r="B81" s="200" t="s">
        <v>45</v>
      </c>
      <c r="C81" s="464"/>
      <c r="D81" s="465"/>
      <c r="E81" s="465"/>
      <c r="F81" s="465"/>
      <c r="G81" s="465"/>
      <c r="H81" s="465"/>
      <c r="I81" s="465"/>
      <c r="J81" s="466"/>
    </row>
    <row r="82" spans="2:10">
      <c r="B82" s="200" t="s">
        <v>7</v>
      </c>
      <c r="C82" s="473" t="s">
        <v>1912</v>
      </c>
      <c r="D82" s="473"/>
      <c r="E82" s="473"/>
      <c r="F82" s="473"/>
      <c r="G82" s="473"/>
      <c r="H82" s="473"/>
      <c r="I82" s="473"/>
      <c r="J82" s="473"/>
    </row>
    <row r="83" spans="2:10" ht="18">
      <c r="B83" s="205" t="s">
        <v>52</v>
      </c>
      <c r="C83" s="477" t="s">
        <v>53</v>
      </c>
      <c r="D83" s="477"/>
      <c r="E83" s="477"/>
      <c r="F83" s="477"/>
      <c r="G83" s="477"/>
      <c r="H83" s="205" t="s">
        <v>54</v>
      </c>
      <c r="I83" s="205" t="s">
        <v>55</v>
      </c>
      <c r="J83" s="205" t="s">
        <v>56</v>
      </c>
    </row>
    <row r="84" spans="2:10">
      <c r="B84" s="200">
        <v>1</v>
      </c>
      <c r="C84" s="451" t="s">
        <v>1913</v>
      </c>
      <c r="D84" s="451"/>
      <c r="E84" s="451"/>
      <c r="F84" s="451"/>
      <c r="G84" s="451"/>
      <c r="H84" s="200" t="s">
        <v>1914</v>
      </c>
      <c r="I84" s="207" t="s">
        <v>1692</v>
      </c>
      <c r="J84" s="200" t="s">
        <v>1915</v>
      </c>
    </row>
    <row r="85" spans="2:10">
      <c r="B85" s="200">
        <v>2</v>
      </c>
      <c r="C85" s="449" t="s">
        <v>1916</v>
      </c>
      <c r="D85" s="449"/>
      <c r="E85" s="449"/>
      <c r="F85" s="449"/>
      <c r="G85" s="449"/>
      <c r="H85" s="200" t="s">
        <v>1917</v>
      </c>
      <c r="I85" s="207" t="s">
        <v>1692</v>
      </c>
      <c r="J85" s="200" t="s">
        <v>1507</v>
      </c>
    </row>
    <row r="86" spans="2:10">
      <c r="B86" s="200">
        <v>3</v>
      </c>
      <c r="C86" s="450"/>
      <c r="D86" s="450"/>
      <c r="E86" s="450"/>
      <c r="F86" s="450"/>
      <c r="G86" s="450"/>
      <c r="H86" s="200"/>
      <c r="I86" s="200"/>
      <c r="J86" s="200"/>
    </row>
    <row r="87" spans="2:10">
      <c r="B87" s="450" t="s">
        <v>63</v>
      </c>
      <c r="C87" s="450"/>
      <c r="D87" s="199" t="s">
        <v>31</v>
      </c>
      <c r="E87" s="198" t="s">
        <v>64</v>
      </c>
      <c r="F87" s="467"/>
      <c r="G87" s="469"/>
      <c r="H87" s="199"/>
      <c r="I87" s="199"/>
      <c r="J87" s="199"/>
    </row>
    <row r="88" spans="2:10" ht="45">
      <c r="B88" s="201" t="s">
        <v>66</v>
      </c>
      <c r="C88" s="450"/>
      <c r="D88" s="450"/>
      <c r="E88" s="201" t="s">
        <v>67</v>
      </c>
      <c r="F88" s="450"/>
      <c r="G88" s="450"/>
      <c r="H88" s="201" t="s">
        <v>68</v>
      </c>
      <c r="I88" s="450"/>
      <c r="J88" s="450"/>
    </row>
    <row r="89" spans="2:10">
      <c r="B89" s="247"/>
      <c r="C89" s="253"/>
      <c r="D89" s="253"/>
      <c r="E89" s="247"/>
      <c r="F89" s="253"/>
      <c r="G89" s="253"/>
      <c r="H89" s="247"/>
      <c r="I89" s="253"/>
      <c r="J89" s="253"/>
    </row>
    <row r="90" spans="2:10">
      <c r="B90" s="247"/>
      <c r="C90" s="253"/>
      <c r="D90" s="253"/>
      <c r="E90" s="247"/>
      <c r="F90" s="253"/>
      <c r="G90" s="253"/>
      <c r="H90" s="247"/>
      <c r="I90" s="253"/>
      <c r="J90" s="253"/>
    </row>
    <row r="91" spans="2:10" ht="26.25">
      <c r="B91" s="1066" t="s">
        <v>13</v>
      </c>
      <c r="C91" s="1067"/>
      <c r="D91" s="1066" t="s">
        <v>14</v>
      </c>
      <c r="E91" s="1066"/>
      <c r="F91" s="1066"/>
      <c r="G91" s="1066"/>
      <c r="H91" s="1066"/>
      <c r="I91" s="1066"/>
      <c r="J91" s="197" t="s">
        <v>15</v>
      </c>
    </row>
    <row r="92" spans="2:10" ht="20.25">
      <c r="B92" s="1067"/>
      <c r="C92" s="1067"/>
      <c r="D92" s="1068" t="s">
        <v>16</v>
      </c>
      <c r="E92" s="1068"/>
      <c r="F92" s="1068"/>
      <c r="G92" s="1068"/>
      <c r="H92" s="1068"/>
      <c r="I92" s="1068"/>
      <c r="J92" s="197" t="s">
        <v>17</v>
      </c>
    </row>
    <row r="93" spans="2:10">
      <c r="B93" s="1056" t="s">
        <v>18</v>
      </c>
      <c r="C93" s="1056"/>
      <c r="D93" s="244">
        <v>45755</v>
      </c>
      <c r="E93" s="199" t="s">
        <v>1460</v>
      </c>
      <c r="F93" s="1057" t="s">
        <v>124</v>
      </c>
      <c r="G93" s="1057"/>
      <c r="H93" s="201" t="s">
        <v>21</v>
      </c>
      <c r="I93" s="202" t="s">
        <v>1669</v>
      </c>
      <c r="J93" s="199" t="s">
        <v>23</v>
      </c>
    </row>
    <row r="94" spans="2:10">
      <c r="B94" s="1056" t="s">
        <v>24</v>
      </c>
      <c r="C94" s="1056"/>
      <c r="D94" s="203">
        <v>0.18402777777777779</v>
      </c>
      <c r="E94" s="204" t="s">
        <v>25</v>
      </c>
      <c r="F94" s="1057" t="s">
        <v>26</v>
      </c>
      <c r="G94" s="1057"/>
      <c r="H94" s="199" t="s">
        <v>27</v>
      </c>
      <c r="I94" s="202" t="s">
        <v>867</v>
      </c>
      <c r="J94" s="202" t="s">
        <v>29</v>
      </c>
    </row>
    <row r="95" spans="2:10">
      <c r="B95" s="1056" t="s">
        <v>30</v>
      </c>
      <c r="C95" s="1056"/>
      <c r="D95" s="199" t="s">
        <v>31</v>
      </c>
      <c r="E95" s="199" t="s">
        <v>32</v>
      </c>
      <c r="F95" s="1057">
        <v>60</v>
      </c>
      <c r="G95" s="1057"/>
      <c r="H95" s="201" t="s">
        <v>33</v>
      </c>
      <c r="I95" s="247" t="s">
        <v>1918</v>
      </c>
      <c r="J95" s="202"/>
    </row>
    <row r="96" spans="2:10">
      <c r="B96" s="1062" t="s">
        <v>35</v>
      </c>
      <c r="C96" s="1062"/>
      <c r="D96" s="973" t="s">
        <v>1919</v>
      </c>
      <c r="E96" s="974"/>
      <c r="F96" s="974"/>
      <c r="G96" s="974"/>
      <c r="H96" s="974"/>
      <c r="I96" s="974"/>
      <c r="J96" s="975"/>
    </row>
    <row r="97" spans="2:10">
      <c r="B97" s="1031" t="s">
        <v>1920</v>
      </c>
      <c r="C97" s="1032"/>
      <c r="D97" s="1032"/>
      <c r="E97" s="1032"/>
      <c r="F97" s="1032"/>
      <c r="G97" s="1032"/>
      <c r="H97" s="1032"/>
      <c r="I97" s="1032"/>
      <c r="J97" s="1063"/>
    </row>
    <row r="98" spans="2:10">
      <c r="B98" s="1034"/>
      <c r="C98" s="1035"/>
      <c r="D98" s="1035"/>
      <c r="E98" s="1035"/>
      <c r="F98" s="1035"/>
      <c r="G98" s="1035"/>
      <c r="H98" s="1035"/>
      <c r="I98" s="1035"/>
      <c r="J98" s="1064"/>
    </row>
    <row r="99" spans="2:10">
      <c r="B99" s="1034"/>
      <c r="C99" s="1035"/>
      <c r="D99" s="1035"/>
      <c r="E99" s="1035"/>
      <c r="F99" s="1035"/>
      <c r="G99" s="1035"/>
      <c r="H99" s="1035"/>
      <c r="I99" s="1035"/>
      <c r="J99" s="1064"/>
    </row>
    <row r="100" spans="2:10">
      <c r="B100" s="1037"/>
      <c r="C100" s="1038"/>
      <c r="D100" s="1038"/>
      <c r="E100" s="1038"/>
      <c r="F100" s="1038"/>
      <c r="G100" s="1038"/>
      <c r="H100" s="1038"/>
      <c r="I100" s="1038"/>
      <c r="J100" s="1065"/>
    </row>
    <row r="101" spans="2:10" ht="18">
      <c r="B101" s="979" t="s">
        <v>38</v>
      </c>
      <c r="C101" s="980"/>
      <c r="D101" s="980"/>
      <c r="E101" s="980"/>
      <c r="F101" s="980"/>
      <c r="G101" s="980"/>
      <c r="H101" s="980"/>
      <c r="I101" s="981"/>
      <c r="J101" s="205" t="s">
        <v>39</v>
      </c>
    </row>
    <row r="102" spans="2:10">
      <c r="B102" s="200">
        <v>1</v>
      </c>
      <c r="C102" s="973" t="s">
        <v>1921</v>
      </c>
      <c r="D102" s="974"/>
      <c r="E102" s="974"/>
      <c r="F102" s="974"/>
      <c r="G102" s="974"/>
      <c r="H102" s="974"/>
      <c r="I102" s="982"/>
      <c r="J102" s="200" t="s">
        <v>43</v>
      </c>
    </row>
    <row r="103" spans="2:10">
      <c r="B103" s="200">
        <v>2</v>
      </c>
      <c r="C103" s="973"/>
      <c r="D103" s="974"/>
      <c r="E103" s="974"/>
      <c r="F103" s="974"/>
      <c r="G103" s="974"/>
      <c r="H103" s="974"/>
      <c r="I103" s="982"/>
      <c r="J103" s="200"/>
    </row>
    <row r="104" spans="2:10">
      <c r="B104" s="200">
        <v>3</v>
      </c>
      <c r="C104" s="983"/>
      <c r="D104" s="984"/>
      <c r="E104" s="984"/>
      <c r="F104" s="984"/>
      <c r="G104" s="984"/>
      <c r="H104" s="984"/>
      <c r="I104" s="975"/>
      <c r="J104" s="200"/>
    </row>
    <row r="105" spans="2:10" ht="18">
      <c r="B105" s="979" t="s">
        <v>44</v>
      </c>
      <c r="C105" s="980"/>
      <c r="D105" s="980"/>
      <c r="E105" s="980"/>
      <c r="F105" s="980"/>
      <c r="G105" s="980"/>
      <c r="H105" s="980"/>
      <c r="I105" s="980"/>
      <c r="J105" s="981"/>
    </row>
    <row r="106" spans="2:10">
      <c r="B106" s="200" t="s">
        <v>45</v>
      </c>
      <c r="C106" s="1058" t="s">
        <v>1922</v>
      </c>
      <c r="D106" s="1095"/>
      <c r="E106" s="1095"/>
      <c r="F106" s="1095"/>
      <c r="G106" s="1095"/>
      <c r="H106" s="1095"/>
      <c r="I106" s="1095"/>
      <c r="J106" s="1096"/>
    </row>
    <row r="107" spans="2:10">
      <c r="B107" s="206" t="s">
        <v>45</v>
      </c>
      <c r="C107" s="1059" t="s">
        <v>1923</v>
      </c>
      <c r="D107" s="1060"/>
      <c r="E107" s="1060"/>
      <c r="F107" s="1060"/>
      <c r="G107" s="1060"/>
      <c r="H107" s="1060"/>
      <c r="I107" s="1060"/>
      <c r="J107" s="1060"/>
    </row>
    <row r="108" spans="2:10">
      <c r="B108" s="206" t="s">
        <v>45</v>
      </c>
      <c r="C108" s="1059" t="s">
        <v>1924</v>
      </c>
      <c r="D108" s="1060"/>
      <c r="E108" s="1060"/>
      <c r="F108" s="1060"/>
      <c r="G108" s="1060"/>
      <c r="H108" s="1060"/>
      <c r="I108" s="1060"/>
      <c r="J108" s="1060"/>
    </row>
    <row r="109" spans="2:10">
      <c r="B109" s="206" t="s">
        <v>45</v>
      </c>
      <c r="C109" s="1060" t="s">
        <v>1925</v>
      </c>
      <c r="D109" s="1060"/>
      <c r="E109" s="1060"/>
      <c r="F109" s="1060"/>
      <c r="G109" s="1060"/>
      <c r="H109" s="1060"/>
      <c r="I109" s="1060"/>
      <c r="J109" s="1060"/>
    </row>
    <row r="110" spans="2:10">
      <c r="B110" s="206" t="s">
        <v>45</v>
      </c>
      <c r="C110" s="1092"/>
      <c r="D110" s="1093"/>
      <c r="E110" s="1093"/>
      <c r="F110" s="1093"/>
      <c r="G110" s="1093"/>
      <c r="H110" s="1093"/>
      <c r="I110" s="1093"/>
      <c r="J110" s="1094"/>
    </row>
    <row r="111" spans="2:10">
      <c r="B111" s="206" t="s">
        <v>45</v>
      </c>
      <c r="C111" s="973"/>
      <c r="D111" s="974"/>
      <c r="E111" s="974"/>
      <c r="F111" s="974"/>
      <c r="G111" s="974"/>
      <c r="H111" s="974"/>
      <c r="I111" s="974"/>
      <c r="J111" s="982"/>
    </row>
    <row r="112" spans="2:10">
      <c r="B112" s="200" t="s">
        <v>45</v>
      </c>
      <c r="C112" s="973"/>
      <c r="D112" s="974"/>
      <c r="E112" s="974"/>
      <c r="F112" s="974"/>
      <c r="G112" s="974"/>
      <c r="H112" s="974"/>
      <c r="I112" s="974"/>
      <c r="J112" s="982"/>
    </row>
    <row r="113" spans="2:10">
      <c r="B113" s="200" t="s">
        <v>7</v>
      </c>
      <c r="C113" s="1060" t="s">
        <v>1926</v>
      </c>
      <c r="D113" s="1060"/>
      <c r="E113" s="1060"/>
      <c r="F113" s="1060"/>
      <c r="G113" s="1060"/>
      <c r="H113" s="1060"/>
      <c r="I113" s="1060"/>
      <c r="J113" s="1060"/>
    </row>
    <row r="114" spans="2:10" ht="18">
      <c r="B114" s="205" t="s">
        <v>52</v>
      </c>
      <c r="C114" s="1061" t="s">
        <v>53</v>
      </c>
      <c r="D114" s="1061"/>
      <c r="E114" s="1061"/>
      <c r="F114" s="1061"/>
      <c r="G114" s="1061"/>
      <c r="H114" s="205" t="s">
        <v>54</v>
      </c>
      <c r="I114" s="205" t="s">
        <v>55</v>
      </c>
      <c r="J114" s="205" t="s">
        <v>56</v>
      </c>
    </row>
    <row r="115" spans="2:10">
      <c r="B115" s="200">
        <v>1</v>
      </c>
      <c r="C115" s="1062"/>
      <c r="D115" s="1062"/>
      <c r="E115" s="1062"/>
      <c r="F115" s="1062"/>
      <c r="G115" s="1062"/>
      <c r="H115" s="200"/>
      <c r="I115" s="207" t="s">
        <v>1692</v>
      </c>
      <c r="J115" s="200" t="s">
        <v>1915</v>
      </c>
    </row>
    <row r="116" spans="2:10">
      <c r="B116" s="200">
        <v>2</v>
      </c>
      <c r="C116" s="1056"/>
      <c r="D116" s="1056"/>
      <c r="E116" s="1056"/>
      <c r="F116" s="1056"/>
      <c r="G116" s="1056"/>
      <c r="H116" s="200"/>
      <c r="I116" s="207" t="s">
        <v>1692</v>
      </c>
      <c r="J116" s="200" t="s">
        <v>1507</v>
      </c>
    </row>
    <row r="117" spans="2:10">
      <c r="B117" s="200">
        <v>3</v>
      </c>
      <c r="C117" s="1057"/>
      <c r="D117" s="1057"/>
      <c r="E117" s="1057"/>
      <c r="F117" s="1057"/>
      <c r="G117" s="1057"/>
      <c r="H117" s="200"/>
      <c r="I117" s="200"/>
      <c r="J117" s="200"/>
    </row>
    <row r="118" spans="2:10">
      <c r="B118" s="1057" t="s">
        <v>63</v>
      </c>
      <c r="C118" s="1057"/>
      <c r="D118" s="199" t="s">
        <v>31</v>
      </c>
      <c r="E118" s="198" t="s">
        <v>64</v>
      </c>
      <c r="F118" s="983"/>
      <c r="G118" s="975"/>
      <c r="H118" s="199"/>
      <c r="I118" s="199"/>
      <c r="J118" s="199"/>
    </row>
    <row r="119" spans="2:10" ht="45">
      <c r="B119" s="201" t="s">
        <v>66</v>
      </c>
      <c r="C119" s="1057"/>
      <c r="D119" s="1057"/>
      <c r="E119" s="201" t="s">
        <v>67</v>
      </c>
      <c r="F119" s="1057"/>
      <c r="G119" s="1057"/>
      <c r="H119" s="201" t="s">
        <v>68</v>
      </c>
      <c r="I119" s="1057"/>
      <c r="J119" s="1057"/>
    </row>
    <row r="120" spans="2:10">
      <c r="B120" s="247"/>
      <c r="C120" s="253"/>
      <c r="D120" s="253"/>
      <c r="E120" s="247"/>
      <c r="F120" s="253"/>
      <c r="G120" s="253"/>
      <c r="H120" s="247"/>
      <c r="I120" s="253"/>
      <c r="J120" s="253"/>
    </row>
    <row r="122" spans="2:10" ht="26.25" customHeight="1">
      <c r="B122" s="446" t="s">
        <v>13</v>
      </c>
      <c r="C122" s="447"/>
      <c r="D122" s="446" t="s">
        <v>14</v>
      </c>
      <c r="E122" s="446"/>
      <c r="F122" s="446"/>
      <c r="G122" s="446"/>
      <c r="H122" s="446"/>
      <c r="I122" s="446"/>
      <c r="J122" s="197" t="s">
        <v>15</v>
      </c>
    </row>
    <row r="123" spans="2:10" ht="20.25" customHeight="1">
      <c r="B123" s="447"/>
      <c r="C123" s="447"/>
      <c r="D123" s="448" t="s">
        <v>16</v>
      </c>
      <c r="E123" s="448"/>
      <c r="F123" s="448"/>
      <c r="G123" s="448"/>
      <c r="H123" s="448"/>
      <c r="I123" s="448"/>
      <c r="J123" s="197" t="s">
        <v>17</v>
      </c>
    </row>
    <row r="124" spans="2:10" ht="15" customHeight="1">
      <c r="B124" s="449" t="s">
        <v>18</v>
      </c>
      <c r="C124" s="449"/>
      <c r="D124" s="244">
        <v>45758</v>
      </c>
      <c r="E124" s="199" t="s">
        <v>1460</v>
      </c>
      <c r="F124" s="450" t="s">
        <v>124</v>
      </c>
      <c r="G124" s="450"/>
      <c r="H124" s="201" t="s">
        <v>21</v>
      </c>
      <c r="I124" s="202" t="s">
        <v>1669</v>
      </c>
      <c r="J124" s="199" t="s">
        <v>23</v>
      </c>
    </row>
    <row r="125" spans="2:10">
      <c r="B125" s="449" t="s">
        <v>24</v>
      </c>
      <c r="C125" s="449"/>
      <c r="D125" s="203">
        <v>0.49027777777777776</v>
      </c>
      <c r="E125" s="204" t="s">
        <v>25</v>
      </c>
      <c r="F125" s="450" t="s">
        <v>26</v>
      </c>
      <c r="G125" s="450"/>
      <c r="H125" s="199" t="s">
        <v>27</v>
      </c>
      <c r="I125" s="202" t="s">
        <v>867</v>
      </c>
      <c r="J125" s="202" t="s">
        <v>29</v>
      </c>
    </row>
    <row r="126" spans="2:10" ht="15" customHeight="1">
      <c r="B126" s="449" t="s">
        <v>30</v>
      </c>
      <c r="C126" s="449"/>
      <c r="D126" s="199" t="s">
        <v>31</v>
      </c>
      <c r="E126" s="199" t="s">
        <v>32</v>
      </c>
      <c r="F126" s="450">
        <v>87</v>
      </c>
      <c r="G126" s="450"/>
      <c r="H126" s="201" t="s">
        <v>33</v>
      </c>
      <c r="I126" s="247" t="s">
        <v>1918</v>
      </c>
      <c r="J126" s="202"/>
    </row>
    <row r="127" spans="2:10" ht="15" customHeight="1">
      <c r="B127" s="451" t="s">
        <v>35</v>
      </c>
      <c r="C127" s="451"/>
      <c r="D127" s="464" t="s">
        <v>1919</v>
      </c>
      <c r="E127" s="465"/>
      <c r="F127" s="465"/>
      <c r="G127" s="465"/>
      <c r="H127" s="465"/>
      <c r="I127" s="465"/>
      <c r="J127" s="469"/>
    </row>
    <row r="128" spans="2:10">
      <c r="B128" s="452" t="s">
        <v>1927</v>
      </c>
      <c r="C128" s="453"/>
      <c r="D128" s="453"/>
      <c r="E128" s="453"/>
      <c r="F128" s="453"/>
      <c r="G128" s="453"/>
      <c r="H128" s="453"/>
      <c r="I128" s="453"/>
      <c r="J128" s="454"/>
    </row>
    <row r="129" spans="2:10">
      <c r="B129" s="455"/>
      <c r="C129" s="456"/>
      <c r="D129" s="456"/>
      <c r="E129" s="456"/>
      <c r="F129" s="456"/>
      <c r="G129" s="456"/>
      <c r="H129" s="456"/>
      <c r="I129" s="456"/>
      <c r="J129" s="457"/>
    </row>
    <row r="130" spans="2:10">
      <c r="B130" s="455"/>
      <c r="C130" s="456"/>
      <c r="D130" s="456"/>
      <c r="E130" s="456"/>
      <c r="F130" s="456"/>
      <c r="G130" s="456"/>
      <c r="H130" s="456"/>
      <c r="I130" s="456"/>
      <c r="J130" s="457"/>
    </row>
    <row r="131" spans="2:10">
      <c r="B131" s="458"/>
      <c r="C131" s="459"/>
      <c r="D131" s="459"/>
      <c r="E131" s="459"/>
      <c r="F131" s="459"/>
      <c r="G131" s="459"/>
      <c r="H131" s="459"/>
      <c r="I131" s="459"/>
      <c r="J131" s="460"/>
    </row>
    <row r="132" spans="2:10" ht="18">
      <c r="B132" s="461" t="s">
        <v>38</v>
      </c>
      <c r="C132" s="462"/>
      <c r="D132" s="462"/>
      <c r="E132" s="462"/>
      <c r="F132" s="462"/>
      <c r="G132" s="462"/>
      <c r="H132" s="462"/>
      <c r="I132" s="463"/>
      <c r="J132" s="205" t="s">
        <v>39</v>
      </c>
    </row>
    <row r="133" spans="2:10">
      <c r="B133" s="200">
        <v>1</v>
      </c>
      <c r="C133" s="464" t="s">
        <v>1928</v>
      </c>
      <c r="D133" s="465"/>
      <c r="E133" s="465"/>
      <c r="F133" s="465"/>
      <c r="G133" s="465"/>
      <c r="H133" s="465"/>
      <c r="I133" s="466"/>
      <c r="J133" s="200" t="s">
        <v>43</v>
      </c>
    </row>
    <row r="134" spans="2:10">
      <c r="B134" s="200">
        <v>2</v>
      </c>
      <c r="C134" s="464" t="s">
        <v>1929</v>
      </c>
      <c r="D134" s="465"/>
      <c r="E134" s="465"/>
      <c r="F134" s="465"/>
      <c r="G134" s="465"/>
      <c r="H134" s="465"/>
      <c r="I134" s="466"/>
      <c r="J134" s="200"/>
    </row>
    <row r="135" spans="2:10">
      <c r="B135" s="200">
        <v>3</v>
      </c>
      <c r="C135" s="467"/>
      <c r="D135" s="468"/>
      <c r="E135" s="468"/>
      <c r="F135" s="468"/>
      <c r="G135" s="468"/>
      <c r="H135" s="468"/>
      <c r="I135" s="469"/>
      <c r="J135" s="200"/>
    </row>
    <row r="136" spans="2:10" ht="18">
      <c r="B136" s="461" t="s">
        <v>44</v>
      </c>
      <c r="C136" s="462"/>
      <c r="D136" s="462"/>
      <c r="E136" s="462"/>
      <c r="F136" s="462"/>
      <c r="G136" s="462"/>
      <c r="H136" s="462"/>
      <c r="I136" s="462"/>
      <c r="J136" s="463"/>
    </row>
    <row r="137" spans="2:10">
      <c r="B137" s="200" t="s">
        <v>45</v>
      </c>
      <c r="C137" s="1058" t="s">
        <v>1930</v>
      </c>
      <c r="D137" s="471"/>
      <c r="E137" s="471"/>
      <c r="F137" s="471"/>
      <c r="G137" s="471"/>
      <c r="H137" s="471"/>
      <c r="I137" s="471"/>
      <c r="J137" s="472"/>
    </row>
    <row r="138" spans="2:10">
      <c r="B138" s="206" t="s">
        <v>45</v>
      </c>
      <c r="C138" s="1059" t="s">
        <v>1931</v>
      </c>
      <c r="D138" s="473"/>
      <c r="E138" s="473"/>
      <c r="F138" s="473"/>
      <c r="G138" s="473"/>
      <c r="H138" s="473"/>
      <c r="I138" s="473"/>
      <c r="J138" s="473"/>
    </row>
    <row r="139" spans="2:10">
      <c r="B139" s="206" t="s">
        <v>45</v>
      </c>
      <c r="C139" s="1059" t="s">
        <v>1932</v>
      </c>
      <c r="D139" s="473"/>
      <c r="E139" s="473"/>
      <c r="F139" s="473"/>
      <c r="G139" s="473"/>
      <c r="H139" s="473"/>
      <c r="I139" s="473"/>
      <c r="J139" s="473"/>
    </row>
    <row r="140" spans="2:10">
      <c r="B140" s="206" t="s">
        <v>45</v>
      </c>
      <c r="C140" s="473"/>
      <c r="D140" s="473"/>
      <c r="E140" s="473"/>
      <c r="F140" s="473"/>
      <c r="G140" s="473"/>
      <c r="H140" s="473"/>
      <c r="I140" s="473"/>
      <c r="J140" s="473"/>
    </row>
    <row r="141" spans="2:10">
      <c r="B141" s="206" t="s">
        <v>45</v>
      </c>
      <c r="C141" s="474"/>
      <c r="D141" s="475"/>
      <c r="E141" s="475"/>
      <c r="F141" s="475"/>
      <c r="G141" s="475"/>
      <c r="H141" s="475"/>
      <c r="I141" s="475"/>
      <c r="J141" s="476"/>
    </row>
    <row r="142" spans="2:10">
      <c r="B142" s="206" t="s">
        <v>45</v>
      </c>
      <c r="C142" s="464"/>
      <c r="D142" s="465"/>
      <c r="E142" s="465"/>
      <c r="F142" s="465"/>
      <c r="G142" s="465"/>
      <c r="H142" s="465"/>
      <c r="I142" s="465"/>
      <c r="J142" s="466"/>
    </row>
    <row r="143" spans="2:10">
      <c r="B143" s="200" t="s">
        <v>45</v>
      </c>
      <c r="C143" s="464"/>
      <c r="D143" s="465"/>
      <c r="E143" s="465"/>
      <c r="F143" s="465"/>
      <c r="G143" s="465"/>
      <c r="H143" s="465"/>
      <c r="I143" s="465"/>
      <c r="J143" s="466"/>
    </row>
    <row r="144" spans="2:10">
      <c r="B144" s="200" t="s">
        <v>7</v>
      </c>
      <c r="C144" s="473" t="s">
        <v>1933</v>
      </c>
      <c r="D144" s="473"/>
      <c r="E144" s="473"/>
      <c r="F144" s="473"/>
      <c r="G144" s="473"/>
      <c r="H144" s="473"/>
      <c r="I144" s="473"/>
      <c r="J144" s="473"/>
    </row>
    <row r="145" spans="2:10" ht="18">
      <c r="B145" s="205" t="s">
        <v>52</v>
      </c>
      <c r="C145" s="477" t="s">
        <v>53</v>
      </c>
      <c r="D145" s="477"/>
      <c r="E145" s="477"/>
      <c r="F145" s="477"/>
      <c r="G145" s="477"/>
      <c r="H145" s="205" t="s">
        <v>54</v>
      </c>
      <c r="I145" s="205" t="s">
        <v>55</v>
      </c>
      <c r="J145" s="205" t="s">
        <v>56</v>
      </c>
    </row>
    <row r="146" spans="2:10" ht="15" customHeight="1">
      <c r="B146" s="200">
        <v>1</v>
      </c>
      <c r="C146" s="451" t="s">
        <v>1934</v>
      </c>
      <c r="D146" s="451"/>
      <c r="E146" s="451"/>
      <c r="F146" s="451"/>
      <c r="G146" s="451"/>
      <c r="H146" s="200" t="s">
        <v>1507</v>
      </c>
      <c r="I146" s="207" t="s">
        <v>1935</v>
      </c>
      <c r="J146" s="200" t="s">
        <v>1915</v>
      </c>
    </row>
    <row r="147" spans="2:10">
      <c r="B147" s="200">
        <v>2</v>
      </c>
      <c r="C147" s="449" t="s">
        <v>1936</v>
      </c>
      <c r="D147" s="449"/>
      <c r="E147" s="449"/>
      <c r="F147" s="449"/>
      <c r="G147" s="449"/>
      <c r="H147" s="200" t="s">
        <v>1937</v>
      </c>
      <c r="I147" s="207"/>
      <c r="J147" s="200" t="s">
        <v>1507</v>
      </c>
    </row>
    <row r="148" spans="2:10">
      <c r="B148" s="200">
        <v>3</v>
      </c>
      <c r="C148" s="450"/>
      <c r="D148" s="450"/>
      <c r="E148" s="450"/>
      <c r="F148" s="450"/>
      <c r="G148" s="450"/>
      <c r="H148" s="200"/>
      <c r="I148" s="200"/>
      <c r="J148" s="200"/>
    </row>
    <row r="149" spans="2:10">
      <c r="B149" s="450" t="s">
        <v>63</v>
      </c>
      <c r="C149" s="450"/>
      <c r="D149" s="199" t="s">
        <v>31</v>
      </c>
      <c r="E149" s="198" t="s">
        <v>64</v>
      </c>
      <c r="F149" s="467"/>
      <c r="G149" s="469"/>
      <c r="H149" s="199"/>
      <c r="I149" s="199"/>
      <c r="J149" s="199"/>
    </row>
    <row r="150" spans="2:10" ht="15" customHeight="1">
      <c r="B150" s="201" t="s">
        <v>66</v>
      </c>
      <c r="C150" s="450"/>
      <c r="D150" s="450"/>
      <c r="E150" s="201" t="s">
        <v>67</v>
      </c>
      <c r="F150" s="450"/>
      <c r="G150" s="450"/>
      <c r="H150" s="201" t="s">
        <v>68</v>
      </c>
      <c r="I150" s="450"/>
      <c r="J150" s="450"/>
    </row>
    <row r="156" spans="2:10" ht="26.25">
      <c r="B156" s="446" t="s">
        <v>13</v>
      </c>
      <c r="C156" s="447"/>
      <c r="D156" s="446" t="s">
        <v>14</v>
      </c>
      <c r="E156" s="446"/>
      <c r="F156" s="446"/>
      <c r="G156" s="446"/>
      <c r="H156" s="446"/>
      <c r="I156" s="446"/>
      <c r="J156" s="197" t="s">
        <v>15</v>
      </c>
    </row>
    <row r="157" spans="2:10" ht="20.25">
      <c r="B157" s="447"/>
      <c r="C157" s="447"/>
      <c r="D157" s="448" t="s">
        <v>16</v>
      </c>
      <c r="E157" s="448"/>
      <c r="F157" s="448"/>
      <c r="G157" s="448"/>
      <c r="H157" s="448"/>
      <c r="I157" s="448"/>
      <c r="J157" s="197" t="s">
        <v>17</v>
      </c>
    </row>
    <row r="158" spans="2:10">
      <c r="B158" s="449" t="s">
        <v>18</v>
      </c>
      <c r="C158" s="449"/>
      <c r="D158" s="244">
        <v>45761</v>
      </c>
      <c r="E158" s="199" t="s">
        <v>1460</v>
      </c>
      <c r="F158" s="450" t="s">
        <v>131</v>
      </c>
      <c r="G158" s="450"/>
      <c r="H158" s="201" t="s">
        <v>21</v>
      </c>
      <c r="I158" s="202" t="s">
        <v>1669</v>
      </c>
      <c r="J158" s="199" t="s">
        <v>23</v>
      </c>
    </row>
    <row r="159" spans="2:10">
      <c r="B159" s="449" t="s">
        <v>24</v>
      </c>
      <c r="C159" s="449"/>
      <c r="D159" s="203" t="s">
        <v>1938</v>
      </c>
      <c r="E159" s="204" t="s">
        <v>25</v>
      </c>
      <c r="F159" s="450" t="s">
        <v>26</v>
      </c>
      <c r="G159" s="450"/>
      <c r="H159" s="199" t="s">
        <v>27</v>
      </c>
      <c r="I159" s="202" t="s">
        <v>917</v>
      </c>
      <c r="J159" s="202" t="s">
        <v>29</v>
      </c>
    </row>
    <row r="160" spans="2:10">
      <c r="B160" s="449" t="s">
        <v>30</v>
      </c>
      <c r="C160" s="449"/>
      <c r="D160" s="199" t="s">
        <v>31</v>
      </c>
      <c r="E160" s="199" t="s">
        <v>32</v>
      </c>
      <c r="F160" s="450">
        <v>60</v>
      </c>
      <c r="G160" s="450"/>
      <c r="H160" s="201" t="s">
        <v>33</v>
      </c>
      <c r="I160" s="247" t="s">
        <v>1939</v>
      </c>
      <c r="J160" s="202"/>
    </row>
    <row r="161" spans="2:10">
      <c r="B161" s="451" t="s">
        <v>35</v>
      </c>
      <c r="C161" s="451"/>
      <c r="D161" s="464" t="s">
        <v>1919</v>
      </c>
      <c r="E161" s="465"/>
      <c r="F161" s="465"/>
      <c r="G161" s="465"/>
      <c r="H161" s="465"/>
      <c r="I161" s="465"/>
      <c r="J161" s="469"/>
    </row>
    <row r="162" spans="2:10">
      <c r="B162" s="452" t="s">
        <v>1940</v>
      </c>
      <c r="C162" s="453"/>
      <c r="D162" s="453"/>
      <c r="E162" s="453"/>
      <c r="F162" s="453"/>
      <c r="G162" s="453"/>
      <c r="H162" s="453"/>
      <c r="I162" s="453"/>
      <c r="J162" s="454"/>
    </row>
    <row r="163" spans="2:10">
      <c r="B163" s="455"/>
      <c r="C163" s="456"/>
      <c r="D163" s="456"/>
      <c r="E163" s="456"/>
      <c r="F163" s="456"/>
      <c r="G163" s="456"/>
      <c r="H163" s="456"/>
      <c r="I163" s="456"/>
      <c r="J163" s="457"/>
    </row>
    <row r="164" spans="2:10">
      <c r="B164" s="455"/>
      <c r="C164" s="456"/>
      <c r="D164" s="456"/>
      <c r="E164" s="456"/>
      <c r="F164" s="456"/>
      <c r="G164" s="456"/>
      <c r="H164" s="456"/>
      <c r="I164" s="456"/>
      <c r="J164" s="457"/>
    </row>
    <row r="165" spans="2:10">
      <c r="B165" s="458"/>
      <c r="C165" s="459"/>
      <c r="D165" s="459"/>
      <c r="E165" s="459"/>
      <c r="F165" s="459"/>
      <c r="G165" s="459"/>
      <c r="H165" s="459"/>
      <c r="I165" s="459"/>
      <c r="J165" s="460"/>
    </row>
    <row r="166" spans="2:10" ht="18">
      <c r="B166" s="461" t="s">
        <v>38</v>
      </c>
      <c r="C166" s="462"/>
      <c r="D166" s="462"/>
      <c r="E166" s="462"/>
      <c r="F166" s="462"/>
      <c r="G166" s="462"/>
      <c r="H166" s="462"/>
      <c r="I166" s="463"/>
      <c r="J166" s="205" t="s">
        <v>39</v>
      </c>
    </row>
    <row r="167" spans="2:10">
      <c r="B167" s="200">
        <v>1</v>
      </c>
      <c r="C167" s="464" t="s">
        <v>1941</v>
      </c>
      <c r="D167" s="465"/>
      <c r="E167" s="465"/>
      <c r="F167" s="465"/>
      <c r="G167" s="465"/>
      <c r="H167" s="465"/>
      <c r="I167" s="466"/>
      <c r="J167" s="200" t="s">
        <v>43</v>
      </c>
    </row>
    <row r="168" spans="2:10">
      <c r="B168" s="200">
        <v>2</v>
      </c>
      <c r="C168" s="464" t="s">
        <v>1942</v>
      </c>
      <c r="D168" s="465"/>
      <c r="E168" s="465"/>
      <c r="F168" s="465"/>
      <c r="G168" s="465"/>
      <c r="H168" s="465"/>
      <c r="I168" s="466"/>
      <c r="J168" s="200"/>
    </row>
    <row r="169" spans="2:10">
      <c r="B169" s="200">
        <v>3</v>
      </c>
      <c r="C169" s="464" t="s">
        <v>1943</v>
      </c>
      <c r="D169" s="465"/>
      <c r="E169" s="465"/>
      <c r="F169" s="465"/>
      <c r="G169" s="465"/>
      <c r="H169" s="465"/>
      <c r="I169" s="466"/>
      <c r="J169" s="200"/>
    </row>
    <row r="170" spans="2:10" ht="18">
      <c r="B170" s="461" t="s">
        <v>44</v>
      </c>
      <c r="C170" s="462"/>
      <c r="D170" s="462"/>
      <c r="E170" s="462"/>
      <c r="F170" s="462"/>
      <c r="G170" s="462"/>
      <c r="H170" s="462"/>
      <c r="I170" s="462"/>
      <c r="J170" s="463"/>
    </row>
    <row r="171" spans="2:10">
      <c r="B171" s="200" t="s">
        <v>45</v>
      </c>
      <c r="C171" s="1058" t="s">
        <v>1944</v>
      </c>
      <c r="D171" s="471"/>
      <c r="E171" s="471"/>
      <c r="F171" s="471"/>
      <c r="G171" s="471"/>
      <c r="H171" s="471"/>
      <c r="I171" s="471"/>
      <c r="J171" s="472"/>
    </row>
    <row r="172" spans="2:10">
      <c r="B172" s="206" t="s">
        <v>45</v>
      </c>
      <c r="C172" s="1059" t="s">
        <v>1945</v>
      </c>
      <c r="D172" s="473"/>
      <c r="E172" s="473"/>
      <c r="F172" s="473"/>
      <c r="G172" s="473"/>
      <c r="H172" s="473"/>
      <c r="I172" s="473"/>
      <c r="J172" s="473"/>
    </row>
    <row r="173" spans="2:10">
      <c r="B173" s="206" t="s">
        <v>45</v>
      </c>
      <c r="C173" s="1059"/>
      <c r="D173" s="473"/>
      <c r="E173" s="473"/>
      <c r="F173" s="473"/>
      <c r="G173" s="473"/>
      <c r="H173" s="473"/>
      <c r="I173" s="473"/>
      <c r="J173" s="473"/>
    </row>
    <row r="174" spans="2:10">
      <c r="B174" s="206" t="s">
        <v>45</v>
      </c>
      <c r="C174" s="473"/>
      <c r="D174" s="473"/>
      <c r="E174" s="473"/>
      <c r="F174" s="473"/>
      <c r="G174" s="473"/>
      <c r="H174" s="473"/>
      <c r="I174" s="473"/>
      <c r="J174" s="473"/>
    </row>
    <row r="175" spans="2:10">
      <c r="B175" s="206" t="s">
        <v>45</v>
      </c>
      <c r="C175" s="474"/>
      <c r="D175" s="475"/>
      <c r="E175" s="475"/>
      <c r="F175" s="475"/>
      <c r="G175" s="475"/>
      <c r="H175" s="475"/>
      <c r="I175" s="475"/>
      <c r="J175" s="476"/>
    </row>
    <row r="176" spans="2:10">
      <c r="B176" s="206" t="s">
        <v>45</v>
      </c>
      <c r="C176" s="464"/>
      <c r="D176" s="465"/>
      <c r="E176" s="465"/>
      <c r="F176" s="465"/>
      <c r="G176" s="465"/>
      <c r="H176" s="465"/>
      <c r="I176" s="465"/>
      <c r="J176" s="466"/>
    </row>
    <row r="177" spans="2:10">
      <c r="B177" s="200" t="s">
        <v>45</v>
      </c>
      <c r="C177" s="464"/>
      <c r="D177" s="465"/>
      <c r="E177" s="465"/>
      <c r="F177" s="465"/>
      <c r="G177" s="465"/>
      <c r="H177" s="465"/>
      <c r="I177" s="465"/>
      <c r="J177" s="466"/>
    </row>
    <row r="178" spans="2:10">
      <c r="B178" s="200" t="s">
        <v>7</v>
      </c>
      <c r="C178" s="473" t="s">
        <v>1946</v>
      </c>
      <c r="D178" s="473"/>
      <c r="E178" s="473"/>
      <c r="F178" s="473"/>
      <c r="G178" s="473"/>
      <c r="H178" s="473"/>
      <c r="I178" s="473"/>
      <c r="J178" s="473"/>
    </row>
    <row r="179" spans="2:10" ht="18">
      <c r="B179" s="205" t="s">
        <v>52</v>
      </c>
      <c r="C179" s="477" t="s">
        <v>53</v>
      </c>
      <c r="D179" s="477"/>
      <c r="E179" s="477"/>
      <c r="F179" s="477"/>
      <c r="G179" s="477"/>
      <c r="H179" s="205" t="s">
        <v>54</v>
      </c>
      <c r="I179" s="205" t="s">
        <v>55</v>
      </c>
      <c r="J179" s="205" t="s">
        <v>56</v>
      </c>
    </row>
    <row r="180" spans="2:10">
      <c r="B180" s="200">
        <v>1</v>
      </c>
      <c r="C180" s="451"/>
      <c r="D180" s="451"/>
      <c r="E180" s="451"/>
      <c r="F180" s="451"/>
      <c r="G180" s="451"/>
      <c r="H180" s="200" t="s">
        <v>1914</v>
      </c>
      <c r="I180" s="207" t="s">
        <v>1692</v>
      </c>
      <c r="J180" s="200" t="s">
        <v>1915</v>
      </c>
    </row>
    <row r="181" spans="2:10">
      <c r="B181" s="200">
        <v>2</v>
      </c>
      <c r="C181" s="449"/>
      <c r="D181" s="449"/>
      <c r="E181" s="449"/>
      <c r="F181" s="449"/>
      <c r="G181" s="449"/>
      <c r="H181" s="200" t="s">
        <v>1917</v>
      </c>
      <c r="I181" s="207" t="s">
        <v>1692</v>
      </c>
      <c r="J181" s="200" t="s">
        <v>1507</v>
      </c>
    </row>
    <row r="182" spans="2:10">
      <c r="B182" s="200">
        <v>3</v>
      </c>
      <c r="C182" s="450"/>
      <c r="D182" s="450"/>
      <c r="E182" s="450"/>
      <c r="F182" s="450"/>
      <c r="G182" s="450"/>
      <c r="H182" s="200"/>
      <c r="I182" s="200"/>
      <c r="J182" s="200"/>
    </row>
    <row r="183" spans="2:10">
      <c r="B183" s="450" t="s">
        <v>63</v>
      </c>
      <c r="C183" s="450"/>
      <c r="D183" s="199" t="s">
        <v>31</v>
      </c>
      <c r="E183" s="198" t="s">
        <v>64</v>
      </c>
      <c r="F183" s="467"/>
      <c r="G183" s="469"/>
      <c r="H183" s="199"/>
      <c r="I183" s="199"/>
      <c r="J183" s="199"/>
    </row>
    <row r="184" spans="2:10" ht="45">
      <c r="B184" s="201" t="s">
        <v>66</v>
      </c>
      <c r="C184" s="450"/>
      <c r="D184" s="450"/>
      <c r="E184" s="201" t="s">
        <v>67</v>
      </c>
      <c r="F184" s="450"/>
      <c r="G184" s="450"/>
      <c r="H184" s="201" t="s">
        <v>68</v>
      </c>
      <c r="I184" s="450"/>
      <c r="J184" s="450"/>
    </row>
    <row r="188" spans="2:10" ht="26.25">
      <c r="B188" s="446" t="s">
        <v>13</v>
      </c>
      <c r="C188" s="447"/>
      <c r="D188" s="446" t="s">
        <v>14</v>
      </c>
      <c r="E188" s="446"/>
      <c r="F188" s="446"/>
      <c r="G188" s="446"/>
      <c r="H188" s="446"/>
      <c r="I188" s="446"/>
      <c r="J188" s="197" t="s">
        <v>15</v>
      </c>
    </row>
    <row r="189" spans="2:10" ht="20.25">
      <c r="B189" s="447"/>
      <c r="C189" s="447"/>
      <c r="D189" s="448" t="s">
        <v>16</v>
      </c>
      <c r="E189" s="448"/>
      <c r="F189" s="448"/>
      <c r="G189" s="448"/>
      <c r="H189" s="448"/>
      <c r="I189" s="448"/>
      <c r="J189" s="197" t="s">
        <v>17</v>
      </c>
    </row>
    <row r="190" spans="2:10">
      <c r="B190" s="449" t="s">
        <v>18</v>
      </c>
      <c r="C190" s="449"/>
      <c r="D190" s="244">
        <v>45764</v>
      </c>
      <c r="E190" s="199" t="s">
        <v>1460</v>
      </c>
      <c r="F190" s="450" t="s">
        <v>159</v>
      </c>
      <c r="G190" s="450"/>
      <c r="H190" s="201" t="s">
        <v>21</v>
      </c>
      <c r="I190" s="202" t="s">
        <v>1669</v>
      </c>
      <c r="J190" s="199" t="s">
        <v>23</v>
      </c>
    </row>
    <row r="191" spans="2:10">
      <c r="B191" s="449" t="s">
        <v>24</v>
      </c>
      <c r="C191" s="449"/>
      <c r="D191" s="203">
        <v>0.49027777777777776</v>
      </c>
      <c r="E191" s="204" t="s">
        <v>25</v>
      </c>
      <c r="F191" s="450" t="s">
        <v>26</v>
      </c>
      <c r="G191" s="450"/>
      <c r="H191" s="199" t="s">
        <v>27</v>
      </c>
      <c r="I191" s="202" t="s">
        <v>917</v>
      </c>
      <c r="J191" s="202" t="s">
        <v>29</v>
      </c>
    </row>
    <row r="192" spans="2:10">
      <c r="B192" s="449" t="s">
        <v>30</v>
      </c>
      <c r="C192" s="449"/>
      <c r="D192" s="199" t="s">
        <v>31</v>
      </c>
      <c r="E192" s="199" t="s">
        <v>32</v>
      </c>
      <c r="F192" s="450">
        <v>60</v>
      </c>
      <c r="G192" s="450"/>
      <c r="H192" s="201" t="s">
        <v>33</v>
      </c>
      <c r="I192" s="247" t="s">
        <v>1939</v>
      </c>
      <c r="J192" s="202"/>
    </row>
    <row r="193" spans="2:10">
      <c r="B193" s="451" t="s">
        <v>35</v>
      </c>
      <c r="C193" s="451"/>
      <c r="D193" s="464" t="s">
        <v>1672</v>
      </c>
      <c r="E193" s="465"/>
      <c r="F193" s="465"/>
      <c r="G193" s="465"/>
      <c r="H193" s="465"/>
      <c r="I193" s="465"/>
      <c r="J193" s="469"/>
    </row>
    <row r="194" spans="2:10">
      <c r="B194" s="452" t="s">
        <v>1947</v>
      </c>
      <c r="C194" s="453"/>
      <c r="D194" s="453"/>
      <c r="E194" s="453"/>
      <c r="F194" s="453"/>
      <c r="G194" s="453"/>
      <c r="H194" s="453"/>
      <c r="I194" s="453"/>
      <c r="J194" s="454"/>
    </row>
    <row r="195" spans="2:10">
      <c r="B195" s="455"/>
      <c r="C195" s="456"/>
      <c r="D195" s="456"/>
      <c r="E195" s="456"/>
      <c r="F195" s="456"/>
      <c r="G195" s="456"/>
      <c r="H195" s="456"/>
      <c r="I195" s="456"/>
      <c r="J195" s="457"/>
    </row>
    <row r="196" spans="2:10">
      <c r="B196" s="455"/>
      <c r="C196" s="456"/>
      <c r="D196" s="456"/>
      <c r="E196" s="456"/>
      <c r="F196" s="456"/>
      <c r="G196" s="456"/>
      <c r="H196" s="456"/>
      <c r="I196" s="456"/>
      <c r="J196" s="457"/>
    </row>
    <row r="197" spans="2:10">
      <c r="B197" s="458"/>
      <c r="C197" s="459"/>
      <c r="D197" s="459"/>
      <c r="E197" s="459"/>
      <c r="F197" s="459"/>
      <c r="G197" s="459"/>
      <c r="H197" s="459"/>
      <c r="I197" s="459"/>
      <c r="J197" s="460"/>
    </row>
    <row r="198" spans="2:10" ht="18">
      <c r="B198" s="461" t="s">
        <v>38</v>
      </c>
      <c r="C198" s="462"/>
      <c r="D198" s="462"/>
      <c r="E198" s="462"/>
      <c r="F198" s="462"/>
      <c r="G198" s="462"/>
      <c r="H198" s="462"/>
      <c r="I198" s="463"/>
      <c r="J198" s="205" t="s">
        <v>39</v>
      </c>
    </row>
    <row r="199" spans="2:10">
      <c r="B199" s="200">
        <v>1</v>
      </c>
      <c r="C199" s="464" t="s">
        <v>1948</v>
      </c>
      <c r="D199" s="465"/>
      <c r="E199" s="465"/>
      <c r="F199" s="465"/>
      <c r="G199" s="465"/>
      <c r="H199" s="465"/>
      <c r="I199" s="466"/>
      <c r="J199" s="200" t="s">
        <v>43</v>
      </c>
    </row>
    <row r="200" spans="2:10">
      <c r="B200" s="200">
        <v>2</v>
      </c>
      <c r="C200" s="464" t="s">
        <v>1942</v>
      </c>
      <c r="D200" s="465"/>
      <c r="E200" s="465"/>
      <c r="F200" s="465"/>
      <c r="G200" s="465"/>
      <c r="H200" s="465"/>
      <c r="I200" s="466"/>
      <c r="J200" s="200"/>
    </row>
    <row r="201" spans="2:10">
      <c r="B201" s="200">
        <v>3</v>
      </c>
      <c r="C201" s="464" t="s">
        <v>1943</v>
      </c>
      <c r="D201" s="465"/>
      <c r="E201" s="465"/>
      <c r="F201" s="465"/>
      <c r="G201" s="465"/>
      <c r="H201" s="465"/>
      <c r="I201" s="466"/>
      <c r="J201" s="200"/>
    </row>
    <row r="202" spans="2:10" ht="18">
      <c r="B202" s="461" t="s">
        <v>44</v>
      </c>
      <c r="C202" s="462"/>
      <c r="D202" s="462"/>
      <c r="E202" s="462"/>
      <c r="F202" s="462"/>
      <c r="G202" s="462"/>
      <c r="H202" s="462"/>
      <c r="I202" s="462"/>
      <c r="J202" s="463"/>
    </row>
    <row r="203" spans="2:10">
      <c r="B203" s="200" t="s">
        <v>45</v>
      </c>
      <c r="C203" s="1058" t="s">
        <v>1944</v>
      </c>
      <c r="D203" s="471"/>
      <c r="E203" s="471"/>
      <c r="F203" s="471"/>
      <c r="G203" s="471"/>
      <c r="H203" s="471"/>
      <c r="I203" s="471"/>
      <c r="J203" s="472"/>
    </row>
    <row r="204" spans="2:10">
      <c r="B204" s="206" t="s">
        <v>45</v>
      </c>
      <c r="C204" s="1059" t="s">
        <v>1949</v>
      </c>
      <c r="D204" s="473"/>
      <c r="E204" s="473"/>
      <c r="F204" s="473"/>
      <c r="G204" s="473"/>
      <c r="H204" s="473"/>
      <c r="I204" s="473"/>
      <c r="J204" s="473"/>
    </row>
    <row r="205" spans="2:10">
      <c r="B205" s="206" t="s">
        <v>45</v>
      </c>
      <c r="C205" s="1059"/>
      <c r="D205" s="473"/>
      <c r="E205" s="473"/>
      <c r="F205" s="473"/>
      <c r="G205" s="473"/>
      <c r="H205" s="473"/>
      <c r="I205" s="473"/>
      <c r="J205" s="473"/>
    </row>
    <row r="206" spans="2:10">
      <c r="B206" s="206" t="s">
        <v>45</v>
      </c>
      <c r="C206" s="473"/>
      <c r="D206" s="473"/>
      <c r="E206" s="473"/>
      <c r="F206" s="473"/>
      <c r="G206" s="473"/>
      <c r="H206" s="473"/>
      <c r="I206" s="473"/>
      <c r="J206" s="473"/>
    </row>
    <row r="207" spans="2:10">
      <c r="B207" s="206" t="s">
        <v>45</v>
      </c>
      <c r="C207" s="474"/>
      <c r="D207" s="475"/>
      <c r="E207" s="475"/>
      <c r="F207" s="475"/>
      <c r="G207" s="475"/>
      <c r="H207" s="475"/>
      <c r="I207" s="475"/>
      <c r="J207" s="476"/>
    </row>
    <row r="208" spans="2:10">
      <c r="B208" s="206" t="s">
        <v>45</v>
      </c>
      <c r="C208" s="464"/>
      <c r="D208" s="465"/>
      <c r="E208" s="465"/>
      <c r="F208" s="465"/>
      <c r="G208" s="465"/>
      <c r="H208" s="465"/>
      <c r="I208" s="465"/>
      <c r="J208" s="466"/>
    </row>
    <row r="209" spans="2:10">
      <c r="B209" s="200" t="s">
        <v>45</v>
      </c>
      <c r="C209" s="464"/>
      <c r="D209" s="465"/>
      <c r="E209" s="465"/>
      <c r="F209" s="465"/>
      <c r="G209" s="465"/>
      <c r="H209" s="465"/>
      <c r="I209" s="465"/>
      <c r="J209" s="466"/>
    </row>
    <row r="210" spans="2:10">
      <c r="B210" s="200" t="s">
        <v>7</v>
      </c>
      <c r="C210" s="473" t="s">
        <v>1887</v>
      </c>
      <c r="D210" s="473"/>
      <c r="E210" s="473"/>
      <c r="F210" s="473"/>
      <c r="G210" s="473"/>
      <c r="H210" s="473"/>
      <c r="I210" s="473"/>
      <c r="J210" s="473"/>
    </row>
    <row r="211" spans="2:10" ht="18">
      <c r="B211" s="205" t="s">
        <v>52</v>
      </c>
      <c r="C211" s="477" t="s">
        <v>53</v>
      </c>
      <c r="D211" s="477"/>
      <c r="E211" s="477"/>
      <c r="F211" s="477"/>
      <c r="G211" s="477"/>
      <c r="H211" s="205" t="s">
        <v>54</v>
      </c>
      <c r="I211" s="205" t="s">
        <v>55</v>
      </c>
      <c r="J211" s="205" t="s">
        <v>56</v>
      </c>
    </row>
    <row r="212" spans="2:10">
      <c r="B212" s="200">
        <v>1</v>
      </c>
      <c r="C212" s="451"/>
      <c r="D212" s="451"/>
      <c r="E212" s="451"/>
      <c r="F212" s="451"/>
      <c r="G212" s="451"/>
      <c r="H212" s="200" t="s">
        <v>1914</v>
      </c>
      <c r="I212" s="207" t="s">
        <v>1692</v>
      </c>
      <c r="J212" s="200" t="s">
        <v>1915</v>
      </c>
    </row>
    <row r="213" spans="2:10">
      <c r="B213" s="200">
        <v>2</v>
      </c>
      <c r="C213" s="449"/>
      <c r="D213" s="449"/>
      <c r="E213" s="449"/>
      <c r="F213" s="449"/>
      <c r="G213" s="449"/>
      <c r="H213" s="200" t="s">
        <v>1917</v>
      </c>
      <c r="I213" s="207" t="s">
        <v>1692</v>
      </c>
      <c r="J213" s="200" t="s">
        <v>1507</v>
      </c>
    </row>
    <row r="214" spans="2:10">
      <c r="B214" s="200">
        <v>3</v>
      </c>
      <c r="C214" s="450"/>
      <c r="D214" s="450"/>
      <c r="E214" s="450"/>
      <c r="F214" s="450"/>
      <c r="G214" s="450"/>
      <c r="H214" s="200"/>
      <c r="I214" s="200"/>
      <c r="J214" s="200"/>
    </row>
    <row r="215" spans="2:10">
      <c r="B215" s="450" t="s">
        <v>63</v>
      </c>
      <c r="C215" s="450"/>
      <c r="D215" s="199" t="s">
        <v>31</v>
      </c>
      <c r="E215" s="198" t="s">
        <v>64</v>
      </c>
      <c r="F215" s="467"/>
      <c r="G215" s="469"/>
      <c r="H215" s="199"/>
      <c r="I215" s="199"/>
      <c r="J215" s="199"/>
    </row>
    <row r="216" spans="2:10" ht="45">
      <c r="B216" s="201" t="s">
        <v>66</v>
      </c>
      <c r="C216" s="450"/>
      <c r="D216" s="450"/>
      <c r="E216" s="201" t="s">
        <v>67</v>
      </c>
      <c r="F216" s="450"/>
      <c r="G216" s="450"/>
      <c r="H216" s="201" t="s">
        <v>68</v>
      </c>
      <c r="I216" s="450"/>
      <c r="J216" s="450"/>
    </row>
    <row r="220" spans="2:10" ht="26.25">
      <c r="B220" s="446" t="s">
        <v>13</v>
      </c>
      <c r="C220" s="447"/>
      <c r="D220" s="446" t="s">
        <v>14</v>
      </c>
      <c r="E220" s="446"/>
      <c r="F220" s="446"/>
      <c r="G220" s="446"/>
      <c r="H220" s="446"/>
      <c r="I220" s="446"/>
      <c r="J220" s="197" t="s">
        <v>15</v>
      </c>
    </row>
    <row r="221" spans="2:10" ht="20.25">
      <c r="B221" s="447"/>
      <c r="C221" s="447"/>
      <c r="D221" s="448" t="s">
        <v>16</v>
      </c>
      <c r="E221" s="448"/>
      <c r="F221" s="448"/>
      <c r="G221" s="448"/>
      <c r="H221" s="448"/>
      <c r="I221" s="448"/>
      <c r="J221" s="197" t="s">
        <v>17</v>
      </c>
    </row>
    <row r="222" spans="2:10">
      <c r="B222" s="449" t="s">
        <v>18</v>
      </c>
      <c r="C222" s="449"/>
      <c r="D222" s="244">
        <v>45764</v>
      </c>
      <c r="E222" s="199" t="s">
        <v>1460</v>
      </c>
      <c r="F222" s="450" t="s">
        <v>159</v>
      </c>
      <c r="G222" s="450"/>
      <c r="H222" s="201" t="s">
        <v>21</v>
      </c>
      <c r="I222" s="202" t="s">
        <v>1669</v>
      </c>
      <c r="J222" s="199" t="s">
        <v>23</v>
      </c>
    </row>
    <row r="223" spans="2:10">
      <c r="B223" s="449" t="s">
        <v>24</v>
      </c>
      <c r="C223" s="449"/>
      <c r="D223" s="203">
        <v>0.49027777777777776</v>
      </c>
      <c r="E223" s="204" t="s">
        <v>25</v>
      </c>
      <c r="F223" s="450" t="s">
        <v>26</v>
      </c>
      <c r="G223" s="450"/>
      <c r="H223" s="199" t="s">
        <v>27</v>
      </c>
      <c r="I223" s="202" t="s">
        <v>917</v>
      </c>
      <c r="J223" s="202" t="s">
        <v>29</v>
      </c>
    </row>
    <row r="224" spans="2:10">
      <c r="B224" s="449" t="s">
        <v>30</v>
      </c>
      <c r="C224" s="449"/>
      <c r="D224" s="199" t="s">
        <v>31</v>
      </c>
      <c r="E224" s="199" t="s">
        <v>32</v>
      </c>
      <c r="F224" s="450">
        <v>60</v>
      </c>
      <c r="G224" s="450"/>
      <c r="H224" s="201" t="s">
        <v>33</v>
      </c>
      <c r="I224" s="247" t="s">
        <v>1939</v>
      </c>
      <c r="J224" s="202"/>
    </row>
    <row r="225" spans="2:10">
      <c r="B225" s="451" t="s">
        <v>35</v>
      </c>
      <c r="C225" s="451"/>
      <c r="D225" s="464" t="s">
        <v>1672</v>
      </c>
      <c r="E225" s="465"/>
      <c r="F225" s="465"/>
      <c r="G225" s="465"/>
      <c r="H225" s="465"/>
      <c r="I225" s="465"/>
      <c r="J225" s="469"/>
    </row>
    <row r="226" spans="2:10">
      <c r="B226" s="452" t="s">
        <v>1947</v>
      </c>
      <c r="C226" s="453"/>
      <c r="D226" s="453"/>
      <c r="E226" s="453"/>
      <c r="F226" s="453"/>
      <c r="G226" s="453"/>
      <c r="H226" s="453"/>
      <c r="I226" s="453"/>
      <c r="J226" s="454"/>
    </row>
    <row r="227" spans="2:10">
      <c r="B227" s="455"/>
      <c r="C227" s="456"/>
      <c r="D227" s="456"/>
      <c r="E227" s="456"/>
      <c r="F227" s="456"/>
      <c r="G227" s="456"/>
      <c r="H227" s="456"/>
      <c r="I227" s="456"/>
      <c r="J227" s="457"/>
    </row>
    <row r="228" spans="2:10">
      <c r="B228" s="455"/>
      <c r="C228" s="456"/>
      <c r="D228" s="456"/>
      <c r="E228" s="456"/>
      <c r="F228" s="456"/>
      <c r="G228" s="456"/>
      <c r="H228" s="456"/>
      <c r="I228" s="456"/>
      <c r="J228" s="457"/>
    </row>
    <row r="229" spans="2:10">
      <c r="B229" s="458"/>
      <c r="C229" s="459"/>
      <c r="D229" s="459"/>
      <c r="E229" s="459"/>
      <c r="F229" s="459"/>
      <c r="G229" s="459"/>
      <c r="H229" s="459"/>
      <c r="I229" s="459"/>
      <c r="J229" s="460"/>
    </row>
    <row r="230" spans="2:10" ht="18">
      <c r="B230" s="461" t="s">
        <v>38</v>
      </c>
      <c r="C230" s="462"/>
      <c r="D230" s="462"/>
      <c r="E230" s="462"/>
      <c r="F230" s="462"/>
      <c r="G230" s="462"/>
      <c r="H230" s="462"/>
      <c r="I230" s="463"/>
      <c r="J230" s="205" t="s">
        <v>39</v>
      </c>
    </row>
    <row r="231" spans="2:10">
      <c r="B231" s="200">
        <v>1</v>
      </c>
      <c r="C231" s="464" t="s">
        <v>1948</v>
      </c>
      <c r="D231" s="465"/>
      <c r="E231" s="465"/>
      <c r="F231" s="465"/>
      <c r="G231" s="465"/>
      <c r="H231" s="465"/>
      <c r="I231" s="466"/>
      <c r="J231" s="200" t="s">
        <v>43</v>
      </c>
    </row>
    <row r="232" spans="2:10">
      <c r="B232" s="200">
        <v>2</v>
      </c>
      <c r="C232" s="464" t="s">
        <v>1942</v>
      </c>
      <c r="D232" s="465"/>
      <c r="E232" s="465"/>
      <c r="F232" s="465"/>
      <c r="G232" s="465"/>
      <c r="H232" s="465"/>
      <c r="I232" s="466"/>
      <c r="J232" s="200"/>
    </row>
    <row r="233" spans="2:10">
      <c r="B233" s="200">
        <v>3</v>
      </c>
      <c r="C233" s="464" t="s">
        <v>1943</v>
      </c>
      <c r="D233" s="465"/>
      <c r="E233" s="465"/>
      <c r="F233" s="465"/>
      <c r="G233" s="465"/>
      <c r="H233" s="465"/>
      <c r="I233" s="466"/>
      <c r="J233" s="200"/>
    </row>
    <row r="234" spans="2:10" ht="18">
      <c r="B234" s="461" t="s">
        <v>44</v>
      </c>
      <c r="C234" s="462"/>
      <c r="D234" s="462"/>
      <c r="E234" s="462"/>
      <c r="F234" s="462"/>
      <c r="G234" s="462"/>
      <c r="H234" s="462"/>
      <c r="I234" s="462"/>
      <c r="J234" s="463"/>
    </row>
    <row r="235" spans="2:10">
      <c r="B235" s="200" t="s">
        <v>45</v>
      </c>
      <c r="C235" s="1058" t="s">
        <v>1944</v>
      </c>
      <c r="D235" s="471"/>
      <c r="E235" s="471"/>
      <c r="F235" s="471"/>
      <c r="G235" s="471"/>
      <c r="H235" s="471"/>
      <c r="I235" s="471"/>
      <c r="J235" s="472"/>
    </row>
    <row r="236" spans="2:10">
      <c r="B236" s="206" t="s">
        <v>45</v>
      </c>
      <c r="C236" s="1059" t="s">
        <v>1949</v>
      </c>
      <c r="D236" s="473"/>
      <c r="E236" s="473"/>
      <c r="F236" s="473"/>
      <c r="G236" s="473"/>
      <c r="H236" s="473"/>
      <c r="I236" s="473"/>
      <c r="J236" s="473"/>
    </row>
    <row r="237" spans="2:10">
      <c r="B237" s="206" t="s">
        <v>45</v>
      </c>
      <c r="C237" s="1059"/>
      <c r="D237" s="473"/>
      <c r="E237" s="473"/>
      <c r="F237" s="473"/>
      <c r="G237" s="473"/>
      <c r="H237" s="473"/>
      <c r="I237" s="473"/>
      <c r="J237" s="473"/>
    </row>
    <row r="238" spans="2:10">
      <c r="B238" s="206" t="s">
        <v>45</v>
      </c>
      <c r="C238" s="473"/>
      <c r="D238" s="473"/>
      <c r="E238" s="473"/>
      <c r="F238" s="473"/>
      <c r="G238" s="473"/>
      <c r="H238" s="473"/>
      <c r="I238" s="473"/>
      <c r="J238" s="473"/>
    </row>
    <row r="239" spans="2:10">
      <c r="B239" s="206" t="s">
        <v>45</v>
      </c>
      <c r="C239" s="474"/>
      <c r="D239" s="475"/>
      <c r="E239" s="475"/>
      <c r="F239" s="475"/>
      <c r="G239" s="475"/>
      <c r="H239" s="475"/>
      <c r="I239" s="475"/>
      <c r="J239" s="476"/>
    </row>
    <row r="240" spans="2:10">
      <c r="B240" s="206" t="s">
        <v>45</v>
      </c>
      <c r="C240" s="464"/>
      <c r="D240" s="465"/>
      <c r="E240" s="465"/>
      <c r="F240" s="465"/>
      <c r="G240" s="465"/>
      <c r="H240" s="465"/>
      <c r="I240" s="465"/>
      <c r="J240" s="466"/>
    </row>
    <row r="241" spans="2:10">
      <c r="B241" s="200" t="s">
        <v>45</v>
      </c>
      <c r="C241" s="464"/>
      <c r="D241" s="465"/>
      <c r="E241" s="465"/>
      <c r="F241" s="465"/>
      <c r="G241" s="465"/>
      <c r="H241" s="465"/>
      <c r="I241" s="465"/>
      <c r="J241" s="466"/>
    </row>
    <row r="242" spans="2:10">
      <c r="B242" s="200" t="s">
        <v>7</v>
      </c>
      <c r="C242" s="473" t="s">
        <v>1887</v>
      </c>
      <c r="D242" s="473"/>
      <c r="E242" s="473"/>
      <c r="F242" s="473"/>
      <c r="G242" s="473"/>
      <c r="H242" s="473"/>
      <c r="I242" s="473"/>
      <c r="J242" s="473"/>
    </row>
    <row r="243" spans="2:10" ht="18">
      <c r="B243" s="205" t="s">
        <v>52</v>
      </c>
      <c r="C243" s="477" t="s">
        <v>53</v>
      </c>
      <c r="D243" s="477"/>
      <c r="E243" s="477"/>
      <c r="F243" s="477"/>
      <c r="G243" s="477"/>
      <c r="H243" s="205" t="s">
        <v>54</v>
      </c>
      <c r="I243" s="205" t="s">
        <v>55</v>
      </c>
      <c r="J243" s="205" t="s">
        <v>56</v>
      </c>
    </row>
    <row r="244" spans="2:10">
      <c r="B244" s="200">
        <v>1</v>
      </c>
      <c r="C244" s="451"/>
      <c r="D244" s="451"/>
      <c r="E244" s="451"/>
      <c r="F244" s="451"/>
      <c r="G244" s="451"/>
      <c r="H244" s="200" t="s">
        <v>1914</v>
      </c>
      <c r="I244" s="207" t="s">
        <v>1692</v>
      </c>
      <c r="J244" s="200" t="s">
        <v>1915</v>
      </c>
    </row>
    <row r="245" spans="2:10">
      <c r="B245" s="200">
        <v>2</v>
      </c>
      <c r="C245" s="449"/>
      <c r="D245" s="449"/>
      <c r="E245" s="449"/>
      <c r="F245" s="449"/>
      <c r="G245" s="449"/>
      <c r="H245" s="200" t="s">
        <v>1917</v>
      </c>
      <c r="I245" s="207" t="s">
        <v>1692</v>
      </c>
      <c r="J245" s="200" t="s">
        <v>1507</v>
      </c>
    </row>
    <row r="246" spans="2:10">
      <c r="B246" s="200">
        <v>3</v>
      </c>
      <c r="C246" s="450"/>
      <c r="D246" s="450"/>
      <c r="E246" s="450"/>
      <c r="F246" s="450"/>
      <c r="G246" s="450"/>
      <c r="H246" s="200"/>
      <c r="I246" s="200"/>
      <c r="J246" s="200"/>
    </row>
    <row r="247" spans="2:10">
      <c r="B247" s="450" t="s">
        <v>63</v>
      </c>
      <c r="C247" s="450"/>
      <c r="D247" s="199" t="s">
        <v>31</v>
      </c>
      <c r="E247" s="198" t="s">
        <v>64</v>
      </c>
      <c r="F247" s="467"/>
      <c r="G247" s="469"/>
      <c r="H247" s="199"/>
      <c r="I247" s="199"/>
      <c r="J247" s="199"/>
    </row>
    <row r="248" spans="2:10" ht="45">
      <c r="B248" s="201" t="s">
        <v>66</v>
      </c>
      <c r="C248" s="450"/>
      <c r="D248" s="450"/>
      <c r="E248" s="201" t="s">
        <v>67</v>
      </c>
      <c r="F248" s="450"/>
      <c r="G248" s="450"/>
      <c r="H248" s="201" t="s">
        <v>68</v>
      </c>
      <c r="I248" s="450"/>
      <c r="J248" s="450"/>
    </row>
    <row r="253" spans="2:10" ht="26.25">
      <c r="B253" s="446" t="s">
        <v>13</v>
      </c>
      <c r="C253" s="447"/>
      <c r="D253" s="446" t="s">
        <v>14</v>
      </c>
      <c r="E253" s="446"/>
      <c r="F253" s="446"/>
      <c r="G253" s="446"/>
      <c r="H253" s="446"/>
      <c r="I253" s="446"/>
      <c r="J253" s="197" t="s">
        <v>15</v>
      </c>
    </row>
    <row r="254" spans="2:10" ht="20.25">
      <c r="B254" s="447"/>
      <c r="C254" s="447"/>
      <c r="D254" s="448" t="s">
        <v>16</v>
      </c>
      <c r="E254" s="448"/>
      <c r="F254" s="448"/>
      <c r="G254" s="448"/>
      <c r="H254" s="448"/>
      <c r="I254" s="448"/>
      <c r="J254" s="197" t="s">
        <v>17</v>
      </c>
    </row>
    <row r="255" spans="2:10">
      <c r="B255" s="449" t="s">
        <v>18</v>
      </c>
      <c r="C255" s="449"/>
      <c r="D255" s="244">
        <v>45765</v>
      </c>
      <c r="E255" s="199" t="s">
        <v>1460</v>
      </c>
      <c r="F255" s="450" t="s">
        <v>1950</v>
      </c>
      <c r="G255" s="450"/>
      <c r="H255" s="201" t="s">
        <v>21</v>
      </c>
      <c r="I255" s="202" t="s">
        <v>1669</v>
      </c>
      <c r="J255" s="199" t="s">
        <v>23</v>
      </c>
    </row>
    <row r="256" spans="2:10">
      <c r="B256" s="449" t="s">
        <v>24</v>
      </c>
      <c r="C256" s="449"/>
      <c r="D256" s="203">
        <v>0.88541666666666663</v>
      </c>
      <c r="E256" s="204" t="s">
        <v>25</v>
      </c>
      <c r="F256" s="450" t="s">
        <v>26</v>
      </c>
      <c r="G256" s="450"/>
      <c r="H256" s="199" t="s">
        <v>27</v>
      </c>
      <c r="I256" s="202" t="s">
        <v>867</v>
      </c>
      <c r="J256" s="202" t="s">
        <v>29</v>
      </c>
    </row>
    <row r="257" spans="2:10">
      <c r="B257" s="449" t="s">
        <v>30</v>
      </c>
      <c r="C257" s="449"/>
      <c r="D257" s="199" t="s">
        <v>31</v>
      </c>
      <c r="E257" s="199" t="s">
        <v>32</v>
      </c>
      <c r="F257" s="450">
        <v>285</v>
      </c>
      <c r="G257" s="450"/>
      <c r="H257" s="201" t="s">
        <v>33</v>
      </c>
      <c r="I257" s="247" t="s">
        <v>1951</v>
      </c>
      <c r="J257" s="202"/>
    </row>
    <row r="258" spans="2:10">
      <c r="B258" s="451" t="s">
        <v>35</v>
      </c>
      <c r="C258" s="451"/>
      <c r="D258" s="464" t="s">
        <v>1952</v>
      </c>
      <c r="E258" s="465"/>
      <c r="F258" s="465"/>
      <c r="G258" s="465"/>
      <c r="H258" s="465"/>
      <c r="I258" s="465"/>
      <c r="J258" s="469"/>
    </row>
    <row r="259" spans="2:10">
      <c r="B259" s="452" t="s">
        <v>1953</v>
      </c>
      <c r="C259" s="453"/>
      <c r="D259" s="453"/>
      <c r="E259" s="453"/>
      <c r="F259" s="453"/>
      <c r="G259" s="453"/>
      <c r="H259" s="453"/>
      <c r="I259" s="453"/>
      <c r="J259" s="454"/>
    </row>
    <row r="260" spans="2:10">
      <c r="B260" s="455"/>
      <c r="C260" s="456"/>
      <c r="D260" s="456"/>
      <c r="E260" s="456"/>
      <c r="F260" s="456"/>
      <c r="G260" s="456"/>
      <c r="H260" s="456"/>
      <c r="I260" s="456"/>
      <c r="J260" s="457"/>
    </row>
    <row r="261" spans="2:10">
      <c r="B261" s="455"/>
      <c r="C261" s="456"/>
      <c r="D261" s="456"/>
      <c r="E261" s="456"/>
      <c r="F261" s="456"/>
      <c r="G261" s="456"/>
      <c r="H261" s="456"/>
      <c r="I261" s="456"/>
      <c r="J261" s="457"/>
    </row>
    <row r="262" spans="2:10">
      <c r="B262" s="458"/>
      <c r="C262" s="459"/>
      <c r="D262" s="459"/>
      <c r="E262" s="459"/>
      <c r="F262" s="459"/>
      <c r="G262" s="459"/>
      <c r="H262" s="459"/>
      <c r="I262" s="459"/>
      <c r="J262" s="460"/>
    </row>
    <row r="263" spans="2:10" ht="18">
      <c r="B263" s="461" t="s">
        <v>38</v>
      </c>
      <c r="C263" s="462"/>
      <c r="D263" s="462"/>
      <c r="E263" s="462"/>
      <c r="F263" s="462"/>
      <c r="G263" s="462"/>
      <c r="H263" s="462"/>
      <c r="I263" s="463"/>
      <c r="J263" s="205" t="s">
        <v>39</v>
      </c>
    </row>
    <row r="264" spans="2:10">
      <c r="B264" s="200">
        <v>1</v>
      </c>
      <c r="C264" s="464" t="s">
        <v>1954</v>
      </c>
      <c r="D264" s="465"/>
      <c r="E264" s="465"/>
      <c r="F264" s="465"/>
      <c r="G264" s="465"/>
      <c r="H264" s="465"/>
      <c r="I264" s="466"/>
      <c r="J264" s="200" t="s">
        <v>43</v>
      </c>
    </row>
    <row r="265" spans="2:10">
      <c r="B265" s="200">
        <v>2</v>
      </c>
      <c r="C265" s="464" t="s">
        <v>1955</v>
      </c>
      <c r="D265" s="465"/>
      <c r="E265" s="465"/>
      <c r="F265" s="465"/>
      <c r="G265" s="465"/>
      <c r="H265" s="465"/>
      <c r="I265" s="466"/>
      <c r="J265" s="200"/>
    </row>
    <row r="266" spans="2:10">
      <c r="B266" s="200">
        <v>3</v>
      </c>
      <c r="C266" s="464" t="s">
        <v>1956</v>
      </c>
      <c r="D266" s="465"/>
      <c r="E266" s="465"/>
      <c r="F266" s="465"/>
      <c r="G266" s="465"/>
      <c r="H266" s="465"/>
      <c r="I266" s="466"/>
      <c r="J266" s="200"/>
    </row>
    <row r="267" spans="2:10" ht="18">
      <c r="B267" s="461" t="s">
        <v>44</v>
      </c>
      <c r="C267" s="462"/>
      <c r="D267" s="462"/>
      <c r="E267" s="462"/>
      <c r="F267" s="462"/>
      <c r="G267" s="462"/>
      <c r="H267" s="462"/>
      <c r="I267" s="462"/>
      <c r="J267" s="463"/>
    </row>
    <row r="268" spans="2:10">
      <c r="B268" s="200" t="s">
        <v>45</v>
      </c>
      <c r="C268" s="1058" t="s">
        <v>1957</v>
      </c>
      <c r="D268" s="471"/>
      <c r="E268" s="471"/>
      <c r="F268" s="471"/>
      <c r="G268" s="471"/>
      <c r="H268" s="471"/>
      <c r="I268" s="471"/>
      <c r="J268" s="472"/>
    </row>
    <row r="269" spans="2:10">
      <c r="B269" s="206" t="s">
        <v>45</v>
      </c>
      <c r="C269" s="1059" t="s">
        <v>1958</v>
      </c>
      <c r="D269" s="473"/>
      <c r="E269" s="473"/>
      <c r="F269" s="473"/>
      <c r="G269" s="473"/>
      <c r="H269" s="473"/>
      <c r="I269" s="473"/>
      <c r="J269" s="473"/>
    </row>
    <row r="270" spans="2:10">
      <c r="B270" s="206" t="s">
        <v>45</v>
      </c>
      <c r="C270" s="1059" t="s">
        <v>906</v>
      </c>
      <c r="D270" s="473"/>
      <c r="E270" s="473"/>
      <c r="F270" s="473"/>
      <c r="G270" s="473"/>
      <c r="H270" s="473"/>
      <c r="I270" s="473"/>
      <c r="J270" s="473"/>
    </row>
    <row r="271" spans="2:10">
      <c r="B271" s="206" t="s">
        <v>45</v>
      </c>
      <c r="C271" s="986" t="s">
        <v>1959</v>
      </c>
      <c r="D271" s="1090"/>
      <c r="E271" s="1090"/>
      <c r="F271" s="1090"/>
      <c r="G271" s="1090"/>
      <c r="H271" s="1090"/>
      <c r="I271" s="1090"/>
      <c r="J271" s="1091"/>
    </row>
    <row r="272" spans="2:10">
      <c r="B272" s="206" t="s">
        <v>45</v>
      </c>
      <c r="C272" s="474" t="s">
        <v>1960</v>
      </c>
      <c r="D272" s="475"/>
      <c r="E272" s="475"/>
      <c r="F272" s="475"/>
      <c r="G272" s="475"/>
      <c r="H272" s="475"/>
      <c r="I272" s="475"/>
      <c r="J272" s="476"/>
    </row>
    <row r="273" spans="2:10">
      <c r="B273" s="206" t="s">
        <v>45</v>
      </c>
      <c r="C273" s="464"/>
      <c r="D273" s="465"/>
      <c r="E273" s="465"/>
      <c r="F273" s="465"/>
      <c r="G273" s="465"/>
      <c r="H273" s="465"/>
      <c r="I273" s="465"/>
      <c r="J273" s="466"/>
    </row>
    <row r="274" spans="2:10">
      <c r="B274" s="200" t="s">
        <v>45</v>
      </c>
      <c r="C274" s="464"/>
      <c r="D274" s="465"/>
      <c r="E274" s="465"/>
      <c r="F274" s="465"/>
      <c r="G274" s="465"/>
      <c r="H274" s="465"/>
      <c r="I274" s="465"/>
      <c r="J274" s="466"/>
    </row>
    <row r="275" spans="2:10">
      <c r="B275" s="200" t="s">
        <v>7</v>
      </c>
      <c r="C275" s="473" t="s">
        <v>1961</v>
      </c>
      <c r="D275" s="473"/>
      <c r="E275" s="473"/>
      <c r="F275" s="473"/>
      <c r="G275" s="473"/>
      <c r="H275" s="473"/>
      <c r="I275" s="473"/>
      <c r="J275" s="473"/>
    </row>
    <row r="276" spans="2:10" ht="18">
      <c r="B276" s="205" t="s">
        <v>52</v>
      </c>
      <c r="C276" s="477" t="s">
        <v>53</v>
      </c>
      <c r="D276" s="477"/>
      <c r="E276" s="477"/>
      <c r="F276" s="477"/>
      <c r="G276" s="477"/>
      <c r="H276" s="205" t="s">
        <v>54</v>
      </c>
      <c r="I276" s="205" t="s">
        <v>55</v>
      </c>
      <c r="J276" s="205" t="s">
        <v>56</v>
      </c>
    </row>
    <row r="277" spans="2:10">
      <c r="B277" s="200">
        <v>1</v>
      </c>
      <c r="C277" s="451" t="s">
        <v>1962</v>
      </c>
      <c r="D277" s="451"/>
      <c r="E277" s="451"/>
      <c r="F277" s="451"/>
      <c r="G277" s="451"/>
      <c r="H277" s="200" t="s">
        <v>1963</v>
      </c>
      <c r="I277" s="207" t="s">
        <v>1692</v>
      </c>
      <c r="J277" s="200" t="s">
        <v>1915</v>
      </c>
    </row>
    <row r="278" spans="2:10">
      <c r="B278" s="200">
        <v>2</v>
      </c>
      <c r="C278" s="449"/>
      <c r="D278" s="449"/>
      <c r="E278" s="449"/>
      <c r="F278" s="449"/>
      <c r="G278" s="449"/>
      <c r="H278" s="200"/>
      <c r="I278" s="207"/>
      <c r="J278" s="200" t="s">
        <v>1507</v>
      </c>
    </row>
    <row r="279" spans="2:10">
      <c r="B279" s="200">
        <v>3</v>
      </c>
      <c r="C279" s="450"/>
      <c r="D279" s="450"/>
      <c r="E279" s="450"/>
      <c r="F279" s="450"/>
      <c r="G279" s="450"/>
      <c r="H279" s="200"/>
      <c r="I279" s="200"/>
      <c r="J279" s="200"/>
    </row>
    <row r="280" spans="2:10">
      <c r="B280" s="450" t="s">
        <v>63</v>
      </c>
      <c r="C280" s="450"/>
      <c r="D280" s="199" t="s">
        <v>31</v>
      </c>
      <c r="E280" s="198" t="s">
        <v>64</v>
      </c>
      <c r="F280" s="467"/>
      <c r="G280" s="469"/>
      <c r="H280" s="199"/>
      <c r="I280" s="199"/>
      <c r="J280" s="199"/>
    </row>
    <row r="281" spans="2:10" ht="45">
      <c r="B281" s="201" t="s">
        <v>66</v>
      </c>
      <c r="C281" s="450"/>
      <c r="D281" s="450"/>
      <c r="E281" s="201" t="s">
        <v>67</v>
      </c>
      <c r="F281" s="450"/>
      <c r="G281" s="450"/>
      <c r="H281" s="201" t="s">
        <v>68</v>
      </c>
      <c r="I281" s="450"/>
      <c r="J281" s="450"/>
    </row>
    <row r="284" spans="2:10" ht="26.25">
      <c r="B284" s="446" t="s">
        <v>13</v>
      </c>
      <c r="C284" s="447"/>
      <c r="D284" s="446" t="s">
        <v>14</v>
      </c>
      <c r="E284" s="446"/>
      <c r="F284" s="446"/>
      <c r="G284" s="446"/>
      <c r="H284" s="446"/>
      <c r="I284" s="446"/>
      <c r="J284" s="197" t="s">
        <v>15</v>
      </c>
    </row>
    <row r="285" spans="2:10" ht="20.25">
      <c r="B285" s="447"/>
      <c r="C285" s="447"/>
      <c r="D285" s="448" t="s">
        <v>16</v>
      </c>
      <c r="E285" s="448"/>
      <c r="F285" s="448"/>
      <c r="G285" s="448"/>
      <c r="H285" s="448"/>
      <c r="I285" s="448"/>
      <c r="J285" s="197" t="s">
        <v>17</v>
      </c>
    </row>
    <row r="286" spans="2:10">
      <c r="B286" s="449" t="s">
        <v>18</v>
      </c>
      <c r="C286" s="449"/>
      <c r="D286" s="244">
        <v>45770</v>
      </c>
      <c r="E286" s="199" t="s">
        <v>1460</v>
      </c>
      <c r="F286" s="450" t="s">
        <v>124</v>
      </c>
      <c r="G286" s="450"/>
      <c r="H286" s="201" t="s">
        <v>21</v>
      </c>
      <c r="I286" s="202" t="s">
        <v>1472</v>
      </c>
      <c r="J286" s="199" t="s">
        <v>23</v>
      </c>
    </row>
    <row r="287" spans="2:10">
      <c r="B287" s="449" t="s">
        <v>24</v>
      </c>
      <c r="C287" s="449"/>
      <c r="D287" s="203">
        <v>0.88541666666666663</v>
      </c>
      <c r="E287" s="204" t="s">
        <v>25</v>
      </c>
      <c r="F287" s="450" t="s">
        <v>26</v>
      </c>
      <c r="G287" s="450"/>
      <c r="H287" s="199" t="s">
        <v>27</v>
      </c>
      <c r="I287" s="202" t="s">
        <v>917</v>
      </c>
      <c r="J287" s="202" t="s">
        <v>29</v>
      </c>
    </row>
    <row r="288" spans="2:10">
      <c r="B288" s="449" t="s">
        <v>30</v>
      </c>
      <c r="C288" s="449"/>
      <c r="D288" s="199" t="s">
        <v>31</v>
      </c>
      <c r="E288" s="199" t="s">
        <v>32</v>
      </c>
      <c r="F288" s="450">
        <v>90</v>
      </c>
      <c r="G288" s="450"/>
      <c r="H288" s="201" t="s">
        <v>33</v>
      </c>
      <c r="I288" s="247" t="s">
        <v>1964</v>
      </c>
      <c r="J288" s="202"/>
    </row>
    <row r="289" spans="2:10">
      <c r="B289" s="451" t="s">
        <v>35</v>
      </c>
      <c r="C289" s="451"/>
      <c r="D289" s="464" t="s">
        <v>1494</v>
      </c>
      <c r="E289" s="465"/>
      <c r="F289" s="465"/>
      <c r="G289" s="465"/>
      <c r="H289" s="465"/>
      <c r="I289" s="465"/>
      <c r="J289" s="469"/>
    </row>
    <row r="290" spans="2:10">
      <c r="B290" s="452" t="s">
        <v>1965</v>
      </c>
      <c r="C290" s="453"/>
      <c r="D290" s="453"/>
      <c r="E290" s="453"/>
      <c r="F290" s="453"/>
      <c r="G290" s="453"/>
      <c r="H290" s="453"/>
      <c r="I290" s="453"/>
      <c r="J290" s="454"/>
    </row>
    <row r="291" spans="2:10">
      <c r="B291" s="455"/>
      <c r="C291" s="456"/>
      <c r="D291" s="456"/>
      <c r="E291" s="456"/>
      <c r="F291" s="456"/>
      <c r="G291" s="456"/>
      <c r="H291" s="456"/>
      <c r="I291" s="456"/>
      <c r="J291" s="457"/>
    </row>
    <row r="292" spans="2:10">
      <c r="B292" s="455"/>
      <c r="C292" s="456"/>
      <c r="D292" s="456"/>
      <c r="E292" s="456"/>
      <c r="F292" s="456"/>
      <c r="G292" s="456"/>
      <c r="H292" s="456"/>
      <c r="I292" s="456"/>
      <c r="J292" s="457"/>
    </row>
    <row r="293" spans="2:10">
      <c r="B293" s="458"/>
      <c r="C293" s="459"/>
      <c r="D293" s="459"/>
      <c r="E293" s="459"/>
      <c r="F293" s="459"/>
      <c r="G293" s="459"/>
      <c r="H293" s="459"/>
      <c r="I293" s="459"/>
      <c r="J293" s="460"/>
    </row>
    <row r="294" spans="2:10" ht="18">
      <c r="B294" s="461" t="s">
        <v>38</v>
      </c>
      <c r="C294" s="462"/>
      <c r="D294" s="462"/>
      <c r="E294" s="462"/>
      <c r="F294" s="462"/>
      <c r="G294" s="462"/>
      <c r="H294" s="462"/>
      <c r="I294" s="463"/>
      <c r="J294" s="205" t="s">
        <v>39</v>
      </c>
    </row>
    <row r="295" spans="2:10">
      <c r="B295" s="200">
        <v>1</v>
      </c>
      <c r="C295" s="464" t="s">
        <v>1966</v>
      </c>
      <c r="D295" s="465"/>
      <c r="E295" s="465"/>
      <c r="F295" s="465"/>
      <c r="G295" s="465"/>
      <c r="H295" s="465"/>
      <c r="I295" s="466"/>
      <c r="J295" s="200" t="s">
        <v>41</v>
      </c>
    </row>
    <row r="296" spans="2:10">
      <c r="B296" s="200">
        <v>2</v>
      </c>
      <c r="C296" s="464"/>
      <c r="D296" s="465"/>
      <c r="E296" s="465"/>
      <c r="F296" s="465"/>
      <c r="G296" s="465"/>
      <c r="H296" s="465"/>
      <c r="I296" s="466"/>
      <c r="J296" s="200"/>
    </row>
    <row r="297" spans="2:10">
      <c r="B297" s="200">
        <v>3</v>
      </c>
      <c r="C297" s="464"/>
      <c r="D297" s="465"/>
      <c r="E297" s="465"/>
      <c r="F297" s="465"/>
      <c r="G297" s="465"/>
      <c r="H297" s="465"/>
      <c r="I297" s="466"/>
      <c r="J297" s="200"/>
    </row>
    <row r="298" spans="2:10" ht="18">
      <c r="B298" s="461" t="s">
        <v>44</v>
      </c>
      <c r="C298" s="462"/>
      <c r="D298" s="462"/>
      <c r="E298" s="462"/>
      <c r="F298" s="462"/>
      <c r="G298" s="462"/>
      <c r="H298" s="462"/>
      <c r="I298" s="462"/>
      <c r="J298" s="463"/>
    </row>
    <row r="299" spans="2:10">
      <c r="B299" s="200" t="s">
        <v>45</v>
      </c>
      <c r="C299" s="1058" t="s">
        <v>1967</v>
      </c>
      <c r="D299" s="471"/>
      <c r="E299" s="471"/>
      <c r="F299" s="471"/>
      <c r="G299" s="471"/>
      <c r="H299" s="471"/>
      <c r="I299" s="471"/>
      <c r="J299" s="472"/>
    </row>
    <row r="300" spans="2:10">
      <c r="B300" s="206" t="s">
        <v>45</v>
      </c>
      <c r="C300" s="1059" t="s">
        <v>1968</v>
      </c>
      <c r="D300" s="473"/>
      <c r="E300" s="473"/>
      <c r="F300" s="473"/>
      <c r="G300" s="473"/>
      <c r="H300" s="473"/>
      <c r="I300" s="473"/>
      <c r="J300" s="473"/>
    </row>
    <row r="301" spans="2:10">
      <c r="B301" s="206" t="s">
        <v>45</v>
      </c>
      <c r="C301" s="1059" t="s">
        <v>1969</v>
      </c>
      <c r="D301" s="473"/>
      <c r="E301" s="473"/>
      <c r="F301" s="473"/>
      <c r="G301" s="473"/>
      <c r="H301" s="473"/>
      <c r="I301" s="473"/>
      <c r="J301" s="473"/>
    </row>
    <row r="302" spans="2:10">
      <c r="B302" s="206" t="s">
        <v>45</v>
      </c>
      <c r="C302" s="986" t="s">
        <v>1970</v>
      </c>
      <c r="D302" s="1090"/>
      <c r="E302" s="1090"/>
      <c r="F302" s="1090"/>
      <c r="G302" s="1090"/>
      <c r="H302" s="1090"/>
      <c r="I302" s="1090"/>
      <c r="J302" s="1091"/>
    </row>
    <row r="303" spans="2:10">
      <c r="B303" s="206" t="s">
        <v>45</v>
      </c>
      <c r="C303" s="474"/>
      <c r="D303" s="475"/>
      <c r="E303" s="475"/>
      <c r="F303" s="475"/>
      <c r="G303" s="475"/>
      <c r="H303" s="475"/>
      <c r="I303" s="475"/>
      <c r="J303" s="476"/>
    </row>
    <row r="304" spans="2:10">
      <c r="B304" s="206" t="s">
        <v>45</v>
      </c>
      <c r="C304" s="464"/>
      <c r="D304" s="465"/>
      <c r="E304" s="465"/>
      <c r="F304" s="465"/>
      <c r="G304" s="465"/>
      <c r="H304" s="465"/>
      <c r="I304" s="465"/>
      <c r="J304" s="466"/>
    </row>
    <row r="305" spans="2:10">
      <c r="B305" s="200" t="s">
        <v>45</v>
      </c>
      <c r="C305" s="464"/>
      <c r="D305" s="465"/>
      <c r="E305" s="465"/>
      <c r="F305" s="465"/>
      <c r="G305" s="465"/>
      <c r="H305" s="465"/>
      <c r="I305" s="465"/>
      <c r="J305" s="466"/>
    </row>
    <row r="306" spans="2:10">
      <c r="B306" s="200" t="s">
        <v>7</v>
      </c>
      <c r="C306" s="473" t="s">
        <v>1971</v>
      </c>
      <c r="D306" s="473"/>
      <c r="E306" s="473"/>
      <c r="F306" s="473"/>
      <c r="G306" s="473"/>
      <c r="H306" s="473"/>
      <c r="I306" s="473"/>
      <c r="J306" s="473"/>
    </row>
    <row r="307" spans="2:10" ht="18">
      <c r="B307" s="205" t="s">
        <v>52</v>
      </c>
      <c r="C307" s="477" t="s">
        <v>53</v>
      </c>
      <c r="D307" s="477"/>
      <c r="E307" s="477"/>
      <c r="F307" s="477"/>
      <c r="G307" s="477"/>
      <c r="H307" s="205" t="s">
        <v>54</v>
      </c>
      <c r="I307" s="205" t="s">
        <v>55</v>
      </c>
      <c r="J307" s="205" t="s">
        <v>56</v>
      </c>
    </row>
    <row r="308" spans="2:10">
      <c r="B308" s="200">
        <v>1</v>
      </c>
      <c r="C308" s="451" t="s">
        <v>1972</v>
      </c>
      <c r="D308" s="451"/>
      <c r="E308" s="451"/>
      <c r="F308" s="451"/>
      <c r="G308" s="451"/>
      <c r="H308" s="200" t="s">
        <v>1914</v>
      </c>
      <c r="I308" s="207" t="s">
        <v>1692</v>
      </c>
      <c r="J308" s="200" t="s">
        <v>1973</v>
      </c>
    </row>
    <row r="309" spans="2:10">
      <c r="B309" s="200">
        <v>2</v>
      </c>
      <c r="C309" s="449"/>
      <c r="D309" s="449"/>
      <c r="E309" s="449"/>
      <c r="F309" s="449"/>
      <c r="G309" s="449"/>
      <c r="H309" s="200"/>
      <c r="I309" s="207"/>
      <c r="J309" s="200"/>
    </row>
    <row r="310" spans="2:10">
      <c r="B310" s="200">
        <v>3</v>
      </c>
      <c r="C310" s="450"/>
      <c r="D310" s="450"/>
      <c r="E310" s="450"/>
      <c r="F310" s="450"/>
      <c r="G310" s="450"/>
      <c r="H310" s="200"/>
      <c r="I310" s="200"/>
      <c r="J310" s="200"/>
    </row>
    <row r="311" spans="2:10">
      <c r="B311" s="450" t="s">
        <v>63</v>
      </c>
      <c r="C311" s="450"/>
      <c r="D311" s="199" t="s">
        <v>31</v>
      </c>
      <c r="E311" s="198" t="s">
        <v>64</v>
      </c>
      <c r="F311" s="467"/>
      <c r="G311" s="469"/>
      <c r="H311" s="199"/>
      <c r="I311" s="199"/>
      <c r="J311" s="199"/>
    </row>
    <row r="312" spans="2:10" ht="45">
      <c r="B312" s="201" t="s">
        <v>66</v>
      </c>
      <c r="C312" s="450"/>
      <c r="D312" s="450"/>
      <c r="E312" s="201" t="s">
        <v>67</v>
      </c>
      <c r="F312" s="450"/>
      <c r="G312" s="450"/>
      <c r="H312" s="201" t="s">
        <v>68</v>
      </c>
      <c r="I312" s="450"/>
      <c r="J312" s="450"/>
    </row>
  </sheetData>
  <autoFilter ref="B3:U19" xr:uid="{D40AE9FD-00D2-4833-AD78-21A0299A69CD}"/>
  <mergeCells count="317">
    <mergeCell ref="C213:G213"/>
    <mergeCell ref="C214:G214"/>
    <mergeCell ref="B215:C215"/>
    <mergeCell ref="F215:G215"/>
    <mergeCell ref="C216:D216"/>
    <mergeCell ref="F216:G216"/>
    <mergeCell ref="I216:J216"/>
    <mergeCell ref="C204:J204"/>
    <mergeCell ref="C205:J205"/>
    <mergeCell ref="C206:J206"/>
    <mergeCell ref="C207:J207"/>
    <mergeCell ref="C208:J208"/>
    <mergeCell ref="C209:J209"/>
    <mergeCell ref="C210:J210"/>
    <mergeCell ref="C211:G211"/>
    <mergeCell ref="C212:G212"/>
    <mergeCell ref="B193:C193"/>
    <mergeCell ref="D193:J193"/>
    <mergeCell ref="B194:J197"/>
    <mergeCell ref="B198:I198"/>
    <mergeCell ref="C199:I199"/>
    <mergeCell ref="C200:I200"/>
    <mergeCell ref="C201:I201"/>
    <mergeCell ref="B202:J202"/>
    <mergeCell ref="C203:J203"/>
    <mergeCell ref="B188:C189"/>
    <mergeCell ref="D188:I188"/>
    <mergeCell ref="D189:I189"/>
    <mergeCell ref="B190:C190"/>
    <mergeCell ref="F190:G190"/>
    <mergeCell ref="B191:C191"/>
    <mergeCell ref="F191:G191"/>
    <mergeCell ref="B192:C192"/>
    <mergeCell ref="F192:G192"/>
    <mergeCell ref="C172:J172"/>
    <mergeCell ref="C173:J173"/>
    <mergeCell ref="C174:J174"/>
    <mergeCell ref="C184:D184"/>
    <mergeCell ref="F184:G184"/>
    <mergeCell ref="I184:J184"/>
    <mergeCell ref="C175:J175"/>
    <mergeCell ref="C176:J176"/>
    <mergeCell ref="C177:J177"/>
    <mergeCell ref="C178:J178"/>
    <mergeCell ref="C179:G179"/>
    <mergeCell ref="C180:G180"/>
    <mergeCell ref="C181:G181"/>
    <mergeCell ref="C182:G182"/>
    <mergeCell ref="B183:C183"/>
    <mergeCell ref="F183:G183"/>
    <mergeCell ref="B161:C161"/>
    <mergeCell ref="D161:J161"/>
    <mergeCell ref="B162:J165"/>
    <mergeCell ref="B166:I166"/>
    <mergeCell ref="C167:I167"/>
    <mergeCell ref="C168:I168"/>
    <mergeCell ref="C169:I169"/>
    <mergeCell ref="B170:J170"/>
    <mergeCell ref="C171:J171"/>
    <mergeCell ref="B156:C157"/>
    <mergeCell ref="D156:I156"/>
    <mergeCell ref="D157:I157"/>
    <mergeCell ref="B158:C158"/>
    <mergeCell ref="F158:G158"/>
    <mergeCell ref="B159:C159"/>
    <mergeCell ref="F159:G159"/>
    <mergeCell ref="B160:C160"/>
    <mergeCell ref="F160:G160"/>
    <mergeCell ref="C147:G147"/>
    <mergeCell ref="C148:G148"/>
    <mergeCell ref="B149:C149"/>
    <mergeCell ref="F149:G149"/>
    <mergeCell ref="C150:D150"/>
    <mergeCell ref="F150:G150"/>
    <mergeCell ref="I150:J150"/>
    <mergeCell ref="C138:J138"/>
    <mergeCell ref="C139:J139"/>
    <mergeCell ref="C140:J140"/>
    <mergeCell ref="C141:J141"/>
    <mergeCell ref="C142:J142"/>
    <mergeCell ref="C143:J143"/>
    <mergeCell ref="C144:J144"/>
    <mergeCell ref="C145:G145"/>
    <mergeCell ref="C146:G146"/>
    <mergeCell ref="B127:C127"/>
    <mergeCell ref="D127:J127"/>
    <mergeCell ref="B128:J131"/>
    <mergeCell ref="B132:I132"/>
    <mergeCell ref="C133:I133"/>
    <mergeCell ref="C134:I134"/>
    <mergeCell ref="C135:I135"/>
    <mergeCell ref="B136:J136"/>
    <mergeCell ref="C137:J137"/>
    <mergeCell ref="B122:C123"/>
    <mergeCell ref="D122:I122"/>
    <mergeCell ref="D123:I123"/>
    <mergeCell ref="B124:C124"/>
    <mergeCell ref="F124:G124"/>
    <mergeCell ref="B125:C125"/>
    <mergeCell ref="F125:G125"/>
    <mergeCell ref="B126:C126"/>
    <mergeCell ref="F126:G126"/>
    <mergeCell ref="I2:I3"/>
    <mergeCell ref="J2:J3"/>
    <mergeCell ref="K2:K3"/>
    <mergeCell ref="E23:K26"/>
    <mergeCell ref="C25:D25"/>
    <mergeCell ref="B60:C61"/>
    <mergeCell ref="D60:I60"/>
    <mergeCell ref="D61:I61"/>
    <mergeCell ref="B32:C32"/>
    <mergeCell ref="F32:G32"/>
    <mergeCell ref="B2:B3"/>
    <mergeCell ref="C2:D2"/>
    <mergeCell ref="E2:E3"/>
    <mergeCell ref="F2:F3"/>
    <mergeCell ref="G2:G3"/>
    <mergeCell ref="H2:H3"/>
    <mergeCell ref="B29:C30"/>
    <mergeCell ref="D29:I29"/>
    <mergeCell ref="D30:I30"/>
    <mergeCell ref="B31:C31"/>
    <mergeCell ref="F31:G31"/>
    <mergeCell ref="B33:C33"/>
    <mergeCell ref="F33:G33"/>
    <mergeCell ref="B34:C34"/>
    <mergeCell ref="B87:C87"/>
    <mergeCell ref="F87:G87"/>
    <mergeCell ref="C88:D88"/>
    <mergeCell ref="F88:G88"/>
    <mergeCell ref="C79:J79"/>
    <mergeCell ref="C80:J80"/>
    <mergeCell ref="C81:J81"/>
    <mergeCell ref="C82:J82"/>
    <mergeCell ref="C83:G83"/>
    <mergeCell ref="C84:G84"/>
    <mergeCell ref="C73:I73"/>
    <mergeCell ref="B74:J74"/>
    <mergeCell ref="C75:J75"/>
    <mergeCell ref="C76:J76"/>
    <mergeCell ref="C77:J77"/>
    <mergeCell ref="C78:J78"/>
    <mergeCell ref="B65:C65"/>
    <mergeCell ref="D65:J65"/>
    <mergeCell ref="B66:J69"/>
    <mergeCell ref="D34:J34"/>
    <mergeCell ref="B35:J38"/>
    <mergeCell ref="B39:I39"/>
    <mergeCell ref="I88:J88"/>
    <mergeCell ref="C85:G85"/>
    <mergeCell ref="C86:G86"/>
    <mergeCell ref="C46:J46"/>
    <mergeCell ref="C47:J47"/>
    <mergeCell ref="B70:I70"/>
    <mergeCell ref="C71:I71"/>
    <mergeCell ref="C72:I72"/>
    <mergeCell ref="B62:C62"/>
    <mergeCell ref="F62:G62"/>
    <mergeCell ref="B63:C63"/>
    <mergeCell ref="F63:G63"/>
    <mergeCell ref="B64:C64"/>
    <mergeCell ref="F64:G64"/>
    <mergeCell ref="C48:J48"/>
    <mergeCell ref="C49:J49"/>
    <mergeCell ref="C50:J50"/>
    <mergeCell ref="C51:J51"/>
    <mergeCell ref="C40:I40"/>
    <mergeCell ref="C41:I41"/>
    <mergeCell ref="C42:I42"/>
    <mergeCell ref="B43:J43"/>
    <mergeCell ref="C44:J44"/>
    <mergeCell ref="C45:J45"/>
    <mergeCell ref="C57:D57"/>
    <mergeCell ref="F57:G57"/>
    <mergeCell ref="I57:J57"/>
    <mergeCell ref="C52:G52"/>
    <mergeCell ref="C53:G53"/>
    <mergeCell ref="C54:G54"/>
    <mergeCell ref="C55:G55"/>
    <mergeCell ref="B56:C56"/>
    <mergeCell ref="F56:G56"/>
    <mergeCell ref="B91:C92"/>
    <mergeCell ref="D91:I91"/>
    <mergeCell ref="D92:I92"/>
    <mergeCell ref="B93:C93"/>
    <mergeCell ref="F93:G93"/>
    <mergeCell ref="B94:C94"/>
    <mergeCell ref="F94:G94"/>
    <mergeCell ref="B95:C95"/>
    <mergeCell ref="F95:G95"/>
    <mergeCell ref="B96:C96"/>
    <mergeCell ref="D96:J96"/>
    <mergeCell ref="B97:J100"/>
    <mergeCell ref="B101:I101"/>
    <mergeCell ref="C102:I102"/>
    <mergeCell ref="C103:I103"/>
    <mergeCell ref="C104:I104"/>
    <mergeCell ref="B105:J105"/>
    <mergeCell ref="C106:J106"/>
    <mergeCell ref="C116:G116"/>
    <mergeCell ref="C117:G117"/>
    <mergeCell ref="B118:C118"/>
    <mergeCell ref="F118:G118"/>
    <mergeCell ref="C119:D119"/>
    <mergeCell ref="F119:G119"/>
    <mergeCell ref="I119:J119"/>
    <mergeCell ref="C107:J107"/>
    <mergeCell ref="C108:J108"/>
    <mergeCell ref="C109:J109"/>
    <mergeCell ref="C110:J110"/>
    <mergeCell ref="C111:J111"/>
    <mergeCell ref="C112:J112"/>
    <mergeCell ref="C113:J113"/>
    <mergeCell ref="C114:G114"/>
    <mergeCell ref="C115:G115"/>
    <mergeCell ref="B220:C221"/>
    <mergeCell ref="D220:I220"/>
    <mergeCell ref="D221:I221"/>
    <mergeCell ref="B222:C222"/>
    <mergeCell ref="F222:G222"/>
    <mergeCell ref="B223:C223"/>
    <mergeCell ref="F223:G223"/>
    <mergeCell ref="B224:C224"/>
    <mergeCell ref="F224:G224"/>
    <mergeCell ref="B225:C225"/>
    <mergeCell ref="D225:J225"/>
    <mergeCell ref="B226:J229"/>
    <mergeCell ref="B230:I230"/>
    <mergeCell ref="C231:I231"/>
    <mergeCell ref="C232:I232"/>
    <mergeCell ref="C233:I233"/>
    <mergeCell ref="B234:J234"/>
    <mergeCell ref="C235:J235"/>
    <mergeCell ref="C236:J236"/>
    <mergeCell ref="C237:J237"/>
    <mergeCell ref="C238:J238"/>
    <mergeCell ref="C239:J239"/>
    <mergeCell ref="C240:J240"/>
    <mergeCell ref="C241:J241"/>
    <mergeCell ref="C242:J242"/>
    <mergeCell ref="C243:G243"/>
    <mergeCell ref="C244:G244"/>
    <mergeCell ref="C245:G245"/>
    <mergeCell ref="C246:G246"/>
    <mergeCell ref="B247:C247"/>
    <mergeCell ref="F247:G247"/>
    <mergeCell ref="C248:D248"/>
    <mergeCell ref="F248:G248"/>
    <mergeCell ref="I248:J248"/>
    <mergeCell ref="B253:C254"/>
    <mergeCell ref="D253:I253"/>
    <mergeCell ref="D254:I254"/>
    <mergeCell ref="B255:C255"/>
    <mergeCell ref="F255:G255"/>
    <mergeCell ref="B256:C256"/>
    <mergeCell ref="F256:G256"/>
    <mergeCell ref="B257:C257"/>
    <mergeCell ref="F257:G257"/>
    <mergeCell ref="B258:C258"/>
    <mergeCell ref="D258:J258"/>
    <mergeCell ref="B259:J262"/>
    <mergeCell ref="B263:I263"/>
    <mergeCell ref="C264:I264"/>
    <mergeCell ref="C265:I265"/>
    <mergeCell ref="C266:I266"/>
    <mergeCell ref="B267:J267"/>
    <mergeCell ref="C268:J268"/>
    <mergeCell ref="C269:J269"/>
    <mergeCell ref="C270:J270"/>
    <mergeCell ref="C271:J271"/>
    <mergeCell ref="C281:D281"/>
    <mergeCell ref="F281:G281"/>
    <mergeCell ref="I281:J281"/>
    <mergeCell ref="C272:J272"/>
    <mergeCell ref="C273:J273"/>
    <mergeCell ref="C274:J274"/>
    <mergeCell ref="C275:J275"/>
    <mergeCell ref="C276:G276"/>
    <mergeCell ref="C277:G277"/>
    <mergeCell ref="C278:G278"/>
    <mergeCell ref="C279:G279"/>
    <mergeCell ref="B280:C280"/>
    <mergeCell ref="F280:G280"/>
    <mergeCell ref="B284:C285"/>
    <mergeCell ref="D284:I284"/>
    <mergeCell ref="D285:I285"/>
    <mergeCell ref="B286:C286"/>
    <mergeCell ref="F286:G286"/>
    <mergeCell ref="B287:C287"/>
    <mergeCell ref="F287:G287"/>
    <mergeCell ref="B288:C288"/>
    <mergeCell ref="F288:G288"/>
    <mergeCell ref="B289:C289"/>
    <mergeCell ref="D289:J289"/>
    <mergeCell ref="B290:J293"/>
    <mergeCell ref="B294:I294"/>
    <mergeCell ref="C295:I295"/>
    <mergeCell ref="C296:I296"/>
    <mergeCell ref="C297:I297"/>
    <mergeCell ref="B298:J298"/>
    <mergeCell ref="C299:J299"/>
    <mergeCell ref="C309:G309"/>
    <mergeCell ref="C310:G310"/>
    <mergeCell ref="B311:C311"/>
    <mergeCell ref="F311:G311"/>
    <mergeCell ref="C312:D312"/>
    <mergeCell ref="F312:G312"/>
    <mergeCell ref="I312:J312"/>
    <mergeCell ref="C300:J300"/>
    <mergeCell ref="C301:J301"/>
    <mergeCell ref="C302:J302"/>
    <mergeCell ref="C303:J303"/>
    <mergeCell ref="C304:J304"/>
    <mergeCell ref="C305:J305"/>
    <mergeCell ref="C306:J306"/>
    <mergeCell ref="C307:G307"/>
    <mergeCell ref="C308:G308"/>
  </mergeCells>
  <phoneticPr fontId="0" type="noConversion"/>
  <dataValidations count="1">
    <dataValidation allowBlank="1" showInputMessage="1" showErrorMessage="1" sqref="H4:H5" xr:uid="{545EC0FC-0C85-4852-BF8C-060C933F1B8B}"/>
  </dataValidations>
  <printOptions horizontalCentered="1" verticalCentered="1"/>
  <pageMargins left="0.7" right="0.7" top="0.75" bottom="0.75" header="0.3" footer="0.3"/>
  <pageSetup paperSize="9"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0579-4964-4131-BBE7-F14141E2EEFE}">
  <sheetPr>
    <pageSetUpPr fitToPage="1"/>
  </sheetPr>
  <dimension ref="B2:N149"/>
  <sheetViews>
    <sheetView topLeftCell="C1" workbookViewId="0">
      <selection activeCell="C53" sqref="C53:G53"/>
    </sheetView>
  </sheetViews>
  <sheetFormatPr defaultRowHeight="15"/>
  <cols>
    <col min="2" max="2" width="11.5703125" bestFit="1" customWidth="1"/>
    <col min="3" max="3" width="27" customWidth="1"/>
    <col min="4" max="4" width="34.42578125" bestFit="1" customWidth="1"/>
    <col min="5" max="5" width="30" customWidth="1"/>
    <col min="6" max="6" width="32.140625" customWidth="1"/>
    <col min="7" max="7" width="31.85546875" customWidth="1"/>
    <col min="8" max="8" width="49.140625" customWidth="1"/>
    <col min="9" max="9" width="18.42578125" customWidth="1"/>
    <col min="10" max="10" width="36.28515625" customWidth="1"/>
    <col min="11" max="11" width="55.28515625" customWidth="1"/>
    <col min="13" max="13" width="11.28515625" customWidth="1"/>
  </cols>
  <sheetData>
    <row r="2" spans="2:14">
      <c r="B2" s="443" t="s">
        <v>0</v>
      </c>
      <c r="C2" s="445" t="s">
        <v>1</v>
      </c>
      <c r="D2" s="438"/>
      <c r="E2" s="438" t="s">
        <v>2</v>
      </c>
      <c r="F2" s="438" t="s">
        <v>3</v>
      </c>
      <c r="G2" s="438" t="s">
        <v>4</v>
      </c>
      <c r="H2" s="438" t="s">
        <v>5</v>
      </c>
      <c r="I2" s="438" t="s">
        <v>6</v>
      </c>
      <c r="J2" s="438" t="s">
        <v>7</v>
      </c>
      <c r="K2" s="440" t="s">
        <v>8</v>
      </c>
    </row>
    <row r="3" spans="2:14">
      <c r="B3" s="444"/>
      <c r="C3" s="41" t="s">
        <v>9</v>
      </c>
      <c r="D3" s="42" t="s">
        <v>10</v>
      </c>
      <c r="E3" s="439"/>
      <c r="F3" s="439"/>
      <c r="G3" s="439"/>
      <c r="H3" s="439"/>
      <c r="I3" s="439"/>
      <c r="J3" s="439"/>
      <c r="K3" s="441"/>
    </row>
    <row r="4" spans="2:14" s="3" customFormat="1" ht="42" customHeight="1">
      <c r="B4" s="32">
        <v>1</v>
      </c>
      <c r="C4" s="37"/>
      <c r="D4" s="37">
        <v>203</v>
      </c>
      <c r="E4" s="270">
        <v>45782</v>
      </c>
      <c r="F4" s="37" t="s">
        <v>124</v>
      </c>
      <c r="G4" s="37" t="s">
        <v>174</v>
      </c>
      <c r="H4" s="36" t="s">
        <v>1974</v>
      </c>
      <c r="I4" s="37" t="s">
        <v>328</v>
      </c>
      <c r="J4" s="36" t="s">
        <v>1975</v>
      </c>
      <c r="K4" s="37" t="s">
        <v>1976</v>
      </c>
    </row>
    <row r="5" spans="2:14" s="3" customFormat="1" ht="42" customHeight="1">
      <c r="B5" s="32">
        <v>2</v>
      </c>
      <c r="C5" s="37"/>
      <c r="D5" s="37">
        <v>90</v>
      </c>
      <c r="E5" s="270">
        <v>45784</v>
      </c>
      <c r="F5" s="37" t="s">
        <v>131</v>
      </c>
      <c r="G5" s="37" t="s">
        <v>140</v>
      </c>
      <c r="H5" s="37" t="s">
        <v>1977</v>
      </c>
      <c r="I5" s="37" t="s">
        <v>328</v>
      </c>
      <c r="J5" s="37" t="s">
        <v>1978</v>
      </c>
      <c r="K5" s="37" t="s">
        <v>1979</v>
      </c>
      <c r="M5" s="442"/>
      <c r="N5" s="442"/>
    </row>
    <row r="6" spans="2:14" s="3" customFormat="1" ht="61.5" customHeight="1">
      <c r="B6" s="32">
        <v>3</v>
      </c>
      <c r="C6" s="37"/>
      <c r="D6" s="37"/>
      <c r="E6" s="37"/>
      <c r="F6" s="37"/>
      <c r="G6" s="37"/>
      <c r="H6" s="37"/>
      <c r="I6" s="37"/>
      <c r="J6" s="37"/>
      <c r="K6" s="37"/>
      <c r="L6" s="442"/>
      <c r="M6" s="442"/>
    </row>
    <row r="7" spans="2:14" s="3" customFormat="1" ht="42" customHeight="1">
      <c r="B7" s="32">
        <v>4</v>
      </c>
      <c r="C7" s="37"/>
      <c r="D7" s="37"/>
      <c r="E7" s="37"/>
      <c r="F7" s="37"/>
      <c r="G7" s="37"/>
      <c r="H7" s="37"/>
      <c r="I7" s="37"/>
      <c r="J7" s="37"/>
      <c r="K7" s="37"/>
    </row>
    <row r="8" spans="2:14" s="3" customFormat="1" ht="42" customHeight="1">
      <c r="B8" s="32">
        <v>5</v>
      </c>
      <c r="C8" s="37"/>
      <c r="D8" s="37"/>
      <c r="E8" s="37"/>
      <c r="F8" s="37"/>
      <c r="G8" s="37"/>
      <c r="H8" s="37"/>
      <c r="I8" s="37"/>
      <c r="J8" s="37"/>
      <c r="K8" s="37"/>
    </row>
    <row r="9" spans="2:14" s="3" customFormat="1" ht="42" customHeight="1">
      <c r="B9" s="32">
        <v>6</v>
      </c>
      <c r="C9" s="37"/>
      <c r="D9" s="37"/>
      <c r="E9" s="37"/>
      <c r="F9" s="37"/>
      <c r="G9" s="37"/>
      <c r="H9" s="37"/>
      <c r="I9" s="37"/>
      <c r="J9" s="37"/>
      <c r="K9" s="37"/>
    </row>
    <row r="10" spans="2:14" s="3" customFormat="1" ht="42" customHeight="1">
      <c r="B10" s="32">
        <v>7</v>
      </c>
      <c r="C10" s="37"/>
      <c r="D10" s="37"/>
      <c r="E10" s="37"/>
      <c r="F10" s="37"/>
      <c r="G10" s="37"/>
      <c r="H10" s="37"/>
      <c r="I10" s="37"/>
      <c r="J10" s="37"/>
      <c r="K10" s="37"/>
    </row>
    <row r="11" spans="2:14" s="3" customFormat="1" ht="42" customHeight="1">
      <c r="B11" s="32">
        <v>8</v>
      </c>
      <c r="C11" s="37"/>
      <c r="D11" s="37"/>
      <c r="E11" s="37"/>
      <c r="F11" s="37"/>
      <c r="G11" s="37"/>
      <c r="H11" s="37"/>
      <c r="I11" s="37"/>
      <c r="J11" s="37"/>
      <c r="K11" s="37"/>
    </row>
    <row r="12" spans="2:14" s="3" customFormat="1" ht="42" customHeight="1">
      <c r="B12" s="32">
        <v>9</v>
      </c>
      <c r="C12" s="37"/>
      <c r="D12" s="37"/>
      <c r="E12" s="37"/>
      <c r="F12" s="37"/>
      <c r="G12" s="37"/>
      <c r="H12" s="37"/>
      <c r="I12" s="37"/>
      <c r="J12" s="37"/>
      <c r="K12" s="37"/>
    </row>
    <row r="13" spans="2:14" s="3" customFormat="1" ht="42" customHeight="1">
      <c r="B13" s="32">
        <v>10</v>
      </c>
      <c r="C13" s="37"/>
      <c r="D13" s="37"/>
      <c r="E13" s="37"/>
      <c r="F13" s="37"/>
      <c r="G13" s="37"/>
      <c r="H13" s="37"/>
      <c r="I13" s="37"/>
      <c r="J13" s="37"/>
      <c r="K13" s="37"/>
    </row>
    <row r="14" spans="2:14" s="3" customFormat="1" ht="42" customHeight="1">
      <c r="B14" s="32">
        <v>11</v>
      </c>
      <c r="C14" s="37"/>
      <c r="D14" s="37"/>
      <c r="E14" s="37"/>
      <c r="F14" s="37"/>
      <c r="G14" s="37"/>
      <c r="H14" s="37"/>
      <c r="I14" s="37"/>
      <c r="J14" s="37"/>
      <c r="K14" s="37"/>
    </row>
    <row r="15" spans="2:14" s="3" customFormat="1" ht="42" customHeight="1">
      <c r="B15" s="32">
        <v>12</v>
      </c>
      <c r="C15" s="37"/>
      <c r="D15" s="37"/>
      <c r="E15" s="37"/>
      <c r="F15" s="37"/>
      <c r="G15" s="37"/>
      <c r="H15" s="37"/>
      <c r="I15" s="37"/>
      <c r="J15" s="37"/>
      <c r="K15" s="37"/>
    </row>
    <row r="16" spans="2:14" ht="42" customHeight="1">
      <c r="B16" s="32">
        <v>13</v>
      </c>
      <c r="C16" s="37"/>
      <c r="D16" s="37"/>
      <c r="E16" s="37"/>
      <c r="F16" s="37"/>
      <c r="G16" s="37"/>
      <c r="H16" s="37"/>
      <c r="I16" s="37"/>
      <c r="J16" s="37"/>
      <c r="K16" s="37"/>
    </row>
    <row r="17" spans="2:11" ht="42" customHeight="1">
      <c r="B17" s="32">
        <v>14</v>
      </c>
      <c r="C17" s="37"/>
      <c r="D17" s="37"/>
      <c r="E17" s="37"/>
      <c r="F17" s="37"/>
      <c r="G17" s="37"/>
      <c r="H17" s="37"/>
      <c r="I17" s="37"/>
      <c r="J17" s="37"/>
      <c r="K17" s="37"/>
    </row>
    <row r="18" spans="2:11" ht="42" customHeight="1">
      <c r="B18" s="32">
        <v>15</v>
      </c>
      <c r="C18" s="37"/>
      <c r="D18" s="37"/>
      <c r="E18" s="37"/>
      <c r="F18" s="37"/>
      <c r="G18" s="37"/>
      <c r="H18" s="37"/>
      <c r="I18" s="37"/>
      <c r="J18" s="37"/>
      <c r="K18" s="37"/>
    </row>
    <row r="19" spans="2:11" ht="42" customHeight="1">
      <c r="B19" s="32">
        <v>16</v>
      </c>
      <c r="C19" s="37"/>
      <c r="D19" s="37"/>
      <c r="E19" s="37"/>
      <c r="F19" s="37"/>
      <c r="G19" s="37"/>
      <c r="H19" s="37"/>
      <c r="I19" s="37"/>
      <c r="J19" s="37"/>
      <c r="K19" s="37"/>
    </row>
    <row r="20" spans="2:11" ht="89.25" customHeight="1">
      <c r="B20" s="32">
        <v>17</v>
      </c>
      <c r="C20" s="37"/>
      <c r="D20" s="37"/>
      <c r="E20" s="37"/>
      <c r="F20" s="37"/>
      <c r="G20" s="37"/>
      <c r="H20" s="37"/>
      <c r="I20" s="37"/>
      <c r="J20" s="37"/>
      <c r="K20" s="37"/>
    </row>
    <row r="21" spans="2:11" ht="42" customHeight="1">
      <c r="B21" s="32">
        <v>18</v>
      </c>
      <c r="C21" s="37"/>
      <c r="D21" s="37"/>
      <c r="E21" s="37"/>
      <c r="F21" s="37"/>
      <c r="G21" s="37"/>
      <c r="H21" s="37"/>
      <c r="I21" s="37"/>
      <c r="J21" s="37"/>
      <c r="K21" s="37"/>
    </row>
    <row r="22" spans="2:11" ht="42" customHeight="1">
      <c r="B22" s="32">
        <v>19</v>
      </c>
      <c r="C22" s="37"/>
      <c r="D22" s="37"/>
      <c r="E22" s="37"/>
      <c r="F22" s="37"/>
      <c r="G22" s="37"/>
      <c r="H22" s="37"/>
      <c r="I22" s="37"/>
      <c r="J22" s="37"/>
      <c r="K22" s="37"/>
    </row>
    <row r="23" spans="2:11">
      <c r="B23" s="6" t="s">
        <v>11</v>
      </c>
      <c r="C23" s="7">
        <f>SUM(C4:C22)</f>
        <v>0</v>
      </c>
      <c r="D23" s="7">
        <f>SUM(D4:D22)</f>
        <v>293</v>
      </c>
      <c r="E23" s="434"/>
      <c r="F23" s="435"/>
      <c r="G23" s="435"/>
      <c r="H23" s="435"/>
      <c r="I23" s="435"/>
      <c r="J23" s="435"/>
      <c r="K23" s="435"/>
    </row>
    <row r="24" spans="2:11">
      <c r="B24" s="9"/>
      <c r="C24" s="10"/>
      <c r="D24" s="11"/>
      <c r="E24" s="434"/>
      <c r="F24" s="435"/>
      <c r="G24" s="435"/>
      <c r="H24" s="435"/>
      <c r="I24" s="435"/>
      <c r="J24" s="435"/>
      <c r="K24" s="435"/>
    </row>
    <row r="25" spans="2:11">
      <c r="B25" s="6" t="s">
        <v>12</v>
      </c>
      <c r="C25" s="432">
        <f>SUM(C23,D23)</f>
        <v>293</v>
      </c>
      <c r="D25" s="433"/>
      <c r="E25" s="434"/>
      <c r="F25" s="435"/>
      <c r="G25" s="435"/>
      <c r="H25" s="435"/>
      <c r="I25" s="435"/>
      <c r="J25" s="435"/>
      <c r="K25" s="435"/>
    </row>
    <row r="26" spans="2:11">
      <c r="B26" s="12"/>
      <c r="C26" s="13"/>
      <c r="D26" s="14"/>
      <c r="E26" s="436"/>
      <c r="F26" s="437"/>
      <c r="G26" s="437"/>
      <c r="H26" s="437"/>
      <c r="I26" s="437"/>
      <c r="J26" s="437"/>
      <c r="K26" s="437"/>
    </row>
    <row r="29" spans="2:11" ht="26.25">
      <c r="B29" s="446" t="s">
        <v>13</v>
      </c>
      <c r="C29" s="447"/>
      <c r="D29" s="446" t="s">
        <v>14</v>
      </c>
      <c r="E29" s="446"/>
      <c r="F29" s="446"/>
      <c r="G29" s="446"/>
      <c r="H29" s="446"/>
      <c r="I29" s="446"/>
      <c r="J29" s="197" t="s">
        <v>15</v>
      </c>
    </row>
    <row r="30" spans="2:11" ht="20.25">
      <c r="B30" s="447"/>
      <c r="C30" s="447"/>
      <c r="D30" s="448" t="s">
        <v>16</v>
      </c>
      <c r="E30" s="448"/>
      <c r="F30" s="448"/>
      <c r="G30" s="448"/>
      <c r="H30" s="448"/>
      <c r="I30" s="448"/>
      <c r="J30" s="197" t="s">
        <v>17</v>
      </c>
    </row>
    <row r="31" spans="2:11">
      <c r="B31" s="449" t="s">
        <v>18</v>
      </c>
      <c r="C31" s="449"/>
      <c r="D31" s="270">
        <v>45782</v>
      </c>
      <c r="E31" s="199" t="s">
        <v>1460</v>
      </c>
      <c r="F31" s="450" t="s">
        <v>124</v>
      </c>
      <c r="G31" s="450"/>
      <c r="H31" s="201" t="s">
        <v>21</v>
      </c>
      <c r="I31" s="202" t="s">
        <v>917</v>
      </c>
      <c r="J31" s="199" t="s">
        <v>23</v>
      </c>
    </row>
    <row r="32" spans="2:11">
      <c r="B32" s="449" t="s">
        <v>24</v>
      </c>
      <c r="C32" s="449"/>
      <c r="D32" s="203"/>
      <c r="E32" s="204" t="s">
        <v>25</v>
      </c>
      <c r="F32" s="450" t="s">
        <v>26</v>
      </c>
      <c r="G32" s="450"/>
      <c r="H32" s="199" t="s">
        <v>27</v>
      </c>
      <c r="I32" s="202" t="s">
        <v>1980</v>
      </c>
      <c r="J32" s="202" t="s">
        <v>29</v>
      </c>
    </row>
    <row r="33" spans="2:10" ht="30">
      <c r="B33" s="449" t="s">
        <v>30</v>
      </c>
      <c r="C33" s="449"/>
      <c r="D33" s="199" t="s">
        <v>31</v>
      </c>
      <c r="E33" s="199" t="s">
        <v>32</v>
      </c>
      <c r="F33" s="450">
        <v>203</v>
      </c>
      <c r="G33" s="450"/>
      <c r="H33" s="201" t="s">
        <v>33</v>
      </c>
      <c r="I33" s="247" t="s">
        <v>1546</v>
      </c>
      <c r="J33" s="202"/>
    </row>
    <row r="34" spans="2:10">
      <c r="B34" s="451" t="s">
        <v>35</v>
      </c>
      <c r="C34" s="451"/>
      <c r="D34" s="449" t="s">
        <v>1981</v>
      </c>
      <c r="E34" s="449"/>
      <c r="F34" s="449"/>
      <c r="G34" s="449"/>
      <c r="H34" s="449"/>
      <c r="I34" s="449"/>
      <c r="J34" s="449"/>
    </row>
    <row r="35" spans="2:10">
      <c r="B35" s="452" t="s">
        <v>1982</v>
      </c>
      <c r="C35" s="453"/>
      <c r="D35" s="453"/>
      <c r="E35" s="453"/>
      <c r="F35" s="453"/>
      <c r="G35" s="453"/>
      <c r="H35" s="453"/>
      <c r="I35" s="453"/>
      <c r="J35" s="454"/>
    </row>
    <row r="36" spans="2:10">
      <c r="B36" s="455"/>
      <c r="C36" s="456"/>
      <c r="D36" s="456"/>
      <c r="E36" s="456"/>
      <c r="F36" s="456"/>
      <c r="G36" s="456"/>
      <c r="H36" s="456"/>
      <c r="I36" s="456"/>
      <c r="J36" s="457"/>
    </row>
    <row r="37" spans="2:10">
      <c r="B37" s="455"/>
      <c r="C37" s="456"/>
      <c r="D37" s="456"/>
      <c r="E37" s="456"/>
      <c r="F37" s="456"/>
      <c r="G37" s="456"/>
      <c r="H37" s="456"/>
      <c r="I37" s="456"/>
      <c r="J37" s="457"/>
    </row>
    <row r="38" spans="2:10">
      <c r="B38" s="458"/>
      <c r="C38" s="459"/>
      <c r="D38" s="459"/>
      <c r="E38" s="459"/>
      <c r="F38" s="459"/>
      <c r="G38" s="459"/>
      <c r="H38" s="459"/>
      <c r="I38" s="459"/>
      <c r="J38" s="460"/>
    </row>
    <row r="39" spans="2:10" ht="18">
      <c r="B39" s="461" t="s">
        <v>38</v>
      </c>
      <c r="C39" s="462"/>
      <c r="D39" s="462"/>
      <c r="E39" s="462"/>
      <c r="F39" s="462"/>
      <c r="G39" s="462"/>
      <c r="H39" s="462"/>
      <c r="I39" s="463"/>
      <c r="J39" s="205" t="s">
        <v>39</v>
      </c>
    </row>
    <row r="40" spans="2:10">
      <c r="B40" s="200">
        <v>1</v>
      </c>
      <c r="C40" s="464" t="s">
        <v>1983</v>
      </c>
      <c r="D40" s="465"/>
      <c r="E40" s="465"/>
      <c r="F40" s="465"/>
      <c r="G40" s="465"/>
      <c r="H40" s="465"/>
      <c r="I40" s="466"/>
      <c r="J40" s="200" t="s">
        <v>26</v>
      </c>
    </row>
    <row r="41" spans="2:10">
      <c r="B41" s="200">
        <v>2</v>
      </c>
      <c r="C41" s="464" t="s">
        <v>1984</v>
      </c>
      <c r="D41" s="465"/>
      <c r="E41" s="465"/>
      <c r="F41" s="465"/>
      <c r="G41" s="465"/>
      <c r="H41" s="465"/>
      <c r="I41" s="466"/>
      <c r="J41" s="200"/>
    </row>
    <row r="42" spans="2:10">
      <c r="B42" s="200">
        <v>3</v>
      </c>
      <c r="C42" s="467"/>
      <c r="D42" s="468"/>
      <c r="E42" s="468"/>
      <c r="F42" s="468"/>
      <c r="G42" s="468"/>
      <c r="H42" s="468"/>
      <c r="I42" s="469"/>
      <c r="J42" s="200"/>
    </row>
    <row r="43" spans="2:10" ht="18">
      <c r="B43" s="461" t="s">
        <v>44</v>
      </c>
      <c r="C43" s="462"/>
      <c r="D43" s="462"/>
      <c r="E43" s="462"/>
      <c r="F43" s="462"/>
      <c r="G43" s="462"/>
      <c r="H43" s="462"/>
      <c r="I43" s="462"/>
      <c r="J43" s="463"/>
    </row>
    <row r="44" spans="2:10">
      <c r="B44" s="200" t="s">
        <v>45</v>
      </c>
      <c r="C44" s="470" t="s">
        <v>1985</v>
      </c>
      <c r="D44" s="471"/>
      <c r="E44" s="471"/>
      <c r="F44" s="471"/>
      <c r="G44" s="471"/>
      <c r="H44" s="471"/>
      <c r="I44" s="471"/>
      <c r="J44" s="472"/>
    </row>
    <row r="45" spans="2:10">
      <c r="B45" s="206" t="s">
        <v>45</v>
      </c>
      <c r="C45" s="473" t="s">
        <v>1986</v>
      </c>
      <c r="D45" s="473"/>
      <c r="E45" s="473"/>
      <c r="F45" s="473"/>
      <c r="G45" s="473"/>
      <c r="H45" s="473"/>
      <c r="I45" s="473"/>
      <c r="J45" s="473"/>
    </row>
    <row r="46" spans="2:10">
      <c r="B46" s="206" t="s">
        <v>45</v>
      </c>
      <c r="C46" s="473" t="s">
        <v>1975</v>
      </c>
      <c r="D46" s="473"/>
      <c r="E46" s="473"/>
      <c r="F46" s="473"/>
      <c r="G46" s="473"/>
      <c r="H46" s="473"/>
      <c r="I46" s="473"/>
      <c r="J46" s="473"/>
    </row>
    <row r="47" spans="2:10">
      <c r="B47" s="206" t="s">
        <v>45</v>
      </c>
      <c r="C47" s="474"/>
      <c r="D47" s="475"/>
      <c r="E47" s="475"/>
      <c r="F47" s="475"/>
      <c r="G47" s="475"/>
      <c r="H47" s="475"/>
      <c r="I47" s="475"/>
      <c r="J47" s="476"/>
    </row>
    <row r="48" spans="2:10">
      <c r="B48" s="206" t="s">
        <v>45</v>
      </c>
      <c r="C48" s="474"/>
      <c r="D48" s="475"/>
      <c r="E48" s="475"/>
      <c r="F48" s="475"/>
      <c r="G48" s="475"/>
      <c r="H48" s="475"/>
      <c r="I48" s="475"/>
      <c r="J48" s="476"/>
    </row>
    <row r="49" spans="2:10">
      <c r="B49" s="206" t="s">
        <v>45</v>
      </c>
      <c r="C49" s="464"/>
      <c r="D49" s="465"/>
      <c r="E49" s="465"/>
      <c r="F49" s="465"/>
      <c r="G49" s="465"/>
      <c r="H49" s="465"/>
      <c r="I49" s="465"/>
      <c r="J49" s="466"/>
    </row>
    <row r="50" spans="2:10">
      <c r="B50" s="200" t="s">
        <v>45</v>
      </c>
      <c r="C50" s="464"/>
      <c r="D50" s="465"/>
      <c r="E50" s="465"/>
      <c r="F50" s="465"/>
      <c r="G50" s="465"/>
      <c r="H50" s="465"/>
      <c r="I50" s="465"/>
      <c r="J50" s="466"/>
    </row>
    <row r="51" spans="2:10">
      <c r="B51" s="200" t="s">
        <v>7</v>
      </c>
      <c r="C51" s="473" t="s">
        <v>1975</v>
      </c>
      <c r="D51" s="473"/>
      <c r="E51" s="473"/>
      <c r="F51" s="473"/>
      <c r="G51" s="473"/>
      <c r="H51" s="473"/>
      <c r="I51" s="473"/>
      <c r="J51" s="473"/>
    </row>
    <row r="52" spans="2:10" ht="18">
      <c r="B52" s="205" t="s">
        <v>52</v>
      </c>
      <c r="C52" s="477" t="s">
        <v>53</v>
      </c>
      <c r="D52" s="477"/>
      <c r="E52" s="477"/>
      <c r="F52" s="477"/>
      <c r="G52" s="477"/>
      <c r="H52" s="205" t="s">
        <v>54</v>
      </c>
      <c r="I52" s="205" t="s">
        <v>55</v>
      </c>
      <c r="J52" s="205" t="s">
        <v>56</v>
      </c>
    </row>
    <row r="53" spans="2:10">
      <c r="B53" s="200">
        <v>1</v>
      </c>
      <c r="C53" s="451" t="s">
        <v>1987</v>
      </c>
      <c r="D53" s="451"/>
      <c r="E53" s="451"/>
      <c r="F53" s="451"/>
      <c r="G53" s="451"/>
      <c r="H53" s="200" t="s">
        <v>1963</v>
      </c>
      <c r="I53" s="207" t="s">
        <v>1988</v>
      </c>
      <c r="J53" s="200" t="s">
        <v>1783</v>
      </c>
    </row>
    <row r="54" spans="2:10">
      <c r="B54" s="200">
        <v>2</v>
      </c>
      <c r="C54" s="449" t="s">
        <v>1989</v>
      </c>
      <c r="D54" s="449"/>
      <c r="E54" s="449"/>
      <c r="F54" s="449"/>
      <c r="G54" s="449"/>
      <c r="H54" s="200" t="s">
        <v>1937</v>
      </c>
      <c r="I54" s="207" t="s">
        <v>1988</v>
      </c>
      <c r="J54" s="200" t="s">
        <v>1783</v>
      </c>
    </row>
    <row r="55" spans="2:10">
      <c r="B55" s="200">
        <v>3</v>
      </c>
      <c r="C55" s="450"/>
      <c r="D55" s="450"/>
      <c r="E55" s="450"/>
      <c r="F55" s="450"/>
      <c r="G55" s="450"/>
      <c r="H55" s="200"/>
      <c r="I55" s="200"/>
      <c r="J55" s="200"/>
    </row>
    <row r="56" spans="2:10">
      <c r="B56" s="450" t="s">
        <v>63</v>
      </c>
      <c r="C56" s="450"/>
      <c r="D56" s="199" t="s">
        <v>31</v>
      </c>
      <c r="E56" s="198" t="s">
        <v>64</v>
      </c>
      <c r="F56" s="467"/>
      <c r="G56" s="469"/>
      <c r="H56" s="199"/>
      <c r="I56" s="199"/>
      <c r="J56" s="199"/>
    </row>
    <row r="57" spans="2:10" ht="45">
      <c r="B57" s="201" t="s">
        <v>66</v>
      </c>
      <c r="C57" s="450"/>
      <c r="D57" s="450"/>
      <c r="E57" s="201" t="s">
        <v>67</v>
      </c>
      <c r="F57" s="450"/>
      <c r="G57" s="450"/>
      <c r="H57" s="201" t="s">
        <v>68</v>
      </c>
      <c r="I57" s="450"/>
      <c r="J57" s="450"/>
    </row>
    <row r="59" spans="2:10" ht="26.25" customHeight="1">
      <c r="B59" s="446" t="s">
        <v>13</v>
      </c>
      <c r="C59" s="447"/>
      <c r="D59" s="446" t="s">
        <v>14</v>
      </c>
      <c r="E59" s="446"/>
      <c r="F59" s="446"/>
      <c r="G59" s="446"/>
      <c r="H59" s="446"/>
      <c r="I59" s="446"/>
      <c r="J59" s="197" t="s">
        <v>15</v>
      </c>
    </row>
    <row r="60" spans="2:10" ht="20.25" customHeight="1">
      <c r="B60" s="447"/>
      <c r="C60" s="447"/>
      <c r="D60" s="448" t="s">
        <v>16</v>
      </c>
      <c r="E60" s="448"/>
      <c r="F60" s="448"/>
      <c r="G60" s="448"/>
      <c r="H60" s="448"/>
      <c r="I60" s="448"/>
      <c r="J60" s="197" t="s">
        <v>17</v>
      </c>
    </row>
    <row r="61" spans="2:10">
      <c r="B61" s="449" t="s">
        <v>18</v>
      </c>
      <c r="C61" s="449"/>
      <c r="D61" s="270">
        <v>45782</v>
      </c>
      <c r="E61" s="199" t="s">
        <v>1460</v>
      </c>
      <c r="F61" s="450" t="s">
        <v>124</v>
      </c>
      <c r="G61" s="450"/>
      <c r="H61" s="201" t="s">
        <v>21</v>
      </c>
      <c r="I61" s="202" t="s">
        <v>917</v>
      </c>
      <c r="J61" s="199" t="s">
        <v>23</v>
      </c>
    </row>
    <row r="62" spans="2:10">
      <c r="B62" s="449" t="s">
        <v>24</v>
      </c>
      <c r="C62" s="449"/>
      <c r="D62" s="203"/>
      <c r="E62" s="204" t="s">
        <v>25</v>
      </c>
      <c r="F62" s="450" t="s">
        <v>26</v>
      </c>
      <c r="G62" s="450"/>
      <c r="H62" s="199" t="s">
        <v>27</v>
      </c>
      <c r="I62" s="202" t="s">
        <v>1980</v>
      </c>
      <c r="J62" s="202" t="s">
        <v>29</v>
      </c>
    </row>
    <row r="63" spans="2:10">
      <c r="B63" s="449" t="s">
        <v>30</v>
      </c>
      <c r="C63" s="449"/>
      <c r="D63" s="199" t="s">
        <v>31</v>
      </c>
      <c r="E63" s="199" t="s">
        <v>32</v>
      </c>
      <c r="F63" s="450">
        <v>203</v>
      </c>
      <c r="G63" s="450"/>
      <c r="H63" s="201" t="s">
        <v>33</v>
      </c>
      <c r="I63" s="247" t="s">
        <v>1546</v>
      </c>
      <c r="J63" s="202"/>
    </row>
    <row r="64" spans="2:10" ht="15" customHeight="1">
      <c r="B64" s="451" t="s">
        <v>35</v>
      </c>
      <c r="C64" s="451"/>
      <c r="D64" s="449" t="s">
        <v>1981</v>
      </c>
      <c r="E64" s="449"/>
      <c r="F64" s="449"/>
      <c r="G64" s="449"/>
      <c r="H64" s="449"/>
      <c r="I64" s="449"/>
      <c r="J64" s="449"/>
    </row>
    <row r="65" spans="2:10" ht="15" customHeight="1">
      <c r="B65" s="452" t="s">
        <v>1990</v>
      </c>
      <c r="C65" s="453"/>
      <c r="D65" s="453"/>
      <c r="E65" s="453"/>
      <c r="F65" s="453"/>
      <c r="G65" s="453"/>
      <c r="H65" s="453"/>
      <c r="I65" s="453"/>
      <c r="J65" s="454"/>
    </row>
    <row r="66" spans="2:10">
      <c r="B66" s="455"/>
      <c r="C66" s="456"/>
      <c r="D66" s="456"/>
      <c r="E66" s="456"/>
      <c r="F66" s="456"/>
      <c r="G66" s="456"/>
      <c r="H66" s="456"/>
      <c r="I66" s="456"/>
      <c r="J66" s="457"/>
    </row>
    <row r="67" spans="2:10">
      <c r="B67" s="455"/>
      <c r="C67" s="456"/>
      <c r="D67" s="456"/>
      <c r="E67" s="456"/>
      <c r="F67" s="456"/>
      <c r="G67" s="456"/>
      <c r="H67" s="456"/>
      <c r="I67" s="456"/>
      <c r="J67" s="457"/>
    </row>
    <row r="68" spans="2:10">
      <c r="B68" s="458"/>
      <c r="C68" s="459"/>
      <c r="D68" s="459"/>
      <c r="E68" s="459"/>
      <c r="F68" s="459"/>
      <c r="G68" s="459"/>
      <c r="H68" s="459"/>
      <c r="I68" s="459"/>
      <c r="J68" s="460"/>
    </row>
    <row r="69" spans="2:10" ht="18">
      <c r="B69" s="461" t="s">
        <v>38</v>
      </c>
      <c r="C69" s="462"/>
      <c r="D69" s="462"/>
      <c r="E69" s="462"/>
      <c r="F69" s="462"/>
      <c r="G69" s="462"/>
      <c r="H69" s="462"/>
      <c r="I69" s="463"/>
      <c r="J69" s="205" t="s">
        <v>39</v>
      </c>
    </row>
    <row r="70" spans="2:10">
      <c r="B70" s="200">
        <v>1</v>
      </c>
      <c r="C70" s="464" t="s">
        <v>1991</v>
      </c>
      <c r="D70" s="465"/>
      <c r="E70" s="465"/>
      <c r="F70" s="465"/>
      <c r="G70" s="465"/>
      <c r="H70" s="465"/>
      <c r="I70" s="466"/>
      <c r="J70" s="200" t="s">
        <v>26</v>
      </c>
    </row>
    <row r="71" spans="2:10">
      <c r="B71" s="200">
        <v>2</v>
      </c>
      <c r="C71" s="464" t="s">
        <v>1992</v>
      </c>
      <c r="D71" s="465"/>
      <c r="E71" s="465"/>
      <c r="F71" s="465"/>
      <c r="G71" s="465"/>
      <c r="H71" s="465"/>
      <c r="I71" s="466"/>
      <c r="J71" s="200" t="s">
        <v>26</v>
      </c>
    </row>
    <row r="72" spans="2:10">
      <c r="B72" s="200">
        <v>3</v>
      </c>
      <c r="C72" s="464" t="s">
        <v>1114</v>
      </c>
      <c r="D72" s="465"/>
      <c r="E72" s="465"/>
      <c r="F72" s="465"/>
      <c r="G72" s="465"/>
      <c r="H72" s="465"/>
      <c r="I72" s="466"/>
      <c r="J72" s="200" t="s">
        <v>26</v>
      </c>
    </row>
    <row r="73" spans="2:10" ht="18">
      <c r="B73" s="461" t="s">
        <v>44</v>
      </c>
      <c r="C73" s="462"/>
      <c r="D73" s="462"/>
      <c r="E73" s="462"/>
      <c r="F73" s="462"/>
      <c r="G73" s="462"/>
      <c r="H73" s="462"/>
      <c r="I73" s="462"/>
      <c r="J73" s="463"/>
    </row>
    <row r="74" spans="2:10">
      <c r="B74" s="200" t="s">
        <v>45</v>
      </c>
      <c r="C74" s="470" t="s">
        <v>1993</v>
      </c>
      <c r="D74" s="471"/>
      <c r="E74" s="471"/>
      <c r="F74" s="471"/>
      <c r="G74" s="471"/>
      <c r="H74" s="471"/>
      <c r="I74" s="471"/>
      <c r="J74" s="472"/>
    </row>
    <row r="75" spans="2:10">
      <c r="B75" s="206" t="s">
        <v>45</v>
      </c>
      <c r="C75" s="473" t="s">
        <v>1994</v>
      </c>
      <c r="D75" s="473"/>
      <c r="E75" s="473"/>
      <c r="F75" s="473"/>
      <c r="G75" s="473"/>
      <c r="H75" s="473"/>
      <c r="I75" s="473"/>
      <c r="J75" s="473"/>
    </row>
    <row r="76" spans="2:10">
      <c r="B76" s="206" t="s">
        <v>45</v>
      </c>
      <c r="C76" s="473" t="s">
        <v>1995</v>
      </c>
      <c r="D76" s="473"/>
      <c r="E76" s="473"/>
      <c r="F76" s="473"/>
      <c r="G76" s="473"/>
      <c r="H76" s="473"/>
      <c r="I76" s="473"/>
      <c r="J76" s="473"/>
    </row>
    <row r="77" spans="2:10">
      <c r="B77" s="206" t="s">
        <v>45</v>
      </c>
      <c r="C77" s="474" t="s">
        <v>1996</v>
      </c>
      <c r="D77" s="475"/>
      <c r="E77" s="475"/>
      <c r="F77" s="475"/>
      <c r="G77" s="475"/>
      <c r="H77" s="475"/>
      <c r="I77" s="475"/>
      <c r="J77" s="476"/>
    </row>
    <row r="78" spans="2:10">
      <c r="B78" s="206" t="s">
        <v>45</v>
      </c>
      <c r="C78" s="474" t="s">
        <v>1997</v>
      </c>
      <c r="D78" s="475"/>
      <c r="E78" s="475"/>
      <c r="F78" s="475"/>
      <c r="G78" s="475"/>
      <c r="H78" s="475"/>
      <c r="I78" s="475"/>
      <c r="J78" s="476"/>
    </row>
    <row r="79" spans="2:10">
      <c r="B79" s="206" t="s">
        <v>45</v>
      </c>
      <c r="C79" s="464"/>
      <c r="D79" s="465"/>
      <c r="E79" s="465"/>
      <c r="F79" s="465"/>
      <c r="G79" s="465"/>
      <c r="H79" s="465"/>
      <c r="I79" s="465"/>
      <c r="J79" s="466"/>
    </row>
    <row r="80" spans="2:10">
      <c r="B80" s="200" t="s">
        <v>45</v>
      </c>
      <c r="C80" s="464"/>
      <c r="D80" s="465"/>
      <c r="E80" s="465"/>
      <c r="F80" s="465"/>
      <c r="G80" s="465"/>
      <c r="H80" s="465"/>
      <c r="I80" s="465"/>
      <c r="J80" s="466"/>
    </row>
    <row r="81" spans="2:10">
      <c r="B81" s="200" t="s">
        <v>7</v>
      </c>
      <c r="C81" s="473" t="s">
        <v>1998</v>
      </c>
      <c r="D81" s="473"/>
      <c r="E81" s="473"/>
      <c r="F81" s="473"/>
      <c r="G81" s="473"/>
      <c r="H81" s="473"/>
      <c r="I81" s="473"/>
      <c r="J81" s="473"/>
    </row>
    <row r="82" spans="2:10" ht="18">
      <c r="B82" s="205" t="s">
        <v>52</v>
      </c>
      <c r="C82" s="477" t="s">
        <v>53</v>
      </c>
      <c r="D82" s="477"/>
      <c r="E82" s="477"/>
      <c r="F82" s="477"/>
      <c r="G82" s="477"/>
      <c r="H82" s="205" t="s">
        <v>54</v>
      </c>
      <c r="I82" s="205" t="s">
        <v>55</v>
      </c>
      <c r="J82" s="205" t="s">
        <v>56</v>
      </c>
    </row>
    <row r="83" spans="2:10" ht="15" customHeight="1">
      <c r="B83" s="200">
        <v>1</v>
      </c>
      <c r="C83" s="451" t="s">
        <v>1999</v>
      </c>
      <c r="D83" s="451"/>
      <c r="E83" s="451"/>
      <c r="F83" s="451"/>
      <c r="G83" s="451"/>
      <c r="H83" s="200"/>
      <c r="I83" s="207" t="s">
        <v>1988</v>
      </c>
      <c r="J83" s="200" t="s">
        <v>1973</v>
      </c>
    </row>
    <row r="84" spans="2:10">
      <c r="B84" s="200">
        <v>2</v>
      </c>
      <c r="C84" s="449" t="s">
        <v>2000</v>
      </c>
      <c r="D84" s="449"/>
      <c r="E84" s="449"/>
      <c r="F84" s="449"/>
      <c r="G84" s="449"/>
      <c r="H84" s="200" t="s">
        <v>1823</v>
      </c>
      <c r="I84" s="207" t="s">
        <v>1988</v>
      </c>
      <c r="J84" s="200" t="s">
        <v>1973</v>
      </c>
    </row>
    <row r="85" spans="2:10">
      <c r="B85" s="200">
        <v>3</v>
      </c>
      <c r="C85" s="1100" t="s">
        <v>2001</v>
      </c>
      <c r="D85" s="1100"/>
      <c r="E85" s="1100"/>
      <c r="F85" s="1100"/>
      <c r="G85" s="1100"/>
      <c r="H85" s="200" t="s">
        <v>1798</v>
      </c>
      <c r="I85" s="207" t="s">
        <v>1988</v>
      </c>
      <c r="J85" s="200" t="s">
        <v>1973</v>
      </c>
    </row>
    <row r="86" spans="2:10">
      <c r="B86" s="450" t="s">
        <v>63</v>
      </c>
      <c r="C86" s="450"/>
      <c r="D86" s="199" t="s">
        <v>31</v>
      </c>
      <c r="E86" s="198" t="s">
        <v>64</v>
      </c>
      <c r="F86" s="467"/>
      <c r="G86" s="469"/>
      <c r="H86" s="199"/>
      <c r="I86" s="199"/>
      <c r="J86" s="199"/>
    </row>
    <row r="87" spans="2:10" ht="45">
      <c r="B87" s="201" t="s">
        <v>66</v>
      </c>
      <c r="C87" s="450"/>
      <c r="D87" s="450"/>
      <c r="E87" s="201" t="s">
        <v>67</v>
      </c>
      <c r="F87" s="450"/>
      <c r="G87" s="450"/>
      <c r="H87" s="201" t="s">
        <v>68</v>
      </c>
      <c r="I87" s="450"/>
      <c r="J87" s="450"/>
    </row>
    <row r="90" spans="2:10" ht="26.25">
      <c r="B90" s="999" t="s">
        <v>13</v>
      </c>
      <c r="C90" s="1000"/>
      <c r="D90" s="1003" t="s">
        <v>14</v>
      </c>
      <c r="E90" s="1004"/>
      <c r="F90" s="1004"/>
      <c r="G90" s="1004"/>
      <c r="H90" s="1004"/>
      <c r="I90" s="1005"/>
      <c r="J90" s="197" t="s">
        <v>15</v>
      </c>
    </row>
    <row r="91" spans="2:10" ht="20.25">
      <c r="B91" s="1001"/>
      <c r="C91" s="1002"/>
      <c r="D91" s="1006" t="s">
        <v>16</v>
      </c>
      <c r="E91" s="1007"/>
      <c r="F91" s="1007"/>
      <c r="G91" s="1007"/>
      <c r="H91" s="1007"/>
      <c r="I91" s="1008"/>
      <c r="J91" s="197" t="s">
        <v>17</v>
      </c>
    </row>
    <row r="92" spans="2:10">
      <c r="B92" s="464" t="s">
        <v>18</v>
      </c>
      <c r="C92" s="466"/>
      <c r="D92" s="270">
        <v>45784</v>
      </c>
      <c r="E92" s="199" t="s">
        <v>1460</v>
      </c>
      <c r="F92" s="467" t="s">
        <v>131</v>
      </c>
      <c r="G92" s="469"/>
      <c r="H92" s="201" t="s">
        <v>21</v>
      </c>
      <c r="I92" s="202" t="s">
        <v>917</v>
      </c>
      <c r="J92" s="199" t="s">
        <v>23</v>
      </c>
    </row>
    <row r="93" spans="2:10" ht="45">
      <c r="B93" s="464" t="s">
        <v>24</v>
      </c>
      <c r="C93" s="466"/>
      <c r="D93" s="274" t="s">
        <v>2002</v>
      </c>
      <c r="E93" s="204" t="s">
        <v>25</v>
      </c>
      <c r="F93" s="467" t="s">
        <v>26</v>
      </c>
      <c r="G93" s="469"/>
      <c r="H93" s="199" t="s">
        <v>27</v>
      </c>
      <c r="I93" s="202" t="s">
        <v>2003</v>
      </c>
      <c r="J93" s="202" t="s">
        <v>29</v>
      </c>
    </row>
    <row r="94" spans="2:10" ht="30">
      <c r="B94" s="464" t="s">
        <v>30</v>
      </c>
      <c r="C94" s="466"/>
      <c r="D94" s="199" t="s">
        <v>31</v>
      </c>
      <c r="E94" s="199" t="s">
        <v>32</v>
      </c>
      <c r="F94" s="467">
        <v>86</v>
      </c>
      <c r="G94" s="469"/>
      <c r="H94" s="201" t="s">
        <v>33</v>
      </c>
      <c r="I94" s="247" t="s">
        <v>2004</v>
      </c>
      <c r="J94" s="202"/>
    </row>
    <row r="95" spans="2:10">
      <c r="B95" s="990" t="s">
        <v>35</v>
      </c>
      <c r="C95" s="992"/>
      <c r="D95" s="449" t="s">
        <v>2005</v>
      </c>
      <c r="E95" s="449"/>
      <c r="F95" s="449"/>
      <c r="G95" s="449"/>
      <c r="H95" s="449"/>
      <c r="I95" s="449"/>
      <c r="J95" s="449"/>
    </row>
    <row r="96" spans="2:10">
      <c r="B96" s="452" t="s">
        <v>2006</v>
      </c>
      <c r="C96" s="453"/>
      <c r="D96" s="453"/>
      <c r="E96" s="453"/>
      <c r="F96" s="453"/>
      <c r="G96" s="453"/>
      <c r="H96" s="453"/>
      <c r="I96" s="453"/>
      <c r="J96" s="454"/>
    </row>
    <row r="97" spans="2:10">
      <c r="B97" s="455"/>
      <c r="C97" s="456"/>
      <c r="D97" s="456"/>
      <c r="E97" s="456"/>
      <c r="F97" s="456"/>
      <c r="G97" s="456"/>
      <c r="H97" s="456"/>
      <c r="I97" s="456"/>
      <c r="J97" s="457"/>
    </row>
    <row r="98" spans="2:10">
      <c r="B98" s="455"/>
      <c r="C98" s="456"/>
      <c r="D98" s="456"/>
      <c r="E98" s="456"/>
      <c r="F98" s="456"/>
      <c r="G98" s="456"/>
      <c r="H98" s="456"/>
      <c r="I98" s="456"/>
      <c r="J98" s="457"/>
    </row>
    <row r="99" spans="2:10">
      <c r="B99" s="458"/>
      <c r="C99" s="459"/>
      <c r="D99" s="459"/>
      <c r="E99" s="459"/>
      <c r="F99" s="459"/>
      <c r="G99" s="459"/>
      <c r="H99" s="459"/>
      <c r="I99" s="459"/>
      <c r="J99" s="460"/>
    </row>
    <row r="100" spans="2:10" ht="18">
      <c r="B100" s="461" t="s">
        <v>38</v>
      </c>
      <c r="C100" s="462"/>
      <c r="D100" s="462"/>
      <c r="E100" s="462"/>
      <c r="F100" s="462"/>
      <c r="G100" s="462"/>
      <c r="H100" s="462"/>
      <c r="I100" s="463"/>
      <c r="J100" s="205" t="s">
        <v>39</v>
      </c>
    </row>
    <row r="101" spans="2:10">
      <c r="B101" s="200">
        <v>1</v>
      </c>
      <c r="C101" s="464" t="s">
        <v>2007</v>
      </c>
      <c r="D101" s="465"/>
      <c r="E101" s="465"/>
      <c r="F101" s="465"/>
      <c r="G101" s="465"/>
      <c r="H101" s="465"/>
      <c r="I101" s="466"/>
      <c r="J101" s="200" t="s">
        <v>26</v>
      </c>
    </row>
    <row r="102" spans="2:10">
      <c r="B102" s="200">
        <v>2</v>
      </c>
      <c r="C102" s="464" t="s">
        <v>2008</v>
      </c>
      <c r="D102" s="465"/>
      <c r="E102" s="465"/>
      <c r="F102" s="465"/>
      <c r="G102" s="465"/>
      <c r="H102" s="465"/>
      <c r="I102" s="466"/>
      <c r="J102" s="200" t="s">
        <v>26</v>
      </c>
    </row>
    <row r="103" spans="2:10">
      <c r="B103" s="200">
        <v>3</v>
      </c>
      <c r="C103" s="467"/>
      <c r="D103" s="468"/>
      <c r="E103" s="468"/>
      <c r="F103" s="468"/>
      <c r="G103" s="468"/>
      <c r="H103" s="468"/>
      <c r="I103" s="469"/>
      <c r="J103" s="200" t="s">
        <v>26</v>
      </c>
    </row>
    <row r="104" spans="2:10" ht="18">
      <c r="B104" s="461" t="s">
        <v>44</v>
      </c>
      <c r="C104" s="462"/>
      <c r="D104" s="462"/>
      <c r="E104" s="462"/>
      <c r="F104" s="462"/>
      <c r="G104" s="462"/>
      <c r="H104" s="462"/>
      <c r="I104" s="462"/>
      <c r="J104" s="463"/>
    </row>
    <row r="105" spans="2:10">
      <c r="B105" s="200" t="s">
        <v>45</v>
      </c>
      <c r="C105" s="996" t="s">
        <v>2009</v>
      </c>
      <c r="D105" s="997"/>
      <c r="E105" s="997"/>
      <c r="F105" s="997"/>
      <c r="G105" s="997"/>
      <c r="H105" s="997"/>
      <c r="I105" s="997"/>
      <c r="J105" s="1099"/>
    </row>
    <row r="106" spans="2:10">
      <c r="B106" s="206" t="s">
        <v>45</v>
      </c>
      <c r="C106" s="987" t="s">
        <v>2010</v>
      </c>
      <c r="D106" s="988"/>
      <c r="E106" s="988"/>
      <c r="F106" s="988"/>
      <c r="G106" s="988"/>
      <c r="H106" s="988"/>
      <c r="I106" s="988"/>
      <c r="J106" s="1097"/>
    </row>
    <row r="107" spans="2:10">
      <c r="B107" s="206" t="s">
        <v>45</v>
      </c>
      <c r="C107" s="987" t="s">
        <v>2011</v>
      </c>
      <c r="D107" s="988"/>
      <c r="E107" s="988"/>
      <c r="F107" s="988"/>
      <c r="G107" s="988"/>
      <c r="H107" s="988"/>
      <c r="I107" s="988"/>
      <c r="J107" s="1097"/>
    </row>
    <row r="108" spans="2:10">
      <c r="B108" s="206" t="s">
        <v>45</v>
      </c>
      <c r="C108" s="1013" t="s">
        <v>2012</v>
      </c>
      <c r="D108" s="1014"/>
      <c r="E108" s="1014"/>
      <c r="F108" s="1014"/>
      <c r="G108" s="1014"/>
      <c r="H108" s="1014"/>
      <c r="I108" s="1014"/>
      <c r="J108" s="1098"/>
    </row>
    <row r="109" spans="2:10">
      <c r="B109" s="206" t="s">
        <v>45</v>
      </c>
      <c r="C109" s="464"/>
      <c r="D109" s="465"/>
      <c r="E109" s="465"/>
      <c r="F109" s="465"/>
      <c r="G109" s="465"/>
      <c r="H109" s="465"/>
      <c r="I109" s="465"/>
      <c r="J109" s="466"/>
    </row>
    <row r="110" spans="2:10">
      <c r="B110" s="206" t="s">
        <v>45</v>
      </c>
      <c r="C110" s="464"/>
      <c r="D110" s="465"/>
      <c r="E110" s="465"/>
      <c r="F110" s="465"/>
      <c r="G110" s="465"/>
      <c r="H110" s="465"/>
      <c r="I110" s="465"/>
      <c r="J110" s="466"/>
    </row>
    <row r="111" spans="2:10">
      <c r="B111" s="200" t="s">
        <v>45</v>
      </c>
      <c r="C111" s="464"/>
      <c r="D111" s="465"/>
      <c r="E111" s="465"/>
      <c r="F111" s="465"/>
      <c r="G111" s="465"/>
      <c r="H111" s="465"/>
      <c r="I111" s="465"/>
      <c r="J111" s="466"/>
    </row>
    <row r="112" spans="2:10">
      <c r="B112" s="200" t="s">
        <v>7</v>
      </c>
      <c r="C112" s="464" t="s">
        <v>2013</v>
      </c>
      <c r="D112" s="465"/>
      <c r="E112" s="465"/>
      <c r="F112" s="465"/>
      <c r="G112" s="465"/>
      <c r="H112" s="465"/>
      <c r="I112" s="465"/>
      <c r="J112" s="466"/>
    </row>
    <row r="113" spans="2:10" ht="18">
      <c r="B113" s="205" t="s">
        <v>52</v>
      </c>
      <c r="C113" s="461" t="s">
        <v>53</v>
      </c>
      <c r="D113" s="462"/>
      <c r="E113" s="462"/>
      <c r="F113" s="462"/>
      <c r="G113" s="463"/>
      <c r="H113" s="205" t="s">
        <v>54</v>
      </c>
      <c r="I113" s="205" t="s">
        <v>55</v>
      </c>
      <c r="J113" s="205" t="s">
        <v>56</v>
      </c>
    </row>
    <row r="114" spans="2:10">
      <c r="B114" s="200">
        <v>1</v>
      </c>
      <c r="C114" s="990" t="s">
        <v>2014</v>
      </c>
      <c r="D114" s="991"/>
      <c r="E114" s="991"/>
      <c r="F114" s="991"/>
      <c r="G114" s="992"/>
      <c r="H114" s="200" t="s">
        <v>2015</v>
      </c>
      <c r="I114" s="207" t="s">
        <v>2016</v>
      </c>
      <c r="J114" s="200"/>
    </row>
    <row r="115" spans="2:10">
      <c r="B115" s="200">
        <v>2</v>
      </c>
      <c r="C115" s="464" t="s">
        <v>2017</v>
      </c>
      <c r="D115" s="465"/>
      <c r="E115" s="465"/>
      <c r="F115" s="465"/>
      <c r="G115" s="466"/>
      <c r="H115" s="200" t="s">
        <v>2018</v>
      </c>
      <c r="I115" s="207" t="s">
        <v>2016</v>
      </c>
      <c r="J115" s="200"/>
    </row>
    <row r="116" spans="2:10">
      <c r="B116" s="200">
        <v>3</v>
      </c>
      <c r="C116" s="467"/>
      <c r="D116" s="468"/>
      <c r="E116" s="468"/>
      <c r="F116" s="468"/>
      <c r="G116" s="469"/>
      <c r="H116" s="200"/>
      <c r="I116" s="200"/>
      <c r="J116" s="200"/>
    </row>
    <row r="117" spans="2:10">
      <c r="B117" s="467" t="s">
        <v>63</v>
      </c>
      <c r="C117" s="469"/>
      <c r="D117" s="199" t="s">
        <v>31</v>
      </c>
      <c r="E117" s="198" t="s">
        <v>64</v>
      </c>
      <c r="F117" s="467" t="s">
        <v>65</v>
      </c>
      <c r="G117" s="469"/>
      <c r="H117" s="199"/>
      <c r="I117" s="199"/>
      <c r="J117" s="199"/>
    </row>
    <row r="118" spans="2:10" ht="45">
      <c r="B118" s="201" t="s">
        <v>66</v>
      </c>
      <c r="C118" s="467"/>
      <c r="D118" s="469"/>
      <c r="E118" s="201" t="s">
        <v>67</v>
      </c>
      <c r="F118" s="467"/>
      <c r="G118" s="469"/>
      <c r="H118" s="201" t="s">
        <v>68</v>
      </c>
      <c r="I118" s="467"/>
      <c r="J118" s="469"/>
    </row>
    <row r="121" spans="2:10" ht="26.25">
      <c r="B121" s="999" t="s">
        <v>13</v>
      </c>
      <c r="C121" s="1000"/>
      <c r="D121" s="1003" t="s">
        <v>14</v>
      </c>
      <c r="E121" s="1004"/>
      <c r="F121" s="1004"/>
      <c r="G121" s="1004"/>
      <c r="H121" s="1004"/>
      <c r="I121" s="1005"/>
      <c r="J121" s="197" t="s">
        <v>15</v>
      </c>
    </row>
    <row r="122" spans="2:10" ht="20.25">
      <c r="B122" s="1001"/>
      <c r="C122" s="1002"/>
      <c r="D122" s="1006" t="s">
        <v>16</v>
      </c>
      <c r="E122" s="1007"/>
      <c r="F122" s="1007"/>
      <c r="G122" s="1007"/>
      <c r="H122" s="1007"/>
      <c r="I122" s="1008"/>
      <c r="J122" s="197" t="s">
        <v>17</v>
      </c>
    </row>
    <row r="123" spans="2:10">
      <c r="B123" s="464" t="s">
        <v>18</v>
      </c>
      <c r="C123" s="466"/>
      <c r="D123" s="270" t="s">
        <v>2019</v>
      </c>
      <c r="E123" s="199" t="s">
        <v>1460</v>
      </c>
      <c r="F123" s="467" t="s">
        <v>124</v>
      </c>
      <c r="G123" s="469"/>
      <c r="H123" s="201" t="s">
        <v>21</v>
      </c>
      <c r="I123" s="202" t="s">
        <v>917</v>
      </c>
      <c r="J123" s="199" t="s">
        <v>23</v>
      </c>
    </row>
    <row r="124" spans="2:10">
      <c r="B124" s="464" t="s">
        <v>24</v>
      </c>
      <c r="C124" s="466"/>
      <c r="D124" s="274" t="s">
        <v>2020</v>
      </c>
      <c r="E124" s="204" t="s">
        <v>25</v>
      </c>
      <c r="F124" s="467" t="s">
        <v>26</v>
      </c>
      <c r="G124" s="469"/>
      <c r="H124" s="199" t="s">
        <v>27</v>
      </c>
      <c r="I124" s="202" t="s">
        <v>1904</v>
      </c>
      <c r="J124" s="202" t="s">
        <v>29</v>
      </c>
    </row>
    <row r="125" spans="2:10" ht="30">
      <c r="B125" s="464" t="s">
        <v>30</v>
      </c>
      <c r="C125" s="466"/>
      <c r="D125" s="199" t="s">
        <v>31</v>
      </c>
      <c r="E125" s="199" t="s">
        <v>32</v>
      </c>
      <c r="F125" s="467">
        <v>90</v>
      </c>
      <c r="G125" s="469"/>
      <c r="H125" s="201" t="s">
        <v>33</v>
      </c>
      <c r="I125" s="247" t="s">
        <v>2021</v>
      </c>
      <c r="J125" s="202"/>
    </row>
    <row r="126" spans="2:10">
      <c r="B126" s="990" t="s">
        <v>35</v>
      </c>
      <c r="C126" s="992"/>
      <c r="D126" s="449" t="s">
        <v>2022</v>
      </c>
      <c r="E126" s="449"/>
      <c r="F126" s="449"/>
      <c r="G126" s="449"/>
      <c r="H126" s="449"/>
      <c r="I126" s="449"/>
      <c r="J126" s="449"/>
    </row>
    <row r="127" spans="2:10">
      <c r="B127" s="452" t="s">
        <v>2023</v>
      </c>
      <c r="C127" s="453"/>
      <c r="D127" s="453"/>
      <c r="E127" s="453"/>
      <c r="F127" s="453"/>
      <c r="G127" s="453"/>
      <c r="H127" s="453"/>
      <c r="I127" s="453"/>
      <c r="J127" s="454"/>
    </row>
    <row r="128" spans="2:10">
      <c r="B128" s="455"/>
      <c r="C128" s="456"/>
      <c r="D128" s="456"/>
      <c r="E128" s="456"/>
      <c r="F128" s="456"/>
      <c r="G128" s="456"/>
      <c r="H128" s="456"/>
      <c r="I128" s="456"/>
      <c r="J128" s="457"/>
    </row>
    <row r="129" spans="2:10">
      <c r="B129" s="455"/>
      <c r="C129" s="456"/>
      <c r="D129" s="456"/>
      <c r="E129" s="456"/>
      <c r="F129" s="456"/>
      <c r="G129" s="456"/>
      <c r="H129" s="456"/>
      <c r="I129" s="456"/>
      <c r="J129" s="457"/>
    </row>
    <row r="130" spans="2:10">
      <c r="B130" s="458"/>
      <c r="C130" s="459"/>
      <c r="D130" s="459"/>
      <c r="E130" s="459"/>
      <c r="F130" s="459"/>
      <c r="G130" s="459"/>
      <c r="H130" s="459"/>
      <c r="I130" s="459"/>
      <c r="J130" s="460"/>
    </row>
    <row r="131" spans="2:10" ht="18">
      <c r="B131" s="461" t="s">
        <v>38</v>
      </c>
      <c r="C131" s="462"/>
      <c r="D131" s="462"/>
      <c r="E131" s="462"/>
      <c r="F131" s="462"/>
      <c r="G131" s="462"/>
      <c r="H131" s="462"/>
      <c r="I131" s="463"/>
      <c r="J131" s="205" t="s">
        <v>39</v>
      </c>
    </row>
    <row r="132" spans="2:10">
      <c r="B132" s="200">
        <v>1</v>
      </c>
      <c r="C132" s="464" t="s">
        <v>2024</v>
      </c>
      <c r="D132" s="465"/>
      <c r="E132" s="465"/>
      <c r="F132" s="465"/>
      <c r="G132" s="465"/>
      <c r="H132" s="465"/>
      <c r="I132" s="466"/>
      <c r="J132" s="200" t="s">
        <v>26</v>
      </c>
    </row>
    <row r="133" spans="2:10">
      <c r="B133" s="200">
        <v>2</v>
      </c>
      <c r="C133" s="464" t="s">
        <v>2025</v>
      </c>
      <c r="D133" s="465"/>
      <c r="E133" s="465"/>
      <c r="F133" s="465"/>
      <c r="G133" s="465"/>
      <c r="H133" s="465"/>
      <c r="I133" s="466"/>
      <c r="J133" s="200" t="s">
        <v>26</v>
      </c>
    </row>
    <row r="134" spans="2:10">
      <c r="B134" s="200">
        <v>3</v>
      </c>
      <c r="C134" s="464" t="s">
        <v>2026</v>
      </c>
      <c r="D134" s="465"/>
      <c r="E134" s="465"/>
      <c r="F134" s="465"/>
      <c r="G134" s="465"/>
      <c r="H134" s="465"/>
      <c r="I134" s="466"/>
      <c r="J134" s="200" t="s">
        <v>26</v>
      </c>
    </row>
    <row r="135" spans="2:10" ht="18">
      <c r="B135" s="461" t="s">
        <v>44</v>
      </c>
      <c r="C135" s="462"/>
      <c r="D135" s="462"/>
      <c r="E135" s="462"/>
      <c r="F135" s="462"/>
      <c r="G135" s="462"/>
      <c r="H135" s="462"/>
      <c r="I135" s="462"/>
      <c r="J135" s="463"/>
    </row>
    <row r="136" spans="2:10">
      <c r="B136" s="200" t="s">
        <v>45</v>
      </c>
      <c r="C136" s="1087" t="s">
        <v>2027</v>
      </c>
      <c r="D136" s="997"/>
      <c r="E136" s="997"/>
      <c r="F136" s="997"/>
      <c r="G136" s="997"/>
      <c r="H136" s="997"/>
      <c r="I136" s="997"/>
      <c r="J136" s="1099"/>
    </row>
    <row r="137" spans="2:10">
      <c r="B137" s="206" t="s">
        <v>45</v>
      </c>
      <c r="C137" s="987" t="s">
        <v>2028</v>
      </c>
      <c r="D137" s="988"/>
      <c r="E137" s="988"/>
      <c r="F137" s="988"/>
      <c r="G137" s="988"/>
      <c r="H137" s="988"/>
      <c r="I137" s="988"/>
      <c r="J137" s="1097"/>
    </row>
    <row r="138" spans="2:10">
      <c r="B138" s="206" t="s">
        <v>45</v>
      </c>
      <c r="C138" s="987" t="s">
        <v>2029</v>
      </c>
      <c r="D138" s="988"/>
      <c r="E138" s="988"/>
      <c r="F138" s="988"/>
      <c r="G138" s="988"/>
      <c r="H138" s="988"/>
      <c r="I138" s="988"/>
      <c r="J138" s="1097"/>
    </row>
    <row r="139" spans="2:10">
      <c r="B139" s="206" t="s">
        <v>45</v>
      </c>
      <c r="C139" s="1013"/>
      <c r="D139" s="1014"/>
      <c r="E139" s="1014"/>
      <c r="F139" s="1014"/>
      <c r="G139" s="1014"/>
      <c r="H139" s="1014"/>
      <c r="I139" s="1014"/>
      <c r="J139" s="1098"/>
    </row>
    <row r="140" spans="2:10">
      <c r="B140" s="206" t="s">
        <v>45</v>
      </c>
      <c r="C140" s="464"/>
      <c r="D140" s="465"/>
      <c r="E140" s="465"/>
      <c r="F140" s="465"/>
      <c r="G140" s="465"/>
      <c r="H140" s="465"/>
      <c r="I140" s="465"/>
      <c r="J140" s="466"/>
    </row>
    <row r="141" spans="2:10">
      <c r="B141" s="206" t="s">
        <v>45</v>
      </c>
      <c r="C141" s="464"/>
      <c r="D141" s="465"/>
      <c r="E141" s="465"/>
      <c r="F141" s="465"/>
      <c r="G141" s="465"/>
      <c r="H141" s="465"/>
      <c r="I141" s="465"/>
      <c r="J141" s="466"/>
    </row>
    <row r="142" spans="2:10">
      <c r="B142" s="200" t="s">
        <v>45</v>
      </c>
      <c r="C142" s="464"/>
      <c r="D142" s="465"/>
      <c r="E142" s="465"/>
      <c r="F142" s="465"/>
      <c r="G142" s="465"/>
      <c r="H142" s="465"/>
      <c r="I142" s="465"/>
      <c r="J142" s="466"/>
    </row>
    <row r="143" spans="2:10">
      <c r="B143" s="200" t="s">
        <v>7</v>
      </c>
      <c r="C143" s="464" t="s">
        <v>2030</v>
      </c>
      <c r="D143" s="465"/>
      <c r="E143" s="465"/>
      <c r="F143" s="465"/>
      <c r="G143" s="465"/>
      <c r="H143" s="465"/>
      <c r="I143" s="465"/>
      <c r="J143" s="466"/>
    </row>
    <row r="144" spans="2:10" ht="18">
      <c r="B144" s="205" t="s">
        <v>52</v>
      </c>
      <c r="C144" s="461" t="s">
        <v>53</v>
      </c>
      <c r="D144" s="462"/>
      <c r="E144" s="462"/>
      <c r="F144" s="462"/>
      <c r="G144" s="463"/>
      <c r="H144" s="205" t="s">
        <v>54</v>
      </c>
      <c r="I144" s="205" t="s">
        <v>55</v>
      </c>
      <c r="J144" s="205" t="s">
        <v>56</v>
      </c>
    </row>
    <row r="145" spans="2:10">
      <c r="B145" s="200">
        <v>1</v>
      </c>
      <c r="C145" s="990"/>
      <c r="D145" s="991"/>
      <c r="E145" s="991"/>
      <c r="F145" s="991"/>
      <c r="G145" s="992"/>
      <c r="H145" s="200"/>
      <c r="I145" s="207"/>
      <c r="J145" s="200"/>
    </row>
    <row r="146" spans="2:10">
      <c r="B146" s="200">
        <v>2</v>
      </c>
      <c r="C146" s="464"/>
      <c r="D146" s="465"/>
      <c r="E146" s="465"/>
      <c r="F146" s="465"/>
      <c r="G146" s="466"/>
      <c r="H146" s="200"/>
      <c r="I146" s="207"/>
      <c r="J146" s="200"/>
    </row>
    <row r="147" spans="2:10">
      <c r="B147" s="200">
        <v>3</v>
      </c>
      <c r="C147" s="467"/>
      <c r="D147" s="468"/>
      <c r="E147" s="468"/>
      <c r="F147" s="468"/>
      <c r="G147" s="469"/>
      <c r="H147" s="200"/>
      <c r="I147" s="200"/>
      <c r="J147" s="200"/>
    </row>
    <row r="148" spans="2:10">
      <c r="B148" s="467" t="s">
        <v>63</v>
      </c>
      <c r="C148" s="469"/>
      <c r="D148" s="199" t="s">
        <v>31</v>
      </c>
      <c r="E148" s="198" t="s">
        <v>64</v>
      </c>
      <c r="F148" s="467" t="s">
        <v>65</v>
      </c>
      <c r="G148" s="469"/>
      <c r="H148" s="199"/>
      <c r="I148" s="199"/>
      <c r="J148" s="199"/>
    </row>
    <row r="149" spans="2:10" ht="45">
      <c r="B149" s="201" t="s">
        <v>66</v>
      </c>
      <c r="C149" s="467"/>
      <c r="D149" s="469"/>
      <c r="E149" s="201" t="s">
        <v>67</v>
      </c>
      <c r="F149" s="467"/>
      <c r="G149" s="469"/>
      <c r="H149" s="201" t="s">
        <v>68</v>
      </c>
      <c r="I149" s="467"/>
      <c r="J149" s="469"/>
    </row>
  </sheetData>
  <autoFilter ref="C3:D3" xr:uid="{50E70579-4964-4131-BBE7-F14141E2EEFE}"/>
  <mergeCells count="149">
    <mergeCell ref="B117:C117"/>
    <mergeCell ref="F117:G117"/>
    <mergeCell ref="C118:D118"/>
    <mergeCell ref="F118:G118"/>
    <mergeCell ref="I118:J118"/>
    <mergeCell ref="C111:J111"/>
    <mergeCell ref="C112:J112"/>
    <mergeCell ref="C113:G113"/>
    <mergeCell ref="C114:G114"/>
    <mergeCell ref="C115:G115"/>
    <mergeCell ref="C116:G116"/>
    <mergeCell ref="C106:J106"/>
    <mergeCell ref="C107:J107"/>
    <mergeCell ref="C108:J108"/>
    <mergeCell ref="C109:J109"/>
    <mergeCell ref="C110:J110"/>
    <mergeCell ref="B96:J99"/>
    <mergeCell ref="B100:I100"/>
    <mergeCell ref="C101:I101"/>
    <mergeCell ref="C102:I102"/>
    <mergeCell ref="C103:I103"/>
    <mergeCell ref="B104:J104"/>
    <mergeCell ref="C85:G85"/>
    <mergeCell ref="F87:G87"/>
    <mergeCell ref="B86:C86"/>
    <mergeCell ref="F86:G86"/>
    <mergeCell ref="C87:D87"/>
    <mergeCell ref="C79:J79"/>
    <mergeCell ref="C80:J80"/>
    <mergeCell ref="C81:J81"/>
    <mergeCell ref="C105:J105"/>
    <mergeCell ref="B94:C94"/>
    <mergeCell ref="F94:G94"/>
    <mergeCell ref="B95:C95"/>
    <mergeCell ref="D95:J95"/>
    <mergeCell ref="I87:J87"/>
    <mergeCell ref="B90:C91"/>
    <mergeCell ref="D90:I90"/>
    <mergeCell ref="D91:I91"/>
    <mergeCell ref="B92:C92"/>
    <mergeCell ref="F92:G92"/>
    <mergeCell ref="B93:C93"/>
    <mergeCell ref="F93:G93"/>
    <mergeCell ref="B61:C61"/>
    <mergeCell ref="F61:G61"/>
    <mergeCell ref="D64:J64"/>
    <mergeCell ref="C83:G83"/>
    <mergeCell ref="C84:G84"/>
    <mergeCell ref="C82:G82"/>
    <mergeCell ref="C74:J74"/>
    <mergeCell ref="C71:I71"/>
    <mergeCell ref="C72:I72"/>
    <mergeCell ref="B62:C62"/>
    <mergeCell ref="F62:G62"/>
    <mergeCell ref="B63:C63"/>
    <mergeCell ref="F63:G63"/>
    <mergeCell ref="B64:C64"/>
    <mergeCell ref="B65:J68"/>
    <mergeCell ref="B69:I69"/>
    <mergeCell ref="C70:I70"/>
    <mergeCell ref="B73:J73"/>
    <mergeCell ref="C75:J75"/>
    <mergeCell ref="C76:J76"/>
    <mergeCell ref="C77:J77"/>
    <mergeCell ref="C78:J78"/>
    <mergeCell ref="C50:J50"/>
    <mergeCell ref="C51:J51"/>
    <mergeCell ref="C52:G52"/>
    <mergeCell ref="C53:G53"/>
    <mergeCell ref="C54:G54"/>
    <mergeCell ref="C55:G55"/>
    <mergeCell ref="B59:C60"/>
    <mergeCell ref="D59:I59"/>
    <mergeCell ref="C44:J44"/>
    <mergeCell ref="C45:J45"/>
    <mergeCell ref="C46:J46"/>
    <mergeCell ref="C47:J47"/>
    <mergeCell ref="C48:J48"/>
    <mergeCell ref="C49:J49"/>
    <mergeCell ref="B56:C56"/>
    <mergeCell ref="F56:G56"/>
    <mergeCell ref="C57:D57"/>
    <mergeCell ref="F57:G57"/>
    <mergeCell ref="I57:J57"/>
    <mergeCell ref="D60:I60"/>
    <mergeCell ref="B39:I39"/>
    <mergeCell ref="C40:I40"/>
    <mergeCell ref="C41:I41"/>
    <mergeCell ref="C42:I42"/>
    <mergeCell ref="B43:J43"/>
    <mergeCell ref="B32:C32"/>
    <mergeCell ref="F32:G32"/>
    <mergeCell ref="B33:C33"/>
    <mergeCell ref="F33:G33"/>
    <mergeCell ref="B34:C34"/>
    <mergeCell ref="D34:J34"/>
    <mergeCell ref="B29:C30"/>
    <mergeCell ref="D29:I29"/>
    <mergeCell ref="D30:I30"/>
    <mergeCell ref="B31:C31"/>
    <mergeCell ref="F31:G31"/>
    <mergeCell ref="I2:I3"/>
    <mergeCell ref="J2:J3"/>
    <mergeCell ref="K2:K3"/>
    <mergeCell ref="B35:J38"/>
    <mergeCell ref="M5:N5"/>
    <mergeCell ref="L6:M6"/>
    <mergeCell ref="E23:K26"/>
    <mergeCell ref="B2:B3"/>
    <mergeCell ref="C2:D2"/>
    <mergeCell ref="E2:E3"/>
    <mergeCell ref="F2:F3"/>
    <mergeCell ref="G2:G3"/>
    <mergeCell ref="H2:H3"/>
    <mergeCell ref="C25:D25"/>
    <mergeCell ref="B121:C122"/>
    <mergeCell ref="D121:I121"/>
    <mergeCell ref="D122:I122"/>
    <mergeCell ref="B123:C123"/>
    <mergeCell ref="F123:G123"/>
    <mergeCell ref="B124:C124"/>
    <mergeCell ref="F124:G124"/>
    <mergeCell ref="B125:C125"/>
    <mergeCell ref="F125:G125"/>
    <mergeCell ref="B126:C126"/>
    <mergeCell ref="D126:J126"/>
    <mergeCell ref="B127:J130"/>
    <mergeCell ref="B131:I131"/>
    <mergeCell ref="C132:I132"/>
    <mergeCell ref="C133:I133"/>
    <mergeCell ref="C134:I134"/>
    <mergeCell ref="B135:J135"/>
    <mergeCell ref="C136:J136"/>
    <mergeCell ref="C146:G146"/>
    <mergeCell ref="C147:G147"/>
    <mergeCell ref="B148:C148"/>
    <mergeCell ref="F148:G148"/>
    <mergeCell ref="C149:D149"/>
    <mergeCell ref="F149:G149"/>
    <mergeCell ref="I149:J149"/>
    <mergeCell ref="C137:J137"/>
    <mergeCell ref="C138:J138"/>
    <mergeCell ref="C139:J139"/>
    <mergeCell ref="C140:J140"/>
    <mergeCell ref="C141:J141"/>
    <mergeCell ref="C142:J142"/>
    <mergeCell ref="C143:J143"/>
    <mergeCell ref="C144:G144"/>
    <mergeCell ref="C145:G145"/>
  </mergeCells>
  <phoneticPr fontId="0" type="noConversion"/>
  <printOptions horizontalCentered="1" verticalCentered="1"/>
  <pageMargins left="0.7" right="0.7" top="0.75" bottom="0.75" header="0.3" footer="0.3"/>
  <pageSetup paperSize="9"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BA89-15AD-464E-B0E1-FB35F4418E8F}">
  <sheetPr>
    <pageSetUpPr fitToPage="1"/>
  </sheetPr>
  <dimension ref="A1:P34"/>
  <sheetViews>
    <sheetView workbookViewId="0"/>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c r="H2" s="536"/>
      <c r="I2" s="536"/>
      <c r="J2" s="537" t="s">
        <v>73</v>
      </c>
      <c r="K2" s="537"/>
      <c r="L2" s="538"/>
    </row>
    <row r="3" spans="1:16">
      <c r="A3" s="539" t="s">
        <v>74</v>
      </c>
      <c r="B3" s="540"/>
      <c r="C3" s="540"/>
      <c r="D3" s="540"/>
      <c r="E3" s="540"/>
      <c r="F3" s="540"/>
      <c r="G3" s="540"/>
      <c r="H3" s="540"/>
      <c r="I3" s="541"/>
      <c r="J3" s="542" t="s">
        <v>75</v>
      </c>
      <c r="K3" s="542"/>
      <c r="L3" s="542"/>
    </row>
    <row r="4" spans="1:16" ht="12.75" customHeight="1">
      <c r="A4" s="510" t="s">
        <v>76</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95</v>
      </c>
      <c r="B10" s="492"/>
      <c r="C10" s="495" t="s">
        <v>96</v>
      </c>
      <c r="D10" s="495"/>
      <c r="E10" s="492" t="s">
        <v>97</v>
      </c>
      <c r="F10" s="492"/>
      <c r="G10" s="492"/>
      <c r="H10" s="496" t="s">
        <v>98</v>
      </c>
      <c r="I10" s="495"/>
      <c r="J10" s="495" t="s">
        <v>99</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101</v>
      </c>
      <c r="F12" s="492"/>
      <c r="G12" s="492"/>
      <c r="H12" s="495"/>
      <c r="I12" s="495"/>
      <c r="J12" s="495"/>
      <c r="K12" s="499"/>
      <c r="L12" s="500"/>
    </row>
    <row r="13" spans="1:16">
      <c r="A13" s="492" t="s">
        <v>102</v>
      </c>
      <c r="B13" s="492"/>
      <c r="C13" s="495"/>
      <c r="D13" s="495"/>
      <c r="E13" s="493"/>
      <c r="F13" s="493"/>
      <c r="G13" s="493"/>
      <c r="H13" s="495"/>
      <c r="I13" s="495"/>
      <c r="J13" s="495"/>
      <c r="K13" s="499"/>
      <c r="L13" s="500"/>
    </row>
    <row r="14" spans="1:16" ht="30" customHeight="1">
      <c r="A14" s="492"/>
      <c r="B14" s="492"/>
      <c r="C14" s="495"/>
      <c r="D14" s="495"/>
      <c r="E14" s="492" t="s">
        <v>103</v>
      </c>
      <c r="F14" s="492"/>
      <c r="G14" s="492"/>
      <c r="H14" s="495"/>
      <c r="I14" s="495"/>
      <c r="J14" s="495"/>
      <c r="K14" s="499"/>
      <c r="L14" s="500"/>
    </row>
    <row r="15" spans="1:16" ht="12.75" customHeight="1">
      <c r="A15" s="492" t="s">
        <v>104</v>
      </c>
      <c r="B15" s="492"/>
      <c r="C15" s="495"/>
      <c r="D15" s="495"/>
      <c r="E15" s="503"/>
      <c r="F15" s="503"/>
      <c r="G15" s="503"/>
      <c r="H15" s="495"/>
      <c r="I15" s="495"/>
      <c r="J15" s="495"/>
      <c r="K15" s="499"/>
      <c r="L15" s="500"/>
    </row>
    <row r="16" spans="1:16" ht="35.25" customHeight="1">
      <c r="A16" s="492"/>
      <c r="B16" s="492"/>
      <c r="C16" s="495"/>
      <c r="D16" s="495"/>
      <c r="E16" s="492" t="s">
        <v>101</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c r="B18" s="478"/>
      <c r="C18" s="495"/>
      <c r="D18" s="495"/>
      <c r="E18" s="493"/>
      <c r="F18" s="493"/>
      <c r="G18" s="493"/>
      <c r="H18" s="495"/>
      <c r="I18" s="495"/>
      <c r="J18" s="495"/>
      <c r="K18" s="499"/>
      <c r="L18" s="500"/>
    </row>
    <row r="19" spans="1:12" ht="29.25" customHeight="1">
      <c r="A19" s="478"/>
      <c r="B19" s="478"/>
      <c r="C19" s="495"/>
      <c r="D19" s="495"/>
      <c r="E19" s="492" t="s">
        <v>103</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101</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103</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106</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114</v>
      </c>
      <c r="K31" s="134"/>
      <c r="L31" s="134" t="s">
        <v>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sheetData>
  <mergeCells count="56">
    <mergeCell ref="E8:G9"/>
    <mergeCell ref="H8:I9"/>
    <mergeCell ref="A1:L1"/>
    <mergeCell ref="E2:F2"/>
    <mergeCell ref="G2:I2"/>
    <mergeCell ref="J2:L2"/>
    <mergeCell ref="A3:I3"/>
    <mergeCell ref="J3:L3"/>
    <mergeCell ref="E27:G27"/>
    <mergeCell ref="E28:G28"/>
    <mergeCell ref="J8:J9"/>
    <mergeCell ref="K8:L9"/>
    <mergeCell ref="A4:G5"/>
    <mergeCell ref="H4:I5"/>
    <mergeCell ref="J4:J5"/>
    <mergeCell ref="K4:L5"/>
    <mergeCell ref="E6:L6"/>
    <mergeCell ref="A7:B7"/>
    <mergeCell ref="C7:D7"/>
    <mergeCell ref="E7:G7"/>
    <mergeCell ref="H7:I7"/>
    <mergeCell ref="K7:L7"/>
    <mergeCell ref="A8:B9"/>
    <mergeCell ref="C8:D9"/>
    <mergeCell ref="O10:P10"/>
    <mergeCell ref="E11:G11"/>
    <mergeCell ref="O11:P11"/>
    <mergeCell ref="E12:G12"/>
    <mergeCell ref="A13:B14"/>
    <mergeCell ref="E13:G13"/>
    <mergeCell ref="E14:G14"/>
    <mergeCell ref="A10:B12"/>
    <mergeCell ref="C10:D29"/>
    <mergeCell ref="E10:G10"/>
    <mergeCell ref="H10:I29"/>
    <mergeCell ref="J10:J29"/>
    <mergeCell ref="K10:L29"/>
    <mergeCell ref="A15:B17"/>
    <mergeCell ref="E15:G15"/>
    <mergeCell ref="E16:G17"/>
    <mergeCell ref="A18:B29"/>
    <mergeCell ref="A30:H31"/>
    <mergeCell ref="A32:H33"/>
    <mergeCell ref="A34:B34"/>
    <mergeCell ref="C34:D34"/>
    <mergeCell ref="E34:H34"/>
    <mergeCell ref="E29:G29"/>
    <mergeCell ref="E18:G18"/>
    <mergeCell ref="E19:G19"/>
    <mergeCell ref="E20:G20"/>
    <mergeCell ref="E21:G21"/>
    <mergeCell ref="E22:G22"/>
    <mergeCell ref="E23:G23"/>
    <mergeCell ref="E24:G24"/>
    <mergeCell ref="E25:G25"/>
    <mergeCell ref="E26:G26"/>
  </mergeCells>
  <pageMargins left="0.2" right="0.2" top="0.5" bottom="0.5" header="0.05" footer="0.05"/>
  <pageSetup paperSize="9" scale="50"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A861-4975-4762-8FC8-766DBEA82F1B}">
  <sheetPr>
    <pageSetUpPr fitToPage="1"/>
  </sheetPr>
  <dimension ref="A1:P34"/>
  <sheetViews>
    <sheetView topLeftCell="A21" workbookViewId="0"/>
  </sheetViews>
  <sheetFormatPr defaultRowHeight="15"/>
  <cols>
    <col min="1" max="1" width="1.28515625" customWidth="1"/>
    <col min="2" max="2" width="21.7109375" customWidth="1"/>
    <col min="3" max="3" width="12.7109375" customWidth="1"/>
    <col min="4" max="4" width="16" customWidth="1"/>
    <col min="5" max="5" width="12.7109375" customWidth="1"/>
    <col min="6" max="6" width="11.42578125" customWidth="1"/>
    <col min="7" max="7" width="18" customWidth="1"/>
    <col min="8" max="8" width="12.7109375" customWidth="1"/>
    <col min="9" max="9" width="55.42578125" customWidth="1"/>
    <col min="10" max="10" width="65" customWidth="1"/>
    <col min="11" max="11" width="12.7109375" customWidth="1"/>
    <col min="12" max="12" width="14.42578125" customWidth="1"/>
  </cols>
  <sheetData>
    <row r="1" spans="1:16" ht="19.5">
      <c r="A1" s="532" t="s">
        <v>69</v>
      </c>
      <c r="B1" s="533"/>
      <c r="C1" s="533"/>
      <c r="D1" s="533"/>
      <c r="E1" s="533"/>
      <c r="F1" s="533"/>
      <c r="G1" s="533"/>
      <c r="H1" s="533"/>
      <c r="I1" s="533"/>
      <c r="J1" s="533"/>
      <c r="K1" s="533"/>
      <c r="L1" s="534"/>
    </row>
    <row r="2" spans="1:16">
      <c r="A2" s="125" t="s">
        <v>70</v>
      </c>
      <c r="B2" s="126"/>
      <c r="C2" s="126"/>
      <c r="D2" s="126"/>
      <c r="E2" s="517" t="s">
        <v>71</v>
      </c>
      <c r="F2" s="517"/>
      <c r="G2" s="535"/>
      <c r="H2" s="536"/>
      <c r="I2" s="536"/>
      <c r="J2" s="537" t="s">
        <v>73</v>
      </c>
      <c r="K2" s="537"/>
      <c r="L2" s="538"/>
    </row>
    <row r="3" spans="1:16">
      <c r="A3" s="539" t="s">
        <v>2031</v>
      </c>
      <c r="B3" s="540"/>
      <c r="C3" s="540"/>
      <c r="D3" s="540"/>
      <c r="E3" s="540"/>
      <c r="F3" s="540"/>
      <c r="G3" s="540"/>
      <c r="H3" s="540"/>
      <c r="I3" s="541"/>
      <c r="J3" s="542" t="s">
        <v>75</v>
      </c>
      <c r="K3" s="542"/>
      <c r="L3" s="542"/>
    </row>
    <row r="4" spans="1:16" ht="12.75" customHeight="1">
      <c r="A4" s="510" t="s">
        <v>2032</v>
      </c>
      <c r="B4" s="511"/>
      <c r="C4" s="511"/>
      <c r="D4" s="511"/>
      <c r="E4" s="511"/>
      <c r="F4" s="511"/>
      <c r="G4" s="512"/>
      <c r="H4" s="516" t="s">
        <v>77</v>
      </c>
      <c r="I4" s="516"/>
      <c r="J4" s="518" t="s">
        <v>78</v>
      </c>
      <c r="K4" s="519" t="s">
        <v>79</v>
      </c>
      <c r="L4" s="520"/>
    </row>
    <row r="5" spans="1:16" ht="27" customHeight="1">
      <c r="A5" s="513"/>
      <c r="B5" s="514"/>
      <c r="C5" s="514"/>
      <c r="D5" s="514"/>
      <c r="E5" s="514"/>
      <c r="F5" s="514"/>
      <c r="G5" s="515"/>
      <c r="H5" s="517"/>
      <c r="I5" s="517"/>
      <c r="J5" s="516"/>
      <c r="K5" s="521"/>
      <c r="L5" s="522"/>
    </row>
    <row r="6" spans="1:16">
      <c r="A6" s="127" t="s">
        <v>80</v>
      </c>
      <c r="B6" s="128"/>
      <c r="C6" s="129" t="s">
        <v>81</v>
      </c>
      <c r="D6" s="129"/>
      <c r="E6" s="523" t="s">
        <v>82</v>
      </c>
      <c r="F6" s="523"/>
      <c r="G6" s="523"/>
      <c r="H6" s="523"/>
      <c r="I6" s="523"/>
      <c r="J6" s="523"/>
      <c r="K6" s="523"/>
      <c r="L6" s="524"/>
    </row>
    <row r="7" spans="1:16" ht="28.5" customHeight="1">
      <c r="A7" s="525" t="s">
        <v>83</v>
      </c>
      <c r="B7" s="526"/>
      <c r="C7" s="527" t="s">
        <v>84</v>
      </c>
      <c r="D7" s="528"/>
      <c r="E7" s="482" t="s">
        <v>85</v>
      </c>
      <c r="F7" s="529"/>
      <c r="G7" s="528"/>
      <c r="H7" s="482" t="s">
        <v>86</v>
      </c>
      <c r="I7" s="528"/>
      <c r="J7" s="130" t="s">
        <v>87</v>
      </c>
      <c r="K7" s="482" t="s">
        <v>88</v>
      </c>
      <c r="L7" s="528"/>
    </row>
    <row r="8" spans="1:16">
      <c r="A8" s="506" t="s">
        <v>89</v>
      </c>
      <c r="B8" s="507"/>
      <c r="C8" s="506" t="s">
        <v>90</v>
      </c>
      <c r="D8" s="507"/>
      <c r="E8" s="506" t="s">
        <v>91</v>
      </c>
      <c r="F8" s="530"/>
      <c r="G8" s="507"/>
      <c r="H8" s="506" t="s">
        <v>92</v>
      </c>
      <c r="I8" s="507"/>
      <c r="J8" s="504" t="s">
        <v>93</v>
      </c>
      <c r="K8" s="506" t="s">
        <v>94</v>
      </c>
      <c r="L8" s="507"/>
    </row>
    <row r="9" spans="1:16" ht="24.75" customHeight="1">
      <c r="A9" s="508"/>
      <c r="B9" s="509"/>
      <c r="C9" s="508"/>
      <c r="D9" s="509"/>
      <c r="E9" s="508"/>
      <c r="F9" s="531"/>
      <c r="G9" s="509"/>
      <c r="H9" s="508"/>
      <c r="I9" s="509"/>
      <c r="J9" s="505"/>
      <c r="K9" s="508"/>
      <c r="L9" s="509"/>
    </row>
    <row r="10" spans="1:16" ht="29.25" customHeight="1">
      <c r="A10" s="492" t="s">
        <v>2033</v>
      </c>
      <c r="B10" s="492"/>
      <c r="C10" s="495" t="s">
        <v>2034</v>
      </c>
      <c r="D10" s="495"/>
      <c r="E10" s="492" t="s">
        <v>2035</v>
      </c>
      <c r="F10" s="492"/>
      <c r="G10" s="492"/>
      <c r="H10" s="496" t="s">
        <v>2036</v>
      </c>
      <c r="I10" s="495"/>
      <c r="J10" s="495" t="s">
        <v>2037</v>
      </c>
      <c r="K10" s="497" t="s">
        <v>100</v>
      </c>
      <c r="L10" s="498"/>
      <c r="O10" s="494"/>
      <c r="P10" s="494"/>
    </row>
    <row r="11" spans="1:16">
      <c r="A11" s="492"/>
      <c r="B11" s="492"/>
      <c r="C11" s="495"/>
      <c r="D11" s="495"/>
      <c r="E11" s="493"/>
      <c r="F11" s="493"/>
      <c r="G11" s="493"/>
      <c r="H11" s="495"/>
      <c r="I11" s="495"/>
      <c r="J11" s="495"/>
      <c r="K11" s="499"/>
      <c r="L11" s="500"/>
      <c r="O11" s="494"/>
      <c r="P11" s="494"/>
    </row>
    <row r="12" spans="1:16" ht="28.5" customHeight="1">
      <c r="A12" s="492"/>
      <c r="B12" s="492"/>
      <c r="C12" s="495"/>
      <c r="D12" s="495"/>
      <c r="E12" s="492" t="s">
        <v>2038</v>
      </c>
      <c r="F12" s="492"/>
      <c r="G12" s="492"/>
      <c r="H12" s="495"/>
      <c r="I12" s="495"/>
      <c r="J12" s="495"/>
      <c r="K12" s="499"/>
      <c r="L12" s="500"/>
    </row>
    <row r="13" spans="1:16">
      <c r="A13" s="492" t="s">
        <v>2039</v>
      </c>
      <c r="B13" s="492"/>
      <c r="C13" s="495"/>
      <c r="D13" s="495"/>
      <c r="E13" s="493"/>
      <c r="F13" s="493"/>
      <c r="G13" s="493"/>
      <c r="H13" s="495"/>
      <c r="I13" s="495"/>
      <c r="J13" s="495"/>
      <c r="K13" s="499"/>
      <c r="L13" s="500"/>
    </row>
    <row r="14" spans="1:16" ht="30" customHeight="1">
      <c r="A14" s="492"/>
      <c r="B14" s="492"/>
      <c r="C14" s="495"/>
      <c r="D14" s="495"/>
      <c r="E14" s="492" t="s">
        <v>2040</v>
      </c>
      <c r="F14" s="492"/>
      <c r="G14" s="492"/>
      <c r="H14" s="495"/>
      <c r="I14" s="495"/>
      <c r="J14" s="495"/>
      <c r="K14" s="499"/>
      <c r="L14" s="500"/>
    </row>
    <row r="15" spans="1:16" ht="12.75" customHeight="1">
      <c r="A15" s="492" t="s">
        <v>714</v>
      </c>
      <c r="B15" s="492"/>
      <c r="C15" s="495"/>
      <c r="D15" s="495"/>
      <c r="E15" s="503"/>
      <c r="F15" s="503"/>
      <c r="G15" s="503"/>
      <c r="H15" s="495"/>
      <c r="I15" s="495"/>
      <c r="J15" s="495"/>
      <c r="K15" s="499"/>
      <c r="L15" s="500"/>
    </row>
    <row r="16" spans="1:16" ht="35.25" customHeight="1">
      <c r="A16" s="492"/>
      <c r="B16" s="492"/>
      <c r="C16" s="495"/>
      <c r="D16" s="495"/>
      <c r="E16" s="492" t="s">
        <v>2041</v>
      </c>
      <c r="F16" s="492"/>
      <c r="G16" s="492"/>
      <c r="H16" s="495"/>
      <c r="I16" s="495"/>
      <c r="J16" s="495"/>
      <c r="K16" s="499"/>
      <c r="L16" s="500"/>
    </row>
    <row r="17" spans="1:12">
      <c r="A17" s="492"/>
      <c r="B17" s="492"/>
      <c r="C17" s="495"/>
      <c r="D17" s="495"/>
      <c r="E17" s="492"/>
      <c r="F17" s="492"/>
      <c r="G17" s="492"/>
      <c r="H17" s="495"/>
      <c r="I17" s="495"/>
      <c r="J17" s="495"/>
      <c r="K17" s="499"/>
      <c r="L17" s="500"/>
    </row>
    <row r="18" spans="1:12" ht="12.75" customHeight="1">
      <c r="A18" s="478"/>
      <c r="B18" s="478"/>
      <c r="C18" s="495"/>
      <c r="D18" s="495"/>
      <c r="E18" s="493"/>
      <c r="F18" s="493"/>
      <c r="G18" s="493"/>
      <c r="H18" s="495"/>
      <c r="I18" s="495"/>
      <c r="J18" s="495"/>
      <c r="K18" s="499"/>
      <c r="L18" s="500"/>
    </row>
    <row r="19" spans="1:12" ht="29.25" customHeight="1">
      <c r="A19" s="478"/>
      <c r="B19" s="478"/>
      <c r="C19" s="495"/>
      <c r="D19" s="495"/>
      <c r="E19" s="492" t="s">
        <v>2042</v>
      </c>
      <c r="F19" s="492"/>
      <c r="G19" s="492"/>
      <c r="H19" s="495"/>
      <c r="I19" s="495"/>
      <c r="J19" s="495"/>
      <c r="K19" s="499"/>
      <c r="L19" s="500"/>
    </row>
    <row r="20" spans="1:12">
      <c r="A20" s="478"/>
      <c r="B20" s="478"/>
      <c r="C20" s="495"/>
      <c r="D20" s="495"/>
      <c r="E20" s="493"/>
      <c r="F20" s="493"/>
      <c r="G20" s="493"/>
      <c r="H20" s="495"/>
      <c r="I20" s="495"/>
      <c r="J20" s="495"/>
      <c r="K20" s="499"/>
      <c r="L20" s="500"/>
    </row>
    <row r="21" spans="1:12" ht="34.5" customHeight="1">
      <c r="A21" s="478"/>
      <c r="B21" s="478"/>
      <c r="C21" s="495"/>
      <c r="D21" s="495"/>
      <c r="E21" s="492" t="s">
        <v>2043</v>
      </c>
      <c r="F21" s="492"/>
      <c r="G21" s="492"/>
      <c r="H21" s="495"/>
      <c r="I21" s="495"/>
      <c r="J21" s="495"/>
      <c r="K21" s="499"/>
      <c r="L21" s="500"/>
    </row>
    <row r="22" spans="1:12" ht="16.5" customHeight="1">
      <c r="A22" s="478"/>
      <c r="B22" s="478"/>
      <c r="C22" s="495"/>
      <c r="D22" s="495"/>
      <c r="E22" s="478"/>
      <c r="F22" s="478"/>
      <c r="G22" s="478"/>
      <c r="H22" s="495"/>
      <c r="I22" s="495"/>
      <c r="J22" s="495"/>
      <c r="K22" s="499"/>
      <c r="L22" s="500"/>
    </row>
    <row r="23" spans="1:12" ht="35.25" customHeight="1">
      <c r="A23" s="478"/>
      <c r="B23" s="478"/>
      <c r="C23" s="495"/>
      <c r="D23" s="495"/>
      <c r="E23" s="492" t="s">
        <v>2044</v>
      </c>
      <c r="F23" s="492"/>
      <c r="G23" s="492"/>
      <c r="H23" s="495"/>
      <c r="I23" s="495"/>
      <c r="J23" s="495"/>
      <c r="K23" s="499"/>
      <c r="L23" s="500"/>
    </row>
    <row r="24" spans="1:12" ht="15.75" customHeight="1">
      <c r="A24" s="478"/>
      <c r="B24" s="478"/>
      <c r="C24" s="495"/>
      <c r="D24" s="495"/>
      <c r="E24" s="492"/>
      <c r="F24" s="492"/>
      <c r="G24" s="492"/>
      <c r="H24" s="495"/>
      <c r="I24" s="495"/>
      <c r="J24" s="495"/>
      <c r="K24" s="499"/>
      <c r="L24" s="500"/>
    </row>
    <row r="25" spans="1:12" ht="30.75" customHeight="1">
      <c r="A25" s="478"/>
      <c r="B25" s="478"/>
      <c r="C25" s="495"/>
      <c r="D25" s="495"/>
      <c r="E25" s="492" t="s">
        <v>2045</v>
      </c>
      <c r="F25" s="492"/>
      <c r="G25" s="492"/>
      <c r="H25" s="495"/>
      <c r="I25" s="495"/>
      <c r="J25" s="495"/>
      <c r="K25" s="499"/>
      <c r="L25" s="500"/>
    </row>
    <row r="26" spans="1:12" ht="15" customHeight="1">
      <c r="A26" s="478"/>
      <c r="B26" s="478"/>
      <c r="C26" s="495"/>
      <c r="D26" s="495"/>
      <c r="E26" s="492"/>
      <c r="F26" s="492"/>
      <c r="G26" s="492"/>
      <c r="H26" s="495"/>
      <c r="I26" s="495"/>
      <c r="J26" s="495"/>
      <c r="K26" s="499"/>
      <c r="L26" s="500"/>
    </row>
    <row r="27" spans="1:12" ht="31.5" customHeight="1">
      <c r="A27" s="478"/>
      <c r="B27" s="478"/>
      <c r="C27" s="495"/>
      <c r="D27" s="495"/>
      <c r="E27" s="492" t="s">
        <v>103</v>
      </c>
      <c r="F27" s="492"/>
      <c r="G27" s="492"/>
      <c r="H27" s="495"/>
      <c r="I27" s="495"/>
      <c r="J27" s="495"/>
      <c r="K27" s="499"/>
      <c r="L27" s="500"/>
    </row>
    <row r="28" spans="1:12" ht="14.25" customHeight="1">
      <c r="A28" s="478"/>
      <c r="B28" s="478"/>
      <c r="C28" s="495"/>
      <c r="D28" s="495"/>
      <c r="E28" s="492"/>
      <c r="F28" s="492"/>
      <c r="G28" s="492"/>
      <c r="H28" s="495"/>
      <c r="I28" s="495"/>
      <c r="J28" s="495"/>
      <c r="K28" s="499"/>
      <c r="L28" s="500"/>
    </row>
    <row r="29" spans="1:12" ht="99.75" customHeight="1">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140</v>
      </c>
      <c r="K31" s="134"/>
      <c r="L31" s="134" t="s">
        <v>2046</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sheetData>
  <mergeCells count="56">
    <mergeCell ref="E8:G9"/>
    <mergeCell ref="H8:I9"/>
    <mergeCell ref="A1:L1"/>
    <mergeCell ref="E2:F2"/>
    <mergeCell ref="G2:I2"/>
    <mergeCell ref="J2:L2"/>
    <mergeCell ref="A3:I3"/>
    <mergeCell ref="J3:L3"/>
    <mergeCell ref="E27:G27"/>
    <mergeCell ref="E28:G28"/>
    <mergeCell ref="J8:J9"/>
    <mergeCell ref="K8:L9"/>
    <mergeCell ref="A4:G5"/>
    <mergeCell ref="H4:I5"/>
    <mergeCell ref="J4:J5"/>
    <mergeCell ref="K4:L5"/>
    <mergeCell ref="E6:L6"/>
    <mergeCell ref="A7:B7"/>
    <mergeCell ref="C7:D7"/>
    <mergeCell ref="E7:G7"/>
    <mergeCell ref="H7:I7"/>
    <mergeCell ref="K7:L7"/>
    <mergeCell ref="A8:B9"/>
    <mergeCell ref="C8:D9"/>
    <mergeCell ref="O10:P10"/>
    <mergeCell ref="E11:G11"/>
    <mergeCell ref="O11:P11"/>
    <mergeCell ref="E12:G12"/>
    <mergeCell ref="A13:B14"/>
    <mergeCell ref="E13:G13"/>
    <mergeCell ref="E14:G14"/>
    <mergeCell ref="A10:B12"/>
    <mergeCell ref="C10:D29"/>
    <mergeCell ref="E10:G10"/>
    <mergeCell ref="H10:I29"/>
    <mergeCell ref="J10:J29"/>
    <mergeCell ref="K10:L29"/>
    <mergeCell ref="A15:B17"/>
    <mergeCell ref="E15:G15"/>
    <mergeCell ref="E16:G17"/>
    <mergeCell ref="A18:B29"/>
    <mergeCell ref="A30:H31"/>
    <mergeCell ref="A32:H33"/>
    <mergeCell ref="A34:B34"/>
    <mergeCell ref="C34:D34"/>
    <mergeCell ref="E34:H34"/>
    <mergeCell ref="E29:G29"/>
    <mergeCell ref="E18:G18"/>
    <mergeCell ref="E19:G19"/>
    <mergeCell ref="E20:G20"/>
    <mergeCell ref="E21:G21"/>
    <mergeCell ref="E22:G22"/>
    <mergeCell ref="E23:G23"/>
    <mergeCell ref="E24:G24"/>
    <mergeCell ref="E25:G25"/>
    <mergeCell ref="E26:G26"/>
  </mergeCells>
  <pageMargins left="0.2" right="0.2" top="0.5" bottom="0.5" header="0.05" footer="0.05"/>
  <pageSetup paperSize="9" scale="50"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EF7E-55E2-4C56-813A-91E67B7EA364}">
  <sheetPr>
    <pageSetUpPr fitToPage="1"/>
  </sheetPr>
  <dimension ref="B2:Q222"/>
  <sheetViews>
    <sheetView topLeftCell="A5" workbookViewId="0">
      <selection activeCell="C19" sqref="C19"/>
    </sheetView>
  </sheetViews>
  <sheetFormatPr defaultRowHeight="15"/>
  <cols>
    <col min="2" max="2" width="11.5703125" bestFit="1"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42578125" customWidth="1"/>
    <col min="11" max="11" width="55.28515625" customWidth="1"/>
    <col min="13" max="13" width="11.28515625" customWidth="1"/>
  </cols>
  <sheetData>
    <row r="2" spans="2:17">
      <c r="B2" s="443" t="s">
        <v>0</v>
      </c>
      <c r="C2" s="445" t="s">
        <v>1</v>
      </c>
      <c r="D2" s="438"/>
      <c r="E2" s="438" t="s">
        <v>2</v>
      </c>
      <c r="F2" s="438" t="s">
        <v>3</v>
      </c>
      <c r="G2" s="438" t="s">
        <v>4</v>
      </c>
      <c r="H2" s="438" t="s">
        <v>5</v>
      </c>
      <c r="I2" s="438" t="s">
        <v>6</v>
      </c>
      <c r="J2" s="438" t="s">
        <v>7</v>
      </c>
      <c r="K2" s="440" t="s">
        <v>8</v>
      </c>
    </row>
    <row r="3" spans="2:17">
      <c r="B3" s="444"/>
      <c r="C3" s="276" t="s">
        <v>9</v>
      </c>
      <c r="D3" s="277" t="s">
        <v>10</v>
      </c>
      <c r="E3" s="745"/>
      <c r="F3" s="745"/>
      <c r="G3" s="745"/>
      <c r="H3" s="745"/>
      <c r="I3" s="745"/>
      <c r="J3" s="745"/>
      <c r="K3" s="441"/>
    </row>
    <row r="4" spans="2:17" s="3" customFormat="1" ht="42" customHeight="1">
      <c r="B4" s="32">
        <v>1</v>
      </c>
      <c r="C4" s="37"/>
      <c r="D4" s="91">
        <v>40</v>
      </c>
      <c r="E4" s="270">
        <v>45819</v>
      </c>
      <c r="F4" s="37" t="s">
        <v>159</v>
      </c>
      <c r="G4" s="280"/>
      <c r="H4" s="76" t="s">
        <v>2047</v>
      </c>
      <c r="I4" s="41" t="s">
        <v>127</v>
      </c>
      <c r="J4" s="279" t="s">
        <v>2048</v>
      </c>
      <c r="K4" s="35"/>
    </row>
    <row r="5" spans="2:17" s="3" customFormat="1" ht="45.75" customHeight="1">
      <c r="B5" s="79">
        <v>2</v>
      </c>
      <c r="C5" s="37">
        <v>12</v>
      </c>
      <c r="D5" s="91"/>
      <c r="E5" s="270">
        <v>45820</v>
      </c>
      <c r="F5" s="37"/>
      <c r="G5" s="280"/>
      <c r="H5" s="282" t="s">
        <v>2049</v>
      </c>
      <c r="I5" s="75" t="s">
        <v>146</v>
      </c>
      <c r="J5" s="279"/>
      <c r="K5" s="35"/>
    </row>
    <row r="6" spans="2:17" s="3" customFormat="1" ht="33" customHeight="1">
      <c r="B6" s="32">
        <v>3</v>
      </c>
      <c r="C6" s="37">
        <v>10</v>
      </c>
      <c r="D6" s="91"/>
      <c r="E6" s="270">
        <v>45821</v>
      </c>
      <c r="F6" s="37"/>
      <c r="G6" s="280"/>
      <c r="H6" s="282" t="s">
        <v>2050</v>
      </c>
      <c r="I6" s="75" t="s">
        <v>146</v>
      </c>
      <c r="J6" s="279"/>
      <c r="K6" s="35"/>
    </row>
    <row r="7" spans="2:17" s="3" customFormat="1" ht="42" customHeight="1">
      <c r="B7" s="32">
        <v>4</v>
      </c>
      <c r="C7" s="37"/>
      <c r="D7" s="91">
        <v>32</v>
      </c>
      <c r="E7" s="270">
        <v>45821</v>
      </c>
      <c r="F7" s="37" t="s">
        <v>159</v>
      </c>
      <c r="G7" s="280"/>
      <c r="H7" s="76" t="s">
        <v>2051</v>
      </c>
      <c r="I7" s="41" t="s">
        <v>127</v>
      </c>
      <c r="J7" s="279" t="s">
        <v>2052</v>
      </c>
      <c r="K7" s="35" t="s">
        <v>2053</v>
      </c>
    </row>
    <row r="8" spans="2:17" s="3" customFormat="1" ht="35.25" customHeight="1">
      <c r="B8" s="79">
        <v>5</v>
      </c>
      <c r="C8" s="75">
        <v>84</v>
      </c>
      <c r="D8" s="75"/>
      <c r="E8" s="278">
        <v>45823</v>
      </c>
      <c r="F8" s="75" t="s">
        <v>131</v>
      </c>
      <c r="G8" s="75" t="s">
        <v>1086</v>
      </c>
      <c r="H8" s="282" t="s">
        <v>2054</v>
      </c>
      <c r="I8" s="41" t="s">
        <v>127</v>
      </c>
      <c r="J8" s="61" t="s">
        <v>2055</v>
      </c>
      <c r="K8" s="75" t="s">
        <v>2056</v>
      </c>
      <c r="L8" s="442"/>
      <c r="M8" s="442"/>
    </row>
    <row r="9" spans="2:17" s="3" customFormat="1" ht="53.25" customHeight="1">
      <c r="B9" s="32">
        <v>6</v>
      </c>
      <c r="C9" s="234"/>
      <c r="D9" s="234">
        <v>15</v>
      </c>
      <c r="E9" s="275">
        <v>45824</v>
      </c>
      <c r="F9" s="234"/>
      <c r="G9" s="283"/>
      <c r="H9" s="76" t="s">
        <v>2057</v>
      </c>
      <c r="I9" s="75" t="s">
        <v>146</v>
      </c>
      <c r="J9" s="282"/>
      <c r="K9" s="234"/>
      <c r="L9" s="80"/>
      <c r="M9" s="80"/>
    </row>
    <row r="10" spans="2:17" s="3" customFormat="1" ht="42" customHeight="1">
      <c r="B10" s="32">
        <v>7</v>
      </c>
      <c r="C10" s="74"/>
      <c r="D10" s="74">
        <v>37</v>
      </c>
      <c r="E10" s="275">
        <v>45824</v>
      </c>
      <c r="F10" s="74" t="s">
        <v>131</v>
      </c>
      <c r="G10" s="233" t="s">
        <v>1071</v>
      </c>
      <c r="H10" s="36" t="s">
        <v>2058</v>
      </c>
      <c r="I10" s="41" t="s">
        <v>127</v>
      </c>
      <c r="J10" s="171" t="s">
        <v>2059</v>
      </c>
      <c r="K10" s="74" t="s">
        <v>2060</v>
      </c>
    </row>
    <row r="11" spans="2:17" s="3" customFormat="1" ht="77.25" customHeight="1">
      <c r="B11" s="286">
        <v>8</v>
      </c>
      <c r="C11" s="74"/>
      <c r="D11" s="74">
        <v>50</v>
      </c>
      <c r="E11" s="275">
        <v>45825</v>
      </c>
      <c r="F11" s="74" t="s">
        <v>131</v>
      </c>
      <c r="G11" s="233" t="s">
        <v>1071</v>
      </c>
      <c r="H11" s="36" t="s">
        <v>2058</v>
      </c>
      <c r="I11" s="41" t="s">
        <v>127</v>
      </c>
      <c r="J11" s="171" t="s">
        <v>2059</v>
      </c>
      <c r="K11" s="74" t="s">
        <v>2060</v>
      </c>
    </row>
    <row r="12" spans="2:17" s="3" customFormat="1" ht="41.25" customHeight="1">
      <c r="B12" s="32">
        <v>9</v>
      </c>
      <c r="C12" s="37">
        <v>74</v>
      </c>
      <c r="D12" s="37"/>
      <c r="E12" s="275">
        <v>45827</v>
      </c>
      <c r="F12" s="37" t="s">
        <v>124</v>
      </c>
      <c r="G12" s="37" t="s">
        <v>1058</v>
      </c>
      <c r="H12" s="36" t="s">
        <v>2061</v>
      </c>
      <c r="I12" s="41" t="s">
        <v>127</v>
      </c>
      <c r="J12" s="37"/>
      <c r="K12" s="37"/>
    </row>
    <row r="13" spans="2:17" s="3" customFormat="1" ht="51.75" customHeight="1">
      <c r="B13" s="32">
        <v>10</v>
      </c>
      <c r="C13" s="37">
        <v>141</v>
      </c>
      <c r="D13" s="37"/>
      <c r="E13" s="275">
        <v>45829</v>
      </c>
      <c r="F13" s="37" t="s">
        <v>124</v>
      </c>
      <c r="G13" s="37" t="s">
        <v>1058</v>
      </c>
      <c r="H13" s="36" t="s">
        <v>2062</v>
      </c>
      <c r="I13" s="41" t="s">
        <v>127</v>
      </c>
      <c r="J13" s="171" t="s">
        <v>2063</v>
      </c>
      <c r="K13" s="74" t="s">
        <v>2064</v>
      </c>
      <c r="L13" s="74"/>
      <c r="M13" s="74"/>
      <c r="N13" s="74"/>
      <c r="O13" s="74"/>
      <c r="P13" s="74"/>
      <c r="Q13" s="74"/>
    </row>
    <row r="14" spans="2:17" s="3" customFormat="1" ht="57.75" customHeight="1">
      <c r="B14" s="79">
        <v>11</v>
      </c>
      <c r="C14" s="37"/>
      <c r="D14" s="37">
        <v>7</v>
      </c>
      <c r="E14" s="275">
        <v>45830</v>
      </c>
      <c r="F14" s="37"/>
      <c r="G14" s="37"/>
      <c r="H14" s="36" t="s">
        <v>2065</v>
      </c>
      <c r="I14" s="75" t="s">
        <v>146</v>
      </c>
      <c r="J14" s="37" t="s">
        <v>2066</v>
      </c>
      <c r="K14" s="37" t="s">
        <v>2067</v>
      </c>
    </row>
    <row r="15" spans="2:17" s="3" customFormat="1" ht="42" customHeight="1">
      <c r="B15" s="32">
        <v>12</v>
      </c>
      <c r="C15" s="37"/>
      <c r="D15" s="37">
        <v>60</v>
      </c>
      <c r="E15" s="275">
        <v>45833</v>
      </c>
      <c r="F15" s="37" t="s">
        <v>124</v>
      </c>
      <c r="G15" s="37" t="s">
        <v>125</v>
      </c>
      <c r="H15" s="36" t="s">
        <v>2068</v>
      </c>
      <c r="I15" s="41" t="s">
        <v>127</v>
      </c>
      <c r="J15" s="36" t="s">
        <v>2069</v>
      </c>
      <c r="K15" s="37" t="s">
        <v>2070</v>
      </c>
      <c r="L15" s="37"/>
      <c r="M15" s="37"/>
      <c r="N15" s="37"/>
      <c r="O15" s="37"/>
      <c r="P15" s="36"/>
      <c r="Q15" s="36"/>
    </row>
    <row r="16" spans="2:17" s="3" customFormat="1" ht="42" customHeight="1">
      <c r="B16" s="32">
        <v>13</v>
      </c>
      <c r="C16" s="37"/>
      <c r="D16" s="37"/>
      <c r="E16" s="37"/>
      <c r="F16" s="37"/>
      <c r="G16" s="37"/>
      <c r="H16" s="36"/>
      <c r="I16" s="37"/>
      <c r="J16" s="37"/>
      <c r="K16" s="37"/>
    </row>
    <row r="17" spans="2:11" s="3" customFormat="1" ht="42" customHeight="1">
      <c r="B17" s="79">
        <v>14</v>
      </c>
      <c r="C17" s="37"/>
      <c r="D17" s="37"/>
      <c r="E17" s="37"/>
      <c r="F17" s="37"/>
      <c r="G17" s="37"/>
      <c r="H17" s="36"/>
      <c r="I17" s="37"/>
      <c r="J17" s="37"/>
      <c r="K17" s="37"/>
    </row>
    <row r="18" spans="2:11" s="3" customFormat="1" ht="42" customHeight="1">
      <c r="B18" s="32">
        <v>15</v>
      </c>
      <c r="C18" s="37"/>
      <c r="D18" s="37"/>
      <c r="E18" s="37"/>
      <c r="F18" s="37"/>
      <c r="G18" s="37"/>
      <c r="H18" s="36"/>
      <c r="I18" s="37"/>
      <c r="J18" s="37"/>
      <c r="K18" s="37"/>
    </row>
    <row r="19" spans="2:11" s="3" customFormat="1" ht="42" customHeight="1">
      <c r="B19" s="32">
        <v>16</v>
      </c>
      <c r="C19" s="37"/>
      <c r="D19" s="37"/>
      <c r="E19" s="37"/>
      <c r="F19" s="37"/>
      <c r="G19" s="37"/>
      <c r="H19" s="36"/>
      <c r="I19" s="37"/>
      <c r="J19" s="37"/>
      <c r="K19" s="37"/>
    </row>
    <row r="20" spans="2:11" s="3" customFormat="1" ht="42" customHeight="1">
      <c r="B20" s="79">
        <v>17</v>
      </c>
      <c r="C20" s="37"/>
      <c r="D20" s="37"/>
      <c r="E20" s="37"/>
      <c r="F20" s="37"/>
      <c r="G20" s="37"/>
      <c r="H20" s="36"/>
      <c r="I20" s="37"/>
      <c r="J20" s="37"/>
      <c r="K20" s="37"/>
    </row>
    <row r="21" spans="2:11" ht="42" customHeight="1">
      <c r="B21" s="32">
        <v>18</v>
      </c>
      <c r="C21" s="37"/>
      <c r="D21" s="37"/>
      <c r="E21" s="37"/>
      <c r="F21" s="37"/>
      <c r="G21" s="37"/>
      <c r="H21" s="37"/>
      <c r="I21" s="37"/>
      <c r="J21" s="37"/>
      <c r="K21" s="37"/>
    </row>
    <row r="22" spans="2:11" ht="42" customHeight="1">
      <c r="B22" s="32">
        <v>19</v>
      </c>
      <c r="C22" s="37"/>
      <c r="D22" s="37"/>
      <c r="E22" s="37"/>
      <c r="F22" s="37"/>
      <c r="G22" s="37"/>
      <c r="H22" s="37"/>
      <c r="I22" s="37"/>
      <c r="J22" s="37"/>
      <c r="K22" s="37"/>
    </row>
    <row r="23" spans="2:11" ht="42" customHeight="1">
      <c r="B23" s="79">
        <v>20</v>
      </c>
      <c r="C23" s="37"/>
      <c r="D23" s="37"/>
      <c r="E23" s="37"/>
      <c r="F23" s="37"/>
      <c r="G23" s="37"/>
      <c r="H23" s="37"/>
      <c r="I23" s="37"/>
      <c r="J23" s="37"/>
      <c r="K23" s="37"/>
    </row>
    <row r="24" spans="2:11" ht="42" customHeight="1">
      <c r="B24" s="32">
        <v>21</v>
      </c>
      <c r="C24" s="37"/>
      <c r="D24" s="37"/>
      <c r="E24" s="37"/>
      <c r="F24" s="37"/>
      <c r="G24" s="37"/>
      <c r="H24" s="37"/>
      <c r="I24" s="37"/>
      <c r="J24" s="37"/>
      <c r="K24" s="37"/>
    </row>
    <row r="25" spans="2:11" ht="89.25" customHeight="1">
      <c r="B25" s="32">
        <v>22</v>
      </c>
      <c r="C25" s="37"/>
      <c r="D25" s="37"/>
      <c r="E25" s="37"/>
      <c r="F25" s="37"/>
      <c r="G25" s="37"/>
      <c r="H25" s="37"/>
      <c r="I25" s="37"/>
      <c r="J25" s="37"/>
      <c r="K25" s="37"/>
    </row>
    <row r="26" spans="2:11" ht="42" customHeight="1">
      <c r="B26" s="79">
        <v>23</v>
      </c>
      <c r="C26" s="37"/>
      <c r="D26" s="37"/>
      <c r="E26" s="37"/>
      <c r="F26" s="37"/>
      <c r="G26" s="37"/>
      <c r="H26" s="37"/>
      <c r="I26" s="37"/>
      <c r="J26" s="37"/>
      <c r="K26" s="37"/>
    </row>
    <row r="27" spans="2:11" ht="42" customHeight="1">
      <c r="B27" s="32">
        <v>24</v>
      </c>
      <c r="C27" s="37"/>
      <c r="D27" s="37"/>
      <c r="E27" s="37"/>
      <c r="F27" s="37"/>
      <c r="G27" s="37"/>
      <c r="H27" s="37"/>
      <c r="I27" s="37"/>
      <c r="J27" s="37"/>
      <c r="K27" s="37"/>
    </row>
    <row r="28" spans="2:11">
      <c r="B28" s="6" t="s">
        <v>11</v>
      </c>
      <c r="C28" s="7">
        <f>SUM(C8:C27)</f>
        <v>299</v>
      </c>
      <c r="D28" s="7">
        <f>SUM(D8:D27)</f>
        <v>169</v>
      </c>
      <c r="E28" s="434"/>
      <c r="F28" s="435"/>
      <c r="G28" s="435"/>
      <c r="H28" s="435"/>
      <c r="I28" s="435"/>
      <c r="J28" s="435"/>
      <c r="K28" s="435"/>
    </row>
    <row r="29" spans="2:11">
      <c r="B29" s="9"/>
      <c r="C29" s="10"/>
      <c r="D29" s="11"/>
      <c r="E29" s="434"/>
      <c r="F29" s="435"/>
      <c r="G29" s="435"/>
      <c r="H29" s="435"/>
      <c r="I29" s="435"/>
      <c r="J29" s="435"/>
      <c r="K29" s="435"/>
    </row>
    <row r="30" spans="2:11">
      <c r="B30" s="6" t="s">
        <v>12</v>
      </c>
      <c r="C30" s="432">
        <f>SUM(C28,D28)</f>
        <v>468</v>
      </c>
      <c r="D30" s="433"/>
      <c r="E30" s="434"/>
      <c r="F30" s="435"/>
      <c r="G30" s="435"/>
      <c r="H30" s="435"/>
      <c r="I30" s="435"/>
      <c r="J30" s="435"/>
      <c r="K30" s="435"/>
    </row>
    <row r="31" spans="2:11">
      <c r="B31" s="12"/>
      <c r="C31" s="13"/>
      <c r="D31" s="14"/>
      <c r="E31" s="436"/>
      <c r="F31" s="437"/>
      <c r="G31" s="437"/>
      <c r="H31" s="437"/>
      <c r="I31" s="437"/>
      <c r="J31" s="437"/>
      <c r="K31" s="437"/>
    </row>
    <row r="33" spans="2:10" ht="26.25">
      <c r="B33" s="446" t="s">
        <v>13</v>
      </c>
      <c r="C33" s="447"/>
      <c r="D33" s="446" t="s">
        <v>14</v>
      </c>
      <c r="E33" s="446"/>
      <c r="F33" s="446"/>
      <c r="G33" s="446"/>
      <c r="H33" s="446"/>
      <c r="I33" s="446"/>
      <c r="J33" s="197" t="s">
        <v>15</v>
      </c>
    </row>
    <row r="34" spans="2:10" ht="20.25">
      <c r="B34" s="447"/>
      <c r="C34" s="447"/>
      <c r="D34" s="448" t="s">
        <v>16</v>
      </c>
      <c r="E34" s="448"/>
      <c r="F34" s="448"/>
      <c r="G34" s="448"/>
      <c r="H34" s="448"/>
      <c r="I34" s="448"/>
      <c r="J34" s="197" t="s">
        <v>17</v>
      </c>
    </row>
    <row r="35" spans="2:10">
      <c r="B35" s="449" t="s">
        <v>18</v>
      </c>
      <c r="C35" s="449"/>
      <c r="D35" s="270">
        <v>45819</v>
      </c>
      <c r="E35" s="199" t="s">
        <v>1460</v>
      </c>
      <c r="F35" s="450" t="s">
        <v>159</v>
      </c>
      <c r="G35" s="450"/>
      <c r="H35" s="201" t="s">
        <v>21</v>
      </c>
      <c r="I35" s="202" t="s">
        <v>917</v>
      </c>
      <c r="J35" s="199" t="s">
        <v>23</v>
      </c>
    </row>
    <row r="36" spans="2:10">
      <c r="B36" s="449" t="s">
        <v>24</v>
      </c>
      <c r="C36" s="449"/>
      <c r="D36" s="203"/>
      <c r="E36" s="204" t="s">
        <v>25</v>
      </c>
      <c r="F36" s="450" t="s">
        <v>26</v>
      </c>
      <c r="G36" s="450"/>
      <c r="H36" s="199" t="s">
        <v>27</v>
      </c>
      <c r="I36" s="202" t="s">
        <v>2071</v>
      </c>
      <c r="J36" s="202" t="s">
        <v>29</v>
      </c>
    </row>
    <row r="37" spans="2:10">
      <c r="B37" s="449" t="s">
        <v>30</v>
      </c>
      <c r="C37" s="449"/>
      <c r="D37" s="199" t="s">
        <v>31</v>
      </c>
      <c r="E37" s="199" t="s">
        <v>32</v>
      </c>
      <c r="F37" s="450">
        <v>40</v>
      </c>
      <c r="G37" s="450"/>
      <c r="H37" s="201" t="s">
        <v>33</v>
      </c>
      <c r="I37" s="247"/>
      <c r="J37" s="202"/>
    </row>
    <row r="38" spans="2:10">
      <c r="B38" s="451" t="s">
        <v>35</v>
      </c>
      <c r="C38" s="451"/>
      <c r="D38" s="449" t="s">
        <v>2072</v>
      </c>
      <c r="E38" s="449"/>
      <c r="F38" s="449"/>
      <c r="G38" s="449"/>
      <c r="H38" s="449"/>
      <c r="I38" s="449"/>
      <c r="J38" s="449"/>
    </row>
    <row r="39" spans="2:10">
      <c r="B39" s="452" t="s">
        <v>2073</v>
      </c>
      <c r="C39" s="453"/>
      <c r="D39" s="453"/>
      <c r="E39" s="453"/>
      <c r="F39" s="453"/>
      <c r="G39" s="453"/>
      <c r="H39" s="453"/>
      <c r="I39" s="453"/>
      <c r="J39" s="454"/>
    </row>
    <row r="40" spans="2:10">
      <c r="B40" s="455"/>
      <c r="C40" s="456"/>
      <c r="D40" s="456"/>
      <c r="E40" s="456"/>
      <c r="F40" s="456"/>
      <c r="G40" s="456"/>
      <c r="H40" s="456"/>
      <c r="I40" s="456"/>
      <c r="J40" s="457"/>
    </row>
    <row r="41" spans="2:10">
      <c r="B41" s="455"/>
      <c r="C41" s="456"/>
      <c r="D41" s="456"/>
      <c r="E41" s="456"/>
      <c r="F41" s="456"/>
      <c r="G41" s="456"/>
      <c r="H41" s="456"/>
      <c r="I41" s="456"/>
      <c r="J41" s="457"/>
    </row>
    <row r="42" spans="2:10">
      <c r="B42" s="458"/>
      <c r="C42" s="459"/>
      <c r="D42" s="459"/>
      <c r="E42" s="459"/>
      <c r="F42" s="459"/>
      <c r="G42" s="459"/>
      <c r="H42" s="459"/>
      <c r="I42" s="459"/>
      <c r="J42" s="460"/>
    </row>
    <row r="43" spans="2:10" ht="18">
      <c r="B43" s="461" t="s">
        <v>38</v>
      </c>
      <c r="C43" s="462"/>
      <c r="D43" s="462"/>
      <c r="E43" s="462"/>
      <c r="F43" s="462"/>
      <c r="G43" s="462"/>
      <c r="H43" s="462"/>
      <c r="I43" s="463"/>
      <c r="J43" s="205" t="s">
        <v>39</v>
      </c>
    </row>
    <row r="44" spans="2:10">
      <c r="B44" s="200">
        <v>1</v>
      </c>
      <c r="C44" s="464" t="s">
        <v>2074</v>
      </c>
      <c r="D44" s="465"/>
      <c r="E44" s="465"/>
      <c r="F44" s="465"/>
      <c r="G44" s="465"/>
      <c r="H44" s="465"/>
      <c r="I44" s="466"/>
      <c r="J44" s="200" t="s">
        <v>26</v>
      </c>
    </row>
    <row r="45" spans="2:10">
      <c r="B45" s="200">
        <v>2</v>
      </c>
      <c r="C45" s="464" t="s">
        <v>2075</v>
      </c>
      <c r="D45" s="465"/>
      <c r="E45" s="465"/>
      <c r="F45" s="465"/>
      <c r="G45" s="465"/>
      <c r="H45" s="465"/>
      <c r="I45" s="466"/>
      <c r="J45" s="200"/>
    </row>
    <row r="46" spans="2:10">
      <c r="B46" s="200">
        <v>3</v>
      </c>
      <c r="J46" s="200"/>
    </row>
    <row r="47" spans="2:10" ht="18">
      <c r="B47" s="461" t="s">
        <v>44</v>
      </c>
      <c r="C47" s="462"/>
      <c r="D47" s="462"/>
      <c r="E47" s="462"/>
      <c r="F47" s="462"/>
      <c r="G47" s="462"/>
      <c r="H47" s="462"/>
      <c r="I47" s="462"/>
      <c r="J47" s="463"/>
    </row>
    <row r="48" spans="2:10">
      <c r="B48" s="200" t="s">
        <v>45</v>
      </c>
      <c r="C48" s="1059" t="s">
        <v>2076</v>
      </c>
      <c r="D48" s="473"/>
      <c r="E48" s="473"/>
      <c r="F48" s="473"/>
      <c r="G48" s="473"/>
      <c r="H48" s="473"/>
      <c r="I48" s="473"/>
      <c r="J48" s="473"/>
    </row>
    <row r="49" spans="2:10">
      <c r="B49" s="206" t="s">
        <v>45</v>
      </c>
      <c r="C49" s="1059" t="s">
        <v>2077</v>
      </c>
      <c r="D49" s="473"/>
      <c r="E49" s="473"/>
      <c r="F49" s="473"/>
      <c r="G49" s="473"/>
      <c r="H49" s="473"/>
      <c r="I49" s="473"/>
      <c r="J49" s="473"/>
    </row>
    <row r="50" spans="2:10">
      <c r="B50" s="206" t="s">
        <v>45</v>
      </c>
      <c r="C50" s="1059"/>
      <c r="D50" s="473"/>
      <c r="E50" s="473"/>
      <c r="F50" s="473"/>
      <c r="G50" s="473"/>
      <c r="H50" s="473"/>
      <c r="I50" s="473"/>
      <c r="J50" s="473"/>
    </row>
    <row r="51" spans="2:10">
      <c r="B51" s="206" t="s">
        <v>45</v>
      </c>
      <c r="C51" s="1101"/>
      <c r="D51" s="475"/>
      <c r="E51" s="475"/>
      <c r="F51" s="475"/>
      <c r="G51" s="475"/>
      <c r="H51" s="475"/>
      <c r="I51" s="475"/>
      <c r="J51" s="476"/>
    </row>
    <row r="52" spans="2:10">
      <c r="B52" s="206" t="s">
        <v>45</v>
      </c>
      <c r="C52" s="464"/>
      <c r="D52" s="465"/>
      <c r="E52" s="465"/>
      <c r="F52" s="465"/>
      <c r="G52" s="465"/>
      <c r="H52" s="465"/>
      <c r="I52" s="465"/>
      <c r="J52" s="466"/>
    </row>
    <row r="53" spans="2:10">
      <c r="B53" s="206" t="s">
        <v>45</v>
      </c>
      <c r="C53" s="464"/>
      <c r="D53" s="465"/>
      <c r="E53" s="465"/>
      <c r="F53" s="465"/>
      <c r="G53" s="465"/>
      <c r="H53" s="465"/>
      <c r="I53" s="465"/>
      <c r="J53" s="466"/>
    </row>
    <row r="54" spans="2:10">
      <c r="B54" s="200" t="s">
        <v>45</v>
      </c>
      <c r="C54" s="464"/>
      <c r="D54" s="465"/>
      <c r="E54" s="465"/>
      <c r="F54" s="465"/>
      <c r="G54" s="465"/>
      <c r="H54" s="465"/>
      <c r="I54" s="465"/>
      <c r="J54" s="466"/>
    </row>
    <row r="55" spans="2:10">
      <c r="B55" s="200" t="s">
        <v>7</v>
      </c>
      <c r="C55" s="1059" t="s">
        <v>2077</v>
      </c>
      <c r="D55" s="473"/>
      <c r="E55" s="473"/>
      <c r="F55" s="473"/>
      <c r="G55" s="473"/>
      <c r="H55" s="473"/>
      <c r="I55" s="473"/>
      <c r="J55" s="473"/>
    </row>
    <row r="56" spans="2:10" ht="18">
      <c r="B56" s="205" t="s">
        <v>52</v>
      </c>
      <c r="C56" s="477" t="s">
        <v>53</v>
      </c>
      <c r="D56" s="477"/>
      <c r="E56" s="477"/>
      <c r="F56" s="477"/>
      <c r="G56" s="477"/>
      <c r="H56" s="205" t="s">
        <v>54</v>
      </c>
      <c r="I56" s="205" t="s">
        <v>55</v>
      </c>
      <c r="J56" s="205" t="s">
        <v>56</v>
      </c>
    </row>
    <row r="57" spans="2:10">
      <c r="B57" s="200">
        <v>1</v>
      </c>
      <c r="C57" s="1102" t="s">
        <v>2078</v>
      </c>
      <c r="D57" s="451"/>
      <c r="E57" s="451"/>
      <c r="F57" s="451"/>
      <c r="G57" s="451"/>
      <c r="H57" s="200" t="s">
        <v>2079</v>
      </c>
      <c r="I57" s="207" t="s">
        <v>1692</v>
      </c>
      <c r="J57" s="200"/>
    </row>
    <row r="58" spans="2:10">
      <c r="B58" s="200">
        <v>2</v>
      </c>
      <c r="C58" s="449" t="s">
        <v>2080</v>
      </c>
      <c r="D58" s="449"/>
      <c r="E58" s="449"/>
      <c r="F58" s="449"/>
      <c r="G58" s="449"/>
      <c r="H58" s="200" t="s">
        <v>2079</v>
      </c>
      <c r="I58" s="207" t="s">
        <v>1692</v>
      </c>
      <c r="J58" s="200" t="s">
        <v>2081</v>
      </c>
    </row>
    <row r="59" spans="2:10">
      <c r="B59" s="200"/>
      <c r="C59" s="450"/>
      <c r="D59" s="450"/>
      <c r="E59" s="450"/>
      <c r="F59" s="450"/>
      <c r="G59" s="450"/>
      <c r="H59" s="200"/>
      <c r="I59" s="200"/>
      <c r="J59" s="200"/>
    </row>
    <row r="60" spans="2:10">
      <c r="B60" s="450" t="s">
        <v>63</v>
      </c>
      <c r="C60" s="450"/>
      <c r="D60" s="199" t="s">
        <v>31</v>
      </c>
      <c r="E60" s="198" t="s">
        <v>64</v>
      </c>
      <c r="F60" s="467"/>
      <c r="G60" s="469"/>
      <c r="H60" s="199"/>
      <c r="I60" s="199"/>
      <c r="J60" s="199"/>
    </row>
    <row r="61" spans="2:10" ht="45">
      <c r="B61" s="201" t="s">
        <v>66</v>
      </c>
      <c r="C61" s="450"/>
      <c r="D61" s="450"/>
      <c r="E61" s="201" t="s">
        <v>67</v>
      </c>
      <c r="F61" s="450"/>
      <c r="G61" s="450"/>
      <c r="H61" s="201" t="s">
        <v>68</v>
      </c>
      <c r="I61" s="450"/>
      <c r="J61" s="450"/>
    </row>
    <row r="62" spans="2:10">
      <c r="B62" s="247"/>
      <c r="C62" s="253"/>
      <c r="D62" s="253"/>
      <c r="E62" s="247"/>
      <c r="F62" s="253"/>
      <c r="G62" s="253"/>
      <c r="H62" s="247"/>
      <c r="I62" s="253"/>
      <c r="J62" s="253"/>
    </row>
    <row r="63" spans="2:10">
      <c r="B63" s="247"/>
      <c r="C63" s="253"/>
      <c r="D63" s="253"/>
      <c r="E63" s="247"/>
      <c r="F63" s="253"/>
      <c r="G63" s="253"/>
      <c r="H63" s="247"/>
      <c r="I63" s="253"/>
      <c r="J63" s="253"/>
    </row>
    <row r="65" spans="2:10" ht="26.25">
      <c r="B65" s="446" t="s">
        <v>13</v>
      </c>
      <c r="C65" s="447"/>
      <c r="D65" s="446" t="s">
        <v>14</v>
      </c>
      <c r="E65" s="446"/>
      <c r="F65" s="446"/>
      <c r="G65" s="446"/>
      <c r="H65" s="446"/>
      <c r="I65" s="446"/>
      <c r="J65" s="197" t="s">
        <v>15</v>
      </c>
    </row>
    <row r="66" spans="2:10" ht="20.25">
      <c r="B66" s="447"/>
      <c r="C66" s="447"/>
      <c r="D66" s="448" t="s">
        <v>16</v>
      </c>
      <c r="E66" s="448"/>
      <c r="F66" s="448"/>
      <c r="G66" s="448"/>
      <c r="H66" s="448"/>
      <c r="I66" s="448"/>
      <c r="J66" s="197" t="s">
        <v>17</v>
      </c>
    </row>
    <row r="67" spans="2:10">
      <c r="B67" s="449" t="s">
        <v>18</v>
      </c>
      <c r="C67" s="449"/>
      <c r="D67" s="270">
        <v>45821</v>
      </c>
      <c r="E67" s="199" t="s">
        <v>1460</v>
      </c>
      <c r="F67" s="450" t="s">
        <v>159</v>
      </c>
      <c r="G67" s="450"/>
      <c r="H67" s="201" t="s">
        <v>21</v>
      </c>
      <c r="I67" s="202" t="s">
        <v>917</v>
      </c>
      <c r="J67" s="199" t="s">
        <v>23</v>
      </c>
    </row>
    <row r="68" spans="2:10" ht="30">
      <c r="B68" s="449" t="s">
        <v>24</v>
      </c>
      <c r="C68" s="449"/>
      <c r="D68" s="203"/>
      <c r="E68" s="204" t="s">
        <v>25</v>
      </c>
      <c r="F68" s="450" t="s">
        <v>26</v>
      </c>
      <c r="G68" s="450"/>
      <c r="H68" s="199" t="s">
        <v>27</v>
      </c>
      <c r="I68" s="202" t="s">
        <v>2082</v>
      </c>
      <c r="J68" s="202" t="s">
        <v>29</v>
      </c>
    </row>
    <row r="69" spans="2:10">
      <c r="B69" s="449" t="s">
        <v>30</v>
      </c>
      <c r="C69" s="449"/>
      <c r="D69" s="199" t="s">
        <v>31</v>
      </c>
      <c r="E69" s="199" t="s">
        <v>32</v>
      </c>
      <c r="F69" s="450">
        <v>32</v>
      </c>
      <c r="G69" s="450"/>
      <c r="H69" s="201" t="s">
        <v>33</v>
      </c>
      <c r="I69" s="247" t="s">
        <v>1546</v>
      </c>
      <c r="J69" s="202"/>
    </row>
    <row r="70" spans="2:10">
      <c r="B70" s="451" t="s">
        <v>35</v>
      </c>
      <c r="C70" s="451"/>
      <c r="D70" s="449" t="s">
        <v>2072</v>
      </c>
      <c r="E70" s="449"/>
      <c r="F70" s="449"/>
      <c r="G70" s="449"/>
      <c r="H70" s="449"/>
      <c r="I70" s="449"/>
      <c r="J70" s="449"/>
    </row>
    <row r="71" spans="2:10">
      <c r="B71" s="452" t="s">
        <v>2083</v>
      </c>
      <c r="C71" s="453"/>
      <c r="D71" s="453"/>
      <c r="E71" s="453"/>
      <c r="F71" s="453"/>
      <c r="G71" s="453"/>
      <c r="H71" s="453"/>
      <c r="I71" s="453"/>
      <c r="J71" s="454"/>
    </row>
    <row r="72" spans="2:10">
      <c r="B72" s="455"/>
      <c r="C72" s="456"/>
      <c r="D72" s="456"/>
      <c r="E72" s="456"/>
      <c r="F72" s="456"/>
      <c r="G72" s="456"/>
      <c r="H72" s="456"/>
      <c r="I72" s="456"/>
      <c r="J72" s="457"/>
    </row>
    <row r="73" spans="2:10">
      <c r="B73" s="455"/>
      <c r="C73" s="456"/>
      <c r="D73" s="456"/>
      <c r="E73" s="456"/>
      <c r="F73" s="456"/>
      <c r="G73" s="456"/>
      <c r="H73" s="456"/>
      <c r="I73" s="456"/>
      <c r="J73" s="457"/>
    </row>
    <row r="74" spans="2:10">
      <c r="B74" s="458"/>
      <c r="C74" s="459"/>
      <c r="D74" s="459"/>
      <c r="E74" s="459"/>
      <c r="F74" s="459"/>
      <c r="G74" s="459"/>
      <c r="H74" s="459"/>
      <c r="I74" s="459"/>
      <c r="J74" s="460"/>
    </row>
    <row r="75" spans="2:10" ht="18">
      <c r="B75" s="461" t="s">
        <v>38</v>
      </c>
      <c r="C75" s="462"/>
      <c r="D75" s="462"/>
      <c r="E75" s="462"/>
      <c r="F75" s="462"/>
      <c r="G75" s="462"/>
      <c r="H75" s="462"/>
      <c r="I75" s="463"/>
      <c r="J75" s="205" t="s">
        <v>39</v>
      </c>
    </row>
    <row r="76" spans="2:10">
      <c r="B76" s="200">
        <v>1</v>
      </c>
      <c r="C76" s="464" t="s">
        <v>2084</v>
      </c>
      <c r="D76" s="465"/>
      <c r="E76" s="465"/>
      <c r="F76" s="465"/>
      <c r="G76" s="465"/>
      <c r="H76" s="465"/>
      <c r="I76" s="466"/>
      <c r="J76" s="200" t="s">
        <v>26</v>
      </c>
    </row>
    <row r="77" spans="2:10">
      <c r="B77" s="200">
        <v>2</v>
      </c>
      <c r="C77" s="464" t="s">
        <v>2085</v>
      </c>
      <c r="D77" s="465"/>
      <c r="E77" s="465"/>
      <c r="F77" s="465"/>
      <c r="G77" s="465"/>
      <c r="H77" s="465"/>
      <c r="I77" s="466"/>
      <c r="J77" s="200"/>
    </row>
    <row r="78" spans="2:10">
      <c r="B78" s="200">
        <v>3</v>
      </c>
      <c r="C78" s="464" t="s">
        <v>2086</v>
      </c>
      <c r="D78" s="465"/>
      <c r="E78" s="465"/>
      <c r="F78" s="465"/>
      <c r="G78" s="465"/>
      <c r="H78" s="465"/>
      <c r="I78" s="466"/>
      <c r="J78" s="200"/>
    </row>
    <row r="79" spans="2:10">
      <c r="B79" s="200"/>
      <c r="C79" s="281"/>
      <c r="J79" s="200"/>
    </row>
    <row r="80" spans="2:10" ht="18">
      <c r="B80" s="461" t="s">
        <v>44</v>
      </c>
      <c r="C80" s="462"/>
      <c r="D80" s="462"/>
      <c r="E80" s="462"/>
      <c r="F80" s="462"/>
      <c r="G80" s="462"/>
      <c r="H80" s="462"/>
      <c r="I80" s="462"/>
      <c r="J80" s="463"/>
    </row>
    <row r="81" spans="2:10">
      <c r="B81" s="200" t="s">
        <v>45</v>
      </c>
      <c r="C81" s="473" t="s">
        <v>2087</v>
      </c>
      <c r="D81" s="473"/>
      <c r="E81" s="473"/>
      <c r="F81" s="473"/>
      <c r="G81" s="473"/>
      <c r="H81" s="473"/>
      <c r="I81" s="473"/>
      <c r="J81" s="473"/>
    </row>
    <row r="82" spans="2:10">
      <c r="B82" s="206" t="s">
        <v>45</v>
      </c>
      <c r="C82" s="473" t="s">
        <v>2088</v>
      </c>
      <c r="D82" s="473"/>
      <c r="E82" s="473"/>
      <c r="F82" s="473"/>
      <c r="G82" s="473"/>
      <c r="H82" s="473"/>
      <c r="I82" s="473"/>
      <c r="J82" s="473"/>
    </row>
    <row r="83" spans="2:10">
      <c r="B83" s="206" t="s">
        <v>45</v>
      </c>
      <c r="C83" s="473" t="s">
        <v>2089</v>
      </c>
      <c r="D83" s="473"/>
      <c r="E83" s="473"/>
      <c r="F83" s="473"/>
      <c r="G83" s="473"/>
      <c r="H83" s="473"/>
      <c r="I83" s="473"/>
      <c r="J83" s="473"/>
    </row>
    <row r="84" spans="2:10">
      <c r="B84" s="206" t="s">
        <v>45</v>
      </c>
      <c r="C84" s="1101"/>
      <c r="D84" s="475"/>
      <c r="E84" s="475"/>
      <c r="F84" s="475"/>
      <c r="G84" s="475"/>
      <c r="H84" s="475"/>
      <c r="I84" s="475"/>
      <c r="J84" s="476"/>
    </row>
    <row r="85" spans="2:10">
      <c r="B85" s="206" t="s">
        <v>45</v>
      </c>
      <c r="C85" s="464"/>
      <c r="D85" s="465"/>
      <c r="E85" s="465"/>
      <c r="F85" s="465"/>
      <c r="G85" s="465"/>
      <c r="H85" s="465"/>
      <c r="I85" s="465"/>
      <c r="J85" s="466"/>
    </row>
    <row r="86" spans="2:10">
      <c r="B86" s="206" t="s">
        <v>45</v>
      </c>
      <c r="C86" s="464"/>
      <c r="D86" s="465"/>
      <c r="E86" s="465"/>
      <c r="F86" s="465"/>
      <c r="G86" s="465"/>
      <c r="H86" s="465"/>
      <c r="I86" s="465"/>
      <c r="J86" s="466"/>
    </row>
    <row r="87" spans="2:10">
      <c r="B87" s="200" t="s">
        <v>45</v>
      </c>
      <c r="C87" s="464"/>
      <c r="D87" s="465"/>
      <c r="E87" s="465"/>
      <c r="F87" s="465"/>
      <c r="G87" s="465"/>
      <c r="H87" s="465"/>
      <c r="I87" s="465"/>
      <c r="J87" s="466"/>
    </row>
    <row r="88" spans="2:10">
      <c r="B88" s="200" t="s">
        <v>7</v>
      </c>
      <c r="C88" s="473" t="s">
        <v>2090</v>
      </c>
      <c r="D88" s="473"/>
      <c r="E88" s="473"/>
      <c r="F88" s="473"/>
      <c r="G88" s="473"/>
      <c r="H88" s="473"/>
      <c r="I88" s="473"/>
      <c r="J88" s="473"/>
    </row>
    <row r="89" spans="2:10" ht="18">
      <c r="B89" s="205" t="s">
        <v>52</v>
      </c>
      <c r="C89" s="477" t="s">
        <v>53</v>
      </c>
      <c r="D89" s="477"/>
      <c r="E89" s="477"/>
      <c r="F89" s="477"/>
      <c r="G89" s="477"/>
      <c r="H89" s="205" t="s">
        <v>54</v>
      </c>
      <c r="I89" s="205" t="s">
        <v>55</v>
      </c>
      <c r="J89" s="205" t="s">
        <v>56</v>
      </c>
    </row>
    <row r="90" spans="2:10">
      <c r="B90" s="200">
        <v>1</v>
      </c>
      <c r="C90" s="1102" t="s">
        <v>2091</v>
      </c>
      <c r="D90" s="451"/>
      <c r="E90" s="451"/>
      <c r="F90" s="451"/>
      <c r="G90" s="451"/>
      <c r="H90" s="200" t="s">
        <v>2092</v>
      </c>
      <c r="I90" s="207" t="s">
        <v>1692</v>
      </c>
      <c r="J90" s="200"/>
    </row>
    <row r="91" spans="2:10">
      <c r="B91" s="200">
        <v>2</v>
      </c>
      <c r="C91" s="449" t="s">
        <v>2093</v>
      </c>
      <c r="D91" s="449"/>
      <c r="E91" s="449"/>
      <c r="F91" s="449"/>
      <c r="G91" s="449"/>
      <c r="H91" s="200"/>
      <c r="I91" s="207" t="s">
        <v>1692</v>
      </c>
      <c r="J91" s="200" t="s">
        <v>2081</v>
      </c>
    </row>
    <row r="92" spans="2:10">
      <c r="B92" s="200"/>
      <c r="C92" s="450"/>
      <c r="D92" s="450"/>
      <c r="E92" s="450"/>
      <c r="F92" s="450"/>
      <c r="G92" s="450"/>
      <c r="H92" s="200"/>
      <c r="I92" s="200"/>
      <c r="J92" s="200"/>
    </row>
    <row r="93" spans="2:10">
      <c r="B93" s="450" t="s">
        <v>63</v>
      </c>
      <c r="C93" s="450"/>
      <c r="D93" s="199" t="s">
        <v>31</v>
      </c>
      <c r="E93" s="198" t="s">
        <v>64</v>
      </c>
      <c r="F93" s="467"/>
      <c r="G93" s="469"/>
      <c r="H93" s="199"/>
      <c r="I93" s="199"/>
      <c r="J93" s="199"/>
    </row>
    <row r="94" spans="2:10" ht="45">
      <c r="B94" s="201" t="s">
        <v>66</v>
      </c>
      <c r="C94" s="450"/>
      <c r="D94" s="450"/>
      <c r="E94" s="201" t="s">
        <v>67</v>
      </c>
      <c r="F94" s="450"/>
      <c r="G94" s="450"/>
      <c r="H94" s="201" t="s">
        <v>68</v>
      </c>
      <c r="I94" s="450"/>
      <c r="J94" s="450"/>
    </row>
    <row r="96" spans="2:10" ht="26.25">
      <c r="B96" s="446" t="s">
        <v>13</v>
      </c>
      <c r="C96" s="447"/>
      <c r="D96" s="446" t="s">
        <v>14</v>
      </c>
      <c r="E96" s="446"/>
      <c r="F96" s="446"/>
      <c r="G96" s="446"/>
      <c r="H96" s="446"/>
      <c r="I96" s="446"/>
      <c r="J96" s="197" t="s">
        <v>15</v>
      </c>
    </row>
    <row r="97" spans="2:10" ht="20.25">
      <c r="B97" s="447"/>
      <c r="C97" s="447"/>
      <c r="D97" s="448" t="s">
        <v>16</v>
      </c>
      <c r="E97" s="448"/>
      <c r="F97" s="448"/>
      <c r="G97" s="448"/>
      <c r="H97" s="448"/>
      <c r="I97" s="448"/>
      <c r="J97" s="197" t="s">
        <v>17</v>
      </c>
    </row>
    <row r="98" spans="2:10">
      <c r="B98" s="449" t="s">
        <v>18</v>
      </c>
      <c r="C98" s="449"/>
      <c r="D98" s="270">
        <v>45823</v>
      </c>
      <c r="E98" s="199" t="s">
        <v>1460</v>
      </c>
      <c r="F98" s="450" t="s">
        <v>131</v>
      </c>
      <c r="G98" s="450"/>
      <c r="H98" s="201" t="s">
        <v>21</v>
      </c>
      <c r="I98" s="202" t="s">
        <v>867</v>
      </c>
      <c r="J98" s="199" t="s">
        <v>23</v>
      </c>
    </row>
    <row r="99" spans="2:10">
      <c r="B99" s="449" t="s">
        <v>24</v>
      </c>
      <c r="C99" s="449"/>
      <c r="D99" s="203"/>
      <c r="E99" s="204" t="s">
        <v>25</v>
      </c>
      <c r="F99" s="450" t="s">
        <v>26</v>
      </c>
      <c r="G99" s="450"/>
      <c r="H99" s="199" t="s">
        <v>27</v>
      </c>
      <c r="I99" s="202" t="s">
        <v>2094</v>
      </c>
      <c r="J99" s="202" t="s">
        <v>29</v>
      </c>
    </row>
    <row r="100" spans="2:10">
      <c r="B100" s="449" t="s">
        <v>30</v>
      </c>
      <c r="C100" s="449"/>
      <c r="D100" s="199" t="s">
        <v>31</v>
      </c>
      <c r="E100" s="199" t="s">
        <v>32</v>
      </c>
      <c r="F100" s="450">
        <v>84</v>
      </c>
      <c r="G100" s="450"/>
      <c r="H100" s="201" t="s">
        <v>33</v>
      </c>
      <c r="I100" s="247"/>
      <c r="J100" s="202"/>
    </row>
    <row r="101" spans="2:10">
      <c r="B101" s="451" t="s">
        <v>35</v>
      </c>
      <c r="C101" s="451"/>
      <c r="D101" s="449" t="s">
        <v>2095</v>
      </c>
      <c r="E101" s="449"/>
      <c r="F101" s="449"/>
      <c r="G101" s="449"/>
      <c r="H101" s="449"/>
      <c r="I101" s="449"/>
      <c r="J101" s="449"/>
    </row>
    <row r="102" spans="2:10">
      <c r="B102" s="452" t="s">
        <v>2096</v>
      </c>
      <c r="C102" s="453"/>
      <c r="D102" s="453"/>
      <c r="E102" s="453"/>
      <c r="F102" s="453"/>
      <c r="G102" s="453"/>
      <c r="H102" s="453"/>
      <c r="I102" s="453"/>
      <c r="J102" s="454"/>
    </row>
    <row r="103" spans="2:10">
      <c r="B103" s="455"/>
      <c r="C103" s="456"/>
      <c r="D103" s="456"/>
      <c r="E103" s="456"/>
      <c r="F103" s="456"/>
      <c r="G103" s="456"/>
      <c r="H103" s="456"/>
      <c r="I103" s="456"/>
      <c r="J103" s="457"/>
    </row>
    <row r="104" spans="2:10">
      <c r="B104" s="455"/>
      <c r="C104" s="456"/>
      <c r="D104" s="456"/>
      <c r="E104" s="456"/>
      <c r="F104" s="456"/>
      <c r="G104" s="456"/>
      <c r="H104" s="456"/>
      <c r="I104" s="456"/>
      <c r="J104" s="457"/>
    </row>
    <row r="105" spans="2:10">
      <c r="B105" s="458"/>
      <c r="C105" s="459"/>
      <c r="D105" s="459"/>
      <c r="E105" s="459"/>
      <c r="F105" s="459"/>
      <c r="G105" s="459"/>
      <c r="H105" s="459"/>
      <c r="I105" s="459"/>
      <c r="J105" s="460"/>
    </row>
    <row r="106" spans="2:10" ht="18">
      <c r="B106" s="461" t="s">
        <v>38</v>
      </c>
      <c r="C106" s="462"/>
      <c r="D106" s="462"/>
      <c r="E106" s="462"/>
      <c r="F106" s="462"/>
      <c r="G106" s="462"/>
      <c r="H106" s="462"/>
      <c r="I106" s="463"/>
      <c r="J106" s="205" t="s">
        <v>39</v>
      </c>
    </row>
    <row r="107" spans="2:10">
      <c r="B107" s="200">
        <v>1</v>
      </c>
      <c r="C107" s="464" t="s">
        <v>2097</v>
      </c>
      <c r="D107" s="465"/>
      <c r="E107" s="465"/>
      <c r="F107" s="465"/>
      <c r="G107" s="465"/>
      <c r="H107" s="465"/>
      <c r="I107" s="466"/>
      <c r="J107" s="200" t="s">
        <v>26</v>
      </c>
    </row>
    <row r="108" spans="2:10">
      <c r="B108" s="200">
        <v>2</v>
      </c>
      <c r="C108" s="464" t="s">
        <v>2098</v>
      </c>
      <c r="D108" s="465"/>
      <c r="E108" s="465"/>
      <c r="F108" s="465"/>
      <c r="G108" s="465"/>
      <c r="H108" s="465"/>
      <c r="I108" s="466"/>
      <c r="J108" s="200"/>
    </row>
    <row r="109" spans="2:10">
      <c r="B109" s="200">
        <v>3</v>
      </c>
      <c r="J109" s="200"/>
    </row>
    <row r="110" spans="2:10" ht="18">
      <c r="B110" s="461" t="s">
        <v>44</v>
      </c>
      <c r="C110" s="462"/>
      <c r="D110" s="462"/>
      <c r="E110" s="462"/>
      <c r="F110" s="462"/>
      <c r="G110" s="462"/>
      <c r="H110" s="462"/>
      <c r="I110" s="462"/>
      <c r="J110" s="463"/>
    </row>
    <row r="111" spans="2:10">
      <c r="B111" s="200" t="s">
        <v>45</v>
      </c>
      <c r="C111" s="473" t="s">
        <v>2099</v>
      </c>
      <c r="D111" s="473"/>
      <c r="E111" s="473"/>
      <c r="F111" s="473"/>
      <c r="G111" s="473"/>
      <c r="H111" s="473"/>
      <c r="I111" s="473"/>
      <c r="J111" s="473"/>
    </row>
    <row r="112" spans="2:10">
      <c r="B112" s="206" t="s">
        <v>45</v>
      </c>
      <c r="C112" s="473" t="s">
        <v>2100</v>
      </c>
      <c r="D112" s="473"/>
      <c r="E112" s="473"/>
      <c r="F112" s="473"/>
      <c r="G112" s="473"/>
      <c r="H112" s="473"/>
      <c r="I112" s="473"/>
      <c r="J112" s="473"/>
    </row>
    <row r="113" spans="2:10">
      <c r="B113" s="206" t="s">
        <v>45</v>
      </c>
      <c r="C113" s="473" t="s">
        <v>2101</v>
      </c>
      <c r="D113" s="473"/>
      <c r="E113" s="473"/>
      <c r="F113" s="473"/>
      <c r="G113" s="473"/>
      <c r="H113" s="473"/>
      <c r="I113" s="473"/>
      <c r="J113" s="473"/>
    </row>
    <row r="114" spans="2:10">
      <c r="B114" s="206" t="s">
        <v>45</v>
      </c>
      <c r="C114" s="1101" t="s">
        <v>2102</v>
      </c>
      <c r="D114" s="475"/>
      <c r="E114" s="475"/>
      <c r="F114" s="475"/>
      <c r="G114" s="475"/>
      <c r="H114" s="475"/>
      <c r="I114" s="475"/>
      <c r="J114" s="476"/>
    </row>
    <row r="115" spans="2:10">
      <c r="B115" s="206" t="s">
        <v>45</v>
      </c>
      <c r="C115" s="464"/>
      <c r="D115" s="465"/>
      <c r="E115" s="465"/>
      <c r="F115" s="465"/>
      <c r="G115" s="465"/>
      <c r="H115" s="465"/>
      <c r="I115" s="465"/>
      <c r="J115" s="466"/>
    </row>
    <row r="116" spans="2:10">
      <c r="B116" s="206" t="s">
        <v>45</v>
      </c>
      <c r="C116" s="464"/>
      <c r="D116" s="465"/>
      <c r="E116" s="465"/>
      <c r="F116" s="465"/>
      <c r="G116" s="465"/>
      <c r="H116" s="465"/>
      <c r="I116" s="465"/>
      <c r="J116" s="466"/>
    </row>
    <row r="117" spans="2:10">
      <c r="B117" s="200" t="s">
        <v>45</v>
      </c>
      <c r="C117" s="464"/>
      <c r="D117" s="465"/>
      <c r="E117" s="465"/>
      <c r="F117" s="465"/>
      <c r="G117" s="465"/>
      <c r="H117" s="465"/>
      <c r="I117" s="465"/>
      <c r="J117" s="466"/>
    </row>
    <row r="118" spans="2:10">
      <c r="B118" s="200" t="s">
        <v>7</v>
      </c>
      <c r="C118" s="473" t="s">
        <v>2103</v>
      </c>
      <c r="D118" s="473"/>
      <c r="E118" s="473"/>
      <c r="F118" s="473"/>
      <c r="G118" s="473"/>
      <c r="H118" s="473"/>
      <c r="I118" s="473"/>
      <c r="J118" s="473"/>
    </row>
    <row r="119" spans="2:10" ht="18">
      <c r="B119" s="205" t="s">
        <v>52</v>
      </c>
      <c r="C119" s="477" t="s">
        <v>53</v>
      </c>
      <c r="D119" s="477"/>
      <c r="E119" s="477"/>
      <c r="F119" s="477"/>
      <c r="G119" s="477"/>
      <c r="H119" s="205" t="s">
        <v>54</v>
      </c>
      <c r="I119" s="205" t="s">
        <v>55</v>
      </c>
      <c r="J119" s="205" t="s">
        <v>56</v>
      </c>
    </row>
    <row r="120" spans="2:10">
      <c r="B120" s="200">
        <v>1</v>
      </c>
      <c r="C120" s="1102" t="s">
        <v>2104</v>
      </c>
      <c r="D120" s="451"/>
      <c r="E120" s="451"/>
      <c r="F120" s="451"/>
      <c r="G120" s="451"/>
      <c r="H120" s="200" t="s">
        <v>1800</v>
      </c>
      <c r="I120" s="207" t="s">
        <v>1692</v>
      </c>
      <c r="J120" s="200"/>
    </row>
    <row r="121" spans="2:10">
      <c r="B121" s="200">
        <v>2</v>
      </c>
      <c r="C121" s="449" t="s">
        <v>2105</v>
      </c>
      <c r="D121" s="449"/>
      <c r="E121" s="449"/>
      <c r="F121" s="449"/>
      <c r="G121" s="449"/>
      <c r="H121" s="200"/>
      <c r="I121" s="207" t="s">
        <v>1692</v>
      </c>
      <c r="J121" s="200" t="s">
        <v>2081</v>
      </c>
    </row>
    <row r="122" spans="2:10">
      <c r="B122" s="200"/>
      <c r="C122" s="450"/>
      <c r="D122" s="450"/>
      <c r="E122" s="450"/>
      <c r="F122" s="450"/>
      <c r="G122" s="450"/>
      <c r="H122" s="200"/>
      <c r="I122" s="200"/>
      <c r="J122" s="200"/>
    </row>
    <row r="123" spans="2:10">
      <c r="B123" s="450" t="s">
        <v>63</v>
      </c>
      <c r="C123" s="450"/>
      <c r="D123" s="199" t="s">
        <v>31</v>
      </c>
      <c r="E123" s="198" t="s">
        <v>64</v>
      </c>
      <c r="F123" s="467"/>
      <c r="G123" s="469"/>
      <c r="H123" s="199"/>
      <c r="I123" s="199"/>
      <c r="J123" s="199"/>
    </row>
    <row r="124" spans="2:10" ht="45">
      <c r="B124" s="201" t="s">
        <v>66</v>
      </c>
      <c r="C124" s="450"/>
      <c r="D124" s="450"/>
      <c r="E124" s="201" t="s">
        <v>67</v>
      </c>
      <c r="F124" s="450"/>
      <c r="G124" s="450"/>
      <c r="H124" s="201" t="s">
        <v>68</v>
      </c>
      <c r="I124" s="450"/>
      <c r="J124" s="450"/>
    </row>
    <row r="126" spans="2:10" ht="26.25" customHeight="1">
      <c r="B126" s="446"/>
      <c r="C126" s="447"/>
      <c r="D126" s="446"/>
      <c r="E126" s="446"/>
      <c r="F126" s="446"/>
      <c r="G126" s="446"/>
      <c r="H126" s="446"/>
      <c r="I126" s="446"/>
      <c r="J126" s="197"/>
    </row>
    <row r="127" spans="2:10" ht="20.25" customHeight="1">
      <c r="B127" s="447"/>
      <c r="C127" s="447"/>
      <c r="D127" s="448"/>
      <c r="E127" s="448"/>
      <c r="F127" s="448"/>
      <c r="G127" s="448"/>
      <c r="H127" s="448"/>
      <c r="I127" s="448"/>
      <c r="J127" s="197"/>
    </row>
    <row r="128" spans="2:10" ht="15" customHeight="1"/>
    <row r="130" spans="2:10" ht="26.25">
      <c r="B130" s="446" t="s">
        <v>13</v>
      </c>
      <c r="C130" s="447"/>
      <c r="D130" s="446" t="s">
        <v>14</v>
      </c>
      <c r="E130" s="446"/>
      <c r="F130" s="446"/>
      <c r="G130" s="446"/>
      <c r="H130" s="446"/>
      <c r="I130" s="446"/>
      <c r="J130" s="197" t="s">
        <v>15</v>
      </c>
    </row>
    <row r="131" spans="2:10" ht="20.25">
      <c r="B131" s="447"/>
      <c r="C131" s="447"/>
      <c r="D131" s="448" t="s">
        <v>16</v>
      </c>
      <c r="E131" s="448"/>
      <c r="F131" s="448"/>
      <c r="G131" s="448"/>
      <c r="H131" s="448"/>
      <c r="I131" s="448"/>
      <c r="J131" s="197" t="s">
        <v>17</v>
      </c>
    </row>
    <row r="132" spans="2:10">
      <c r="B132" s="449" t="s">
        <v>18</v>
      </c>
      <c r="C132" s="449"/>
      <c r="D132" s="270">
        <v>45827</v>
      </c>
      <c r="E132" s="199" t="s">
        <v>1460</v>
      </c>
      <c r="F132" s="450" t="s">
        <v>131</v>
      </c>
      <c r="G132" s="450"/>
      <c r="H132" s="201" t="s">
        <v>21</v>
      </c>
      <c r="I132" s="202" t="s">
        <v>917</v>
      </c>
      <c r="J132" s="199" t="s">
        <v>23</v>
      </c>
    </row>
    <row r="133" spans="2:10">
      <c r="B133" s="449" t="s">
        <v>24</v>
      </c>
      <c r="C133" s="449"/>
      <c r="D133" s="203"/>
      <c r="E133" s="204" t="s">
        <v>25</v>
      </c>
      <c r="F133" s="450" t="s">
        <v>26</v>
      </c>
      <c r="G133" s="450"/>
      <c r="H133" s="199" t="s">
        <v>27</v>
      </c>
      <c r="I133" s="202" t="s">
        <v>2106</v>
      </c>
      <c r="J133" s="202" t="s">
        <v>29</v>
      </c>
    </row>
    <row r="134" spans="2:10">
      <c r="B134" s="449" t="s">
        <v>30</v>
      </c>
      <c r="C134" s="449"/>
      <c r="D134" s="199" t="s">
        <v>31</v>
      </c>
      <c r="E134" s="199" t="s">
        <v>32</v>
      </c>
      <c r="F134" s="450" t="s">
        <v>2107</v>
      </c>
      <c r="G134" s="450"/>
      <c r="H134" s="201" t="s">
        <v>33</v>
      </c>
      <c r="I134" s="247" t="s">
        <v>2108</v>
      </c>
      <c r="J134" s="202"/>
    </row>
    <row r="135" spans="2:10">
      <c r="B135" s="451" t="s">
        <v>35</v>
      </c>
      <c r="C135" s="451"/>
      <c r="D135" s="449" t="s">
        <v>2005</v>
      </c>
      <c r="E135" s="449"/>
      <c r="F135" s="449"/>
      <c r="G135" s="449"/>
      <c r="H135" s="449"/>
      <c r="I135" s="449"/>
      <c r="J135" s="449"/>
    </row>
    <row r="136" spans="2:10">
      <c r="B136" s="452" t="s">
        <v>2109</v>
      </c>
      <c r="C136" s="453"/>
      <c r="D136" s="453"/>
      <c r="E136" s="453"/>
      <c r="F136" s="453"/>
      <c r="G136" s="453"/>
      <c r="H136" s="453"/>
      <c r="I136" s="453"/>
      <c r="J136" s="454"/>
    </row>
    <row r="137" spans="2:10">
      <c r="B137" s="455"/>
      <c r="C137" s="456"/>
      <c r="D137" s="456"/>
      <c r="E137" s="456"/>
      <c r="F137" s="456"/>
      <c r="G137" s="456"/>
      <c r="H137" s="456"/>
      <c r="I137" s="456"/>
      <c r="J137" s="457"/>
    </row>
    <row r="138" spans="2:10">
      <c r="B138" s="455"/>
      <c r="C138" s="456"/>
      <c r="D138" s="456"/>
      <c r="E138" s="456"/>
      <c r="F138" s="456"/>
      <c r="G138" s="456"/>
      <c r="H138" s="456"/>
      <c r="I138" s="456"/>
      <c r="J138" s="457"/>
    </row>
    <row r="139" spans="2:10">
      <c r="B139" s="458"/>
      <c r="C139" s="459"/>
      <c r="D139" s="459"/>
      <c r="E139" s="459"/>
      <c r="F139" s="459"/>
      <c r="G139" s="459"/>
      <c r="H139" s="459"/>
      <c r="I139" s="459"/>
      <c r="J139" s="460"/>
    </row>
    <row r="140" spans="2:10" ht="18">
      <c r="B140" s="461" t="s">
        <v>38</v>
      </c>
      <c r="C140" s="462"/>
      <c r="D140" s="462"/>
      <c r="E140" s="462"/>
      <c r="F140" s="462"/>
      <c r="G140" s="462"/>
      <c r="H140" s="462"/>
      <c r="I140" s="463"/>
      <c r="J140" s="205" t="s">
        <v>39</v>
      </c>
    </row>
    <row r="141" spans="2:10">
      <c r="B141" s="200">
        <v>1</v>
      </c>
      <c r="C141" s="464" t="s">
        <v>2110</v>
      </c>
      <c r="D141" s="465"/>
      <c r="E141" s="465"/>
      <c r="F141" s="465"/>
      <c r="G141" s="465"/>
      <c r="H141" s="465"/>
      <c r="I141" s="466"/>
      <c r="J141" s="200" t="s">
        <v>26</v>
      </c>
    </row>
    <row r="142" spans="2:10">
      <c r="B142" s="200">
        <v>2</v>
      </c>
      <c r="C142" s="464" t="s">
        <v>2111</v>
      </c>
      <c r="D142" s="465"/>
      <c r="E142" s="465"/>
      <c r="F142" s="465"/>
      <c r="G142" s="465"/>
      <c r="H142" s="465"/>
      <c r="I142" s="466"/>
      <c r="J142" s="200"/>
    </row>
    <row r="143" spans="2:10">
      <c r="B143" s="200">
        <v>3</v>
      </c>
      <c r="J143" s="200"/>
    </row>
    <row r="144" spans="2:10" ht="18">
      <c r="B144" s="461" t="s">
        <v>44</v>
      </c>
      <c r="C144" s="462"/>
      <c r="D144" s="462"/>
      <c r="E144" s="462"/>
      <c r="F144" s="462"/>
      <c r="G144" s="462"/>
      <c r="H144" s="462"/>
      <c r="I144" s="462"/>
      <c r="J144" s="463"/>
    </row>
    <row r="145" spans="2:10">
      <c r="B145" s="200" t="s">
        <v>45</v>
      </c>
      <c r="C145" s="473" t="s">
        <v>2112</v>
      </c>
      <c r="D145" s="473"/>
      <c r="E145" s="473"/>
      <c r="F145" s="473"/>
      <c r="G145" s="473"/>
      <c r="H145" s="473"/>
      <c r="I145" s="473"/>
      <c r="J145" s="473"/>
    </row>
    <row r="146" spans="2:10">
      <c r="B146" s="206" t="s">
        <v>45</v>
      </c>
      <c r="C146" s="473" t="s">
        <v>2113</v>
      </c>
      <c r="D146" s="473"/>
      <c r="E146" s="473"/>
      <c r="F146" s="473"/>
      <c r="G146" s="473"/>
      <c r="H146" s="473"/>
      <c r="I146" s="473"/>
      <c r="J146" s="473"/>
    </row>
    <row r="147" spans="2:10">
      <c r="B147" s="206" t="s">
        <v>45</v>
      </c>
      <c r="C147" s="473" t="s">
        <v>2114</v>
      </c>
      <c r="D147" s="473"/>
      <c r="E147" s="473"/>
      <c r="F147" s="473"/>
      <c r="G147" s="473"/>
      <c r="H147" s="473"/>
      <c r="I147" s="473"/>
      <c r="J147" s="473"/>
    </row>
    <row r="148" spans="2:10">
      <c r="B148" s="206" t="s">
        <v>45</v>
      </c>
      <c r="C148" s="1101"/>
      <c r="D148" s="475"/>
      <c r="E148" s="475"/>
      <c r="F148" s="475"/>
      <c r="G148" s="475"/>
      <c r="H148" s="475"/>
      <c r="I148" s="475"/>
      <c r="J148" s="476"/>
    </row>
    <row r="149" spans="2:10">
      <c r="B149" s="206" t="s">
        <v>45</v>
      </c>
      <c r="C149" s="464"/>
      <c r="D149" s="465"/>
      <c r="E149" s="465"/>
      <c r="F149" s="465"/>
      <c r="G149" s="465"/>
      <c r="H149" s="465"/>
      <c r="I149" s="465"/>
      <c r="J149" s="466"/>
    </row>
    <row r="150" spans="2:10">
      <c r="B150" s="206" t="s">
        <v>45</v>
      </c>
      <c r="C150" s="464"/>
      <c r="D150" s="465"/>
      <c r="E150" s="465"/>
      <c r="F150" s="465"/>
      <c r="G150" s="465"/>
      <c r="H150" s="465"/>
      <c r="I150" s="465"/>
      <c r="J150" s="466"/>
    </row>
    <row r="151" spans="2:10">
      <c r="B151" s="200" t="s">
        <v>45</v>
      </c>
      <c r="C151" s="464"/>
      <c r="D151" s="465"/>
      <c r="E151" s="465"/>
      <c r="F151" s="465"/>
      <c r="G151" s="465"/>
      <c r="H151" s="465"/>
      <c r="I151" s="465"/>
      <c r="J151" s="466"/>
    </row>
    <row r="152" spans="2:10">
      <c r="B152" s="200" t="s">
        <v>7</v>
      </c>
      <c r="C152" s="473" t="s">
        <v>2114</v>
      </c>
      <c r="D152" s="473"/>
      <c r="E152" s="473"/>
      <c r="F152" s="473"/>
      <c r="G152" s="473"/>
      <c r="H152" s="473"/>
      <c r="I152" s="473"/>
      <c r="J152" s="473"/>
    </row>
    <row r="153" spans="2:10" ht="18">
      <c r="B153" s="205" t="s">
        <v>52</v>
      </c>
      <c r="C153" s="477" t="s">
        <v>53</v>
      </c>
      <c r="D153" s="477"/>
      <c r="E153" s="477"/>
      <c r="F153" s="477"/>
      <c r="G153" s="477"/>
      <c r="H153" s="205" t="s">
        <v>54</v>
      </c>
      <c r="I153" s="205" t="s">
        <v>55</v>
      </c>
      <c r="J153" s="205" t="s">
        <v>56</v>
      </c>
    </row>
    <row r="154" spans="2:10">
      <c r="B154" s="200">
        <v>1</v>
      </c>
      <c r="C154" s="1102" t="s">
        <v>2115</v>
      </c>
      <c r="D154" s="451"/>
      <c r="E154" s="451"/>
      <c r="F154" s="451"/>
      <c r="G154" s="451"/>
      <c r="H154" s="200" t="s">
        <v>2116</v>
      </c>
      <c r="I154" s="207" t="s">
        <v>1692</v>
      </c>
      <c r="J154" s="200"/>
    </row>
    <row r="155" spans="2:10" ht="26.25" customHeight="1">
      <c r="B155" s="200">
        <v>2</v>
      </c>
      <c r="C155" s="1102" t="s">
        <v>2117</v>
      </c>
      <c r="D155" s="451"/>
      <c r="E155" s="451"/>
      <c r="F155" s="451"/>
      <c r="G155" s="451"/>
      <c r="H155" s="200" t="s">
        <v>2116</v>
      </c>
      <c r="I155" s="207" t="s">
        <v>1692</v>
      </c>
      <c r="J155" s="200" t="s">
        <v>2081</v>
      </c>
    </row>
    <row r="156" spans="2:10">
      <c r="B156" s="200"/>
      <c r="C156" s="450"/>
      <c r="D156" s="450"/>
      <c r="E156" s="450"/>
      <c r="F156" s="450"/>
      <c r="G156" s="450"/>
      <c r="H156" s="200"/>
      <c r="I156" s="200"/>
      <c r="J156" s="200"/>
    </row>
    <row r="157" spans="2:10">
      <c r="B157" s="450" t="s">
        <v>63</v>
      </c>
      <c r="C157" s="450"/>
      <c r="D157" s="199" t="s">
        <v>31</v>
      </c>
      <c r="E157" s="198" t="s">
        <v>64</v>
      </c>
      <c r="F157" s="467"/>
      <c r="G157" s="469"/>
      <c r="H157" s="199"/>
      <c r="I157" s="199"/>
      <c r="J157" s="199"/>
    </row>
    <row r="158" spans="2:10" ht="45">
      <c r="B158" s="201" t="s">
        <v>66</v>
      </c>
      <c r="C158" s="450"/>
      <c r="D158" s="450"/>
      <c r="E158" s="201" t="s">
        <v>67</v>
      </c>
      <c r="F158" s="450"/>
      <c r="G158" s="450"/>
      <c r="H158" s="201" t="s">
        <v>68</v>
      </c>
      <c r="I158" s="450"/>
      <c r="J158" s="450"/>
    </row>
    <row r="160" spans="2:10" ht="26.25" customHeight="1">
      <c r="B160" s="446"/>
      <c r="C160" s="447"/>
      <c r="D160" s="446"/>
      <c r="E160" s="446"/>
      <c r="F160" s="446"/>
      <c r="G160" s="446"/>
      <c r="H160" s="446"/>
      <c r="I160" s="446"/>
      <c r="J160" s="197"/>
    </row>
    <row r="161" spans="2:10" ht="20.25" customHeight="1">
      <c r="B161" s="447"/>
      <c r="C161" s="447"/>
      <c r="D161" s="448"/>
      <c r="E161" s="448"/>
      <c r="F161" s="448"/>
      <c r="G161" s="448"/>
      <c r="H161" s="448"/>
      <c r="I161" s="448"/>
      <c r="J161" s="197"/>
    </row>
    <row r="164" spans="2:10" ht="26.25">
      <c r="B164" s="446" t="s">
        <v>13</v>
      </c>
      <c r="C164" s="447"/>
      <c r="D164" s="446" t="s">
        <v>14</v>
      </c>
      <c r="E164" s="446"/>
      <c r="F164" s="446"/>
      <c r="G164" s="446"/>
      <c r="H164" s="446"/>
      <c r="I164" s="446"/>
      <c r="J164" s="197" t="s">
        <v>15</v>
      </c>
    </row>
    <row r="165" spans="2:10" ht="15" customHeight="1">
      <c r="B165" s="447"/>
      <c r="C165" s="447"/>
      <c r="D165" s="448" t="s">
        <v>16</v>
      </c>
      <c r="E165" s="448"/>
      <c r="F165" s="448"/>
      <c r="G165" s="448"/>
      <c r="H165" s="448"/>
      <c r="I165" s="448"/>
      <c r="J165" s="197" t="s">
        <v>17</v>
      </c>
    </row>
    <row r="166" spans="2:10">
      <c r="B166" s="449" t="s">
        <v>18</v>
      </c>
      <c r="C166" s="449"/>
      <c r="D166" s="270">
        <v>45829</v>
      </c>
      <c r="E166" s="199" t="s">
        <v>1460</v>
      </c>
      <c r="F166" s="450" t="s">
        <v>124</v>
      </c>
      <c r="G166" s="450"/>
      <c r="H166" s="201" t="s">
        <v>21</v>
      </c>
      <c r="I166" s="202" t="s">
        <v>867</v>
      </c>
      <c r="J166" s="199" t="s">
        <v>23</v>
      </c>
    </row>
    <row r="167" spans="2:10">
      <c r="B167" s="449" t="s">
        <v>24</v>
      </c>
      <c r="C167" s="449"/>
      <c r="D167" s="203"/>
      <c r="E167" s="204" t="s">
        <v>25</v>
      </c>
      <c r="F167" s="450" t="s">
        <v>26</v>
      </c>
      <c r="G167" s="450"/>
      <c r="H167" s="199" t="s">
        <v>27</v>
      </c>
      <c r="I167" s="202" t="s">
        <v>2118</v>
      </c>
      <c r="J167" s="202" t="s">
        <v>29</v>
      </c>
    </row>
    <row r="168" spans="2:10">
      <c r="B168" s="449" t="s">
        <v>30</v>
      </c>
      <c r="C168" s="449"/>
      <c r="D168" s="199" t="s">
        <v>31</v>
      </c>
      <c r="E168" s="199" t="s">
        <v>32</v>
      </c>
      <c r="F168" s="450">
        <v>141</v>
      </c>
      <c r="G168" s="450"/>
      <c r="H168" s="201" t="s">
        <v>33</v>
      </c>
      <c r="I168" s="247" t="s">
        <v>2119</v>
      </c>
      <c r="J168" s="202"/>
    </row>
    <row r="169" spans="2:10">
      <c r="B169" s="451" t="s">
        <v>35</v>
      </c>
      <c r="C169" s="451"/>
      <c r="D169" s="449" t="s">
        <v>1981</v>
      </c>
      <c r="E169" s="449"/>
      <c r="F169" s="449"/>
      <c r="G169" s="449"/>
      <c r="H169" s="449"/>
      <c r="I169" s="449"/>
      <c r="J169" s="449"/>
    </row>
    <row r="170" spans="2:10">
      <c r="B170" s="452" t="s">
        <v>2120</v>
      </c>
      <c r="C170" s="453"/>
      <c r="D170" s="453"/>
      <c r="E170" s="453"/>
      <c r="F170" s="453"/>
      <c r="G170" s="453"/>
      <c r="H170" s="453"/>
      <c r="I170" s="453"/>
      <c r="J170" s="454"/>
    </row>
    <row r="171" spans="2:10">
      <c r="B171" s="455"/>
      <c r="C171" s="456"/>
      <c r="D171" s="456"/>
      <c r="E171" s="456"/>
      <c r="F171" s="456"/>
      <c r="G171" s="456"/>
      <c r="H171" s="456"/>
      <c r="I171" s="456"/>
      <c r="J171" s="457"/>
    </row>
    <row r="172" spans="2:10">
      <c r="B172" s="455"/>
      <c r="C172" s="456"/>
      <c r="D172" s="456"/>
      <c r="E172" s="456"/>
      <c r="F172" s="456"/>
      <c r="G172" s="456"/>
      <c r="H172" s="456"/>
      <c r="I172" s="456"/>
      <c r="J172" s="457"/>
    </row>
    <row r="173" spans="2:10">
      <c r="B173" s="458"/>
      <c r="C173" s="459"/>
      <c r="D173" s="459"/>
      <c r="E173" s="459"/>
      <c r="F173" s="459"/>
      <c r="G173" s="459"/>
      <c r="H173" s="459"/>
      <c r="I173" s="459"/>
      <c r="J173" s="460"/>
    </row>
    <row r="174" spans="2:10" ht="18">
      <c r="B174" s="461" t="s">
        <v>38</v>
      </c>
      <c r="C174" s="462"/>
      <c r="D174" s="462"/>
      <c r="E174" s="462"/>
      <c r="F174" s="462"/>
      <c r="G174" s="462"/>
      <c r="H174" s="462"/>
      <c r="I174" s="463"/>
      <c r="J174" s="205" t="s">
        <v>39</v>
      </c>
    </row>
    <row r="175" spans="2:10">
      <c r="B175" s="200">
        <v>1</v>
      </c>
      <c r="C175" s="464" t="s">
        <v>2064</v>
      </c>
      <c r="D175" s="465"/>
      <c r="E175" s="465"/>
      <c r="F175" s="465"/>
      <c r="G175" s="465"/>
      <c r="H175" s="465"/>
      <c r="I175" s="466"/>
      <c r="J175" s="200" t="s">
        <v>26</v>
      </c>
    </row>
    <row r="176" spans="2:10">
      <c r="B176" s="200">
        <v>2</v>
      </c>
      <c r="C176" s="464" t="s">
        <v>2121</v>
      </c>
      <c r="D176" s="465"/>
      <c r="E176" s="465"/>
      <c r="F176" s="465"/>
      <c r="G176" s="465"/>
      <c r="H176" s="465"/>
      <c r="I176" s="466"/>
      <c r="J176" s="200" t="s">
        <v>26</v>
      </c>
    </row>
    <row r="177" spans="2:10">
      <c r="B177" s="200">
        <v>3</v>
      </c>
      <c r="C177" s="464" t="s">
        <v>2122</v>
      </c>
      <c r="D177" s="465"/>
      <c r="E177" s="465"/>
      <c r="F177" s="465"/>
      <c r="G177" s="465"/>
      <c r="H177" s="465"/>
      <c r="I177" s="466"/>
      <c r="J177" s="200" t="s">
        <v>26</v>
      </c>
    </row>
    <row r="178" spans="2:10" ht="18">
      <c r="B178" s="461" t="s">
        <v>44</v>
      </c>
      <c r="C178" s="462"/>
      <c r="D178" s="462"/>
      <c r="E178" s="462"/>
      <c r="F178" s="462"/>
      <c r="G178" s="462"/>
      <c r="H178" s="462"/>
      <c r="I178" s="462"/>
      <c r="J178" s="463"/>
    </row>
    <row r="179" spans="2:10">
      <c r="B179" s="200" t="s">
        <v>45</v>
      </c>
      <c r="C179" s="473" t="s">
        <v>2123</v>
      </c>
      <c r="D179" s="473"/>
      <c r="E179" s="473"/>
      <c r="F179" s="473"/>
      <c r="G179" s="473"/>
      <c r="H179" s="473"/>
      <c r="I179" s="473"/>
      <c r="J179" s="473"/>
    </row>
    <row r="180" spans="2:10">
      <c r="B180" s="206" t="s">
        <v>45</v>
      </c>
      <c r="C180" s="473" t="s">
        <v>2124</v>
      </c>
      <c r="D180" s="473"/>
      <c r="E180" s="473"/>
      <c r="F180" s="473"/>
      <c r="G180" s="473"/>
      <c r="H180" s="473"/>
      <c r="I180" s="473"/>
      <c r="J180" s="473"/>
    </row>
    <row r="181" spans="2:10">
      <c r="B181" s="206" t="s">
        <v>45</v>
      </c>
      <c r="C181" s="473" t="s">
        <v>2063</v>
      </c>
      <c r="D181" s="473"/>
      <c r="E181" s="473"/>
      <c r="F181" s="473"/>
      <c r="G181" s="473"/>
      <c r="H181" s="473"/>
      <c r="I181" s="473"/>
      <c r="J181" s="473"/>
    </row>
    <row r="182" spans="2:10">
      <c r="B182" s="206" t="s">
        <v>45</v>
      </c>
      <c r="C182" s="1101"/>
      <c r="D182" s="475"/>
      <c r="E182" s="475"/>
      <c r="F182" s="475"/>
      <c r="G182" s="475"/>
      <c r="H182" s="475"/>
      <c r="I182" s="475"/>
      <c r="J182" s="476"/>
    </row>
    <row r="183" spans="2:10" ht="15" customHeight="1">
      <c r="B183" s="206" t="s">
        <v>45</v>
      </c>
      <c r="C183" s="464"/>
      <c r="D183" s="465"/>
      <c r="E183" s="465"/>
      <c r="F183" s="465"/>
      <c r="G183" s="465"/>
      <c r="H183" s="465"/>
      <c r="I183" s="465"/>
      <c r="J183" s="466"/>
    </row>
    <row r="184" spans="2:10">
      <c r="B184" s="206" t="s">
        <v>45</v>
      </c>
      <c r="C184" s="464"/>
      <c r="D184" s="465"/>
      <c r="E184" s="465"/>
      <c r="F184" s="465"/>
      <c r="G184" s="465"/>
      <c r="H184" s="465"/>
      <c r="I184" s="465"/>
      <c r="J184" s="466"/>
    </row>
    <row r="185" spans="2:10">
      <c r="B185" s="200" t="s">
        <v>45</v>
      </c>
      <c r="C185" s="464"/>
      <c r="D185" s="465"/>
      <c r="E185" s="465"/>
      <c r="F185" s="465"/>
      <c r="G185" s="465"/>
      <c r="H185" s="465"/>
      <c r="I185" s="465"/>
      <c r="J185" s="466"/>
    </row>
    <row r="186" spans="2:10">
      <c r="B186" s="200" t="s">
        <v>7</v>
      </c>
      <c r="C186" s="473" t="s">
        <v>2063</v>
      </c>
      <c r="D186" s="473"/>
      <c r="E186" s="473"/>
      <c r="F186" s="473"/>
      <c r="G186" s="473"/>
      <c r="H186" s="473"/>
      <c r="I186" s="473"/>
      <c r="J186" s="473"/>
    </row>
    <row r="187" spans="2:10" ht="18">
      <c r="B187" s="205" t="s">
        <v>52</v>
      </c>
      <c r="C187" s="477" t="s">
        <v>53</v>
      </c>
      <c r="D187" s="477"/>
      <c r="E187" s="477"/>
      <c r="F187" s="477"/>
      <c r="G187" s="477"/>
      <c r="H187" s="205" t="s">
        <v>54</v>
      </c>
      <c r="I187" s="205" t="s">
        <v>55</v>
      </c>
      <c r="J187" s="205" t="s">
        <v>56</v>
      </c>
    </row>
    <row r="188" spans="2:10">
      <c r="B188" s="200">
        <v>1</v>
      </c>
      <c r="C188" s="1102" t="s">
        <v>2125</v>
      </c>
      <c r="D188" s="451"/>
      <c r="E188" s="451"/>
      <c r="F188" s="451"/>
      <c r="G188" s="451"/>
      <c r="H188" s="200"/>
      <c r="I188" s="207" t="s">
        <v>1692</v>
      </c>
      <c r="J188" s="200"/>
    </row>
    <row r="189" spans="2:10">
      <c r="B189" s="200">
        <v>2</v>
      </c>
      <c r="C189" s="1102" t="s">
        <v>2126</v>
      </c>
      <c r="D189" s="451"/>
      <c r="E189" s="451"/>
      <c r="F189" s="451"/>
      <c r="G189" s="451"/>
      <c r="H189" s="200"/>
      <c r="I189" s="207" t="s">
        <v>1692</v>
      </c>
      <c r="J189" s="200"/>
    </row>
    <row r="190" spans="2:10">
      <c r="B190" s="200"/>
      <c r="C190" s="450"/>
      <c r="D190" s="450"/>
      <c r="E190" s="450"/>
      <c r="F190" s="450"/>
      <c r="G190" s="450"/>
      <c r="H190" s="200"/>
      <c r="I190" s="200"/>
      <c r="J190" s="200"/>
    </row>
    <row r="191" spans="2:10" ht="20.25" customHeight="1">
      <c r="B191" s="450" t="s">
        <v>63</v>
      </c>
      <c r="C191" s="450"/>
      <c r="D191" s="199" t="s">
        <v>31</v>
      </c>
      <c r="E191" s="198" t="s">
        <v>64</v>
      </c>
      <c r="F191" s="467"/>
      <c r="G191" s="469"/>
      <c r="H191" s="199"/>
      <c r="I191" s="199"/>
      <c r="J191" s="199"/>
    </row>
    <row r="192" spans="2:10" ht="45">
      <c r="B192" s="201" t="s">
        <v>66</v>
      </c>
      <c r="C192" s="450"/>
      <c r="D192" s="450"/>
      <c r="E192" s="201" t="s">
        <v>67</v>
      </c>
      <c r="F192" s="450"/>
      <c r="G192" s="450"/>
      <c r="H192" s="201" t="s">
        <v>68</v>
      </c>
      <c r="I192" s="450"/>
      <c r="J192" s="450"/>
    </row>
    <row r="194" spans="2:10" ht="26.25">
      <c r="B194" s="446" t="s">
        <v>13</v>
      </c>
      <c r="C194" s="447"/>
      <c r="D194" s="446" t="s">
        <v>14</v>
      </c>
      <c r="E194" s="446"/>
      <c r="F194" s="446"/>
      <c r="G194" s="446"/>
      <c r="H194" s="446"/>
      <c r="I194" s="446"/>
      <c r="J194" s="197" t="s">
        <v>15</v>
      </c>
    </row>
    <row r="195" spans="2:10" ht="20.25" customHeight="1">
      <c r="B195" s="447"/>
      <c r="C195" s="447"/>
      <c r="D195" s="448" t="s">
        <v>16</v>
      </c>
      <c r="E195" s="448"/>
      <c r="F195" s="448"/>
      <c r="G195" s="448"/>
      <c r="H195" s="448"/>
      <c r="I195" s="448"/>
      <c r="J195" s="197" t="s">
        <v>17</v>
      </c>
    </row>
    <row r="196" spans="2:10">
      <c r="B196" s="449" t="s">
        <v>18</v>
      </c>
      <c r="C196" s="449"/>
      <c r="D196" s="270">
        <v>45833</v>
      </c>
      <c r="E196" s="199" t="s">
        <v>1460</v>
      </c>
      <c r="F196" s="450" t="s">
        <v>124</v>
      </c>
      <c r="G196" s="450"/>
      <c r="H196" s="201" t="s">
        <v>21</v>
      </c>
      <c r="I196" s="202" t="s">
        <v>867</v>
      </c>
      <c r="J196" s="199" t="s">
        <v>23</v>
      </c>
    </row>
    <row r="197" spans="2:10">
      <c r="B197" s="449" t="s">
        <v>24</v>
      </c>
      <c r="C197" s="449"/>
      <c r="D197" s="203"/>
      <c r="E197" s="204" t="s">
        <v>25</v>
      </c>
      <c r="F197" s="450" t="s">
        <v>26</v>
      </c>
      <c r="G197" s="450"/>
      <c r="H197" s="199" t="s">
        <v>27</v>
      </c>
      <c r="I197" s="202" t="s">
        <v>2127</v>
      </c>
      <c r="J197" s="202" t="s">
        <v>29</v>
      </c>
    </row>
    <row r="198" spans="2:10">
      <c r="B198" s="449" t="s">
        <v>30</v>
      </c>
      <c r="C198" s="449"/>
      <c r="D198" s="199" t="s">
        <v>31</v>
      </c>
      <c r="E198" s="199" t="s">
        <v>32</v>
      </c>
      <c r="F198" s="450">
        <v>60</v>
      </c>
      <c r="G198" s="450"/>
      <c r="H198" s="201" t="s">
        <v>33</v>
      </c>
      <c r="I198" s="247" t="s">
        <v>2128</v>
      </c>
      <c r="J198" s="202"/>
    </row>
    <row r="199" spans="2:10">
      <c r="B199" s="451" t="s">
        <v>35</v>
      </c>
      <c r="C199" s="451"/>
      <c r="D199" s="449" t="s">
        <v>2129</v>
      </c>
      <c r="E199" s="449"/>
      <c r="F199" s="449"/>
      <c r="G199" s="449"/>
      <c r="H199" s="449"/>
      <c r="I199" s="449"/>
      <c r="J199" s="449"/>
    </row>
    <row r="200" spans="2:10">
      <c r="B200" s="452" t="s">
        <v>2130</v>
      </c>
      <c r="C200" s="453"/>
      <c r="D200" s="453"/>
      <c r="E200" s="453"/>
      <c r="F200" s="453"/>
      <c r="G200" s="453"/>
      <c r="H200" s="453"/>
      <c r="I200" s="453"/>
      <c r="J200" s="454"/>
    </row>
    <row r="201" spans="2:10">
      <c r="B201" s="455"/>
      <c r="C201" s="456"/>
      <c r="D201" s="456"/>
      <c r="E201" s="456"/>
      <c r="F201" s="456"/>
      <c r="G201" s="456"/>
      <c r="H201" s="456"/>
      <c r="I201" s="456"/>
      <c r="J201" s="457"/>
    </row>
    <row r="202" spans="2:10">
      <c r="B202" s="455"/>
      <c r="C202" s="456"/>
      <c r="D202" s="456"/>
      <c r="E202" s="456"/>
      <c r="F202" s="456"/>
      <c r="G202" s="456"/>
      <c r="H202" s="456"/>
      <c r="I202" s="456"/>
      <c r="J202" s="457"/>
    </row>
    <row r="203" spans="2:10">
      <c r="B203" s="458"/>
      <c r="C203" s="459"/>
      <c r="D203" s="459"/>
      <c r="E203" s="459"/>
      <c r="F203" s="459"/>
      <c r="G203" s="459"/>
      <c r="H203" s="459"/>
      <c r="I203" s="459"/>
      <c r="J203" s="460"/>
    </row>
    <row r="204" spans="2:10" ht="18">
      <c r="B204" s="461" t="s">
        <v>38</v>
      </c>
      <c r="C204" s="462"/>
      <c r="D204" s="462"/>
      <c r="E204" s="462"/>
      <c r="F204" s="462"/>
      <c r="G204" s="462"/>
      <c r="H204" s="462"/>
      <c r="I204" s="463"/>
      <c r="J204" s="205" t="s">
        <v>39</v>
      </c>
    </row>
    <row r="205" spans="2:10">
      <c r="B205" s="200">
        <v>1</v>
      </c>
      <c r="C205" s="464" t="s">
        <v>2131</v>
      </c>
      <c r="D205" s="465"/>
      <c r="E205" s="465"/>
      <c r="F205" s="465"/>
      <c r="G205" s="465"/>
      <c r="H205" s="465"/>
      <c r="I205" s="466"/>
      <c r="J205" s="200" t="s">
        <v>26</v>
      </c>
    </row>
    <row r="206" spans="2:10">
      <c r="B206" s="200">
        <v>2</v>
      </c>
      <c r="C206" s="464" t="s">
        <v>2132</v>
      </c>
      <c r="D206" s="465"/>
      <c r="E206" s="465"/>
      <c r="F206" s="465"/>
      <c r="G206" s="465"/>
      <c r="H206" s="465"/>
      <c r="I206" s="466"/>
      <c r="J206" s="200" t="s">
        <v>26</v>
      </c>
    </row>
    <row r="207" spans="2:10">
      <c r="B207" s="200">
        <v>3</v>
      </c>
      <c r="C207" s="464"/>
      <c r="D207" s="465"/>
      <c r="E207" s="465"/>
      <c r="F207" s="465"/>
      <c r="G207" s="465"/>
      <c r="H207" s="465"/>
      <c r="I207" s="466"/>
      <c r="J207" s="200" t="s">
        <v>26</v>
      </c>
    </row>
    <row r="208" spans="2:10" ht="18">
      <c r="B208" s="461" t="s">
        <v>44</v>
      </c>
      <c r="C208" s="462"/>
      <c r="D208" s="462"/>
      <c r="E208" s="462"/>
      <c r="F208" s="462"/>
      <c r="G208" s="462"/>
      <c r="H208" s="462"/>
      <c r="I208" s="462"/>
      <c r="J208" s="463"/>
    </row>
    <row r="209" spans="2:10">
      <c r="B209" s="200" t="s">
        <v>45</v>
      </c>
      <c r="C209" s="473" t="s">
        <v>1568</v>
      </c>
      <c r="D209" s="473"/>
      <c r="E209" s="473"/>
      <c r="F209" s="473"/>
      <c r="G209" s="473"/>
      <c r="H209" s="473"/>
      <c r="I209" s="473"/>
      <c r="J209" s="473"/>
    </row>
    <row r="210" spans="2:10">
      <c r="B210" s="206" t="s">
        <v>45</v>
      </c>
      <c r="C210" s="473" t="s">
        <v>2133</v>
      </c>
      <c r="D210" s="473"/>
      <c r="E210" s="473"/>
      <c r="F210" s="473"/>
      <c r="G210" s="473"/>
      <c r="H210" s="473"/>
      <c r="I210" s="473"/>
      <c r="J210" s="473"/>
    </row>
    <row r="211" spans="2:10">
      <c r="B211" s="206" t="s">
        <v>45</v>
      </c>
      <c r="C211" s="473" t="s">
        <v>2134</v>
      </c>
      <c r="D211" s="473"/>
      <c r="E211" s="473"/>
      <c r="F211" s="473"/>
      <c r="G211" s="473"/>
      <c r="H211" s="473"/>
      <c r="I211" s="473"/>
      <c r="J211" s="473"/>
    </row>
    <row r="212" spans="2:10">
      <c r="B212" s="206" t="s">
        <v>45</v>
      </c>
      <c r="C212" s="1101" t="s">
        <v>2069</v>
      </c>
      <c r="D212" s="475"/>
      <c r="E212" s="475"/>
      <c r="F212" s="475"/>
      <c r="G212" s="475"/>
      <c r="H212" s="475"/>
      <c r="I212" s="475"/>
      <c r="J212" s="476"/>
    </row>
    <row r="213" spans="2:10">
      <c r="B213" s="206" t="s">
        <v>45</v>
      </c>
      <c r="C213" s="464"/>
      <c r="D213" s="465"/>
      <c r="E213" s="465"/>
      <c r="F213" s="465"/>
      <c r="G213" s="465"/>
      <c r="H213" s="465"/>
      <c r="I213" s="465"/>
      <c r="J213" s="466"/>
    </row>
    <row r="214" spans="2:10">
      <c r="B214" s="206" t="s">
        <v>45</v>
      </c>
      <c r="C214" s="464"/>
      <c r="D214" s="465"/>
      <c r="E214" s="465"/>
      <c r="F214" s="465"/>
      <c r="G214" s="465"/>
      <c r="H214" s="465"/>
      <c r="I214" s="465"/>
      <c r="J214" s="466"/>
    </row>
    <row r="215" spans="2:10">
      <c r="B215" s="200" t="s">
        <v>45</v>
      </c>
      <c r="C215" s="464"/>
      <c r="D215" s="465"/>
      <c r="E215" s="465"/>
      <c r="F215" s="465"/>
      <c r="G215" s="465"/>
      <c r="H215" s="465"/>
      <c r="I215" s="465"/>
      <c r="J215" s="466"/>
    </row>
    <row r="216" spans="2:10">
      <c r="B216" s="200" t="s">
        <v>7</v>
      </c>
      <c r="C216" s="1059" t="s">
        <v>2135</v>
      </c>
      <c r="D216" s="473"/>
      <c r="E216" s="473"/>
      <c r="F216" s="473"/>
      <c r="G216" s="473"/>
      <c r="H216" s="473"/>
      <c r="I216" s="473"/>
      <c r="J216" s="473"/>
    </row>
    <row r="217" spans="2:10" ht="18">
      <c r="B217" s="205" t="s">
        <v>52</v>
      </c>
      <c r="C217" s="477" t="s">
        <v>53</v>
      </c>
      <c r="D217" s="477"/>
      <c r="E217" s="477"/>
      <c r="F217" s="477"/>
      <c r="G217" s="477"/>
      <c r="H217" s="205" t="s">
        <v>54</v>
      </c>
      <c r="I217" s="205" t="s">
        <v>55</v>
      </c>
      <c r="J217" s="205" t="s">
        <v>56</v>
      </c>
    </row>
    <row r="218" spans="2:10">
      <c r="B218" s="200">
        <v>1</v>
      </c>
      <c r="C218" s="1102" t="s">
        <v>2136</v>
      </c>
      <c r="D218" s="451"/>
      <c r="E218" s="451"/>
      <c r="F218" s="451"/>
      <c r="G218" s="451"/>
      <c r="H218" s="200" t="s">
        <v>1823</v>
      </c>
      <c r="I218" s="207" t="s">
        <v>1692</v>
      </c>
      <c r="J218" s="200"/>
    </row>
    <row r="219" spans="2:10">
      <c r="B219" s="200">
        <v>2</v>
      </c>
      <c r="C219" s="1102" t="s">
        <v>2137</v>
      </c>
      <c r="D219" s="451"/>
      <c r="E219" s="451"/>
      <c r="F219" s="451"/>
      <c r="G219" s="451"/>
      <c r="H219" s="200" t="s">
        <v>2138</v>
      </c>
      <c r="I219" s="207" t="s">
        <v>1692</v>
      </c>
      <c r="J219" s="200" t="s">
        <v>1507</v>
      </c>
    </row>
    <row r="220" spans="2:10">
      <c r="B220" s="200"/>
      <c r="C220" s="450"/>
      <c r="D220" s="450"/>
      <c r="E220" s="450"/>
      <c r="F220" s="450"/>
      <c r="G220" s="450"/>
      <c r="H220" s="200"/>
      <c r="I220" s="200"/>
      <c r="J220" s="200"/>
    </row>
    <row r="221" spans="2:10">
      <c r="B221" s="450" t="s">
        <v>63</v>
      </c>
      <c r="C221" s="450"/>
      <c r="D221" s="199" t="s">
        <v>31</v>
      </c>
      <c r="E221" s="198" t="s">
        <v>64</v>
      </c>
      <c r="F221" s="467"/>
      <c r="G221" s="469"/>
      <c r="H221" s="199"/>
      <c r="I221" s="199"/>
      <c r="J221" s="199"/>
    </row>
    <row r="222" spans="2:10" ht="20.25" customHeight="1">
      <c r="B222" s="201" t="s">
        <v>66</v>
      </c>
      <c r="C222" s="450"/>
      <c r="D222" s="450"/>
      <c r="E222" s="201" t="s">
        <v>67</v>
      </c>
      <c r="F222" s="450"/>
      <c r="G222" s="450"/>
      <c r="H222" s="201" t="s">
        <v>68</v>
      </c>
      <c r="I222" s="450"/>
      <c r="J222" s="450"/>
    </row>
  </sheetData>
  <autoFilter ref="B2:K28" xr:uid="{CD87EF7E-55E2-4C56-813A-91E67B7EA364}">
    <filterColumn colId="1" showButton="0"/>
  </autoFilter>
  <mergeCells count="219">
    <mergeCell ref="C222:D222"/>
    <mergeCell ref="F222:G222"/>
    <mergeCell ref="I222:J222"/>
    <mergeCell ref="C213:J213"/>
    <mergeCell ref="C214:J214"/>
    <mergeCell ref="C215:J215"/>
    <mergeCell ref="C216:J216"/>
    <mergeCell ref="C217:G217"/>
    <mergeCell ref="C218:G218"/>
    <mergeCell ref="C219:G219"/>
    <mergeCell ref="C220:G220"/>
    <mergeCell ref="B221:C221"/>
    <mergeCell ref="F221:G221"/>
    <mergeCell ref="B204:I204"/>
    <mergeCell ref="C205:I205"/>
    <mergeCell ref="C206:I206"/>
    <mergeCell ref="C207:I207"/>
    <mergeCell ref="B208:J208"/>
    <mergeCell ref="C209:J209"/>
    <mergeCell ref="C210:J210"/>
    <mergeCell ref="C211:J211"/>
    <mergeCell ref="C212:J212"/>
    <mergeCell ref="B196:C196"/>
    <mergeCell ref="F196:G196"/>
    <mergeCell ref="B197:C197"/>
    <mergeCell ref="F197:G197"/>
    <mergeCell ref="B198:C198"/>
    <mergeCell ref="F198:G198"/>
    <mergeCell ref="B199:C199"/>
    <mergeCell ref="D199:J199"/>
    <mergeCell ref="B200:J203"/>
    <mergeCell ref="B160:C161"/>
    <mergeCell ref="D160:I160"/>
    <mergeCell ref="D161:I161"/>
    <mergeCell ref="C151:J151"/>
    <mergeCell ref="C152:J152"/>
    <mergeCell ref="C153:G153"/>
    <mergeCell ref="C154:G154"/>
    <mergeCell ref="C155:G155"/>
    <mergeCell ref="C156:G156"/>
    <mergeCell ref="B157:C157"/>
    <mergeCell ref="F157:G157"/>
    <mergeCell ref="C158:D158"/>
    <mergeCell ref="F158:G158"/>
    <mergeCell ref="I158:J158"/>
    <mergeCell ref="B133:C133"/>
    <mergeCell ref="F133:G133"/>
    <mergeCell ref="B134:C134"/>
    <mergeCell ref="F134:G134"/>
    <mergeCell ref="B135:C135"/>
    <mergeCell ref="D135:J135"/>
    <mergeCell ref="C150:J150"/>
    <mergeCell ref="B136:J139"/>
    <mergeCell ref="B140:I140"/>
    <mergeCell ref="C142:I142"/>
    <mergeCell ref="C141:I141"/>
    <mergeCell ref="B144:J144"/>
    <mergeCell ref="C145:J145"/>
    <mergeCell ref="C146:J146"/>
    <mergeCell ref="C147:J147"/>
    <mergeCell ref="C148:J148"/>
    <mergeCell ref="C149:J149"/>
    <mergeCell ref="J2:J3"/>
    <mergeCell ref="K2:K3"/>
    <mergeCell ref="L8:M8"/>
    <mergeCell ref="C30:D30"/>
    <mergeCell ref="B130:C131"/>
    <mergeCell ref="D130:I130"/>
    <mergeCell ref="D131:I131"/>
    <mergeCell ref="B132:C132"/>
    <mergeCell ref="F132:G132"/>
    <mergeCell ref="E28:K31"/>
    <mergeCell ref="B33:C34"/>
    <mergeCell ref="D33:I33"/>
    <mergeCell ref="D34:I34"/>
    <mergeCell ref="B35:C35"/>
    <mergeCell ref="F35:G35"/>
    <mergeCell ref="B36:C36"/>
    <mergeCell ref="F36:G36"/>
    <mergeCell ref="B37:C37"/>
    <mergeCell ref="F37:G37"/>
    <mergeCell ref="C78:I78"/>
    <mergeCell ref="B96:C97"/>
    <mergeCell ref="D96:I96"/>
    <mergeCell ref="D97:I97"/>
    <mergeCell ref="B98:C98"/>
    <mergeCell ref="F98:G98"/>
    <mergeCell ref="H2:H3"/>
    <mergeCell ref="B2:B3"/>
    <mergeCell ref="C2:D2"/>
    <mergeCell ref="E2:E3"/>
    <mergeCell ref="F2:F3"/>
    <mergeCell ref="G2:G3"/>
    <mergeCell ref="I2:I3"/>
    <mergeCell ref="B38:C38"/>
    <mergeCell ref="D38:J38"/>
    <mergeCell ref="B39:J42"/>
    <mergeCell ref="B43:I43"/>
    <mergeCell ref="C44:I44"/>
    <mergeCell ref="C51:J51"/>
    <mergeCell ref="C52:J52"/>
    <mergeCell ref="C53:J53"/>
    <mergeCell ref="C54:J54"/>
    <mergeCell ref="C55:J55"/>
    <mergeCell ref="C45:I45"/>
    <mergeCell ref="B47:J47"/>
    <mergeCell ref="C48:J48"/>
    <mergeCell ref="C49:J49"/>
    <mergeCell ref="C50:J50"/>
    <mergeCell ref="C61:D61"/>
    <mergeCell ref="B102:J105"/>
    <mergeCell ref="B106:I106"/>
    <mergeCell ref="C107:I107"/>
    <mergeCell ref="C108:I108"/>
    <mergeCell ref="B110:J110"/>
    <mergeCell ref="B99:C99"/>
    <mergeCell ref="F99:G99"/>
    <mergeCell ref="B100:C100"/>
    <mergeCell ref="F100:G100"/>
    <mergeCell ref="B101:C101"/>
    <mergeCell ref="D101:J101"/>
    <mergeCell ref="I124:J124"/>
    <mergeCell ref="B126:C127"/>
    <mergeCell ref="D126:I126"/>
    <mergeCell ref="D127:I127"/>
    <mergeCell ref="C121:G121"/>
    <mergeCell ref="C122:G122"/>
    <mergeCell ref="B123:C123"/>
    <mergeCell ref="F123:G123"/>
    <mergeCell ref="C124:D124"/>
    <mergeCell ref="F124:G124"/>
    <mergeCell ref="C116:J116"/>
    <mergeCell ref="C117:J117"/>
    <mergeCell ref="C118:J118"/>
    <mergeCell ref="C119:G119"/>
    <mergeCell ref="C120:G120"/>
    <mergeCell ref="C111:J111"/>
    <mergeCell ref="C112:J112"/>
    <mergeCell ref="C113:J113"/>
    <mergeCell ref="C114:J114"/>
    <mergeCell ref="C115:J115"/>
    <mergeCell ref="F61:G61"/>
    <mergeCell ref="I61:J61"/>
    <mergeCell ref="C56:G56"/>
    <mergeCell ref="C57:G57"/>
    <mergeCell ref="C58:G58"/>
    <mergeCell ref="C59:G59"/>
    <mergeCell ref="B60:C60"/>
    <mergeCell ref="F60:G60"/>
    <mergeCell ref="B68:C68"/>
    <mergeCell ref="F68:G68"/>
    <mergeCell ref="B69:C69"/>
    <mergeCell ref="F69:G69"/>
    <mergeCell ref="B70:C70"/>
    <mergeCell ref="D70:J70"/>
    <mergeCell ref="B65:C66"/>
    <mergeCell ref="D65:I65"/>
    <mergeCell ref="D66:I66"/>
    <mergeCell ref="B67:C67"/>
    <mergeCell ref="F67:G67"/>
    <mergeCell ref="C81:J81"/>
    <mergeCell ref="C82:J82"/>
    <mergeCell ref="C83:J83"/>
    <mergeCell ref="C84:J84"/>
    <mergeCell ref="C85:J85"/>
    <mergeCell ref="B71:J74"/>
    <mergeCell ref="B75:I75"/>
    <mergeCell ref="C76:I76"/>
    <mergeCell ref="C77:I77"/>
    <mergeCell ref="B80:J80"/>
    <mergeCell ref="I94:J94"/>
    <mergeCell ref="C91:G91"/>
    <mergeCell ref="C92:G92"/>
    <mergeCell ref="B93:C93"/>
    <mergeCell ref="F93:G93"/>
    <mergeCell ref="C94:D94"/>
    <mergeCell ref="F94:G94"/>
    <mergeCell ref="C86:J86"/>
    <mergeCell ref="C87:J87"/>
    <mergeCell ref="C88:J88"/>
    <mergeCell ref="C89:G89"/>
    <mergeCell ref="C90:G90"/>
    <mergeCell ref="B164:C165"/>
    <mergeCell ref="D164:I164"/>
    <mergeCell ref="D165:I165"/>
    <mergeCell ref="B166:C166"/>
    <mergeCell ref="F166:G166"/>
    <mergeCell ref="B167:C167"/>
    <mergeCell ref="F167:G167"/>
    <mergeCell ref="B168:C168"/>
    <mergeCell ref="F168:G168"/>
    <mergeCell ref="B169:C169"/>
    <mergeCell ref="D169:J169"/>
    <mergeCell ref="B170:J173"/>
    <mergeCell ref="B174:I174"/>
    <mergeCell ref="C175:I175"/>
    <mergeCell ref="C176:I176"/>
    <mergeCell ref="B178:J178"/>
    <mergeCell ref="C179:J179"/>
    <mergeCell ref="C180:J180"/>
    <mergeCell ref="C177:I177"/>
    <mergeCell ref="C181:J181"/>
    <mergeCell ref="C182:J182"/>
    <mergeCell ref="C183:J183"/>
    <mergeCell ref="C184:J184"/>
    <mergeCell ref="C185:J185"/>
    <mergeCell ref="C186:J186"/>
    <mergeCell ref="C187:G187"/>
    <mergeCell ref="C188:G188"/>
    <mergeCell ref="C189:G189"/>
    <mergeCell ref="C190:G190"/>
    <mergeCell ref="B191:C191"/>
    <mergeCell ref="F191:G191"/>
    <mergeCell ref="C192:D192"/>
    <mergeCell ref="F192:G192"/>
    <mergeCell ref="I192:J192"/>
    <mergeCell ref="B194:C195"/>
    <mergeCell ref="D194:I194"/>
    <mergeCell ref="D195:I195"/>
  </mergeCells>
  <phoneticPr fontId="0" type="noConversion"/>
  <printOptions horizontalCentered="1" verticalCentered="1"/>
  <pageMargins left="0.7" right="0.7" top="0.75" bottom="0.75" header="0.3" footer="0.3"/>
  <pageSetup paperSize="9"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1242B-B195-48CE-887D-C2E128BBF5BF}">
  <sheetPr>
    <pageSetUpPr fitToPage="1"/>
  </sheetPr>
  <dimension ref="B2:Q366"/>
  <sheetViews>
    <sheetView topLeftCell="C1" workbookViewId="0">
      <selection activeCell="C4" sqref="C4"/>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28515625" customWidth="1"/>
    <col min="11" max="11" width="55.28515625" customWidth="1"/>
    <col min="13" max="13" width="11.28515625" customWidth="1"/>
  </cols>
  <sheetData>
    <row r="2" spans="2:17">
      <c r="B2" s="443" t="s">
        <v>0</v>
      </c>
      <c r="C2" s="445" t="s">
        <v>1</v>
      </c>
      <c r="D2" s="438"/>
      <c r="E2" s="438" t="s">
        <v>2</v>
      </c>
      <c r="F2" s="438" t="s">
        <v>3</v>
      </c>
      <c r="G2" s="438" t="s">
        <v>4</v>
      </c>
      <c r="H2" s="438" t="s">
        <v>5</v>
      </c>
      <c r="I2" s="438" t="s">
        <v>6</v>
      </c>
      <c r="J2" s="438" t="s">
        <v>7</v>
      </c>
      <c r="K2" s="440" t="s">
        <v>8</v>
      </c>
    </row>
    <row r="3" spans="2:17">
      <c r="B3" s="444"/>
      <c r="C3" s="276" t="s">
        <v>9</v>
      </c>
      <c r="D3" s="277" t="s">
        <v>10</v>
      </c>
      <c r="E3" s="745"/>
      <c r="F3" s="745"/>
      <c r="G3" s="745"/>
      <c r="H3" s="745"/>
      <c r="I3" s="745"/>
      <c r="J3" s="745"/>
      <c r="K3" s="441"/>
    </row>
    <row r="4" spans="2:17" s="3" customFormat="1" ht="42" customHeight="1">
      <c r="B4" s="32">
        <v>1</v>
      </c>
      <c r="C4" s="37">
        <v>80</v>
      </c>
      <c r="D4" s="37"/>
      <c r="E4" s="275">
        <v>45840</v>
      </c>
      <c r="F4" s="37" t="s">
        <v>2139</v>
      </c>
      <c r="G4" s="287" t="s">
        <v>140</v>
      </c>
      <c r="H4" s="171" t="s">
        <v>2140</v>
      </c>
      <c r="I4" s="41" t="s">
        <v>127</v>
      </c>
      <c r="J4" s="36" t="s">
        <v>2141</v>
      </c>
      <c r="K4" s="36" t="s">
        <v>2142</v>
      </c>
    </row>
    <row r="5" spans="2:17" s="3" customFormat="1" ht="33.75" customHeight="1">
      <c r="B5" s="79">
        <v>2</v>
      </c>
      <c r="C5" s="37"/>
      <c r="D5" s="37">
        <v>158</v>
      </c>
      <c r="E5" s="275">
        <v>45842</v>
      </c>
      <c r="F5" s="37" t="s">
        <v>131</v>
      </c>
      <c r="G5" s="37" t="s">
        <v>152</v>
      </c>
      <c r="H5" s="171" t="s">
        <v>2143</v>
      </c>
      <c r="I5" s="41" t="s">
        <v>127</v>
      </c>
      <c r="J5" s="36" t="s">
        <v>2144</v>
      </c>
      <c r="K5" s="36" t="s">
        <v>2145</v>
      </c>
    </row>
    <row r="6" spans="2:17" s="3" customFormat="1" ht="33.75" customHeight="1">
      <c r="B6" s="79"/>
      <c r="C6" s="37">
        <v>125</v>
      </c>
      <c r="D6" s="91"/>
      <c r="E6" s="275">
        <v>45842</v>
      </c>
      <c r="F6" s="37" t="s">
        <v>124</v>
      </c>
      <c r="G6" s="37"/>
      <c r="H6" s="171" t="s">
        <v>2146</v>
      </c>
      <c r="I6" s="41"/>
      <c r="J6" s="272"/>
      <c r="K6" s="36"/>
    </row>
    <row r="7" spans="2:17" s="3" customFormat="1" ht="62.25" customHeight="1">
      <c r="B7" s="32">
        <v>3</v>
      </c>
      <c r="C7" s="37">
        <v>80</v>
      </c>
      <c r="D7" s="91"/>
      <c r="E7" s="275">
        <v>45844</v>
      </c>
      <c r="F7" s="37" t="s">
        <v>131</v>
      </c>
      <c r="G7" s="37" t="s">
        <v>152</v>
      </c>
      <c r="H7" s="171" t="s">
        <v>2147</v>
      </c>
      <c r="I7" s="41" t="s">
        <v>127</v>
      </c>
      <c r="J7" s="284" t="s">
        <v>2148</v>
      </c>
      <c r="K7" s="35" t="s">
        <v>2149</v>
      </c>
    </row>
    <row r="8" spans="2:17" s="3" customFormat="1" ht="42" customHeight="1">
      <c r="B8" s="32">
        <v>4</v>
      </c>
      <c r="C8" s="37"/>
      <c r="D8" s="91">
        <v>187</v>
      </c>
      <c r="E8" s="270">
        <v>45849</v>
      </c>
      <c r="F8" s="37" t="s">
        <v>124</v>
      </c>
      <c r="G8" s="37" t="s">
        <v>174</v>
      </c>
      <c r="H8" s="36" t="s">
        <v>2150</v>
      </c>
      <c r="I8" s="41" t="s">
        <v>127</v>
      </c>
      <c r="J8" s="279" t="s">
        <v>1248</v>
      </c>
      <c r="K8" s="285" t="s">
        <v>2151</v>
      </c>
    </row>
    <row r="9" spans="2:17" s="3" customFormat="1" ht="56.25" customHeight="1">
      <c r="B9" s="79">
        <v>5</v>
      </c>
      <c r="C9" s="74"/>
      <c r="D9" s="233">
        <v>30</v>
      </c>
      <c r="E9" s="270">
        <v>45850</v>
      </c>
      <c r="F9" s="37" t="s">
        <v>124</v>
      </c>
      <c r="G9" s="37" t="s">
        <v>140</v>
      </c>
      <c r="H9" s="36" t="s">
        <v>2143</v>
      </c>
      <c r="I9" s="41" t="s">
        <v>127</v>
      </c>
      <c r="J9" s="36" t="s">
        <v>2152</v>
      </c>
      <c r="K9" s="285" t="s">
        <v>2153</v>
      </c>
      <c r="L9" s="442"/>
      <c r="M9" s="442"/>
    </row>
    <row r="10" spans="2:17" s="3" customFormat="1" ht="50.25" customHeight="1">
      <c r="B10" s="32">
        <v>6</v>
      </c>
      <c r="C10" s="37">
        <v>233</v>
      </c>
      <c r="D10" s="37"/>
      <c r="E10" s="293">
        <v>45851</v>
      </c>
      <c r="F10" s="234" t="s">
        <v>131</v>
      </c>
      <c r="G10" s="37" t="s">
        <v>174</v>
      </c>
      <c r="H10" s="76" t="s">
        <v>2154</v>
      </c>
      <c r="I10" s="41" t="s">
        <v>127</v>
      </c>
      <c r="J10" s="36" t="s">
        <v>2155</v>
      </c>
      <c r="K10" s="285" t="s">
        <v>2156</v>
      </c>
      <c r="L10" s="1103"/>
      <c r="M10" s="442"/>
    </row>
    <row r="11" spans="2:17" s="3" customFormat="1" ht="50.25" customHeight="1">
      <c r="B11" s="32"/>
      <c r="C11" s="37"/>
      <c r="D11" s="37">
        <v>90</v>
      </c>
      <c r="E11" s="293">
        <v>45854</v>
      </c>
      <c r="F11" s="37" t="s">
        <v>124</v>
      </c>
      <c r="G11" s="90" t="s">
        <v>140</v>
      </c>
      <c r="H11" s="36" t="s">
        <v>2157</v>
      </c>
      <c r="I11" s="41" t="s">
        <v>127</v>
      </c>
      <c r="J11" s="36" t="s">
        <v>2158</v>
      </c>
      <c r="K11" s="285" t="s">
        <v>2159</v>
      </c>
      <c r="L11" s="442"/>
      <c r="M11" s="442"/>
    </row>
    <row r="12" spans="2:17" s="3" customFormat="1" ht="42" customHeight="1">
      <c r="B12" s="32">
        <v>7</v>
      </c>
      <c r="C12" s="234">
        <v>35</v>
      </c>
      <c r="D12" s="283"/>
      <c r="E12" s="174">
        <v>45855</v>
      </c>
      <c r="F12" s="294" t="s">
        <v>159</v>
      </c>
      <c r="G12" s="37" t="s">
        <v>152</v>
      </c>
      <c r="H12" s="36" t="s">
        <v>2160</v>
      </c>
      <c r="I12" s="41" t="s">
        <v>127</v>
      </c>
      <c r="J12" s="171" t="s">
        <v>2161</v>
      </c>
      <c r="K12" s="171" t="s">
        <v>2162</v>
      </c>
      <c r="L12" s="442"/>
      <c r="M12" s="442"/>
    </row>
    <row r="13" spans="2:17" s="3" customFormat="1" ht="42" customHeight="1">
      <c r="B13" s="79">
        <v>8</v>
      </c>
      <c r="C13" s="74"/>
      <c r="D13" s="74">
        <v>105</v>
      </c>
      <c r="E13" s="169">
        <v>45864</v>
      </c>
      <c r="F13" s="234" t="s">
        <v>131</v>
      </c>
      <c r="G13" s="90" t="s">
        <v>140</v>
      </c>
      <c r="H13" s="36" t="s">
        <v>2163</v>
      </c>
      <c r="I13" s="41" t="s">
        <v>127</v>
      </c>
      <c r="J13" s="36" t="s">
        <v>2164</v>
      </c>
      <c r="K13" s="171" t="s">
        <v>2165</v>
      </c>
      <c r="L13" s="171"/>
      <c r="M13" s="171"/>
      <c r="N13" s="171"/>
      <c r="O13" s="171"/>
      <c r="P13" s="36"/>
      <c r="Q13" s="36"/>
    </row>
    <row r="14" spans="2:17" s="3" customFormat="1" ht="42" customHeight="1">
      <c r="B14" s="32">
        <v>9</v>
      </c>
      <c r="C14" s="37"/>
      <c r="D14" s="37"/>
      <c r="E14" s="275"/>
      <c r="F14" s="37"/>
      <c r="G14" s="37"/>
      <c r="H14" s="36"/>
      <c r="I14" s="41"/>
      <c r="J14" s="37"/>
      <c r="K14" s="37"/>
      <c r="L14" s="442"/>
      <c r="M14" s="442"/>
    </row>
    <row r="15" spans="2:17" s="3" customFormat="1" ht="42" customHeight="1">
      <c r="B15" s="32">
        <v>10</v>
      </c>
      <c r="C15" s="37"/>
      <c r="D15" s="37"/>
      <c r="E15" s="275"/>
      <c r="F15" s="37"/>
      <c r="G15" s="37"/>
      <c r="H15" s="36"/>
      <c r="I15" s="41"/>
      <c r="J15" s="171"/>
      <c r="K15" s="74"/>
      <c r="L15" s="442"/>
      <c r="M15" s="442"/>
    </row>
    <row r="16" spans="2:17" s="3" customFormat="1" ht="42" customHeight="1">
      <c r="B16" s="79">
        <v>11</v>
      </c>
      <c r="C16" s="37"/>
      <c r="D16" s="37"/>
      <c r="E16" s="275"/>
      <c r="F16" s="37"/>
      <c r="G16" s="37"/>
      <c r="H16" s="36"/>
      <c r="I16" s="75"/>
      <c r="J16" s="37"/>
      <c r="K16" s="37"/>
      <c r="L16" s="442"/>
      <c r="M16" s="442"/>
    </row>
    <row r="17" spans="2:11" s="3" customFormat="1" ht="42" customHeight="1">
      <c r="B17" s="32">
        <v>12</v>
      </c>
      <c r="C17" s="37"/>
      <c r="D17" s="37"/>
      <c r="E17" s="275"/>
      <c r="F17" s="37"/>
      <c r="G17" s="37"/>
      <c r="H17" s="36"/>
      <c r="I17" s="41"/>
      <c r="J17" s="37"/>
      <c r="K17" s="37"/>
    </row>
    <row r="18" spans="2:11" s="3" customFormat="1" ht="42" customHeight="1">
      <c r="B18" s="32">
        <v>13</v>
      </c>
      <c r="C18" s="37"/>
      <c r="D18" s="37"/>
      <c r="E18" s="275"/>
      <c r="F18" s="37"/>
      <c r="G18" s="37"/>
      <c r="H18" s="36"/>
      <c r="I18" s="41"/>
      <c r="J18" s="36"/>
      <c r="K18" s="36"/>
    </row>
    <row r="19" spans="2:11" s="3" customFormat="1" ht="42" customHeight="1">
      <c r="B19" s="79">
        <v>14</v>
      </c>
      <c r="C19" s="37"/>
      <c r="D19" s="37"/>
      <c r="E19" s="37"/>
      <c r="F19" s="37"/>
      <c r="G19" s="37"/>
      <c r="H19" s="36"/>
      <c r="I19" s="37"/>
      <c r="J19" s="37"/>
      <c r="K19" s="37"/>
    </row>
    <row r="20" spans="2:11" s="3" customFormat="1" ht="42" customHeight="1">
      <c r="B20" s="32">
        <v>15</v>
      </c>
      <c r="C20" s="37"/>
      <c r="D20" s="37"/>
      <c r="E20" s="37"/>
      <c r="F20" s="37"/>
      <c r="G20" s="37"/>
      <c r="H20" s="36"/>
      <c r="I20" s="37"/>
      <c r="J20" s="37"/>
      <c r="K20" s="37"/>
    </row>
    <row r="21" spans="2:11" s="3" customFormat="1" ht="42" customHeight="1">
      <c r="B21" s="32">
        <v>16</v>
      </c>
      <c r="C21" s="37"/>
      <c r="D21" s="37"/>
      <c r="E21" s="37"/>
      <c r="F21" s="37"/>
      <c r="G21" s="37"/>
      <c r="H21" s="36"/>
      <c r="I21" s="37"/>
      <c r="J21" s="37"/>
      <c r="K21" s="37"/>
    </row>
    <row r="22" spans="2:11" s="3" customFormat="1" ht="42" customHeight="1">
      <c r="B22" s="79">
        <v>17</v>
      </c>
      <c r="C22" s="37"/>
      <c r="D22" s="37"/>
      <c r="E22" s="37"/>
      <c r="F22" s="37"/>
      <c r="G22" s="37"/>
      <c r="H22" s="36"/>
      <c r="I22" s="37"/>
      <c r="J22" s="37"/>
      <c r="K22" s="37"/>
    </row>
    <row r="23" spans="2:11" ht="42" customHeight="1">
      <c r="B23" s="32">
        <v>18</v>
      </c>
      <c r="C23" s="37"/>
      <c r="D23" s="37"/>
      <c r="E23" s="37"/>
      <c r="F23" s="37"/>
      <c r="G23" s="37"/>
      <c r="H23" s="37"/>
      <c r="I23" s="37"/>
      <c r="J23" s="37"/>
      <c r="K23" s="37"/>
    </row>
    <row r="24" spans="2:11" ht="42" customHeight="1">
      <c r="B24" s="32">
        <v>19</v>
      </c>
      <c r="C24" s="37"/>
      <c r="D24" s="37"/>
      <c r="E24" s="37"/>
      <c r="F24" s="37"/>
      <c r="G24" s="37"/>
      <c r="H24" s="37"/>
      <c r="I24" s="37"/>
      <c r="J24" s="37"/>
      <c r="K24" s="37"/>
    </row>
    <row r="25" spans="2:11" ht="42" customHeight="1">
      <c r="B25" s="79">
        <v>20</v>
      </c>
      <c r="C25" s="37"/>
      <c r="D25" s="37"/>
      <c r="E25" s="37"/>
      <c r="F25" s="37"/>
      <c r="G25" s="37"/>
      <c r="H25" s="37"/>
      <c r="I25" s="37"/>
      <c r="J25" s="37"/>
      <c r="K25" s="37"/>
    </row>
    <row r="26" spans="2:11" ht="42" customHeight="1">
      <c r="B26" s="32">
        <v>21</v>
      </c>
      <c r="C26" s="37"/>
      <c r="D26" s="37"/>
      <c r="E26" s="37"/>
      <c r="F26" s="37"/>
      <c r="G26" s="37"/>
      <c r="H26" s="37"/>
      <c r="I26" s="37"/>
      <c r="J26" s="37"/>
      <c r="K26" s="37"/>
    </row>
    <row r="27" spans="2:11" ht="89.25" customHeight="1">
      <c r="B27" s="32">
        <v>22</v>
      </c>
      <c r="C27" s="37"/>
      <c r="D27" s="37"/>
      <c r="E27" s="37"/>
      <c r="F27" s="37"/>
      <c r="G27" s="37"/>
      <c r="H27" s="37"/>
      <c r="I27" s="37"/>
      <c r="J27" s="37"/>
      <c r="K27" s="37"/>
    </row>
    <row r="28" spans="2:11" ht="42" customHeight="1">
      <c r="B28" s="79">
        <v>23</v>
      </c>
      <c r="C28" s="37"/>
      <c r="D28" s="37"/>
      <c r="E28" s="37"/>
      <c r="F28" s="37"/>
      <c r="G28" s="37"/>
      <c r="H28" s="37"/>
      <c r="I28" s="37"/>
      <c r="J28" s="37"/>
      <c r="K28" s="37"/>
    </row>
    <row r="29" spans="2:11" ht="42" customHeight="1">
      <c r="B29" s="32">
        <v>24</v>
      </c>
      <c r="C29" s="37"/>
      <c r="D29" s="37"/>
      <c r="E29" s="37"/>
      <c r="F29" s="37"/>
      <c r="G29" s="37"/>
      <c r="H29" s="37"/>
      <c r="I29" s="37"/>
      <c r="J29" s="37"/>
      <c r="K29" s="37"/>
    </row>
    <row r="30" spans="2:11">
      <c r="B30" s="6" t="s">
        <v>11</v>
      </c>
      <c r="C30" s="7">
        <f>SUM(C9:C29)</f>
        <v>268</v>
      </c>
      <c r="D30" s="7">
        <f>SUM(D9:D29)</f>
        <v>225</v>
      </c>
      <c r="E30" s="434"/>
      <c r="F30" s="435"/>
      <c r="G30" s="435"/>
      <c r="H30" s="435"/>
      <c r="I30" s="435"/>
      <c r="J30" s="435"/>
      <c r="K30" s="435"/>
    </row>
    <row r="31" spans="2:11">
      <c r="B31" s="9"/>
      <c r="C31" s="10"/>
      <c r="D31" s="11"/>
      <c r="E31" s="434"/>
      <c r="F31" s="435"/>
      <c r="G31" s="435"/>
      <c r="H31" s="435"/>
      <c r="I31" s="435"/>
      <c r="J31" s="435"/>
      <c r="K31" s="435"/>
    </row>
    <row r="32" spans="2:11">
      <c r="B32" s="6" t="s">
        <v>12</v>
      </c>
      <c r="C32" s="432">
        <f>SUM(C30,D30)</f>
        <v>493</v>
      </c>
      <c r="D32" s="433"/>
      <c r="E32" s="434"/>
      <c r="F32" s="435"/>
      <c r="G32" s="435"/>
      <c r="H32" s="435"/>
      <c r="I32" s="435"/>
      <c r="J32" s="435"/>
      <c r="K32" s="435"/>
    </row>
    <row r="33" spans="2:11">
      <c r="B33" s="12"/>
      <c r="C33" s="13"/>
      <c r="D33" s="14"/>
      <c r="E33" s="436"/>
      <c r="F33" s="437"/>
      <c r="G33" s="437"/>
      <c r="H33" s="437"/>
      <c r="I33" s="437"/>
      <c r="J33" s="437"/>
      <c r="K33" s="437"/>
    </row>
    <row r="34" spans="2:11">
      <c r="E34" s="152"/>
      <c r="F34" s="152"/>
      <c r="G34" s="152"/>
      <c r="H34" s="152"/>
      <c r="I34" s="152"/>
      <c r="J34" s="152"/>
      <c r="K34" s="152"/>
    </row>
    <row r="35" spans="2:11">
      <c r="E35" s="152"/>
      <c r="F35" s="152"/>
      <c r="G35" s="152"/>
      <c r="H35" s="152"/>
      <c r="I35" s="152"/>
      <c r="J35" s="152"/>
      <c r="K35" s="152"/>
    </row>
    <row r="36" spans="2:11" ht="26.25">
      <c r="B36" s="446" t="s">
        <v>13</v>
      </c>
      <c r="C36" s="447"/>
      <c r="D36" s="446" t="s">
        <v>14</v>
      </c>
      <c r="E36" s="446"/>
      <c r="F36" s="446"/>
      <c r="G36" s="446"/>
      <c r="H36" s="446"/>
      <c r="I36" s="446"/>
      <c r="J36" s="197" t="s">
        <v>15</v>
      </c>
    </row>
    <row r="37" spans="2:11" ht="20.25">
      <c r="B37" s="447"/>
      <c r="C37" s="447"/>
      <c r="D37" s="448" t="s">
        <v>16</v>
      </c>
      <c r="E37" s="448"/>
      <c r="F37" s="448"/>
      <c r="G37" s="448"/>
      <c r="H37" s="448"/>
      <c r="I37" s="448"/>
      <c r="J37" s="197" t="s">
        <v>17</v>
      </c>
    </row>
    <row r="38" spans="2:11">
      <c r="B38" s="449" t="s">
        <v>18</v>
      </c>
      <c r="C38" s="449"/>
      <c r="D38" s="270">
        <v>45840</v>
      </c>
      <c r="E38" s="199" t="s">
        <v>1460</v>
      </c>
      <c r="F38" s="450" t="s">
        <v>131</v>
      </c>
      <c r="G38" s="450"/>
      <c r="H38" s="201" t="s">
        <v>21</v>
      </c>
      <c r="I38" s="202" t="s">
        <v>867</v>
      </c>
      <c r="J38" s="199"/>
    </row>
    <row r="39" spans="2:11">
      <c r="B39" s="449" t="s">
        <v>24</v>
      </c>
      <c r="C39" s="449"/>
      <c r="D39" s="203" t="s">
        <v>2166</v>
      </c>
      <c r="E39" s="204" t="s">
        <v>25</v>
      </c>
      <c r="F39" s="450" t="s">
        <v>26</v>
      </c>
      <c r="G39" s="450"/>
      <c r="H39" s="199" t="s">
        <v>27</v>
      </c>
      <c r="I39" s="202" t="s">
        <v>2167</v>
      </c>
      <c r="J39" s="202" t="s">
        <v>29</v>
      </c>
    </row>
    <row r="40" spans="2:11">
      <c r="B40" s="449" t="s">
        <v>30</v>
      </c>
      <c r="C40" s="449"/>
      <c r="D40" s="199" t="s">
        <v>31</v>
      </c>
      <c r="E40" s="199" t="s">
        <v>32</v>
      </c>
      <c r="F40" s="450">
        <v>80</v>
      </c>
      <c r="G40" s="450"/>
      <c r="H40" s="201" t="s">
        <v>33</v>
      </c>
      <c r="I40" s="247"/>
      <c r="J40" s="202"/>
    </row>
    <row r="41" spans="2:11">
      <c r="B41" s="451" t="s">
        <v>35</v>
      </c>
      <c r="C41" s="451"/>
      <c r="D41" s="449" t="s">
        <v>2022</v>
      </c>
      <c r="E41" s="449"/>
      <c r="F41" s="449"/>
      <c r="G41" s="449"/>
      <c r="H41" s="449"/>
      <c r="I41" s="449"/>
      <c r="J41" s="449"/>
    </row>
    <row r="42" spans="2:11">
      <c r="B42" s="452" t="s">
        <v>2168</v>
      </c>
      <c r="C42" s="453"/>
      <c r="D42" s="453"/>
      <c r="E42" s="453"/>
      <c r="F42" s="453"/>
      <c r="G42" s="453"/>
      <c r="H42" s="453"/>
      <c r="I42" s="453"/>
      <c r="J42" s="454"/>
    </row>
    <row r="43" spans="2:11">
      <c r="B43" s="455"/>
      <c r="C43" s="456"/>
      <c r="D43" s="456"/>
      <c r="E43" s="456"/>
      <c r="F43" s="456"/>
      <c r="G43" s="456"/>
      <c r="H43" s="456"/>
      <c r="I43" s="456"/>
      <c r="J43" s="457"/>
    </row>
    <row r="44" spans="2:11">
      <c r="B44" s="455"/>
      <c r="C44" s="456"/>
      <c r="D44" s="456"/>
      <c r="E44" s="456"/>
      <c r="F44" s="456"/>
      <c r="G44" s="456"/>
      <c r="H44" s="456"/>
      <c r="I44" s="456"/>
      <c r="J44" s="457"/>
    </row>
    <row r="45" spans="2:11">
      <c r="B45" s="458"/>
      <c r="C45" s="459"/>
      <c r="D45" s="459"/>
      <c r="E45" s="459"/>
      <c r="F45" s="459"/>
      <c r="G45" s="459"/>
      <c r="H45" s="459"/>
      <c r="I45" s="459"/>
      <c r="J45" s="460"/>
    </row>
    <row r="46" spans="2:11" ht="18">
      <c r="B46" s="461" t="s">
        <v>38</v>
      </c>
      <c r="C46" s="462"/>
      <c r="D46" s="462"/>
      <c r="E46" s="462"/>
      <c r="F46" s="462"/>
      <c r="G46" s="462"/>
      <c r="H46" s="462"/>
      <c r="I46" s="463"/>
      <c r="J46" s="205" t="s">
        <v>39</v>
      </c>
    </row>
    <row r="47" spans="2:11">
      <c r="B47" s="200">
        <v>1</v>
      </c>
      <c r="C47" s="464" t="s">
        <v>2169</v>
      </c>
      <c r="D47" s="465"/>
      <c r="E47" s="465"/>
      <c r="F47" s="465"/>
      <c r="G47" s="465"/>
      <c r="H47" s="465"/>
      <c r="I47" s="466"/>
      <c r="J47" s="200" t="s">
        <v>26</v>
      </c>
    </row>
    <row r="48" spans="2:11">
      <c r="B48" s="200">
        <v>2</v>
      </c>
      <c r="C48" s="464"/>
      <c r="D48" s="465"/>
      <c r="E48" s="465"/>
      <c r="F48" s="465"/>
      <c r="G48" s="465"/>
      <c r="H48" s="465"/>
      <c r="I48" s="466"/>
      <c r="J48" s="200"/>
    </row>
    <row r="49" spans="2:10" ht="20.25" customHeight="1">
      <c r="B49" s="200">
        <v>3</v>
      </c>
      <c r="C49" s="464"/>
      <c r="D49" s="465"/>
      <c r="E49" s="465"/>
      <c r="F49" s="465"/>
      <c r="G49" s="465"/>
      <c r="H49" s="465"/>
      <c r="I49" s="466"/>
      <c r="J49" s="200"/>
    </row>
    <row r="50" spans="2:10" ht="18">
      <c r="B50" s="461" t="s">
        <v>44</v>
      </c>
      <c r="C50" s="462"/>
      <c r="D50" s="462"/>
      <c r="E50" s="462"/>
      <c r="F50" s="462"/>
      <c r="G50" s="462"/>
      <c r="H50" s="462"/>
      <c r="I50" s="462"/>
      <c r="J50" s="463"/>
    </row>
    <row r="51" spans="2:10">
      <c r="B51" s="200" t="s">
        <v>45</v>
      </c>
      <c r="C51" s="1059" t="s">
        <v>2170</v>
      </c>
      <c r="D51" s="473"/>
      <c r="E51" s="473"/>
      <c r="F51" s="473"/>
      <c r="G51" s="473"/>
      <c r="H51" s="473"/>
      <c r="I51" s="473"/>
      <c r="J51" s="473"/>
    </row>
    <row r="52" spans="2:10">
      <c r="B52" s="206" t="s">
        <v>45</v>
      </c>
      <c r="C52" s="1059" t="s">
        <v>2171</v>
      </c>
      <c r="D52" s="473"/>
      <c r="E52" s="473"/>
      <c r="F52" s="473"/>
      <c r="G52" s="473"/>
      <c r="H52" s="473"/>
      <c r="I52" s="473"/>
      <c r="J52" s="473"/>
    </row>
    <row r="53" spans="2:10">
      <c r="B53" s="206" t="s">
        <v>45</v>
      </c>
      <c r="C53" s="1059" t="s">
        <v>2172</v>
      </c>
      <c r="D53" s="473"/>
      <c r="E53" s="473"/>
      <c r="F53" s="473"/>
      <c r="G53" s="473"/>
      <c r="H53" s="473"/>
      <c r="I53" s="473"/>
      <c r="J53" s="473"/>
    </row>
    <row r="54" spans="2:10">
      <c r="B54" s="206" t="s">
        <v>45</v>
      </c>
      <c r="C54" s="1101"/>
      <c r="D54" s="475"/>
      <c r="E54" s="475"/>
      <c r="F54" s="475"/>
      <c r="G54" s="475"/>
      <c r="H54" s="475"/>
      <c r="I54" s="475"/>
      <c r="J54" s="476"/>
    </row>
    <row r="55" spans="2:10">
      <c r="B55" s="206" t="s">
        <v>45</v>
      </c>
      <c r="C55" s="464"/>
      <c r="D55" s="465"/>
      <c r="E55" s="465"/>
      <c r="F55" s="465"/>
      <c r="G55" s="465"/>
      <c r="H55" s="465"/>
      <c r="I55" s="465"/>
      <c r="J55" s="466"/>
    </row>
    <row r="56" spans="2:10">
      <c r="B56" s="206" t="s">
        <v>45</v>
      </c>
      <c r="C56" s="464"/>
      <c r="D56" s="465"/>
      <c r="E56" s="465"/>
      <c r="F56" s="465"/>
      <c r="G56" s="465"/>
      <c r="H56" s="465"/>
      <c r="I56" s="465"/>
      <c r="J56" s="466"/>
    </row>
    <row r="57" spans="2:10">
      <c r="B57" s="200" t="s">
        <v>45</v>
      </c>
      <c r="C57" s="464"/>
      <c r="D57" s="465"/>
      <c r="E57" s="465"/>
      <c r="F57" s="465"/>
      <c r="G57" s="465"/>
      <c r="H57" s="465"/>
      <c r="I57" s="465"/>
      <c r="J57" s="466"/>
    </row>
    <row r="58" spans="2:10">
      <c r="B58" s="200" t="s">
        <v>7</v>
      </c>
      <c r="C58" s="1101"/>
      <c r="D58" s="475"/>
      <c r="E58" s="475"/>
      <c r="F58" s="475"/>
      <c r="G58" s="475"/>
      <c r="H58" s="475"/>
      <c r="I58" s="475"/>
      <c r="J58" s="476"/>
    </row>
    <row r="59" spans="2:10" ht="18">
      <c r="B59" s="205" t="s">
        <v>52</v>
      </c>
      <c r="C59" s="477" t="s">
        <v>53</v>
      </c>
      <c r="D59" s="477"/>
      <c r="E59" s="477"/>
      <c r="F59" s="477"/>
      <c r="G59" s="477"/>
      <c r="H59" s="205" t="s">
        <v>54</v>
      </c>
      <c r="I59" s="205" t="s">
        <v>55</v>
      </c>
      <c r="J59" s="205" t="s">
        <v>56</v>
      </c>
    </row>
    <row r="60" spans="2:10">
      <c r="B60" s="200">
        <v>1</v>
      </c>
      <c r="C60" s="1102"/>
      <c r="D60" s="451"/>
      <c r="E60" s="451"/>
      <c r="F60" s="451"/>
      <c r="G60" s="451"/>
      <c r="H60" s="200"/>
      <c r="I60" s="207" t="s">
        <v>1692</v>
      </c>
      <c r="J60" s="200"/>
    </row>
    <row r="61" spans="2:10">
      <c r="B61" s="200">
        <v>2</v>
      </c>
      <c r="C61" s="1102"/>
      <c r="D61" s="451"/>
      <c r="E61" s="451"/>
      <c r="F61" s="451"/>
      <c r="G61" s="451"/>
      <c r="H61" s="200"/>
      <c r="I61" s="207" t="s">
        <v>1692</v>
      </c>
      <c r="J61" s="200"/>
    </row>
    <row r="62" spans="2:10">
      <c r="B62" s="200"/>
      <c r="C62" s="450"/>
      <c r="D62" s="450"/>
      <c r="E62" s="450"/>
      <c r="F62" s="450"/>
      <c r="G62" s="450"/>
      <c r="H62" s="200"/>
      <c r="I62" s="200"/>
      <c r="J62" s="200"/>
    </row>
    <row r="63" spans="2:10">
      <c r="B63" s="450" t="s">
        <v>63</v>
      </c>
      <c r="C63" s="450"/>
      <c r="D63" s="199" t="s">
        <v>31</v>
      </c>
      <c r="E63" s="198" t="s">
        <v>64</v>
      </c>
      <c r="F63" s="467"/>
      <c r="G63" s="469"/>
      <c r="H63" s="199"/>
      <c r="I63" s="199"/>
      <c r="J63" s="199"/>
    </row>
    <row r="64" spans="2:10" ht="45">
      <c r="B64" s="201" t="s">
        <v>66</v>
      </c>
      <c r="C64" s="450"/>
      <c r="D64" s="450"/>
      <c r="E64" s="201" t="s">
        <v>67</v>
      </c>
      <c r="F64" s="450"/>
      <c r="G64" s="450"/>
      <c r="H64" s="201" t="s">
        <v>68</v>
      </c>
      <c r="I64" s="450"/>
      <c r="J64" s="450"/>
    </row>
    <row r="65" spans="2:11">
      <c r="E65" s="152"/>
      <c r="F65" s="152"/>
      <c r="G65" s="152"/>
      <c r="H65" s="152"/>
      <c r="I65" s="152"/>
      <c r="J65" s="152"/>
      <c r="K65" s="152"/>
    </row>
    <row r="66" spans="2:11">
      <c r="E66" s="152"/>
      <c r="F66" s="152"/>
      <c r="G66" s="152"/>
      <c r="H66" s="152"/>
      <c r="I66" s="152"/>
      <c r="J66" s="152"/>
      <c r="K66" s="152"/>
    </row>
    <row r="67" spans="2:11" ht="26.25">
      <c r="B67" s="446" t="s">
        <v>13</v>
      </c>
      <c r="C67" s="447"/>
      <c r="D67" s="446" t="s">
        <v>14</v>
      </c>
      <c r="E67" s="446"/>
      <c r="F67" s="446"/>
      <c r="G67" s="446"/>
      <c r="H67" s="446"/>
      <c r="I67" s="446"/>
      <c r="J67" s="197" t="s">
        <v>15</v>
      </c>
    </row>
    <row r="68" spans="2:11" ht="20.25">
      <c r="B68" s="447"/>
      <c r="C68" s="447"/>
      <c r="D68" s="448" t="s">
        <v>16</v>
      </c>
      <c r="E68" s="448"/>
      <c r="F68" s="448"/>
      <c r="G68" s="448"/>
      <c r="H68" s="448"/>
      <c r="I68" s="448"/>
      <c r="J68" s="197" t="s">
        <v>17</v>
      </c>
    </row>
    <row r="69" spans="2:11">
      <c r="B69" s="449" t="s">
        <v>18</v>
      </c>
      <c r="C69" s="449"/>
      <c r="D69" s="270">
        <v>45842</v>
      </c>
      <c r="E69" s="199" t="s">
        <v>1460</v>
      </c>
      <c r="F69" s="450" t="s">
        <v>131</v>
      </c>
      <c r="G69" s="450"/>
      <c r="H69" s="201" t="s">
        <v>21</v>
      </c>
      <c r="I69" s="202" t="s">
        <v>867</v>
      </c>
      <c r="J69" s="199"/>
    </row>
    <row r="70" spans="2:11">
      <c r="B70" s="449" t="s">
        <v>24</v>
      </c>
      <c r="C70" s="449"/>
      <c r="D70" s="203" t="s">
        <v>2173</v>
      </c>
      <c r="E70" s="204" t="s">
        <v>25</v>
      </c>
      <c r="F70" s="450" t="s">
        <v>26</v>
      </c>
      <c r="G70" s="450"/>
      <c r="H70" s="199" t="s">
        <v>27</v>
      </c>
      <c r="I70" s="202" t="s">
        <v>1980</v>
      </c>
      <c r="J70" s="202" t="s">
        <v>29</v>
      </c>
    </row>
    <row r="71" spans="2:11">
      <c r="B71" s="449" t="s">
        <v>30</v>
      </c>
      <c r="C71" s="449"/>
      <c r="D71" s="199" t="s">
        <v>31</v>
      </c>
      <c r="E71" s="199" t="s">
        <v>32</v>
      </c>
      <c r="F71" s="450">
        <v>125</v>
      </c>
      <c r="G71" s="450"/>
      <c r="H71" s="201" t="s">
        <v>33</v>
      </c>
      <c r="I71" s="247"/>
      <c r="J71" s="202"/>
    </row>
    <row r="72" spans="2:11">
      <c r="B72" s="451" t="s">
        <v>35</v>
      </c>
      <c r="C72" s="451"/>
      <c r="D72" s="449" t="s">
        <v>2022</v>
      </c>
      <c r="E72" s="449"/>
      <c r="F72" s="449"/>
      <c r="G72" s="449"/>
      <c r="H72" s="449"/>
      <c r="I72" s="449"/>
      <c r="J72" s="449"/>
    </row>
    <row r="73" spans="2:11">
      <c r="B73" s="452" t="s">
        <v>2174</v>
      </c>
      <c r="C73" s="453"/>
      <c r="D73" s="453"/>
      <c r="E73" s="453"/>
      <c r="F73" s="453"/>
      <c r="G73" s="453"/>
      <c r="H73" s="453"/>
      <c r="I73" s="453"/>
      <c r="J73" s="454"/>
    </row>
    <row r="74" spans="2:11">
      <c r="B74" s="455"/>
      <c r="C74" s="456"/>
      <c r="D74" s="456"/>
      <c r="E74" s="456"/>
      <c r="F74" s="456"/>
      <c r="G74" s="456"/>
      <c r="H74" s="456"/>
      <c r="I74" s="456"/>
      <c r="J74" s="457"/>
    </row>
    <row r="75" spans="2:11">
      <c r="B75" s="455"/>
      <c r="C75" s="456"/>
      <c r="D75" s="456"/>
      <c r="E75" s="456"/>
      <c r="F75" s="456"/>
      <c r="G75" s="456"/>
      <c r="H75" s="456"/>
      <c r="I75" s="456"/>
      <c r="J75" s="457"/>
    </row>
    <row r="76" spans="2:11">
      <c r="B76" s="458"/>
      <c r="C76" s="459"/>
      <c r="D76" s="459"/>
      <c r="E76" s="459"/>
      <c r="F76" s="459"/>
      <c r="G76" s="459"/>
      <c r="H76" s="459"/>
      <c r="I76" s="459"/>
      <c r="J76" s="460"/>
    </row>
    <row r="77" spans="2:11" ht="18">
      <c r="B77" s="461" t="s">
        <v>38</v>
      </c>
      <c r="C77" s="462"/>
      <c r="D77" s="462"/>
      <c r="E77" s="462"/>
      <c r="F77" s="462"/>
      <c r="G77" s="462"/>
      <c r="H77" s="462"/>
      <c r="I77" s="463"/>
      <c r="J77" s="205" t="s">
        <v>39</v>
      </c>
    </row>
    <row r="78" spans="2:11">
      <c r="B78" s="200">
        <v>1</v>
      </c>
      <c r="C78" s="464" t="s">
        <v>2175</v>
      </c>
      <c r="D78" s="465"/>
      <c r="E78" s="465"/>
      <c r="F78" s="465"/>
      <c r="G78" s="465"/>
      <c r="H78" s="465"/>
      <c r="I78" s="466"/>
      <c r="J78" s="200" t="s">
        <v>26</v>
      </c>
    </row>
    <row r="79" spans="2:11">
      <c r="B79" s="200">
        <v>2</v>
      </c>
      <c r="C79" s="464" t="s">
        <v>2176</v>
      </c>
      <c r="D79" s="465"/>
      <c r="E79" s="465"/>
      <c r="F79" s="465"/>
      <c r="G79" s="465"/>
      <c r="H79" s="465"/>
      <c r="I79" s="466"/>
      <c r="J79" s="200"/>
    </row>
    <row r="80" spans="2:11" ht="20.25" customHeight="1">
      <c r="B80" s="200">
        <v>3</v>
      </c>
      <c r="C80" s="464"/>
      <c r="D80" s="465"/>
      <c r="E80" s="465"/>
      <c r="F80" s="465"/>
      <c r="G80" s="465"/>
      <c r="H80" s="465"/>
      <c r="I80" s="466"/>
      <c r="J80" s="200"/>
    </row>
    <row r="81" spans="2:11" ht="18">
      <c r="B81" s="461" t="s">
        <v>44</v>
      </c>
      <c r="C81" s="462"/>
      <c r="D81" s="462"/>
      <c r="E81" s="462"/>
      <c r="F81" s="462"/>
      <c r="G81" s="462"/>
      <c r="H81" s="462"/>
      <c r="I81" s="462"/>
      <c r="J81" s="463"/>
    </row>
    <row r="82" spans="2:11">
      <c r="B82" s="200" t="s">
        <v>45</v>
      </c>
      <c r="C82" s="1059" t="s">
        <v>2177</v>
      </c>
      <c r="D82" s="473"/>
      <c r="E82" s="473"/>
      <c r="F82" s="473"/>
      <c r="G82" s="473"/>
      <c r="H82" s="473"/>
      <c r="I82" s="473"/>
      <c r="J82" s="473"/>
    </row>
    <row r="83" spans="2:11">
      <c r="B83" s="206" t="s">
        <v>45</v>
      </c>
      <c r="C83" s="1059" t="s">
        <v>2178</v>
      </c>
      <c r="D83" s="473"/>
      <c r="E83" s="473"/>
      <c r="F83" s="473"/>
      <c r="G83" s="473"/>
      <c r="H83" s="473"/>
      <c r="I83" s="473"/>
      <c r="J83" s="473"/>
    </row>
    <row r="84" spans="2:11">
      <c r="B84" s="206" t="s">
        <v>45</v>
      </c>
      <c r="C84" s="1059" t="s">
        <v>2179</v>
      </c>
      <c r="D84" s="473"/>
      <c r="E84" s="473"/>
      <c r="F84" s="473"/>
      <c r="G84" s="473"/>
      <c r="H84" s="473"/>
      <c r="I84" s="473"/>
      <c r="J84" s="473"/>
    </row>
    <row r="85" spans="2:11">
      <c r="B85" s="206" t="s">
        <v>45</v>
      </c>
      <c r="C85" s="1101" t="s">
        <v>2180</v>
      </c>
      <c r="D85" s="475"/>
      <c r="E85" s="475"/>
      <c r="F85" s="475"/>
      <c r="G85" s="475"/>
      <c r="H85" s="475"/>
      <c r="I85" s="475"/>
      <c r="J85" s="476"/>
    </row>
    <row r="86" spans="2:11">
      <c r="B86" s="206" t="s">
        <v>45</v>
      </c>
      <c r="C86" s="464"/>
      <c r="D86" s="465"/>
      <c r="E86" s="465"/>
      <c r="F86" s="465"/>
      <c r="G86" s="465"/>
      <c r="H86" s="465"/>
      <c r="I86" s="465"/>
      <c r="J86" s="466"/>
    </row>
    <row r="87" spans="2:11">
      <c r="B87" s="206" t="s">
        <v>45</v>
      </c>
      <c r="C87" s="464"/>
      <c r="D87" s="465"/>
      <c r="E87" s="465"/>
      <c r="F87" s="465"/>
      <c r="G87" s="465"/>
      <c r="H87" s="465"/>
      <c r="I87" s="465"/>
      <c r="J87" s="466"/>
    </row>
    <row r="88" spans="2:11">
      <c r="B88" s="200" t="s">
        <v>45</v>
      </c>
      <c r="C88" s="464"/>
      <c r="D88" s="465"/>
      <c r="E88" s="465"/>
      <c r="F88" s="465"/>
      <c r="G88" s="465"/>
      <c r="H88" s="465"/>
      <c r="I88" s="465"/>
      <c r="J88" s="466"/>
    </row>
    <row r="89" spans="2:11">
      <c r="B89" s="200" t="s">
        <v>7</v>
      </c>
      <c r="C89" s="1101" t="s">
        <v>2180</v>
      </c>
      <c r="D89" s="475"/>
      <c r="E89" s="475"/>
      <c r="F89" s="475"/>
      <c r="G89" s="475"/>
      <c r="H89" s="475"/>
      <c r="I89" s="475"/>
      <c r="J89" s="476"/>
    </row>
    <row r="90" spans="2:11" ht="18">
      <c r="B90" s="205" t="s">
        <v>52</v>
      </c>
      <c r="C90" s="477" t="s">
        <v>53</v>
      </c>
      <c r="D90" s="477"/>
      <c r="E90" s="477"/>
      <c r="F90" s="477"/>
      <c r="G90" s="477"/>
      <c r="H90" s="205" t="s">
        <v>54</v>
      </c>
      <c r="I90" s="205" t="s">
        <v>55</v>
      </c>
      <c r="J90" s="205" t="s">
        <v>56</v>
      </c>
    </row>
    <row r="91" spans="2:11">
      <c r="B91" s="200">
        <v>1</v>
      </c>
      <c r="C91" s="1102" t="s">
        <v>2181</v>
      </c>
      <c r="D91" s="451"/>
      <c r="E91" s="451"/>
      <c r="F91" s="451"/>
      <c r="G91" s="451"/>
      <c r="H91" s="200"/>
      <c r="I91" s="207" t="s">
        <v>1692</v>
      </c>
      <c r="J91" s="200" t="s">
        <v>2081</v>
      </c>
    </row>
    <row r="92" spans="2:11">
      <c r="B92" s="200">
        <v>2</v>
      </c>
      <c r="C92" s="1102" t="s">
        <v>2182</v>
      </c>
      <c r="D92" s="451"/>
      <c r="E92" s="451"/>
      <c r="F92" s="451"/>
      <c r="G92" s="451"/>
      <c r="H92" s="200"/>
      <c r="I92" s="207" t="s">
        <v>1692</v>
      </c>
      <c r="J92" s="200"/>
    </row>
    <row r="93" spans="2:11">
      <c r="B93" s="200"/>
      <c r="C93" s="450"/>
      <c r="D93" s="450"/>
      <c r="E93" s="450"/>
      <c r="F93" s="450"/>
      <c r="G93" s="450"/>
      <c r="H93" s="200"/>
      <c r="I93" s="200"/>
      <c r="J93" s="200"/>
    </row>
    <row r="94" spans="2:11">
      <c r="B94" s="450" t="s">
        <v>63</v>
      </c>
      <c r="C94" s="450"/>
      <c r="D94" s="199" t="s">
        <v>31</v>
      </c>
      <c r="E94" s="198" t="s">
        <v>64</v>
      </c>
      <c r="F94" s="467"/>
      <c r="G94" s="469"/>
      <c r="H94" s="199"/>
      <c r="I94" s="199"/>
      <c r="J94" s="199"/>
    </row>
    <row r="95" spans="2:11" ht="45">
      <c r="B95" s="201" t="s">
        <v>66</v>
      </c>
      <c r="C95" s="450"/>
      <c r="D95" s="450"/>
      <c r="E95" s="201" t="s">
        <v>67</v>
      </c>
      <c r="F95" s="450"/>
      <c r="G95" s="450"/>
      <c r="H95" s="201" t="s">
        <v>68</v>
      </c>
      <c r="I95" s="450"/>
      <c r="J95" s="450"/>
    </row>
    <row r="96" spans="2:11">
      <c r="E96" s="152"/>
      <c r="F96" s="152"/>
      <c r="G96" s="152"/>
      <c r="H96" s="152"/>
      <c r="I96" s="152"/>
      <c r="J96" s="152"/>
      <c r="K96" s="152"/>
    </row>
    <row r="98" spans="2:10" ht="26.25">
      <c r="B98" s="446" t="s">
        <v>13</v>
      </c>
      <c r="C98" s="447"/>
      <c r="D98" s="446" t="s">
        <v>14</v>
      </c>
      <c r="E98" s="446"/>
      <c r="F98" s="446"/>
      <c r="G98" s="446"/>
      <c r="H98" s="446"/>
      <c r="I98" s="446"/>
      <c r="J98" s="197" t="s">
        <v>15</v>
      </c>
    </row>
    <row r="99" spans="2:10" ht="20.25">
      <c r="B99" s="447"/>
      <c r="C99" s="447"/>
      <c r="D99" s="448" t="s">
        <v>16</v>
      </c>
      <c r="E99" s="448"/>
      <c r="F99" s="448"/>
      <c r="G99" s="448"/>
      <c r="H99" s="448"/>
      <c r="I99" s="448"/>
      <c r="J99" s="197" t="s">
        <v>17</v>
      </c>
    </row>
    <row r="100" spans="2:10">
      <c r="B100" s="449" t="s">
        <v>18</v>
      </c>
      <c r="C100" s="449"/>
      <c r="D100" s="270">
        <v>45842</v>
      </c>
      <c r="E100" s="199" t="s">
        <v>1460</v>
      </c>
      <c r="F100" s="450" t="s">
        <v>131</v>
      </c>
      <c r="G100" s="450"/>
      <c r="H100" s="201" t="s">
        <v>21</v>
      </c>
      <c r="I100" s="202" t="s">
        <v>917</v>
      </c>
      <c r="J100" s="199" t="s">
        <v>23</v>
      </c>
    </row>
    <row r="101" spans="2:10">
      <c r="B101" s="449" t="s">
        <v>24</v>
      </c>
      <c r="C101" s="449"/>
      <c r="D101" s="203" t="s">
        <v>2183</v>
      </c>
      <c r="E101" s="204" t="s">
        <v>25</v>
      </c>
      <c r="F101" s="450" t="s">
        <v>26</v>
      </c>
      <c r="G101" s="450"/>
      <c r="H101" s="199" t="s">
        <v>27</v>
      </c>
      <c r="I101" s="202" t="s">
        <v>1523</v>
      </c>
      <c r="J101" s="202" t="s">
        <v>29</v>
      </c>
    </row>
    <row r="102" spans="2:10">
      <c r="B102" s="449" t="s">
        <v>30</v>
      </c>
      <c r="C102" s="449"/>
      <c r="D102" s="199" t="s">
        <v>31</v>
      </c>
      <c r="E102" s="199" t="s">
        <v>32</v>
      </c>
      <c r="F102" s="450">
        <v>158</v>
      </c>
      <c r="G102" s="450"/>
      <c r="H102" s="201" t="s">
        <v>33</v>
      </c>
      <c r="I102" s="247"/>
      <c r="J102" s="202"/>
    </row>
    <row r="103" spans="2:10">
      <c r="B103" s="451" t="s">
        <v>35</v>
      </c>
      <c r="C103" s="451"/>
      <c r="D103" s="449" t="s">
        <v>2022</v>
      </c>
      <c r="E103" s="449"/>
      <c r="F103" s="449"/>
      <c r="G103" s="449"/>
      <c r="H103" s="449"/>
      <c r="I103" s="449"/>
      <c r="J103" s="449"/>
    </row>
    <row r="104" spans="2:10">
      <c r="B104" s="452" t="s">
        <v>2184</v>
      </c>
      <c r="C104" s="453"/>
      <c r="D104" s="453"/>
      <c r="E104" s="453"/>
      <c r="F104" s="453"/>
      <c r="G104" s="453"/>
      <c r="H104" s="453"/>
      <c r="I104" s="453"/>
      <c r="J104" s="454"/>
    </row>
    <row r="105" spans="2:10">
      <c r="B105" s="455"/>
      <c r="C105" s="456"/>
      <c r="D105" s="456"/>
      <c r="E105" s="456"/>
      <c r="F105" s="456"/>
      <c r="G105" s="456"/>
      <c r="H105" s="456"/>
      <c r="I105" s="456"/>
      <c r="J105" s="457"/>
    </row>
    <row r="106" spans="2:10">
      <c r="B106" s="455"/>
      <c r="C106" s="456"/>
      <c r="D106" s="456"/>
      <c r="E106" s="456"/>
      <c r="F106" s="456"/>
      <c r="G106" s="456"/>
      <c r="H106" s="456"/>
      <c r="I106" s="456"/>
      <c r="J106" s="457"/>
    </row>
    <row r="107" spans="2:10">
      <c r="B107" s="458"/>
      <c r="C107" s="459"/>
      <c r="D107" s="459"/>
      <c r="E107" s="459"/>
      <c r="F107" s="459"/>
      <c r="G107" s="459"/>
      <c r="H107" s="459"/>
      <c r="I107" s="459"/>
      <c r="J107" s="460"/>
    </row>
    <row r="108" spans="2:10" ht="18">
      <c r="B108" s="461" t="s">
        <v>38</v>
      </c>
      <c r="C108" s="462"/>
      <c r="D108" s="462"/>
      <c r="E108" s="462"/>
      <c r="F108" s="462"/>
      <c r="G108" s="462"/>
      <c r="H108" s="462"/>
      <c r="I108" s="463"/>
      <c r="J108" s="205" t="s">
        <v>39</v>
      </c>
    </row>
    <row r="109" spans="2:10">
      <c r="B109" s="200">
        <v>1</v>
      </c>
      <c r="C109" s="464" t="s">
        <v>2185</v>
      </c>
      <c r="D109" s="465"/>
      <c r="E109" s="465"/>
      <c r="F109" s="465"/>
      <c r="G109" s="465"/>
      <c r="H109" s="465"/>
      <c r="I109" s="466"/>
      <c r="J109" s="200" t="s">
        <v>26</v>
      </c>
    </row>
    <row r="110" spans="2:10">
      <c r="B110" s="200">
        <v>2</v>
      </c>
      <c r="C110" s="464" t="s">
        <v>2186</v>
      </c>
      <c r="D110" s="465"/>
      <c r="E110" s="465"/>
      <c r="F110" s="465"/>
      <c r="G110" s="465"/>
      <c r="H110" s="465"/>
      <c r="I110" s="466"/>
      <c r="J110" s="200"/>
    </row>
    <row r="111" spans="2:10" ht="20.25" customHeight="1">
      <c r="B111" s="200">
        <v>3</v>
      </c>
      <c r="C111" s="464" t="s">
        <v>2187</v>
      </c>
      <c r="D111" s="465"/>
      <c r="E111" s="465"/>
      <c r="F111" s="465"/>
      <c r="G111" s="465"/>
      <c r="H111" s="465"/>
      <c r="I111" s="466"/>
      <c r="J111" s="200"/>
    </row>
    <row r="112" spans="2:10" ht="18">
      <c r="B112" s="461" t="s">
        <v>44</v>
      </c>
      <c r="C112" s="462"/>
      <c r="D112" s="462"/>
      <c r="E112" s="462"/>
      <c r="F112" s="462"/>
      <c r="G112" s="462"/>
      <c r="H112" s="462"/>
      <c r="I112" s="462"/>
      <c r="J112" s="463"/>
    </row>
    <row r="113" spans="2:10">
      <c r="B113" s="200" t="s">
        <v>45</v>
      </c>
      <c r="C113" s="1059" t="s">
        <v>2188</v>
      </c>
      <c r="D113" s="473"/>
      <c r="E113" s="473"/>
      <c r="F113" s="473"/>
      <c r="G113" s="473"/>
      <c r="H113" s="473"/>
      <c r="I113" s="473"/>
      <c r="J113" s="473"/>
    </row>
    <row r="114" spans="2:10">
      <c r="B114" s="206" t="s">
        <v>45</v>
      </c>
      <c r="C114" s="1059" t="s">
        <v>2189</v>
      </c>
      <c r="D114" s="473"/>
      <c r="E114" s="473"/>
      <c r="F114" s="473"/>
      <c r="G114" s="473"/>
      <c r="H114" s="473"/>
      <c r="I114" s="473"/>
      <c r="J114" s="473"/>
    </row>
    <row r="115" spans="2:10">
      <c r="B115" s="206" t="s">
        <v>45</v>
      </c>
      <c r="C115" s="1059"/>
      <c r="D115" s="473"/>
      <c r="E115" s="473"/>
      <c r="F115" s="473"/>
      <c r="G115" s="473"/>
      <c r="H115" s="473"/>
      <c r="I115" s="473"/>
      <c r="J115" s="473"/>
    </row>
    <row r="116" spans="2:10">
      <c r="B116" s="206" t="s">
        <v>45</v>
      </c>
      <c r="C116" s="1101"/>
      <c r="D116" s="475"/>
      <c r="E116" s="475"/>
      <c r="F116" s="475"/>
      <c r="G116" s="475"/>
      <c r="H116" s="475"/>
      <c r="I116" s="475"/>
      <c r="J116" s="476"/>
    </row>
    <row r="117" spans="2:10">
      <c r="B117" s="206" t="s">
        <v>45</v>
      </c>
      <c r="C117" s="464"/>
      <c r="D117" s="465"/>
      <c r="E117" s="465"/>
      <c r="F117" s="465"/>
      <c r="G117" s="465"/>
      <c r="H117" s="465"/>
      <c r="I117" s="465"/>
      <c r="J117" s="466"/>
    </row>
    <row r="118" spans="2:10">
      <c r="B118" s="206" t="s">
        <v>45</v>
      </c>
      <c r="C118" s="464"/>
      <c r="D118" s="465"/>
      <c r="E118" s="465"/>
      <c r="F118" s="465"/>
      <c r="G118" s="465"/>
      <c r="H118" s="465"/>
      <c r="I118" s="465"/>
      <c r="J118" s="466"/>
    </row>
    <row r="119" spans="2:10">
      <c r="B119" s="200" t="s">
        <v>45</v>
      </c>
      <c r="C119" s="464"/>
      <c r="D119" s="465"/>
      <c r="E119" s="465"/>
      <c r="F119" s="465"/>
      <c r="G119" s="465"/>
      <c r="H119" s="465"/>
      <c r="I119" s="465"/>
      <c r="J119" s="466"/>
    </row>
    <row r="120" spans="2:10">
      <c r="B120" s="200" t="s">
        <v>7</v>
      </c>
      <c r="C120" s="1059" t="s">
        <v>2188</v>
      </c>
      <c r="D120" s="473"/>
      <c r="E120" s="473"/>
      <c r="F120" s="473"/>
      <c r="G120" s="473"/>
      <c r="H120" s="473"/>
      <c r="I120" s="473"/>
      <c r="J120" s="473"/>
    </row>
    <row r="121" spans="2:10" ht="18">
      <c r="B121" s="205" t="s">
        <v>52</v>
      </c>
      <c r="C121" s="477" t="s">
        <v>53</v>
      </c>
      <c r="D121" s="477"/>
      <c r="E121" s="477"/>
      <c r="F121" s="477"/>
      <c r="G121" s="477"/>
      <c r="H121" s="205" t="s">
        <v>54</v>
      </c>
      <c r="I121" s="205" t="s">
        <v>55</v>
      </c>
      <c r="J121" s="205" t="s">
        <v>56</v>
      </c>
    </row>
    <row r="122" spans="2:10">
      <c r="B122" s="200">
        <v>1</v>
      </c>
      <c r="C122" s="1102" t="s">
        <v>2190</v>
      </c>
      <c r="D122" s="451"/>
      <c r="E122" s="451"/>
      <c r="F122" s="451"/>
      <c r="G122" s="451"/>
      <c r="H122" s="200" t="s">
        <v>2191</v>
      </c>
      <c r="I122" s="207" t="s">
        <v>1692</v>
      </c>
      <c r="J122" s="200" t="s">
        <v>2081</v>
      </c>
    </row>
    <row r="123" spans="2:10">
      <c r="B123" s="200">
        <v>2</v>
      </c>
      <c r="C123" s="1102" t="s">
        <v>2192</v>
      </c>
      <c r="D123" s="451"/>
      <c r="E123" s="451"/>
      <c r="F123" s="451"/>
      <c r="G123" s="451"/>
      <c r="H123" s="200" t="s">
        <v>2191</v>
      </c>
      <c r="I123" s="207" t="s">
        <v>1692</v>
      </c>
      <c r="J123" s="200" t="s">
        <v>2081</v>
      </c>
    </row>
    <row r="124" spans="2:10">
      <c r="B124" s="200"/>
      <c r="C124" s="450"/>
      <c r="D124" s="450"/>
      <c r="E124" s="450"/>
      <c r="F124" s="450"/>
      <c r="G124" s="450"/>
      <c r="H124" s="200"/>
      <c r="I124" s="200"/>
      <c r="J124" s="200"/>
    </row>
    <row r="125" spans="2:10">
      <c r="B125" s="450" t="s">
        <v>63</v>
      </c>
      <c r="C125" s="450"/>
      <c r="D125" s="199" t="s">
        <v>31</v>
      </c>
      <c r="E125" s="198" t="s">
        <v>64</v>
      </c>
      <c r="F125" s="467"/>
      <c r="G125" s="469"/>
      <c r="H125" s="199"/>
      <c r="I125" s="199"/>
      <c r="J125" s="199"/>
    </row>
    <row r="126" spans="2:10" ht="45">
      <c r="B126" s="201" t="s">
        <v>66</v>
      </c>
      <c r="C126" s="450"/>
      <c r="D126" s="450"/>
      <c r="E126" s="201" t="s">
        <v>67</v>
      </c>
      <c r="F126" s="450"/>
      <c r="G126" s="450"/>
      <c r="H126" s="201" t="s">
        <v>68</v>
      </c>
      <c r="I126" s="450"/>
      <c r="J126" s="450"/>
    </row>
    <row r="127" spans="2:10">
      <c r="B127" s="247"/>
      <c r="C127" s="253"/>
      <c r="D127" s="253"/>
      <c r="E127" s="247"/>
      <c r="F127" s="253"/>
      <c r="G127" s="253"/>
      <c r="H127" s="247"/>
      <c r="I127" s="253"/>
      <c r="J127" s="253"/>
    </row>
    <row r="128" spans="2:10">
      <c r="B128" s="247"/>
      <c r="C128" s="253"/>
      <c r="D128" s="253"/>
      <c r="E128" s="247"/>
      <c r="F128" s="253"/>
      <c r="G128" s="253"/>
      <c r="H128" s="247"/>
      <c r="I128" s="253"/>
      <c r="J128" s="253"/>
    </row>
    <row r="130" spans="2:10" ht="26.25">
      <c r="B130" s="446" t="s">
        <v>13</v>
      </c>
      <c r="C130" s="447"/>
      <c r="D130" s="446" t="s">
        <v>14</v>
      </c>
      <c r="E130" s="446"/>
      <c r="F130" s="446"/>
      <c r="G130" s="446"/>
      <c r="H130" s="446"/>
      <c r="I130" s="446"/>
      <c r="J130" s="197" t="s">
        <v>15</v>
      </c>
    </row>
    <row r="131" spans="2:10" ht="20.25">
      <c r="B131" s="447"/>
      <c r="C131" s="447"/>
      <c r="D131" s="448" t="s">
        <v>16</v>
      </c>
      <c r="E131" s="448"/>
      <c r="F131" s="448"/>
      <c r="G131" s="448"/>
      <c r="H131" s="448"/>
      <c r="I131" s="448"/>
      <c r="J131" s="197" t="s">
        <v>17</v>
      </c>
    </row>
    <row r="132" spans="2:10">
      <c r="B132" s="449" t="s">
        <v>18</v>
      </c>
      <c r="C132" s="449"/>
      <c r="D132" s="270">
        <v>45844</v>
      </c>
      <c r="E132" s="199" t="s">
        <v>1460</v>
      </c>
      <c r="F132" s="450" t="s">
        <v>159</v>
      </c>
      <c r="G132" s="450"/>
      <c r="H132" s="201" t="s">
        <v>21</v>
      </c>
      <c r="I132" s="202" t="s">
        <v>867</v>
      </c>
      <c r="J132" s="199" t="s">
        <v>23</v>
      </c>
    </row>
    <row r="133" spans="2:10">
      <c r="B133" s="449" t="s">
        <v>24</v>
      </c>
      <c r="C133" s="449"/>
      <c r="D133" s="203" t="s">
        <v>2193</v>
      </c>
      <c r="E133" s="204" t="s">
        <v>25</v>
      </c>
      <c r="F133" s="450" t="s">
        <v>26</v>
      </c>
      <c r="G133" s="450"/>
      <c r="H133" s="199" t="s">
        <v>27</v>
      </c>
      <c r="I133" s="202" t="s">
        <v>2194</v>
      </c>
      <c r="J133" s="202" t="s">
        <v>29</v>
      </c>
    </row>
    <row r="134" spans="2:10">
      <c r="B134" s="449" t="s">
        <v>30</v>
      </c>
      <c r="C134" s="449"/>
      <c r="D134" s="199" t="s">
        <v>31</v>
      </c>
      <c r="E134" s="199" t="s">
        <v>32</v>
      </c>
      <c r="F134" s="450">
        <v>80</v>
      </c>
      <c r="G134" s="450"/>
      <c r="H134" s="201" t="s">
        <v>33</v>
      </c>
      <c r="I134" s="247" t="s">
        <v>1546</v>
      </c>
      <c r="J134" s="202"/>
    </row>
    <row r="135" spans="2:10">
      <c r="B135" s="451" t="s">
        <v>35</v>
      </c>
      <c r="C135" s="451"/>
      <c r="D135" s="449" t="s">
        <v>2022</v>
      </c>
      <c r="E135" s="449"/>
      <c r="F135" s="449"/>
      <c r="G135" s="449"/>
      <c r="H135" s="449"/>
      <c r="I135" s="449"/>
      <c r="J135" s="449"/>
    </row>
    <row r="136" spans="2:10">
      <c r="B136" s="452" t="s">
        <v>2195</v>
      </c>
      <c r="C136" s="453"/>
      <c r="D136" s="453"/>
      <c r="E136" s="453"/>
      <c r="F136" s="453"/>
      <c r="G136" s="453"/>
      <c r="H136" s="453"/>
      <c r="I136" s="453"/>
      <c r="J136" s="454"/>
    </row>
    <row r="137" spans="2:10">
      <c r="B137" s="455"/>
      <c r="C137" s="456"/>
      <c r="D137" s="456"/>
      <c r="E137" s="456"/>
      <c r="F137" s="456"/>
      <c r="G137" s="456"/>
      <c r="H137" s="456"/>
      <c r="I137" s="456"/>
      <c r="J137" s="457"/>
    </row>
    <row r="138" spans="2:10">
      <c r="B138" s="455"/>
      <c r="C138" s="456"/>
      <c r="D138" s="456"/>
      <c r="E138" s="456"/>
      <c r="F138" s="456"/>
      <c r="G138" s="456"/>
      <c r="H138" s="456"/>
      <c r="I138" s="456"/>
      <c r="J138" s="457"/>
    </row>
    <row r="139" spans="2:10">
      <c r="B139" s="458"/>
      <c r="C139" s="459"/>
      <c r="D139" s="459"/>
      <c r="E139" s="459"/>
      <c r="F139" s="459"/>
      <c r="G139" s="459"/>
      <c r="H139" s="459"/>
      <c r="I139" s="459"/>
      <c r="J139" s="460"/>
    </row>
    <row r="140" spans="2:10" ht="18">
      <c r="B140" s="461" t="s">
        <v>38</v>
      </c>
      <c r="C140" s="462"/>
      <c r="D140" s="462"/>
      <c r="E140" s="462"/>
      <c r="F140" s="462"/>
      <c r="G140" s="462"/>
      <c r="H140" s="462"/>
      <c r="I140" s="463"/>
      <c r="J140" s="205" t="s">
        <v>39</v>
      </c>
    </row>
    <row r="141" spans="2:10">
      <c r="B141" s="200">
        <v>1</v>
      </c>
      <c r="C141" s="464" t="s">
        <v>2196</v>
      </c>
      <c r="D141" s="465"/>
      <c r="E141" s="465"/>
      <c r="F141" s="465"/>
      <c r="G141" s="465"/>
      <c r="H141" s="465"/>
      <c r="I141" s="466"/>
      <c r="J141" s="200" t="s">
        <v>26</v>
      </c>
    </row>
    <row r="142" spans="2:10">
      <c r="B142" s="200">
        <v>2</v>
      </c>
      <c r="C142" s="464" t="s">
        <v>2197</v>
      </c>
      <c r="D142" s="465"/>
      <c r="E142" s="465"/>
      <c r="F142" s="465"/>
      <c r="G142" s="465"/>
      <c r="H142" s="465"/>
      <c r="I142" s="466"/>
      <c r="J142" s="200"/>
    </row>
    <row r="143" spans="2:10">
      <c r="B143" s="200">
        <v>3</v>
      </c>
      <c r="C143" s="464"/>
      <c r="D143" s="465"/>
      <c r="E143" s="465"/>
      <c r="F143" s="465"/>
      <c r="G143" s="465"/>
      <c r="H143" s="465"/>
      <c r="I143" s="466"/>
      <c r="J143" s="200"/>
    </row>
    <row r="144" spans="2:10">
      <c r="B144" s="200"/>
      <c r="C144" s="281"/>
      <c r="J144" s="200"/>
    </row>
    <row r="145" spans="2:10" ht="18">
      <c r="B145" s="461" t="s">
        <v>44</v>
      </c>
      <c r="C145" s="462"/>
      <c r="D145" s="462"/>
      <c r="E145" s="462"/>
      <c r="F145" s="462"/>
      <c r="G145" s="462"/>
      <c r="H145" s="462"/>
      <c r="I145" s="462"/>
      <c r="J145" s="463"/>
    </row>
    <row r="146" spans="2:10">
      <c r="B146" s="200" t="s">
        <v>45</v>
      </c>
      <c r="C146" s="473" t="s">
        <v>2198</v>
      </c>
      <c r="D146" s="473"/>
      <c r="E146" s="473"/>
      <c r="F146" s="473"/>
      <c r="G146" s="473"/>
      <c r="H146" s="473"/>
      <c r="I146" s="473"/>
      <c r="J146" s="473"/>
    </row>
    <row r="147" spans="2:10">
      <c r="B147" s="206" t="s">
        <v>45</v>
      </c>
      <c r="C147" s="473" t="s">
        <v>2196</v>
      </c>
      <c r="D147" s="473"/>
      <c r="E147" s="473"/>
      <c r="F147" s="473"/>
      <c r="G147" s="473"/>
      <c r="H147" s="473"/>
      <c r="I147" s="473"/>
      <c r="J147" s="473"/>
    </row>
    <row r="148" spans="2:10">
      <c r="B148" s="206" t="s">
        <v>45</v>
      </c>
      <c r="C148" s="473" t="s">
        <v>2199</v>
      </c>
      <c r="D148" s="473"/>
      <c r="E148" s="473"/>
      <c r="F148" s="473"/>
      <c r="G148" s="473"/>
      <c r="H148" s="473"/>
      <c r="I148" s="473"/>
      <c r="J148" s="473"/>
    </row>
    <row r="149" spans="2:10">
      <c r="B149" s="206" t="s">
        <v>45</v>
      </c>
      <c r="C149" s="1101"/>
      <c r="D149" s="475"/>
      <c r="E149" s="475"/>
      <c r="F149" s="475"/>
      <c r="G149" s="475"/>
      <c r="H149" s="475"/>
      <c r="I149" s="475"/>
      <c r="J149" s="476"/>
    </row>
    <row r="150" spans="2:10">
      <c r="B150" s="206" t="s">
        <v>45</v>
      </c>
      <c r="C150" s="464"/>
      <c r="D150" s="465"/>
      <c r="E150" s="465"/>
      <c r="F150" s="465"/>
      <c r="G150" s="465"/>
      <c r="H150" s="465"/>
      <c r="I150" s="465"/>
      <c r="J150" s="466"/>
    </row>
    <row r="151" spans="2:10">
      <c r="B151" s="206" t="s">
        <v>45</v>
      </c>
      <c r="C151" s="464"/>
      <c r="D151" s="465"/>
      <c r="E151" s="465"/>
      <c r="F151" s="465"/>
      <c r="G151" s="465"/>
      <c r="H151" s="465"/>
      <c r="I151" s="465"/>
      <c r="J151" s="466"/>
    </row>
    <row r="152" spans="2:10">
      <c r="B152" s="200" t="s">
        <v>45</v>
      </c>
      <c r="C152" s="464"/>
      <c r="D152" s="465"/>
      <c r="E152" s="465"/>
      <c r="F152" s="465"/>
      <c r="G152" s="465"/>
      <c r="H152" s="465"/>
      <c r="I152" s="465"/>
      <c r="J152" s="466"/>
    </row>
    <row r="153" spans="2:10">
      <c r="B153" s="200" t="s">
        <v>7</v>
      </c>
      <c r="C153" s="473" t="s">
        <v>2196</v>
      </c>
      <c r="D153" s="473"/>
      <c r="E153" s="473"/>
      <c r="F153" s="473"/>
      <c r="G153" s="473"/>
      <c r="H153" s="473"/>
      <c r="I153" s="473"/>
      <c r="J153" s="473"/>
    </row>
    <row r="154" spans="2:10" ht="18">
      <c r="B154" s="205" t="s">
        <v>52</v>
      </c>
      <c r="C154" s="477" t="s">
        <v>53</v>
      </c>
      <c r="D154" s="477"/>
      <c r="E154" s="477"/>
      <c r="F154" s="477"/>
      <c r="G154" s="477"/>
      <c r="H154" s="205" t="s">
        <v>54</v>
      </c>
      <c r="I154" s="205" t="s">
        <v>55</v>
      </c>
      <c r="J154" s="205" t="s">
        <v>56</v>
      </c>
    </row>
    <row r="155" spans="2:10">
      <c r="B155" s="200">
        <v>1</v>
      </c>
      <c r="C155" s="1102" t="s">
        <v>2200</v>
      </c>
      <c r="D155" s="451"/>
      <c r="E155" s="451"/>
      <c r="F155" s="451"/>
      <c r="G155" s="451"/>
      <c r="H155" s="200" t="s">
        <v>2092</v>
      </c>
      <c r="I155" s="207" t="s">
        <v>1692</v>
      </c>
      <c r="J155" s="200" t="s">
        <v>2081</v>
      </c>
    </row>
    <row r="156" spans="2:10">
      <c r="B156" s="200">
        <v>2</v>
      </c>
      <c r="C156" s="1102" t="s">
        <v>2201</v>
      </c>
      <c r="D156" s="451"/>
      <c r="E156" s="451"/>
      <c r="F156" s="451"/>
      <c r="G156" s="451"/>
      <c r="H156" s="200" t="s">
        <v>2092</v>
      </c>
      <c r="I156" s="207" t="s">
        <v>1692</v>
      </c>
      <c r="J156" s="200" t="s">
        <v>2081</v>
      </c>
    </row>
    <row r="157" spans="2:10">
      <c r="B157" s="200"/>
      <c r="C157" s="450"/>
      <c r="D157" s="450"/>
      <c r="E157" s="450"/>
      <c r="F157" s="450"/>
      <c r="G157" s="450"/>
      <c r="H157" s="200"/>
      <c r="I157" s="200"/>
      <c r="J157" s="200"/>
    </row>
    <row r="158" spans="2:10">
      <c r="B158" s="450" t="s">
        <v>63</v>
      </c>
      <c r="C158" s="450"/>
      <c r="D158" s="199" t="s">
        <v>31</v>
      </c>
      <c r="E158" s="198" t="s">
        <v>64</v>
      </c>
      <c r="F158" s="467"/>
      <c r="G158" s="469"/>
      <c r="H158" s="199"/>
      <c r="I158" s="199"/>
      <c r="J158" s="199"/>
    </row>
    <row r="159" spans="2:10" ht="45">
      <c r="B159" s="201" t="s">
        <v>66</v>
      </c>
      <c r="C159" s="450"/>
      <c r="D159" s="450"/>
      <c r="E159" s="201" t="s">
        <v>67</v>
      </c>
      <c r="F159" s="450"/>
      <c r="G159" s="450"/>
      <c r="H159" s="201" t="s">
        <v>68</v>
      </c>
      <c r="I159" s="450"/>
      <c r="J159" s="450"/>
    </row>
    <row r="161" spans="2:10" ht="26.25">
      <c r="B161" s="446" t="s">
        <v>13</v>
      </c>
      <c r="C161" s="447"/>
      <c r="D161" s="446" t="s">
        <v>14</v>
      </c>
      <c r="E161" s="446"/>
      <c r="F161" s="446"/>
      <c r="G161" s="446"/>
      <c r="H161" s="446"/>
      <c r="I161" s="446"/>
      <c r="J161" s="197" t="s">
        <v>15</v>
      </c>
    </row>
    <row r="162" spans="2:10" ht="20.25">
      <c r="B162" s="447"/>
      <c r="C162" s="447"/>
      <c r="D162" s="448" t="s">
        <v>16</v>
      </c>
      <c r="E162" s="448"/>
      <c r="F162" s="448"/>
      <c r="G162" s="448"/>
      <c r="H162" s="448"/>
      <c r="I162" s="448"/>
      <c r="J162" s="197" t="s">
        <v>17</v>
      </c>
    </row>
    <row r="163" spans="2:10">
      <c r="B163" s="449" t="s">
        <v>18</v>
      </c>
      <c r="C163" s="449"/>
      <c r="D163" s="270">
        <v>45849</v>
      </c>
      <c r="E163" s="199" t="s">
        <v>1460</v>
      </c>
      <c r="F163" s="450" t="s">
        <v>131</v>
      </c>
      <c r="G163" s="450"/>
      <c r="H163" s="201" t="s">
        <v>21</v>
      </c>
      <c r="I163" s="202" t="s">
        <v>917</v>
      </c>
      <c r="J163" s="199" t="s">
        <v>23</v>
      </c>
    </row>
    <row r="164" spans="2:10" ht="45">
      <c r="B164" s="449" t="s">
        <v>24</v>
      </c>
      <c r="C164" s="449"/>
      <c r="D164" s="203">
        <v>0.12152777777777778</v>
      </c>
      <c r="E164" s="204" t="s">
        <v>25</v>
      </c>
      <c r="F164" s="450" t="s">
        <v>26</v>
      </c>
      <c r="G164" s="450"/>
      <c r="H164" s="199" t="s">
        <v>27</v>
      </c>
      <c r="I164" s="202" t="s">
        <v>2202</v>
      </c>
      <c r="J164" s="202" t="s">
        <v>29</v>
      </c>
    </row>
    <row r="165" spans="2:10">
      <c r="B165" s="449" t="s">
        <v>30</v>
      </c>
      <c r="C165" s="449"/>
      <c r="D165" s="199" t="s">
        <v>31</v>
      </c>
      <c r="E165" s="199" t="s">
        <v>32</v>
      </c>
      <c r="F165" s="450">
        <v>190</v>
      </c>
      <c r="G165" s="450"/>
      <c r="H165" s="201" t="s">
        <v>33</v>
      </c>
      <c r="I165" s="247"/>
      <c r="J165" s="202"/>
    </row>
    <row r="166" spans="2:10">
      <c r="B166" s="451" t="s">
        <v>35</v>
      </c>
      <c r="C166" s="451"/>
      <c r="D166" s="449" t="s">
        <v>2203</v>
      </c>
      <c r="E166" s="449"/>
      <c r="F166" s="449"/>
      <c r="G166" s="449"/>
      <c r="H166" s="449"/>
      <c r="I166" s="449"/>
      <c r="J166" s="449"/>
    </row>
    <row r="167" spans="2:10">
      <c r="B167" s="452" t="s">
        <v>2204</v>
      </c>
      <c r="C167" s="453"/>
      <c r="D167" s="453"/>
      <c r="E167" s="453"/>
      <c r="F167" s="453"/>
      <c r="G167" s="453"/>
      <c r="H167" s="453"/>
      <c r="I167" s="453"/>
      <c r="J167" s="454"/>
    </row>
    <row r="168" spans="2:10">
      <c r="B168" s="455"/>
      <c r="C168" s="456"/>
      <c r="D168" s="456"/>
      <c r="E168" s="456"/>
      <c r="F168" s="456"/>
      <c r="G168" s="456"/>
      <c r="H168" s="456"/>
      <c r="I168" s="456"/>
      <c r="J168" s="457"/>
    </row>
    <row r="169" spans="2:10">
      <c r="B169" s="455"/>
      <c r="C169" s="456"/>
      <c r="D169" s="456"/>
      <c r="E169" s="456"/>
      <c r="F169" s="456"/>
      <c r="G169" s="456"/>
      <c r="H169" s="456"/>
      <c r="I169" s="456"/>
      <c r="J169" s="457"/>
    </row>
    <row r="170" spans="2:10">
      <c r="B170" s="458"/>
      <c r="C170" s="459"/>
      <c r="D170" s="459"/>
      <c r="E170" s="459"/>
      <c r="F170" s="459"/>
      <c r="G170" s="459"/>
      <c r="H170" s="459"/>
      <c r="I170" s="459"/>
      <c r="J170" s="460"/>
    </row>
    <row r="171" spans="2:10" ht="18">
      <c r="B171" s="461" t="s">
        <v>38</v>
      </c>
      <c r="C171" s="462"/>
      <c r="D171" s="462"/>
      <c r="E171" s="462"/>
      <c r="F171" s="462"/>
      <c r="G171" s="462"/>
      <c r="H171" s="462"/>
      <c r="I171" s="463"/>
      <c r="J171" s="205" t="s">
        <v>39</v>
      </c>
    </row>
    <row r="172" spans="2:10">
      <c r="B172" s="200">
        <v>1</v>
      </c>
      <c r="C172" s="464" t="s">
        <v>2205</v>
      </c>
      <c r="D172" s="465"/>
      <c r="E172" s="465"/>
      <c r="F172" s="465"/>
      <c r="G172" s="465"/>
      <c r="H172" s="465"/>
      <c r="I172" s="466"/>
      <c r="J172" s="200" t="s">
        <v>26</v>
      </c>
    </row>
    <row r="173" spans="2:10">
      <c r="B173" s="200">
        <v>2</v>
      </c>
      <c r="C173" s="464" t="s">
        <v>2206</v>
      </c>
      <c r="D173" s="465"/>
      <c r="E173" s="465"/>
      <c r="F173" s="465"/>
      <c r="G173" s="465"/>
      <c r="H173" s="465"/>
      <c r="I173" s="466"/>
      <c r="J173" s="200"/>
    </row>
    <row r="174" spans="2:10">
      <c r="B174" s="200">
        <v>3</v>
      </c>
      <c r="C174" s="464" t="s">
        <v>2207</v>
      </c>
      <c r="D174" s="465"/>
      <c r="E174" s="465"/>
      <c r="F174" s="465"/>
      <c r="G174" s="465"/>
      <c r="H174" s="465"/>
      <c r="I174" s="466"/>
      <c r="J174" s="200"/>
    </row>
    <row r="175" spans="2:10" ht="18">
      <c r="B175" s="461" t="s">
        <v>44</v>
      </c>
      <c r="C175" s="462"/>
      <c r="D175" s="462"/>
      <c r="E175" s="462"/>
      <c r="F175" s="462"/>
      <c r="G175" s="462"/>
      <c r="H175" s="462"/>
      <c r="I175" s="462"/>
      <c r="J175" s="463"/>
    </row>
    <row r="176" spans="2:10">
      <c r="B176" s="200" t="s">
        <v>45</v>
      </c>
      <c r="C176" s="473" t="s">
        <v>2208</v>
      </c>
      <c r="D176" s="473"/>
      <c r="E176" s="473"/>
      <c r="F176" s="473"/>
      <c r="G176" s="473"/>
      <c r="H176" s="473"/>
      <c r="I176" s="473"/>
      <c r="J176" s="473"/>
    </row>
    <row r="177" spans="2:10">
      <c r="B177" s="206" t="s">
        <v>45</v>
      </c>
      <c r="C177" s="473" t="s">
        <v>2209</v>
      </c>
      <c r="D177" s="473"/>
      <c r="E177" s="473"/>
      <c r="F177" s="473"/>
      <c r="G177" s="473"/>
      <c r="H177" s="473"/>
      <c r="I177" s="473"/>
      <c r="J177" s="473"/>
    </row>
    <row r="178" spans="2:10">
      <c r="B178" s="206" t="s">
        <v>45</v>
      </c>
      <c r="C178" s="473" t="s">
        <v>2210</v>
      </c>
      <c r="D178" s="473"/>
      <c r="E178" s="473"/>
      <c r="F178" s="473"/>
      <c r="G178" s="473"/>
      <c r="H178" s="473"/>
      <c r="I178" s="473"/>
      <c r="J178" s="473"/>
    </row>
    <row r="179" spans="2:10">
      <c r="B179" s="206" t="s">
        <v>45</v>
      </c>
      <c r="C179" s="1101" t="s">
        <v>2211</v>
      </c>
      <c r="D179" s="475"/>
      <c r="E179" s="475"/>
      <c r="F179" s="475"/>
      <c r="G179" s="475"/>
      <c r="H179" s="475"/>
      <c r="I179" s="475"/>
      <c r="J179" s="476"/>
    </row>
    <row r="180" spans="2:10">
      <c r="B180" s="206" t="s">
        <v>45</v>
      </c>
      <c r="C180" s="464"/>
      <c r="D180" s="465"/>
      <c r="E180" s="465"/>
      <c r="F180" s="465"/>
      <c r="G180" s="465"/>
      <c r="H180" s="465"/>
      <c r="I180" s="465"/>
      <c r="J180" s="466"/>
    </row>
    <row r="181" spans="2:10">
      <c r="B181" s="206" t="s">
        <v>45</v>
      </c>
      <c r="C181" s="464"/>
      <c r="D181" s="465"/>
      <c r="E181" s="465"/>
      <c r="F181" s="465"/>
      <c r="G181" s="465"/>
      <c r="H181" s="465"/>
      <c r="I181" s="465"/>
      <c r="J181" s="466"/>
    </row>
    <row r="182" spans="2:10">
      <c r="B182" s="200" t="s">
        <v>45</v>
      </c>
      <c r="C182" s="464"/>
      <c r="D182" s="465"/>
      <c r="E182" s="465"/>
      <c r="F182" s="465"/>
      <c r="G182" s="465"/>
      <c r="H182" s="465"/>
      <c r="I182" s="465"/>
      <c r="J182" s="466"/>
    </row>
    <row r="183" spans="2:10">
      <c r="B183" s="200" t="s">
        <v>7</v>
      </c>
      <c r="C183" s="473" t="s">
        <v>2212</v>
      </c>
      <c r="D183" s="473"/>
      <c r="E183" s="473"/>
      <c r="F183" s="473"/>
      <c r="G183" s="473"/>
      <c r="H183" s="473"/>
      <c r="I183" s="473"/>
      <c r="J183" s="473"/>
    </row>
    <row r="184" spans="2:10" ht="18">
      <c r="B184" s="205" t="s">
        <v>52</v>
      </c>
      <c r="C184" s="477" t="s">
        <v>53</v>
      </c>
      <c r="D184" s="477"/>
      <c r="E184" s="477"/>
      <c r="F184" s="477"/>
      <c r="G184" s="477"/>
      <c r="H184" s="205" t="s">
        <v>54</v>
      </c>
      <c r="I184" s="205" t="s">
        <v>55</v>
      </c>
      <c r="J184" s="205" t="s">
        <v>56</v>
      </c>
    </row>
    <row r="185" spans="2:10">
      <c r="B185" s="200">
        <v>1</v>
      </c>
      <c r="C185" s="1102" t="s">
        <v>2213</v>
      </c>
      <c r="D185" s="451"/>
      <c r="E185" s="451"/>
      <c r="F185" s="451"/>
      <c r="G185" s="451"/>
      <c r="H185" s="200" t="s">
        <v>1556</v>
      </c>
      <c r="I185" s="207" t="s">
        <v>1692</v>
      </c>
      <c r="J185" s="200"/>
    </row>
    <row r="186" spans="2:10">
      <c r="B186" s="200">
        <v>2</v>
      </c>
      <c r="C186" s="1104" t="s">
        <v>2214</v>
      </c>
      <c r="D186" s="1105"/>
      <c r="E186" s="1105"/>
      <c r="F186" s="1105"/>
      <c r="G186" s="1106"/>
      <c r="H186" s="200" t="s">
        <v>2092</v>
      </c>
      <c r="I186" s="207" t="s">
        <v>1692</v>
      </c>
      <c r="J186" s="200"/>
    </row>
    <row r="187" spans="2:10">
      <c r="B187" s="200">
        <v>3</v>
      </c>
      <c r="C187" s="449" t="s">
        <v>2215</v>
      </c>
      <c r="D187" s="449"/>
      <c r="E187" s="449"/>
      <c r="F187" s="449"/>
      <c r="G187" s="449"/>
      <c r="H187" s="200" t="s">
        <v>1800</v>
      </c>
      <c r="I187" s="207" t="s">
        <v>1692</v>
      </c>
      <c r="J187" s="200"/>
    </row>
    <row r="188" spans="2:10">
      <c r="B188" s="200">
        <v>4</v>
      </c>
      <c r="C188" s="449" t="s">
        <v>2216</v>
      </c>
      <c r="D188" s="449"/>
      <c r="E188" s="449"/>
      <c r="F188" s="449"/>
      <c r="G188" s="449"/>
      <c r="H188" s="200" t="s">
        <v>1800</v>
      </c>
      <c r="I188" s="207" t="s">
        <v>1692</v>
      </c>
      <c r="J188" s="200" t="s">
        <v>2217</v>
      </c>
    </row>
    <row r="189" spans="2:10">
      <c r="B189" s="450" t="s">
        <v>63</v>
      </c>
      <c r="C189" s="450"/>
      <c r="D189" s="199" t="s">
        <v>31</v>
      </c>
      <c r="E189" s="198" t="s">
        <v>64</v>
      </c>
      <c r="F189" s="467"/>
      <c r="G189" s="469"/>
      <c r="H189" s="199"/>
      <c r="I189" s="199"/>
      <c r="J189" s="199"/>
    </row>
    <row r="190" spans="2:10" ht="45">
      <c r="B190" s="201" t="s">
        <v>66</v>
      </c>
      <c r="C190" s="450"/>
      <c r="D190" s="450"/>
      <c r="E190" s="201" t="s">
        <v>67</v>
      </c>
      <c r="F190" s="450"/>
      <c r="G190" s="450"/>
      <c r="H190" s="201" t="s">
        <v>68</v>
      </c>
      <c r="I190" s="450"/>
      <c r="J190" s="450"/>
    </row>
    <row r="192" spans="2:10" ht="26.25" customHeight="1">
      <c r="B192" s="446"/>
      <c r="C192" s="447"/>
      <c r="D192" s="446"/>
      <c r="E192" s="446"/>
      <c r="F192" s="446"/>
      <c r="G192" s="446"/>
      <c r="H192" s="446"/>
      <c r="I192" s="446"/>
      <c r="J192" s="197"/>
    </row>
    <row r="193" spans="2:10" ht="20.25" customHeight="1">
      <c r="B193" s="447"/>
      <c r="C193" s="447"/>
      <c r="D193" s="448"/>
      <c r="E193" s="448"/>
      <c r="F193" s="448"/>
      <c r="G193" s="448"/>
      <c r="H193" s="448"/>
      <c r="I193" s="448"/>
      <c r="J193" s="197"/>
    </row>
    <row r="194" spans="2:10" ht="15" customHeight="1"/>
    <row r="197" spans="2:10" ht="26.25">
      <c r="B197" s="446" t="s">
        <v>13</v>
      </c>
      <c r="C197" s="447"/>
      <c r="D197" s="446" t="s">
        <v>14</v>
      </c>
      <c r="E197" s="446"/>
      <c r="F197" s="446"/>
      <c r="G197" s="446"/>
      <c r="H197" s="446"/>
      <c r="I197" s="446"/>
      <c r="J197" s="197" t="s">
        <v>15</v>
      </c>
    </row>
    <row r="198" spans="2:10" ht="20.25">
      <c r="B198" s="447"/>
      <c r="C198" s="447"/>
      <c r="D198" s="448" t="s">
        <v>16</v>
      </c>
      <c r="E198" s="448"/>
      <c r="F198" s="448"/>
      <c r="G198" s="448"/>
      <c r="H198" s="448"/>
      <c r="I198" s="448"/>
      <c r="J198" s="197" t="s">
        <v>17</v>
      </c>
    </row>
    <row r="199" spans="2:10">
      <c r="B199" s="449" t="s">
        <v>18</v>
      </c>
      <c r="C199" s="449"/>
      <c r="D199" s="270">
        <v>45851</v>
      </c>
      <c r="E199" s="199" t="s">
        <v>1460</v>
      </c>
      <c r="F199" s="450" t="s">
        <v>124</v>
      </c>
      <c r="G199" s="450"/>
      <c r="H199" s="201" t="s">
        <v>21</v>
      </c>
      <c r="I199" s="202" t="s">
        <v>917</v>
      </c>
      <c r="J199" s="199" t="s">
        <v>23</v>
      </c>
    </row>
    <row r="200" spans="2:10">
      <c r="B200" s="449" t="s">
        <v>24</v>
      </c>
      <c r="C200" s="449"/>
      <c r="D200" s="203">
        <v>1.7361111111111112E-2</v>
      </c>
      <c r="E200" s="204" t="s">
        <v>25</v>
      </c>
      <c r="F200" s="450" t="s">
        <v>26</v>
      </c>
      <c r="G200" s="450"/>
      <c r="H200" s="199" t="s">
        <v>27</v>
      </c>
      <c r="I200" s="202" t="s">
        <v>2218</v>
      </c>
      <c r="J200" s="202" t="s">
        <v>31</v>
      </c>
    </row>
    <row r="201" spans="2:10">
      <c r="B201" s="449" t="s">
        <v>30</v>
      </c>
      <c r="C201" s="449"/>
      <c r="D201" s="199" t="s">
        <v>31</v>
      </c>
      <c r="E201" s="199" t="s">
        <v>32</v>
      </c>
      <c r="F201" s="450">
        <v>30</v>
      </c>
      <c r="G201" s="450"/>
      <c r="H201" s="201" t="s">
        <v>33</v>
      </c>
      <c r="I201" s="247" t="s">
        <v>2219</v>
      </c>
      <c r="J201" s="202"/>
    </row>
    <row r="202" spans="2:10">
      <c r="B202" s="451" t="s">
        <v>35</v>
      </c>
      <c r="C202" s="451"/>
      <c r="D202" s="449" t="s">
        <v>2220</v>
      </c>
      <c r="E202" s="449"/>
      <c r="F202" s="449"/>
      <c r="G202" s="449"/>
      <c r="H202" s="449"/>
      <c r="I202" s="449"/>
      <c r="J202" s="449"/>
    </row>
    <row r="203" spans="2:10">
      <c r="B203" s="452" t="s">
        <v>2221</v>
      </c>
      <c r="C203" s="453"/>
      <c r="D203" s="453"/>
      <c r="E203" s="453"/>
      <c r="F203" s="453"/>
      <c r="G203" s="453"/>
      <c r="H203" s="453"/>
      <c r="I203" s="453"/>
      <c r="J203" s="454"/>
    </row>
    <row r="204" spans="2:10">
      <c r="B204" s="455"/>
      <c r="C204" s="456"/>
      <c r="D204" s="456"/>
      <c r="E204" s="456"/>
      <c r="F204" s="456"/>
      <c r="G204" s="456"/>
      <c r="H204" s="456"/>
      <c r="I204" s="456"/>
      <c r="J204" s="457"/>
    </row>
    <row r="205" spans="2:10">
      <c r="B205" s="455"/>
      <c r="C205" s="456"/>
      <c r="D205" s="456"/>
      <c r="E205" s="456"/>
      <c r="F205" s="456"/>
      <c r="G205" s="456"/>
      <c r="H205" s="456"/>
      <c r="I205" s="456"/>
      <c r="J205" s="457"/>
    </row>
    <row r="206" spans="2:10">
      <c r="B206" s="458"/>
      <c r="C206" s="459"/>
      <c r="D206" s="459"/>
      <c r="E206" s="459"/>
      <c r="F206" s="459"/>
      <c r="G206" s="459"/>
      <c r="H206" s="459"/>
      <c r="I206" s="459"/>
      <c r="J206" s="460"/>
    </row>
    <row r="207" spans="2:10" ht="18">
      <c r="B207" s="461" t="s">
        <v>38</v>
      </c>
      <c r="C207" s="462"/>
      <c r="D207" s="462"/>
      <c r="E207" s="462"/>
      <c r="F207" s="462"/>
      <c r="G207" s="462"/>
      <c r="H207" s="462"/>
      <c r="I207" s="463"/>
      <c r="J207" s="205" t="s">
        <v>39</v>
      </c>
    </row>
    <row r="208" spans="2:10">
      <c r="B208" s="200">
        <v>1</v>
      </c>
      <c r="C208" s="464" t="s">
        <v>2222</v>
      </c>
      <c r="D208" s="465"/>
      <c r="E208" s="465"/>
      <c r="F208" s="465"/>
      <c r="G208" s="465"/>
      <c r="H208" s="465"/>
      <c r="I208" s="466"/>
      <c r="J208" s="200" t="s">
        <v>26</v>
      </c>
    </row>
    <row r="209" spans="2:10">
      <c r="B209" s="200">
        <v>2</v>
      </c>
      <c r="C209" s="464" t="s">
        <v>2223</v>
      </c>
      <c r="D209" s="465"/>
      <c r="E209" s="465"/>
      <c r="F209" s="465"/>
      <c r="G209" s="465"/>
      <c r="H209" s="465"/>
      <c r="I209" s="466"/>
      <c r="J209" s="200"/>
    </row>
    <row r="210" spans="2:10">
      <c r="B210" s="200">
        <v>3</v>
      </c>
      <c r="C210" s="464" t="s">
        <v>2224</v>
      </c>
      <c r="D210" s="465"/>
      <c r="E210" s="465"/>
      <c r="F210" s="465"/>
      <c r="G210" s="465"/>
      <c r="H210" s="465"/>
      <c r="I210" s="466"/>
      <c r="J210" s="200"/>
    </row>
    <row r="211" spans="2:10" ht="18">
      <c r="B211" s="461" t="s">
        <v>44</v>
      </c>
      <c r="C211" s="462"/>
      <c r="D211" s="462"/>
      <c r="E211" s="462"/>
      <c r="F211" s="462"/>
      <c r="G211" s="462"/>
      <c r="H211" s="462"/>
      <c r="I211" s="462"/>
      <c r="J211" s="463"/>
    </row>
    <row r="212" spans="2:10">
      <c r="B212" s="200" t="s">
        <v>45</v>
      </c>
      <c r="C212" s="473" t="s">
        <v>2225</v>
      </c>
      <c r="D212" s="473"/>
      <c r="E212" s="473"/>
      <c r="F212" s="473"/>
      <c r="G212" s="473"/>
      <c r="H212" s="473"/>
      <c r="I212" s="473"/>
      <c r="J212" s="473"/>
    </row>
    <row r="213" spans="2:10">
      <c r="B213" s="206" t="s">
        <v>45</v>
      </c>
      <c r="C213" s="473" t="s">
        <v>2226</v>
      </c>
      <c r="D213" s="473"/>
      <c r="E213" s="473"/>
      <c r="F213" s="473"/>
      <c r="G213" s="473"/>
      <c r="H213" s="473"/>
      <c r="I213" s="473"/>
      <c r="J213" s="473"/>
    </row>
    <row r="214" spans="2:10">
      <c r="B214" s="206" t="s">
        <v>45</v>
      </c>
      <c r="C214" s="473" t="s">
        <v>2227</v>
      </c>
      <c r="D214" s="473"/>
      <c r="E214" s="473"/>
      <c r="F214" s="473"/>
      <c r="G214" s="473"/>
      <c r="H214" s="473"/>
      <c r="I214" s="473"/>
      <c r="J214" s="473"/>
    </row>
    <row r="215" spans="2:10">
      <c r="B215" s="206" t="s">
        <v>45</v>
      </c>
      <c r="C215" s="1101" t="s">
        <v>2228</v>
      </c>
      <c r="D215" s="475"/>
      <c r="E215" s="475"/>
      <c r="F215" s="475"/>
      <c r="G215" s="475"/>
      <c r="H215" s="475"/>
      <c r="I215" s="475"/>
      <c r="J215" s="476"/>
    </row>
    <row r="216" spans="2:10">
      <c r="B216" s="206" t="s">
        <v>45</v>
      </c>
      <c r="C216" s="464"/>
      <c r="D216" s="465"/>
      <c r="E216" s="465"/>
      <c r="F216" s="465"/>
      <c r="G216" s="465"/>
      <c r="H216" s="465"/>
      <c r="I216" s="465"/>
      <c r="J216" s="466"/>
    </row>
    <row r="217" spans="2:10">
      <c r="B217" s="206" t="s">
        <v>45</v>
      </c>
      <c r="C217" s="464"/>
      <c r="D217" s="465"/>
      <c r="E217" s="465"/>
      <c r="F217" s="465"/>
      <c r="G217" s="465"/>
      <c r="H217" s="465"/>
      <c r="I217" s="465"/>
      <c r="J217" s="466"/>
    </row>
    <row r="218" spans="2:10">
      <c r="B218" s="200" t="s">
        <v>45</v>
      </c>
      <c r="C218" s="464"/>
      <c r="D218" s="465"/>
      <c r="E218" s="465"/>
      <c r="F218" s="465"/>
      <c r="G218" s="465"/>
      <c r="H218" s="465"/>
      <c r="I218" s="465"/>
      <c r="J218" s="466"/>
    </row>
    <row r="219" spans="2:10">
      <c r="B219" s="200" t="s">
        <v>7</v>
      </c>
      <c r="C219" s="473" t="s">
        <v>2229</v>
      </c>
      <c r="D219" s="473"/>
      <c r="E219" s="473"/>
      <c r="F219" s="473"/>
      <c r="G219" s="473"/>
      <c r="H219" s="473"/>
      <c r="I219" s="473"/>
      <c r="J219" s="473"/>
    </row>
    <row r="220" spans="2:10" ht="18">
      <c r="B220" s="205" t="s">
        <v>52</v>
      </c>
      <c r="C220" s="477" t="s">
        <v>53</v>
      </c>
      <c r="D220" s="477"/>
      <c r="E220" s="477"/>
      <c r="F220" s="477"/>
      <c r="G220" s="477"/>
      <c r="H220" s="205" t="s">
        <v>54</v>
      </c>
      <c r="I220" s="205" t="s">
        <v>55</v>
      </c>
      <c r="J220" s="205" t="s">
        <v>56</v>
      </c>
    </row>
    <row r="221" spans="2:10" ht="21.75" customHeight="1">
      <c r="B221" s="200">
        <v>1</v>
      </c>
      <c r="C221" s="1102" t="s">
        <v>2230</v>
      </c>
      <c r="D221" s="451"/>
      <c r="E221" s="451"/>
      <c r="F221" s="451"/>
      <c r="G221" s="451"/>
      <c r="H221" s="200" t="s">
        <v>2231</v>
      </c>
      <c r="I221" s="207" t="s">
        <v>1692</v>
      </c>
      <c r="J221" s="200"/>
    </row>
    <row r="222" spans="2:10" ht="21.75" customHeight="1">
      <c r="B222" s="200">
        <v>2</v>
      </c>
      <c r="C222" s="1102" t="s">
        <v>2232</v>
      </c>
      <c r="D222" s="451"/>
      <c r="E222" s="451"/>
      <c r="F222" s="451"/>
      <c r="G222" s="451"/>
      <c r="H222" s="200"/>
      <c r="I222" s="207"/>
      <c r="J222" s="200"/>
    </row>
    <row r="223" spans="2:10">
      <c r="B223" s="200">
        <v>3</v>
      </c>
      <c r="C223" s="449"/>
      <c r="D223" s="449"/>
      <c r="E223" s="449"/>
      <c r="F223" s="449"/>
      <c r="G223" s="449"/>
      <c r="H223" s="200"/>
      <c r="I223" s="207"/>
      <c r="J223" s="200"/>
    </row>
    <row r="224" spans="2:10">
      <c r="B224" s="450" t="s">
        <v>63</v>
      </c>
      <c r="C224" s="450"/>
      <c r="D224" s="199" t="s">
        <v>31</v>
      </c>
      <c r="E224" s="198" t="s">
        <v>64</v>
      </c>
      <c r="F224" s="467"/>
      <c r="G224" s="469"/>
      <c r="H224" s="199"/>
      <c r="I224" s="199"/>
      <c r="J224" s="199"/>
    </row>
    <row r="225" spans="2:10" ht="45">
      <c r="B225" s="201" t="s">
        <v>66</v>
      </c>
      <c r="C225" s="450"/>
      <c r="D225" s="450"/>
      <c r="E225" s="201" t="s">
        <v>67</v>
      </c>
      <c r="F225" s="450"/>
      <c r="G225" s="450"/>
      <c r="H225" s="201" t="s">
        <v>68</v>
      </c>
      <c r="I225" s="450"/>
      <c r="J225" s="450"/>
    </row>
    <row r="227" spans="2:10" ht="26.25">
      <c r="B227" s="446"/>
      <c r="C227" s="447"/>
      <c r="D227" s="446"/>
      <c r="E227" s="446"/>
      <c r="F227" s="446"/>
      <c r="G227" s="446"/>
      <c r="H227" s="446"/>
      <c r="I227" s="446"/>
      <c r="J227" s="197"/>
    </row>
    <row r="228" spans="2:10" ht="20.25">
      <c r="B228" s="447"/>
      <c r="C228" s="447"/>
      <c r="D228" s="448"/>
      <c r="E228" s="448"/>
      <c r="F228" s="448"/>
      <c r="G228" s="448"/>
      <c r="H228" s="448"/>
      <c r="I228" s="448"/>
      <c r="J228" s="197"/>
    </row>
    <row r="231" spans="2:10" ht="26.25">
      <c r="B231" s="446" t="s">
        <v>13</v>
      </c>
      <c r="C231" s="447"/>
      <c r="D231" s="446" t="s">
        <v>14</v>
      </c>
      <c r="E231" s="446"/>
      <c r="F231" s="446"/>
      <c r="G231" s="446"/>
      <c r="H231" s="446"/>
      <c r="I231" s="446"/>
      <c r="J231" s="197" t="s">
        <v>15</v>
      </c>
    </row>
    <row r="232" spans="2:10" ht="20.25">
      <c r="B232" s="447"/>
      <c r="C232" s="447"/>
      <c r="D232" s="448" t="s">
        <v>16</v>
      </c>
      <c r="E232" s="448"/>
      <c r="F232" s="448"/>
      <c r="G232" s="448"/>
      <c r="H232" s="448"/>
      <c r="I232" s="448"/>
      <c r="J232" s="197" t="s">
        <v>17</v>
      </c>
    </row>
    <row r="233" spans="2:10">
      <c r="B233" s="449" t="s">
        <v>18</v>
      </c>
      <c r="C233" s="449"/>
      <c r="D233" s="270">
        <v>45851</v>
      </c>
      <c r="E233" s="199" t="s">
        <v>1460</v>
      </c>
      <c r="F233" s="450" t="s">
        <v>131</v>
      </c>
      <c r="G233" s="450"/>
      <c r="H233" s="201" t="s">
        <v>21</v>
      </c>
      <c r="I233" s="202" t="s">
        <v>867</v>
      </c>
      <c r="J233" s="199" t="s">
        <v>23</v>
      </c>
    </row>
    <row r="234" spans="2:10">
      <c r="B234" s="449" t="s">
        <v>24</v>
      </c>
      <c r="C234" s="449"/>
      <c r="D234" s="203" t="s">
        <v>2233</v>
      </c>
      <c r="E234" s="204" t="s">
        <v>25</v>
      </c>
      <c r="F234" s="450" t="s">
        <v>26</v>
      </c>
      <c r="G234" s="450"/>
      <c r="H234" s="199" t="s">
        <v>27</v>
      </c>
      <c r="I234" s="202" t="s">
        <v>2234</v>
      </c>
      <c r="J234" s="202" t="s">
        <v>29</v>
      </c>
    </row>
    <row r="235" spans="2:10">
      <c r="B235" s="449" t="s">
        <v>30</v>
      </c>
      <c r="C235" s="449"/>
      <c r="D235" s="199" t="s">
        <v>31</v>
      </c>
      <c r="E235" s="199" t="s">
        <v>32</v>
      </c>
      <c r="F235" s="450">
        <v>233</v>
      </c>
      <c r="G235" s="450"/>
      <c r="H235" s="201" t="s">
        <v>33</v>
      </c>
      <c r="I235" s="247" t="s">
        <v>2235</v>
      </c>
      <c r="J235" s="202"/>
    </row>
    <row r="236" spans="2:10">
      <c r="B236" s="451" t="s">
        <v>35</v>
      </c>
      <c r="C236" s="451"/>
      <c r="D236" s="449" t="s">
        <v>2236</v>
      </c>
      <c r="E236" s="449"/>
      <c r="F236" s="449"/>
      <c r="G236" s="449"/>
      <c r="H236" s="449"/>
      <c r="I236" s="449"/>
      <c r="J236" s="449"/>
    </row>
    <row r="237" spans="2:10">
      <c r="B237" s="452" t="s">
        <v>2237</v>
      </c>
      <c r="C237" s="453"/>
      <c r="D237" s="453"/>
      <c r="E237" s="453"/>
      <c r="F237" s="453"/>
      <c r="G237" s="453"/>
      <c r="H237" s="453"/>
      <c r="I237" s="453"/>
      <c r="J237" s="454"/>
    </row>
    <row r="238" spans="2:10">
      <c r="B238" s="455"/>
      <c r="C238" s="456"/>
      <c r="D238" s="456"/>
      <c r="E238" s="456"/>
      <c r="F238" s="456"/>
      <c r="G238" s="456"/>
      <c r="H238" s="456"/>
      <c r="I238" s="456"/>
      <c r="J238" s="457"/>
    </row>
    <row r="239" spans="2:10">
      <c r="B239" s="455"/>
      <c r="C239" s="456"/>
      <c r="D239" s="456"/>
      <c r="E239" s="456"/>
      <c r="F239" s="456"/>
      <c r="G239" s="456"/>
      <c r="H239" s="456"/>
      <c r="I239" s="456"/>
      <c r="J239" s="457"/>
    </row>
    <row r="240" spans="2:10">
      <c r="B240" s="458"/>
      <c r="C240" s="459"/>
      <c r="D240" s="459"/>
      <c r="E240" s="459"/>
      <c r="F240" s="459"/>
      <c r="G240" s="459"/>
      <c r="H240" s="459"/>
      <c r="I240" s="459"/>
      <c r="J240" s="460"/>
    </row>
    <row r="241" spans="2:10" ht="18">
      <c r="B241" s="461" t="s">
        <v>38</v>
      </c>
      <c r="C241" s="462"/>
      <c r="D241" s="462"/>
      <c r="E241" s="462"/>
      <c r="F241" s="462"/>
      <c r="G241" s="462"/>
      <c r="H241" s="462"/>
      <c r="I241" s="463"/>
      <c r="J241" s="205" t="s">
        <v>39</v>
      </c>
    </row>
    <row r="242" spans="2:10">
      <c r="B242" s="200">
        <v>1</v>
      </c>
      <c r="C242" s="464" t="s">
        <v>2238</v>
      </c>
      <c r="D242" s="465"/>
      <c r="E242" s="465"/>
      <c r="F242" s="465"/>
      <c r="G242" s="465"/>
      <c r="H242" s="465"/>
      <c r="I242" s="466"/>
      <c r="J242" s="200" t="s">
        <v>26</v>
      </c>
    </row>
    <row r="243" spans="2:10">
      <c r="B243" s="200">
        <v>2</v>
      </c>
      <c r="C243" s="464" t="s">
        <v>2156</v>
      </c>
      <c r="D243" s="465"/>
      <c r="E243" s="465"/>
      <c r="F243" s="465"/>
      <c r="G243" s="465"/>
      <c r="H243" s="465"/>
      <c r="I243" s="466"/>
      <c r="J243" s="200" t="s">
        <v>26</v>
      </c>
    </row>
    <row r="244" spans="2:10">
      <c r="B244" s="200">
        <v>3</v>
      </c>
      <c r="C244" s="464" t="s">
        <v>2239</v>
      </c>
      <c r="D244" s="465"/>
      <c r="E244" s="465"/>
      <c r="F244" s="465"/>
      <c r="G244" s="465"/>
      <c r="H244" s="465"/>
      <c r="I244" s="466"/>
      <c r="J244" s="200" t="s">
        <v>26</v>
      </c>
    </row>
    <row r="245" spans="2:10" ht="18">
      <c r="B245" s="461" t="s">
        <v>44</v>
      </c>
      <c r="C245" s="462"/>
      <c r="D245" s="462"/>
      <c r="E245" s="462"/>
      <c r="F245" s="462"/>
      <c r="G245" s="462"/>
      <c r="H245" s="462"/>
      <c r="I245" s="462"/>
      <c r="J245" s="463"/>
    </row>
    <row r="246" spans="2:10">
      <c r="B246" s="200" t="s">
        <v>45</v>
      </c>
      <c r="C246" s="473" t="s">
        <v>2240</v>
      </c>
      <c r="D246" s="473"/>
      <c r="E246" s="473"/>
      <c r="F246" s="473"/>
      <c r="G246" s="473"/>
      <c r="H246" s="473"/>
      <c r="I246" s="473"/>
      <c r="J246" s="473"/>
    </row>
    <row r="247" spans="2:10">
      <c r="B247" s="206" t="s">
        <v>45</v>
      </c>
      <c r="C247" s="473" t="s">
        <v>2241</v>
      </c>
      <c r="D247" s="473"/>
      <c r="E247" s="473"/>
      <c r="F247" s="473"/>
      <c r="G247" s="473"/>
      <c r="H247" s="473"/>
      <c r="I247" s="473"/>
      <c r="J247" s="473"/>
    </row>
    <row r="248" spans="2:10">
      <c r="B248" s="206" t="s">
        <v>45</v>
      </c>
      <c r="C248" s="473" t="s">
        <v>2242</v>
      </c>
      <c r="D248" s="473"/>
      <c r="E248" s="473"/>
      <c r="F248" s="473"/>
      <c r="G248" s="473"/>
      <c r="H248" s="473"/>
      <c r="I248" s="473"/>
      <c r="J248" s="473"/>
    </row>
    <row r="249" spans="2:10">
      <c r="B249" s="206" t="s">
        <v>45</v>
      </c>
      <c r="C249" s="1101" t="s">
        <v>2243</v>
      </c>
      <c r="D249" s="475"/>
      <c r="E249" s="475"/>
      <c r="F249" s="475"/>
      <c r="G249" s="475"/>
      <c r="H249" s="475"/>
      <c r="I249" s="475"/>
      <c r="J249" s="476"/>
    </row>
    <row r="250" spans="2:10">
      <c r="B250" s="206" t="s">
        <v>45</v>
      </c>
      <c r="C250" s="1101" t="s">
        <v>2155</v>
      </c>
      <c r="D250" s="475"/>
      <c r="E250" s="475"/>
      <c r="F250" s="475"/>
      <c r="G250" s="475"/>
      <c r="H250" s="475"/>
      <c r="I250" s="475"/>
      <c r="J250" s="476"/>
    </row>
    <row r="251" spans="2:10">
      <c r="B251" s="206" t="s">
        <v>45</v>
      </c>
      <c r="C251" s="464"/>
      <c r="D251" s="465"/>
      <c r="E251" s="465"/>
      <c r="F251" s="465"/>
      <c r="G251" s="465"/>
      <c r="H251" s="465"/>
      <c r="I251" s="465"/>
      <c r="J251" s="466"/>
    </row>
    <row r="252" spans="2:10">
      <c r="B252" s="200" t="s">
        <v>45</v>
      </c>
      <c r="C252" s="464"/>
      <c r="D252" s="465"/>
      <c r="E252" s="465"/>
      <c r="F252" s="465"/>
      <c r="G252" s="465"/>
      <c r="H252" s="465"/>
      <c r="I252" s="465"/>
      <c r="J252" s="466"/>
    </row>
    <row r="253" spans="2:10">
      <c r="B253" s="200" t="s">
        <v>7</v>
      </c>
      <c r="C253" s="1101" t="s">
        <v>2155</v>
      </c>
      <c r="D253" s="475"/>
      <c r="E253" s="475"/>
      <c r="F253" s="475"/>
      <c r="G253" s="475"/>
      <c r="H253" s="475"/>
      <c r="I253" s="475"/>
      <c r="J253" s="476"/>
    </row>
    <row r="254" spans="2:10" ht="18">
      <c r="B254" s="205" t="s">
        <v>52</v>
      </c>
      <c r="C254" s="477" t="s">
        <v>53</v>
      </c>
      <c r="D254" s="477"/>
      <c r="E254" s="477"/>
      <c r="F254" s="477"/>
      <c r="G254" s="477"/>
      <c r="H254" s="205" t="s">
        <v>54</v>
      </c>
      <c r="I254" s="205" t="s">
        <v>55</v>
      </c>
      <c r="J254" s="205" t="s">
        <v>56</v>
      </c>
    </row>
    <row r="255" spans="2:10">
      <c r="B255" s="200">
        <v>1</v>
      </c>
      <c r="C255" s="1102" t="s">
        <v>2244</v>
      </c>
      <c r="D255" s="451"/>
      <c r="E255" s="451"/>
      <c r="F255" s="451"/>
      <c r="G255" s="451"/>
      <c r="H255" s="200" t="s">
        <v>2245</v>
      </c>
      <c r="I255" s="207" t="s">
        <v>1692</v>
      </c>
      <c r="J255" s="200"/>
    </row>
    <row r="256" spans="2:10">
      <c r="B256" s="200">
        <v>2</v>
      </c>
      <c r="C256" s="1102" t="s">
        <v>2246</v>
      </c>
      <c r="D256" s="451"/>
      <c r="E256" s="451"/>
      <c r="F256" s="451"/>
      <c r="G256" s="451"/>
      <c r="H256" s="200" t="s">
        <v>2015</v>
      </c>
      <c r="I256" s="207"/>
      <c r="J256" s="200"/>
    </row>
    <row r="257" spans="2:10">
      <c r="B257" s="200">
        <v>3</v>
      </c>
      <c r="C257" s="449"/>
      <c r="D257" s="449"/>
      <c r="E257" s="449"/>
      <c r="F257" s="449"/>
      <c r="G257" s="449"/>
      <c r="H257" s="200"/>
      <c r="I257" s="207"/>
      <c r="J257" s="200"/>
    </row>
    <row r="258" spans="2:10">
      <c r="B258" s="450" t="s">
        <v>63</v>
      </c>
      <c r="C258" s="450"/>
      <c r="D258" s="199" t="s">
        <v>31</v>
      </c>
      <c r="E258" s="198" t="s">
        <v>64</v>
      </c>
      <c r="F258" s="467"/>
      <c r="G258" s="469"/>
      <c r="H258" s="199"/>
      <c r="I258" s="199"/>
      <c r="J258" s="199"/>
    </row>
    <row r="259" spans="2:10" ht="45">
      <c r="B259" s="201" t="s">
        <v>66</v>
      </c>
      <c r="C259" s="450"/>
      <c r="D259" s="450"/>
      <c r="E259" s="201" t="s">
        <v>67</v>
      </c>
      <c r="F259" s="450"/>
      <c r="G259" s="450"/>
      <c r="H259" s="201" t="s">
        <v>68</v>
      </c>
      <c r="I259" s="450"/>
      <c r="J259" s="450"/>
    </row>
    <row r="261" spans="2:10" ht="26.25">
      <c r="B261" s="446"/>
      <c r="C261" s="447"/>
      <c r="D261" s="446"/>
      <c r="E261" s="446"/>
      <c r="F261" s="446"/>
      <c r="G261" s="446"/>
      <c r="H261" s="446"/>
      <c r="I261" s="446"/>
      <c r="J261" s="197"/>
    </row>
    <row r="262" spans="2:10" ht="20.25">
      <c r="B262" s="447"/>
      <c r="C262" s="447"/>
      <c r="D262" s="448"/>
      <c r="E262" s="448"/>
      <c r="F262" s="448"/>
      <c r="G262" s="448"/>
      <c r="H262" s="448"/>
      <c r="I262" s="448"/>
      <c r="J262" s="197"/>
    </row>
    <row r="266" spans="2:10" ht="26.25">
      <c r="B266" s="446" t="s">
        <v>13</v>
      </c>
      <c r="C266" s="447"/>
      <c r="D266" s="446" t="s">
        <v>14</v>
      </c>
      <c r="E266" s="446"/>
      <c r="F266" s="446"/>
      <c r="G266" s="446"/>
      <c r="H266" s="446"/>
      <c r="I266" s="446"/>
      <c r="J266" s="197" t="s">
        <v>15</v>
      </c>
    </row>
    <row r="267" spans="2:10" ht="20.25">
      <c r="B267" s="447"/>
      <c r="C267" s="447"/>
      <c r="D267" s="448" t="s">
        <v>16</v>
      </c>
      <c r="E267" s="448"/>
      <c r="F267" s="448"/>
      <c r="G267" s="448"/>
      <c r="H267" s="448"/>
      <c r="I267" s="448"/>
      <c r="J267" s="197" t="s">
        <v>17</v>
      </c>
    </row>
    <row r="268" spans="2:10">
      <c r="B268" s="449" t="s">
        <v>18</v>
      </c>
      <c r="C268" s="449"/>
      <c r="D268" s="270">
        <v>45854</v>
      </c>
      <c r="E268" s="199" t="s">
        <v>1460</v>
      </c>
      <c r="F268" s="450" t="s">
        <v>124</v>
      </c>
      <c r="G268" s="450"/>
      <c r="H268" s="201" t="s">
        <v>21</v>
      </c>
      <c r="I268" s="202" t="s">
        <v>917</v>
      </c>
      <c r="J268" s="199" t="s">
        <v>23</v>
      </c>
    </row>
    <row r="269" spans="2:10">
      <c r="B269" s="449" t="s">
        <v>24</v>
      </c>
      <c r="C269" s="449"/>
      <c r="D269" s="203">
        <v>0.96527777777777779</v>
      </c>
      <c r="E269" s="204" t="s">
        <v>25</v>
      </c>
      <c r="F269" s="450" t="s">
        <v>26</v>
      </c>
      <c r="G269" s="450"/>
      <c r="H269" s="199" t="s">
        <v>27</v>
      </c>
      <c r="I269" s="202" t="s">
        <v>2247</v>
      </c>
      <c r="J269" s="202" t="s">
        <v>29</v>
      </c>
    </row>
    <row r="270" spans="2:10">
      <c r="B270" s="449" t="s">
        <v>30</v>
      </c>
      <c r="C270" s="449"/>
      <c r="D270" s="199" t="s">
        <v>31</v>
      </c>
      <c r="E270" s="199" t="s">
        <v>32</v>
      </c>
      <c r="F270" s="450">
        <v>90</v>
      </c>
      <c r="G270" s="450"/>
      <c r="H270" s="201" t="s">
        <v>33</v>
      </c>
      <c r="I270" s="247" t="s">
        <v>2248</v>
      </c>
      <c r="J270" s="202"/>
    </row>
    <row r="271" spans="2:10">
      <c r="B271" s="451" t="s">
        <v>35</v>
      </c>
      <c r="C271" s="451"/>
      <c r="D271" s="449" t="s">
        <v>2220</v>
      </c>
      <c r="E271" s="449"/>
      <c r="F271" s="449"/>
      <c r="G271" s="449"/>
      <c r="H271" s="449"/>
      <c r="I271" s="449"/>
      <c r="J271" s="449"/>
    </row>
    <row r="272" spans="2:10">
      <c r="B272" s="452" t="s">
        <v>2249</v>
      </c>
      <c r="C272" s="453"/>
      <c r="D272" s="453"/>
      <c r="E272" s="453"/>
      <c r="F272" s="453"/>
      <c r="G272" s="453"/>
      <c r="H272" s="453"/>
      <c r="I272" s="453"/>
      <c r="J272" s="454"/>
    </row>
    <row r="273" spans="2:10">
      <c r="B273" s="455"/>
      <c r="C273" s="456"/>
      <c r="D273" s="456"/>
      <c r="E273" s="456"/>
      <c r="F273" s="456"/>
      <c r="G273" s="456"/>
      <c r="H273" s="456"/>
      <c r="I273" s="456"/>
      <c r="J273" s="457"/>
    </row>
    <row r="274" spans="2:10">
      <c r="B274" s="455"/>
      <c r="C274" s="456"/>
      <c r="D274" s="456"/>
      <c r="E274" s="456"/>
      <c r="F274" s="456"/>
      <c r="G274" s="456"/>
      <c r="H274" s="456"/>
      <c r="I274" s="456"/>
      <c r="J274" s="457"/>
    </row>
    <row r="275" spans="2:10">
      <c r="B275" s="458"/>
      <c r="C275" s="459"/>
      <c r="D275" s="459"/>
      <c r="E275" s="459"/>
      <c r="F275" s="459"/>
      <c r="G275" s="459"/>
      <c r="H275" s="459"/>
      <c r="I275" s="459"/>
      <c r="J275" s="460"/>
    </row>
    <row r="276" spans="2:10" ht="18">
      <c r="B276" s="461" t="s">
        <v>38</v>
      </c>
      <c r="C276" s="462"/>
      <c r="D276" s="462"/>
      <c r="E276" s="462"/>
      <c r="F276" s="462"/>
      <c r="G276" s="462"/>
      <c r="H276" s="462"/>
      <c r="I276" s="463"/>
      <c r="J276" s="205" t="s">
        <v>39</v>
      </c>
    </row>
    <row r="277" spans="2:10">
      <c r="B277" s="200">
        <v>1</v>
      </c>
      <c r="C277" s="464" t="s">
        <v>2250</v>
      </c>
      <c r="D277" s="465"/>
      <c r="E277" s="465"/>
      <c r="F277" s="465"/>
      <c r="G277" s="465"/>
      <c r="H277" s="465"/>
      <c r="I277" s="466"/>
      <c r="J277" s="200" t="s">
        <v>26</v>
      </c>
    </row>
    <row r="278" spans="2:10">
      <c r="B278" s="200">
        <v>2</v>
      </c>
      <c r="C278" s="464" t="s">
        <v>2251</v>
      </c>
      <c r="D278" s="465"/>
      <c r="E278" s="465"/>
      <c r="F278" s="465"/>
      <c r="G278" s="465"/>
      <c r="H278" s="465"/>
      <c r="I278" s="466"/>
      <c r="J278" s="200" t="s">
        <v>26</v>
      </c>
    </row>
    <row r="279" spans="2:10">
      <c r="B279" s="200">
        <v>3</v>
      </c>
      <c r="C279" s="464"/>
      <c r="D279" s="465"/>
      <c r="E279" s="465"/>
      <c r="F279" s="465"/>
      <c r="G279" s="465"/>
      <c r="H279" s="465"/>
      <c r="I279" s="466"/>
      <c r="J279" s="200" t="s">
        <v>26</v>
      </c>
    </row>
    <row r="280" spans="2:10" ht="18">
      <c r="B280" s="461" t="s">
        <v>44</v>
      </c>
      <c r="C280" s="462"/>
      <c r="D280" s="462"/>
      <c r="E280" s="462"/>
      <c r="F280" s="462"/>
      <c r="G280" s="462"/>
      <c r="H280" s="462"/>
      <c r="I280" s="462"/>
      <c r="J280" s="463"/>
    </row>
    <row r="281" spans="2:10">
      <c r="B281" s="200" t="s">
        <v>45</v>
      </c>
      <c r="C281" s="473" t="s">
        <v>2252</v>
      </c>
      <c r="D281" s="473"/>
      <c r="E281" s="473"/>
      <c r="F281" s="473"/>
      <c r="G281" s="473"/>
      <c r="H281" s="473"/>
      <c r="I281" s="473"/>
      <c r="J281" s="473"/>
    </row>
    <row r="282" spans="2:10">
      <c r="B282" s="206" t="s">
        <v>45</v>
      </c>
      <c r="C282" s="473" t="s">
        <v>2253</v>
      </c>
      <c r="D282" s="473"/>
      <c r="E282" s="473"/>
      <c r="F282" s="473"/>
      <c r="G282" s="473"/>
      <c r="H282" s="473"/>
      <c r="I282" s="473"/>
      <c r="J282" s="473"/>
    </row>
    <row r="283" spans="2:10">
      <c r="B283" s="206" t="s">
        <v>45</v>
      </c>
      <c r="C283" s="473" t="s">
        <v>2254</v>
      </c>
      <c r="D283" s="473"/>
      <c r="E283" s="473"/>
      <c r="F283" s="473"/>
      <c r="G283" s="473"/>
      <c r="H283" s="473"/>
      <c r="I283" s="473"/>
      <c r="J283" s="473"/>
    </row>
    <row r="284" spans="2:10">
      <c r="B284" s="206" t="s">
        <v>45</v>
      </c>
      <c r="C284" s="1101" t="s">
        <v>744</v>
      </c>
      <c r="D284" s="475"/>
      <c r="E284" s="475"/>
      <c r="F284" s="475"/>
      <c r="G284" s="475"/>
      <c r="H284" s="475"/>
      <c r="I284" s="475"/>
      <c r="J284" s="476"/>
    </row>
    <row r="285" spans="2:10">
      <c r="B285" s="206" t="s">
        <v>45</v>
      </c>
      <c r="C285" s="473"/>
      <c r="D285" s="473"/>
      <c r="E285" s="473"/>
      <c r="F285" s="473"/>
      <c r="G285" s="473"/>
      <c r="H285" s="473"/>
      <c r="I285" s="473"/>
      <c r="J285" s="473"/>
    </row>
    <row r="286" spans="2:10">
      <c r="B286" s="206" t="s">
        <v>45</v>
      </c>
      <c r="C286" s="473"/>
      <c r="D286" s="473"/>
      <c r="E286" s="473"/>
      <c r="F286" s="473"/>
      <c r="G286" s="473"/>
      <c r="H286" s="473"/>
      <c r="I286" s="473"/>
      <c r="J286" s="473"/>
    </row>
    <row r="287" spans="2:10">
      <c r="B287" s="254" t="s">
        <v>45</v>
      </c>
      <c r="C287" s="473"/>
      <c r="D287" s="473"/>
      <c r="E287" s="473"/>
      <c r="F287" s="473"/>
      <c r="G287" s="473"/>
      <c r="H287" s="473"/>
      <c r="I287" s="473"/>
      <c r="J287" s="473"/>
    </row>
    <row r="288" spans="2:10">
      <c r="B288" s="254" t="s">
        <v>45</v>
      </c>
      <c r="C288" s="1101"/>
      <c r="D288" s="475"/>
      <c r="E288" s="475"/>
      <c r="F288" s="475"/>
      <c r="G288" s="475"/>
      <c r="H288" s="475"/>
      <c r="I288" s="475"/>
      <c r="J288" s="476"/>
    </row>
    <row r="289" spans="2:10" ht="20.25" customHeight="1">
      <c r="B289" s="288" t="s">
        <v>7</v>
      </c>
      <c r="C289" s="1091" t="s">
        <v>2255</v>
      </c>
      <c r="D289" s="473"/>
      <c r="E289" s="473"/>
      <c r="F289" s="473"/>
      <c r="G289" s="473"/>
      <c r="H289" s="473"/>
      <c r="I289" s="473"/>
      <c r="J289" s="473"/>
    </row>
    <row r="290" spans="2:10" ht="18">
      <c r="B290" s="295" t="s">
        <v>52</v>
      </c>
      <c r="C290" s="477" t="s">
        <v>53</v>
      </c>
      <c r="D290" s="477"/>
      <c r="E290" s="477"/>
      <c r="F290" s="477"/>
      <c r="G290" s="477"/>
      <c r="H290" s="290" t="s">
        <v>54</v>
      </c>
      <c r="I290" s="290" t="s">
        <v>55</v>
      </c>
      <c r="J290" s="290" t="s">
        <v>56</v>
      </c>
    </row>
    <row r="291" spans="2:10">
      <c r="B291" s="200">
        <v>1</v>
      </c>
      <c r="C291" s="1009" t="s">
        <v>2159</v>
      </c>
      <c r="D291" s="1107"/>
      <c r="E291" s="1107"/>
      <c r="F291" s="1107"/>
      <c r="G291" s="1108"/>
      <c r="H291" s="289"/>
      <c r="I291" s="207" t="s">
        <v>1692</v>
      </c>
      <c r="J291" s="289" t="s">
        <v>1507</v>
      </c>
    </row>
    <row r="292" spans="2:10">
      <c r="B292" s="200">
        <v>2</v>
      </c>
      <c r="C292" s="1009" t="s">
        <v>2256</v>
      </c>
      <c r="D292" s="1107"/>
      <c r="E292" s="1107"/>
      <c r="F292" s="1107"/>
      <c r="G292" s="1108"/>
      <c r="H292" s="289"/>
      <c r="I292" s="207" t="s">
        <v>1692</v>
      </c>
      <c r="J292" s="289" t="s">
        <v>1507</v>
      </c>
    </row>
    <row r="293" spans="2:10">
      <c r="B293" s="200">
        <v>3</v>
      </c>
      <c r="C293" s="449"/>
      <c r="D293" s="449"/>
      <c r="E293" s="449"/>
      <c r="F293" s="449"/>
      <c r="G293" s="449"/>
      <c r="H293" s="291"/>
      <c r="I293" s="292"/>
      <c r="J293" s="291"/>
    </row>
    <row r="294" spans="2:10">
      <c r="B294" s="450" t="s">
        <v>63</v>
      </c>
      <c r="C294" s="450"/>
      <c r="D294" s="199" t="s">
        <v>31</v>
      </c>
      <c r="E294" s="198" t="s">
        <v>64</v>
      </c>
      <c r="F294" s="467"/>
      <c r="G294" s="469"/>
      <c r="H294" s="199"/>
      <c r="I294" s="199"/>
      <c r="J294" s="199"/>
    </row>
    <row r="295" spans="2:10" ht="45">
      <c r="B295" s="201" t="s">
        <v>66</v>
      </c>
      <c r="C295" s="450"/>
      <c r="D295" s="450"/>
      <c r="E295" s="201" t="s">
        <v>67</v>
      </c>
      <c r="F295" s="450"/>
      <c r="G295" s="450"/>
      <c r="H295" s="201" t="s">
        <v>68</v>
      </c>
      <c r="I295" s="450"/>
      <c r="J295" s="450"/>
    </row>
    <row r="299" spans="2:10" ht="26.25">
      <c r="B299" s="446"/>
      <c r="C299" s="447"/>
      <c r="D299" s="446"/>
      <c r="E299" s="446"/>
      <c r="F299" s="446"/>
      <c r="G299" s="446"/>
      <c r="H299" s="446"/>
      <c r="I299" s="446"/>
      <c r="J299" s="197"/>
    </row>
    <row r="300" spans="2:10" ht="20.25">
      <c r="B300" s="447"/>
      <c r="C300" s="447"/>
      <c r="D300" s="448"/>
      <c r="E300" s="448"/>
      <c r="F300" s="448"/>
      <c r="G300" s="448"/>
      <c r="H300" s="448"/>
      <c r="I300" s="448"/>
      <c r="J300" s="197"/>
    </row>
    <row r="302" spans="2:10" ht="26.25">
      <c r="B302" s="446" t="s">
        <v>13</v>
      </c>
      <c r="C302" s="447"/>
      <c r="D302" s="446" t="s">
        <v>14</v>
      </c>
      <c r="E302" s="446"/>
      <c r="F302" s="446"/>
      <c r="G302" s="446"/>
      <c r="H302" s="446"/>
      <c r="I302" s="446"/>
      <c r="J302" s="197" t="s">
        <v>15</v>
      </c>
    </row>
    <row r="303" spans="2:10" ht="20.25">
      <c r="B303" s="447"/>
      <c r="C303" s="447"/>
      <c r="D303" s="448" t="s">
        <v>16</v>
      </c>
      <c r="E303" s="448"/>
      <c r="F303" s="448"/>
      <c r="G303" s="448"/>
      <c r="H303" s="448"/>
      <c r="I303" s="448"/>
      <c r="J303" s="197" t="s">
        <v>17</v>
      </c>
    </row>
    <row r="304" spans="2:10">
      <c r="B304" s="449" t="s">
        <v>18</v>
      </c>
      <c r="C304" s="449"/>
      <c r="D304" s="270">
        <v>45855</v>
      </c>
      <c r="E304" s="199" t="s">
        <v>1460</v>
      </c>
      <c r="F304" s="450" t="s">
        <v>159</v>
      </c>
      <c r="G304" s="450"/>
      <c r="H304" s="201" t="s">
        <v>21</v>
      </c>
      <c r="I304" s="202" t="s">
        <v>867</v>
      </c>
      <c r="J304" s="199" t="s">
        <v>23</v>
      </c>
    </row>
    <row r="305" spans="2:10">
      <c r="B305" s="449" t="s">
        <v>24</v>
      </c>
      <c r="C305" s="449"/>
      <c r="D305" s="203">
        <v>0.49652777777777779</v>
      </c>
      <c r="E305" s="204" t="s">
        <v>25</v>
      </c>
      <c r="F305" s="450" t="s">
        <v>26</v>
      </c>
      <c r="G305" s="450"/>
      <c r="H305" s="199" t="s">
        <v>27</v>
      </c>
      <c r="I305" s="202" t="s">
        <v>2257</v>
      </c>
      <c r="J305" s="202" t="s">
        <v>29</v>
      </c>
    </row>
    <row r="306" spans="2:10">
      <c r="B306" s="449" t="s">
        <v>30</v>
      </c>
      <c r="C306" s="449"/>
      <c r="D306" s="199" t="s">
        <v>31</v>
      </c>
      <c r="E306" s="199" t="s">
        <v>32</v>
      </c>
      <c r="F306" s="450">
        <v>35</v>
      </c>
      <c r="G306" s="450"/>
      <c r="H306" s="201" t="s">
        <v>33</v>
      </c>
      <c r="I306" s="247"/>
      <c r="J306" s="202"/>
    </row>
    <row r="307" spans="2:10">
      <c r="B307" s="451" t="s">
        <v>35</v>
      </c>
      <c r="C307" s="451"/>
      <c r="D307" s="449" t="s">
        <v>2258</v>
      </c>
      <c r="E307" s="449"/>
      <c r="F307" s="449"/>
      <c r="G307" s="449"/>
      <c r="H307" s="449"/>
      <c r="I307" s="449"/>
      <c r="J307" s="449"/>
    </row>
    <row r="308" spans="2:10">
      <c r="B308" s="452" t="s">
        <v>2259</v>
      </c>
      <c r="C308" s="453"/>
      <c r="D308" s="453"/>
      <c r="E308" s="453"/>
      <c r="F308" s="453"/>
      <c r="G308" s="453"/>
      <c r="H308" s="453"/>
      <c r="I308" s="453"/>
      <c r="J308" s="454"/>
    </row>
    <row r="309" spans="2:10">
      <c r="B309" s="455"/>
      <c r="C309" s="456"/>
      <c r="D309" s="456"/>
      <c r="E309" s="456"/>
      <c r="F309" s="456"/>
      <c r="G309" s="456"/>
      <c r="H309" s="456"/>
      <c r="I309" s="456"/>
      <c r="J309" s="457"/>
    </row>
    <row r="310" spans="2:10">
      <c r="B310" s="455"/>
      <c r="C310" s="456"/>
      <c r="D310" s="456"/>
      <c r="E310" s="456"/>
      <c r="F310" s="456"/>
      <c r="G310" s="456"/>
      <c r="H310" s="456"/>
      <c r="I310" s="456"/>
      <c r="J310" s="457"/>
    </row>
    <row r="311" spans="2:10">
      <c r="B311" s="458"/>
      <c r="C311" s="459"/>
      <c r="D311" s="459"/>
      <c r="E311" s="459"/>
      <c r="F311" s="459"/>
      <c r="G311" s="459"/>
      <c r="H311" s="459"/>
      <c r="I311" s="459"/>
      <c r="J311" s="460"/>
    </row>
    <row r="312" spans="2:10" ht="18">
      <c r="B312" s="461" t="s">
        <v>38</v>
      </c>
      <c r="C312" s="462"/>
      <c r="D312" s="462"/>
      <c r="E312" s="462"/>
      <c r="F312" s="462"/>
      <c r="G312" s="462"/>
      <c r="H312" s="462"/>
      <c r="I312" s="463"/>
      <c r="J312" s="205" t="s">
        <v>39</v>
      </c>
    </row>
    <row r="313" spans="2:10">
      <c r="B313" s="200">
        <v>1</v>
      </c>
      <c r="C313" s="464" t="s">
        <v>2260</v>
      </c>
      <c r="D313" s="465"/>
      <c r="E313" s="465"/>
      <c r="F313" s="465"/>
      <c r="G313" s="465"/>
      <c r="H313" s="465"/>
      <c r="I313" s="466"/>
      <c r="J313" s="200" t="s">
        <v>26</v>
      </c>
    </row>
    <row r="314" spans="2:10">
      <c r="B314" s="200">
        <v>2</v>
      </c>
      <c r="C314" s="464" t="s">
        <v>2261</v>
      </c>
      <c r="D314" s="465"/>
      <c r="E314" s="465"/>
      <c r="F314" s="465"/>
      <c r="G314" s="465"/>
      <c r="H314" s="465"/>
      <c r="I314" s="466"/>
      <c r="J314" s="200" t="s">
        <v>26</v>
      </c>
    </row>
    <row r="315" spans="2:10">
      <c r="B315" s="200">
        <v>3</v>
      </c>
      <c r="C315" s="464" t="s">
        <v>2262</v>
      </c>
      <c r="D315" s="465"/>
      <c r="E315" s="465"/>
      <c r="F315" s="465"/>
      <c r="G315" s="465"/>
      <c r="H315" s="465"/>
      <c r="I315" s="466"/>
      <c r="J315" s="200" t="s">
        <v>26</v>
      </c>
    </row>
    <row r="316" spans="2:10" ht="18">
      <c r="B316" s="461" t="s">
        <v>44</v>
      </c>
      <c r="C316" s="462"/>
      <c r="D316" s="462"/>
      <c r="E316" s="462"/>
      <c r="F316" s="462"/>
      <c r="G316" s="462"/>
      <c r="H316" s="462"/>
      <c r="I316" s="462"/>
      <c r="J316" s="463"/>
    </row>
    <row r="317" spans="2:10">
      <c r="B317" s="200" t="s">
        <v>45</v>
      </c>
      <c r="C317" s="473" t="s">
        <v>2263</v>
      </c>
      <c r="D317" s="473"/>
      <c r="E317" s="473"/>
      <c r="F317" s="473"/>
      <c r="G317" s="473"/>
      <c r="H317" s="473"/>
      <c r="I317" s="473"/>
      <c r="J317" s="473"/>
    </row>
    <row r="318" spans="2:10">
      <c r="B318" s="206" t="s">
        <v>45</v>
      </c>
      <c r="C318" s="473" t="s">
        <v>2264</v>
      </c>
      <c r="D318" s="473"/>
      <c r="E318" s="473"/>
      <c r="F318" s="473"/>
      <c r="G318" s="473"/>
      <c r="H318" s="473"/>
      <c r="I318" s="473"/>
      <c r="J318" s="473"/>
    </row>
    <row r="319" spans="2:10">
      <c r="B319" s="206" t="s">
        <v>45</v>
      </c>
      <c r="C319" s="473" t="s">
        <v>2265</v>
      </c>
      <c r="D319" s="473"/>
      <c r="E319" s="473"/>
      <c r="F319" s="473"/>
      <c r="G319" s="473"/>
      <c r="H319" s="473"/>
      <c r="I319" s="473"/>
      <c r="J319" s="473"/>
    </row>
    <row r="320" spans="2:10">
      <c r="B320" s="206" t="s">
        <v>45</v>
      </c>
      <c r="C320" s="1101" t="s">
        <v>2266</v>
      </c>
      <c r="D320" s="475"/>
      <c r="E320" s="475"/>
      <c r="F320" s="475"/>
      <c r="G320" s="475"/>
      <c r="H320" s="475"/>
      <c r="I320" s="475"/>
      <c r="J320" s="476"/>
    </row>
    <row r="321" spans="2:10">
      <c r="B321" s="206" t="s">
        <v>45</v>
      </c>
      <c r="C321" s="1101"/>
      <c r="D321" s="475"/>
      <c r="E321" s="475"/>
      <c r="F321" s="475"/>
      <c r="G321" s="475"/>
      <c r="H321" s="475"/>
      <c r="I321" s="475"/>
      <c r="J321" s="476"/>
    </row>
    <row r="322" spans="2:10">
      <c r="B322" s="206" t="s">
        <v>45</v>
      </c>
      <c r="C322" s="464"/>
      <c r="D322" s="465"/>
      <c r="E322" s="465"/>
      <c r="F322" s="465"/>
      <c r="G322" s="465"/>
      <c r="H322" s="465"/>
      <c r="I322" s="465"/>
      <c r="J322" s="466"/>
    </row>
    <row r="323" spans="2:10">
      <c r="B323" s="200" t="s">
        <v>45</v>
      </c>
      <c r="C323" s="464"/>
      <c r="D323" s="465"/>
      <c r="E323" s="465"/>
      <c r="F323" s="465"/>
      <c r="G323" s="465"/>
      <c r="H323" s="465"/>
      <c r="I323" s="465"/>
      <c r="J323" s="466"/>
    </row>
    <row r="324" spans="2:10">
      <c r="B324" s="200" t="s">
        <v>7</v>
      </c>
      <c r="C324" s="473" t="s">
        <v>2158</v>
      </c>
      <c r="D324" s="473"/>
      <c r="E324" s="473"/>
      <c r="F324" s="473"/>
      <c r="G324" s="473"/>
      <c r="H324" s="473"/>
      <c r="I324" s="473"/>
      <c r="J324" s="473"/>
    </row>
    <row r="325" spans="2:10" ht="18">
      <c r="B325" s="205" t="s">
        <v>52</v>
      </c>
      <c r="C325" s="477" t="s">
        <v>53</v>
      </c>
      <c r="D325" s="477"/>
      <c r="E325" s="477"/>
      <c r="F325" s="477"/>
      <c r="G325" s="477"/>
      <c r="H325" s="205" t="s">
        <v>54</v>
      </c>
      <c r="I325" s="205" t="s">
        <v>55</v>
      </c>
      <c r="J325" s="205" t="s">
        <v>56</v>
      </c>
    </row>
    <row r="326" spans="2:10">
      <c r="B326" s="200">
        <v>1</v>
      </c>
      <c r="C326" s="1102"/>
      <c r="D326" s="451"/>
      <c r="E326" s="451"/>
      <c r="F326" s="451"/>
      <c r="G326" s="451"/>
      <c r="H326" s="200" t="s">
        <v>2245</v>
      </c>
      <c r="I326" s="207" t="s">
        <v>1692</v>
      </c>
      <c r="J326" s="200"/>
    </row>
    <row r="327" spans="2:10">
      <c r="B327" s="200">
        <v>2</v>
      </c>
      <c r="C327" s="1102"/>
      <c r="D327" s="451"/>
      <c r="E327" s="451"/>
      <c r="F327" s="451"/>
      <c r="G327" s="451"/>
      <c r="H327" s="200" t="s">
        <v>2015</v>
      </c>
      <c r="I327" s="207"/>
      <c r="J327" s="200"/>
    </row>
    <row r="328" spans="2:10">
      <c r="B328" s="200">
        <v>3</v>
      </c>
      <c r="C328" s="449"/>
      <c r="D328" s="449"/>
      <c r="E328" s="449"/>
      <c r="F328" s="449"/>
      <c r="G328" s="449"/>
      <c r="H328" s="200"/>
      <c r="I328" s="207"/>
      <c r="J328" s="200"/>
    </row>
    <row r="329" spans="2:10">
      <c r="B329" s="450" t="s">
        <v>63</v>
      </c>
      <c r="C329" s="450"/>
      <c r="D329" s="199" t="s">
        <v>31</v>
      </c>
      <c r="E329" s="198" t="s">
        <v>64</v>
      </c>
      <c r="F329" s="467"/>
      <c r="G329" s="469"/>
      <c r="H329" s="199"/>
      <c r="I329" s="199"/>
      <c r="J329" s="199"/>
    </row>
    <row r="330" spans="2:10" ht="45">
      <c r="B330" s="201" t="s">
        <v>66</v>
      </c>
      <c r="C330" s="450"/>
      <c r="D330" s="450"/>
      <c r="E330" s="201" t="s">
        <v>67</v>
      </c>
      <c r="F330" s="450"/>
      <c r="G330" s="450"/>
      <c r="H330" s="201" t="s">
        <v>68</v>
      </c>
      <c r="I330" s="450"/>
      <c r="J330" s="450"/>
    </row>
    <row r="332" spans="2:10" ht="26.25">
      <c r="B332" s="446"/>
      <c r="C332" s="447"/>
      <c r="D332" s="446"/>
      <c r="E332" s="446"/>
      <c r="F332" s="446"/>
      <c r="G332" s="446"/>
      <c r="H332" s="446"/>
      <c r="I332" s="446"/>
      <c r="J332" s="197"/>
    </row>
    <row r="333" spans="2:10" ht="20.25">
      <c r="B333" s="447"/>
      <c r="C333" s="447"/>
      <c r="D333" s="448"/>
      <c r="E333" s="448"/>
      <c r="F333" s="448"/>
      <c r="G333" s="448"/>
      <c r="H333" s="448"/>
      <c r="I333" s="448"/>
      <c r="J333" s="197"/>
    </row>
    <row r="335" spans="2:10" ht="26.25" customHeight="1">
      <c r="B335" s="1066" t="s">
        <v>13</v>
      </c>
      <c r="C335" s="1067"/>
      <c r="D335" s="1066" t="s">
        <v>14</v>
      </c>
      <c r="E335" s="1066"/>
      <c r="F335" s="1066"/>
      <c r="G335" s="1066"/>
      <c r="H335" s="1066"/>
      <c r="I335" s="1066"/>
      <c r="J335" s="259" t="s">
        <v>15</v>
      </c>
    </row>
    <row r="336" spans="2:10" ht="20.25" customHeight="1">
      <c r="B336" s="1067"/>
      <c r="C336" s="1067"/>
      <c r="D336" s="1068" t="s">
        <v>16</v>
      </c>
      <c r="E336" s="1068"/>
      <c r="F336" s="1068"/>
      <c r="G336" s="1068"/>
      <c r="H336" s="1068"/>
      <c r="I336" s="1068"/>
      <c r="J336" s="259" t="s">
        <v>17</v>
      </c>
    </row>
    <row r="337" spans="2:10">
      <c r="B337" s="1056" t="s">
        <v>18</v>
      </c>
      <c r="C337" s="1056"/>
      <c r="D337" s="296">
        <v>45864</v>
      </c>
      <c r="E337" s="218" t="s">
        <v>1460</v>
      </c>
      <c r="F337" s="1057" t="s">
        <v>131</v>
      </c>
      <c r="G337" s="1057"/>
      <c r="H337" s="220" t="s">
        <v>21</v>
      </c>
      <c r="I337" s="221" t="s">
        <v>867</v>
      </c>
      <c r="J337" s="218" t="s">
        <v>23</v>
      </c>
    </row>
    <row r="338" spans="2:10">
      <c r="B338" s="1056" t="s">
        <v>24</v>
      </c>
      <c r="C338" s="1056"/>
      <c r="D338" s="222"/>
      <c r="E338" s="223" t="s">
        <v>25</v>
      </c>
      <c r="F338" s="1057" t="s">
        <v>26</v>
      </c>
      <c r="G338" s="1057"/>
      <c r="H338" s="218" t="s">
        <v>27</v>
      </c>
      <c r="I338" s="221" t="s">
        <v>2257</v>
      </c>
      <c r="J338" s="221" t="s">
        <v>29</v>
      </c>
    </row>
    <row r="339" spans="2:10">
      <c r="B339" s="1056" t="s">
        <v>30</v>
      </c>
      <c r="C339" s="1056"/>
      <c r="D339" s="218" t="s">
        <v>31</v>
      </c>
      <c r="E339" s="218" t="s">
        <v>32</v>
      </c>
      <c r="F339" s="1057" t="s">
        <v>2267</v>
      </c>
      <c r="G339" s="1057"/>
      <c r="H339" s="220" t="s">
        <v>33</v>
      </c>
      <c r="I339" s="261"/>
      <c r="J339" s="221"/>
    </row>
    <row r="340" spans="2:10">
      <c r="B340" s="1062" t="s">
        <v>35</v>
      </c>
      <c r="C340" s="1062"/>
      <c r="D340" s="1056" t="s">
        <v>2268</v>
      </c>
      <c r="E340" s="1056"/>
      <c r="F340" s="1056"/>
      <c r="G340" s="1056"/>
      <c r="H340" s="1056"/>
      <c r="I340" s="1056"/>
      <c r="J340" s="1056"/>
    </row>
    <row r="341" spans="2:10">
      <c r="B341" s="1031" t="s">
        <v>2269</v>
      </c>
      <c r="C341" s="1032"/>
      <c r="D341" s="1032"/>
      <c r="E341" s="1032"/>
      <c r="F341" s="1032"/>
      <c r="G341" s="1032"/>
      <c r="H341" s="1032"/>
      <c r="I341" s="1032"/>
      <c r="J341" s="1063"/>
    </row>
    <row r="342" spans="2:10">
      <c r="B342" s="1034"/>
      <c r="C342" s="1035"/>
      <c r="D342" s="1035"/>
      <c r="E342" s="1035"/>
      <c r="F342" s="1035"/>
      <c r="G342" s="1035"/>
      <c r="H342" s="1035"/>
      <c r="I342" s="1035"/>
      <c r="J342" s="1064"/>
    </row>
    <row r="343" spans="2:10">
      <c r="B343" s="1034"/>
      <c r="C343" s="1035"/>
      <c r="D343" s="1035"/>
      <c r="E343" s="1035"/>
      <c r="F343" s="1035"/>
      <c r="G343" s="1035"/>
      <c r="H343" s="1035"/>
      <c r="I343" s="1035"/>
      <c r="J343" s="1064"/>
    </row>
    <row r="344" spans="2:10">
      <c r="B344" s="1037"/>
      <c r="C344" s="1038"/>
      <c r="D344" s="1038"/>
      <c r="E344" s="1038"/>
      <c r="F344" s="1038"/>
      <c r="G344" s="1038"/>
      <c r="H344" s="1038"/>
      <c r="I344" s="1038"/>
      <c r="J344" s="1065"/>
    </row>
    <row r="345" spans="2:10" ht="18" customHeight="1">
      <c r="B345" s="979" t="s">
        <v>38</v>
      </c>
      <c r="C345" s="980"/>
      <c r="D345" s="980"/>
      <c r="E345" s="980"/>
      <c r="F345" s="980"/>
      <c r="G345" s="980"/>
      <c r="H345" s="980"/>
      <c r="I345" s="981"/>
      <c r="J345" s="224" t="s">
        <v>39</v>
      </c>
    </row>
    <row r="346" spans="2:10">
      <c r="B346" s="225">
        <v>1</v>
      </c>
      <c r="C346" s="973" t="s">
        <v>2270</v>
      </c>
      <c r="D346" s="974"/>
      <c r="E346" s="974"/>
      <c r="F346" s="974"/>
      <c r="G346" s="974"/>
      <c r="H346" s="974"/>
      <c r="I346" s="982"/>
      <c r="J346" s="225" t="s">
        <v>26</v>
      </c>
    </row>
    <row r="347" spans="2:10">
      <c r="B347" s="225">
        <v>2</v>
      </c>
      <c r="C347" s="973" t="s">
        <v>2271</v>
      </c>
      <c r="D347" s="974"/>
      <c r="E347" s="974"/>
      <c r="F347" s="974"/>
      <c r="G347" s="974"/>
      <c r="H347" s="974"/>
      <c r="I347" s="982"/>
      <c r="J347" s="225" t="s">
        <v>26</v>
      </c>
    </row>
    <row r="348" spans="2:10">
      <c r="B348" s="225">
        <v>3</v>
      </c>
      <c r="C348" s="973"/>
      <c r="D348" s="974"/>
      <c r="E348" s="974"/>
      <c r="F348" s="974"/>
      <c r="G348" s="974"/>
      <c r="H348" s="974"/>
      <c r="I348" s="982"/>
      <c r="J348" s="225" t="s">
        <v>26</v>
      </c>
    </row>
    <row r="349" spans="2:10" ht="18" customHeight="1">
      <c r="B349" s="979" t="s">
        <v>44</v>
      </c>
      <c r="C349" s="980"/>
      <c r="D349" s="980"/>
      <c r="E349" s="980"/>
      <c r="F349" s="980"/>
      <c r="G349" s="980"/>
      <c r="H349" s="980"/>
      <c r="I349" s="980"/>
      <c r="J349" s="981"/>
    </row>
    <row r="350" spans="2:10">
      <c r="B350" s="225" t="s">
        <v>45</v>
      </c>
      <c r="C350" s="1060" t="s">
        <v>2272</v>
      </c>
      <c r="D350" s="1060"/>
      <c r="E350" s="1060"/>
      <c r="F350" s="1060"/>
      <c r="G350" s="1060"/>
      <c r="H350" s="1060"/>
      <c r="I350" s="1060"/>
      <c r="J350" s="1060"/>
    </row>
    <row r="351" spans="2:10">
      <c r="B351" s="219" t="s">
        <v>45</v>
      </c>
      <c r="C351" s="1060" t="s">
        <v>2273</v>
      </c>
      <c r="D351" s="1060"/>
      <c r="E351" s="1060"/>
      <c r="F351" s="1060"/>
      <c r="G351" s="1060"/>
      <c r="H351" s="1060"/>
      <c r="I351" s="1060"/>
      <c r="J351" s="1060"/>
    </row>
    <row r="352" spans="2:10">
      <c r="B352" s="219" t="s">
        <v>45</v>
      </c>
      <c r="C352" s="1059" t="s">
        <v>2274</v>
      </c>
      <c r="D352" s="1060"/>
      <c r="E352" s="1060"/>
      <c r="F352" s="1060"/>
      <c r="G352" s="1060"/>
      <c r="H352" s="1060"/>
      <c r="I352" s="1060"/>
      <c r="J352" s="1060"/>
    </row>
    <row r="353" spans="2:10">
      <c r="B353" s="219" t="s">
        <v>45</v>
      </c>
      <c r="C353" s="1059" t="s">
        <v>2164</v>
      </c>
      <c r="D353" s="1060"/>
      <c r="E353" s="1060"/>
      <c r="F353" s="1060"/>
      <c r="G353" s="1060"/>
      <c r="H353" s="1060"/>
      <c r="I353" s="1060"/>
      <c r="J353" s="1060"/>
    </row>
    <row r="354" spans="2:10">
      <c r="B354" s="219" t="s">
        <v>45</v>
      </c>
      <c r="C354" s="1101"/>
      <c r="D354" s="1093"/>
      <c r="E354" s="1093"/>
      <c r="F354" s="1093"/>
      <c r="G354" s="1093"/>
      <c r="H354" s="1093"/>
      <c r="I354" s="1093"/>
      <c r="J354" s="1094"/>
    </row>
    <row r="355" spans="2:10">
      <c r="B355" s="219" t="s">
        <v>45</v>
      </c>
      <c r="C355" s="1060"/>
      <c r="D355" s="1060"/>
      <c r="E355" s="1060"/>
      <c r="F355" s="1060"/>
      <c r="G355" s="1060"/>
      <c r="H355" s="1060"/>
      <c r="I355" s="1060"/>
      <c r="J355" s="1060"/>
    </row>
    <row r="356" spans="2:10">
      <c r="B356" s="225" t="s">
        <v>45</v>
      </c>
      <c r="C356" s="973"/>
      <c r="D356" s="974"/>
      <c r="E356" s="974"/>
      <c r="F356" s="974"/>
      <c r="G356" s="974"/>
      <c r="H356" s="974"/>
      <c r="I356" s="974"/>
      <c r="J356" s="982"/>
    </row>
    <row r="357" spans="2:10">
      <c r="B357" s="225" t="s">
        <v>7</v>
      </c>
      <c r="C357" s="1059" t="s">
        <v>2164</v>
      </c>
      <c r="D357" s="1060"/>
      <c r="E357" s="1060"/>
      <c r="F357" s="1060"/>
      <c r="G357" s="1060"/>
      <c r="H357" s="1060"/>
      <c r="I357" s="1060"/>
      <c r="J357" s="1060"/>
    </row>
    <row r="358" spans="2:10" ht="18" customHeight="1">
      <c r="B358" s="224" t="s">
        <v>52</v>
      </c>
      <c r="C358" s="1061" t="s">
        <v>53</v>
      </c>
      <c r="D358" s="1061"/>
      <c r="E358" s="1061"/>
      <c r="F358" s="1061"/>
      <c r="G358" s="1061"/>
      <c r="H358" s="224" t="s">
        <v>54</v>
      </c>
      <c r="I358" s="224" t="s">
        <v>55</v>
      </c>
      <c r="J358" s="224" t="s">
        <v>56</v>
      </c>
    </row>
    <row r="359" spans="2:10">
      <c r="B359" s="225">
        <v>1</v>
      </c>
      <c r="C359" s="1102" t="s">
        <v>2275</v>
      </c>
      <c r="D359" s="1062"/>
      <c r="E359" s="1062"/>
      <c r="F359" s="1062"/>
      <c r="G359" s="1062"/>
      <c r="H359" s="225" t="s">
        <v>2276</v>
      </c>
      <c r="I359" s="226" t="s">
        <v>1692</v>
      </c>
      <c r="J359" s="225"/>
    </row>
    <row r="360" spans="2:10">
      <c r="B360" s="225">
        <v>2</v>
      </c>
      <c r="C360" s="1102" t="s">
        <v>2277</v>
      </c>
      <c r="D360" s="1062"/>
      <c r="E360" s="1062"/>
      <c r="F360" s="1062"/>
      <c r="G360" s="1062"/>
      <c r="H360" s="225" t="s">
        <v>2276</v>
      </c>
      <c r="I360" s="226" t="s">
        <v>1692</v>
      </c>
      <c r="J360" s="225"/>
    </row>
    <row r="361" spans="2:10">
      <c r="B361" s="225">
        <v>3</v>
      </c>
      <c r="C361" s="1056"/>
      <c r="D361" s="1056"/>
      <c r="E361" s="1056"/>
      <c r="F361" s="1056"/>
      <c r="G361" s="1056"/>
      <c r="H361" s="225"/>
      <c r="I361" s="226"/>
      <c r="J361" s="225"/>
    </row>
    <row r="362" spans="2:10">
      <c r="B362" s="1057" t="s">
        <v>63</v>
      </c>
      <c r="C362" s="1057"/>
      <c r="D362" s="218" t="s">
        <v>31</v>
      </c>
      <c r="E362" s="227" t="s">
        <v>64</v>
      </c>
      <c r="F362" s="983"/>
      <c r="G362" s="975"/>
      <c r="H362" s="218"/>
      <c r="I362" s="218"/>
      <c r="J362" s="218"/>
    </row>
    <row r="363" spans="2:10" ht="15" customHeight="1">
      <c r="B363" s="220" t="s">
        <v>66</v>
      </c>
      <c r="C363" s="1057"/>
      <c r="D363" s="1057"/>
      <c r="E363" s="220" t="s">
        <v>67</v>
      </c>
      <c r="F363" s="1057"/>
      <c r="G363" s="1057"/>
      <c r="H363" s="220" t="s">
        <v>68</v>
      </c>
      <c r="I363" s="1057"/>
      <c r="J363" s="1057"/>
    </row>
    <row r="365" spans="2:10" ht="26.25" customHeight="1">
      <c r="B365" s="1066"/>
      <c r="C365" s="1067"/>
      <c r="D365" s="1066"/>
      <c r="E365" s="1066"/>
      <c r="F365" s="1066"/>
      <c r="G365" s="1066"/>
      <c r="H365" s="1066"/>
      <c r="I365" s="1066"/>
      <c r="J365" s="259"/>
    </row>
    <row r="366" spans="2:10" ht="20.25" customHeight="1">
      <c r="B366" s="1067"/>
      <c r="C366" s="1067"/>
      <c r="D366" s="1068"/>
      <c r="E366" s="1068"/>
      <c r="F366" s="1068"/>
      <c r="G366" s="1068"/>
      <c r="H366" s="1068"/>
      <c r="I366" s="1068"/>
      <c r="J366" s="259"/>
    </row>
  </sheetData>
  <autoFilter ref="B2:K30" xr:uid="{7E3221BD-3E6C-4BA8-BFAD-98351ACD7F09}">
    <filterColumn colId="1" showButton="0"/>
  </autoFilter>
  <mergeCells count="378">
    <mergeCell ref="C282:J282"/>
    <mergeCell ref="C292:G292"/>
    <mergeCell ref="C293:G293"/>
    <mergeCell ref="B294:C294"/>
    <mergeCell ref="F294:G294"/>
    <mergeCell ref="C295:D295"/>
    <mergeCell ref="F295:G295"/>
    <mergeCell ref="I295:J295"/>
    <mergeCell ref="B299:C300"/>
    <mergeCell ref="D299:I299"/>
    <mergeCell ref="D300:I300"/>
    <mergeCell ref="C283:J283"/>
    <mergeCell ref="C284:J284"/>
    <mergeCell ref="C285:J285"/>
    <mergeCell ref="C286:J286"/>
    <mergeCell ref="C287:J287"/>
    <mergeCell ref="C289:J289"/>
    <mergeCell ref="C290:G290"/>
    <mergeCell ref="C291:G291"/>
    <mergeCell ref="C288:J288"/>
    <mergeCell ref="B271:C271"/>
    <mergeCell ref="D271:J271"/>
    <mergeCell ref="B272:J275"/>
    <mergeCell ref="B276:I276"/>
    <mergeCell ref="C277:I277"/>
    <mergeCell ref="C278:I278"/>
    <mergeCell ref="C279:I279"/>
    <mergeCell ref="B280:J280"/>
    <mergeCell ref="C281:J281"/>
    <mergeCell ref="B266:C267"/>
    <mergeCell ref="D266:I266"/>
    <mergeCell ref="D267:I267"/>
    <mergeCell ref="B268:C268"/>
    <mergeCell ref="F268:G268"/>
    <mergeCell ref="B269:C269"/>
    <mergeCell ref="F269:G269"/>
    <mergeCell ref="B270:C270"/>
    <mergeCell ref="F270:G270"/>
    <mergeCell ref="C256:G256"/>
    <mergeCell ref="C257:G257"/>
    <mergeCell ref="B258:C258"/>
    <mergeCell ref="F258:G258"/>
    <mergeCell ref="C259:D259"/>
    <mergeCell ref="F259:G259"/>
    <mergeCell ref="I259:J259"/>
    <mergeCell ref="B261:C262"/>
    <mergeCell ref="D261:I261"/>
    <mergeCell ref="D262:I262"/>
    <mergeCell ref="C247:J247"/>
    <mergeCell ref="C248:J248"/>
    <mergeCell ref="C249:J249"/>
    <mergeCell ref="C250:J250"/>
    <mergeCell ref="C251:J251"/>
    <mergeCell ref="C252:J252"/>
    <mergeCell ref="C253:J253"/>
    <mergeCell ref="C254:G254"/>
    <mergeCell ref="C255:G255"/>
    <mergeCell ref="B236:C236"/>
    <mergeCell ref="D236:J236"/>
    <mergeCell ref="B237:J240"/>
    <mergeCell ref="B241:I241"/>
    <mergeCell ref="C242:I242"/>
    <mergeCell ref="C243:I243"/>
    <mergeCell ref="C244:I244"/>
    <mergeCell ref="B245:J245"/>
    <mergeCell ref="C246:J246"/>
    <mergeCell ref="B231:C232"/>
    <mergeCell ref="D231:I231"/>
    <mergeCell ref="D232:I232"/>
    <mergeCell ref="B233:C233"/>
    <mergeCell ref="F233:G233"/>
    <mergeCell ref="B234:C234"/>
    <mergeCell ref="F234:G234"/>
    <mergeCell ref="B235:C235"/>
    <mergeCell ref="F235:G235"/>
    <mergeCell ref="B192:C193"/>
    <mergeCell ref="D192:I192"/>
    <mergeCell ref="D193:I193"/>
    <mergeCell ref="C188:G188"/>
    <mergeCell ref="B189:C189"/>
    <mergeCell ref="F189:G189"/>
    <mergeCell ref="C190:D190"/>
    <mergeCell ref="F190:G190"/>
    <mergeCell ref="I190:J190"/>
    <mergeCell ref="C181:J181"/>
    <mergeCell ref="C182:J182"/>
    <mergeCell ref="C183:J183"/>
    <mergeCell ref="C184:G184"/>
    <mergeCell ref="C185:G185"/>
    <mergeCell ref="C187:G187"/>
    <mergeCell ref="B175:J175"/>
    <mergeCell ref="C176:J176"/>
    <mergeCell ref="C177:J177"/>
    <mergeCell ref="C178:J178"/>
    <mergeCell ref="C179:J179"/>
    <mergeCell ref="C180:J180"/>
    <mergeCell ref="C186:G186"/>
    <mergeCell ref="B166:C166"/>
    <mergeCell ref="D166:J166"/>
    <mergeCell ref="B167:J170"/>
    <mergeCell ref="B171:I171"/>
    <mergeCell ref="C172:I172"/>
    <mergeCell ref="C173:I173"/>
    <mergeCell ref="C174:I174"/>
    <mergeCell ref="B163:C163"/>
    <mergeCell ref="F163:G163"/>
    <mergeCell ref="B164:C164"/>
    <mergeCell ref="F164:G164"/>
    <mergeCell ref="B165:C165"/>
    <mergeCell ref="F165:G165"/>
    <mergeCell ref="B158:C158"/>
    <mergeCell ref="F158:G158"/>
    <mergeCell ref="C159:D159"/>
    <mergeCell ref="F159:G159"/>
    <mergeCell ref="I159:J159"/>
    <mergeCell ref="B161:C162"/>
    <mergeCell ref="D161:I161"/>
    <mergeCell ref="D162:I162"/>
    <mergeCell ref="C152:J152"/>
    <mergeCell ref="C153:J153"/>
    <mergeCell ref="C154:G154"/>
    <mergeCell ref="C155:G155"/>
    <mergeCell ref="C156:G156"/>
    <mergeCell ref="C157:G157"/>
    <mergeCell ref="C146:J146"/>
    <mergeCell ref="C147:J147"/>
    <mergeCell ref="C148:J148"/>
    <mergeCell ref="C149:J149"/>
    <mergeCell ref="C150:J150"/>
    <mergeCell ref="C151:J151"/>
    <mergeCell ref="B136:J139"/>
    <mergeCell ref="B140:I140"/>
    <mergeCell ref="C141:I141"/>
    <mergeCell ref="C142:I142"/>
    <mergeCell ref="C143:I143"/>
    <mergeCell ref="B145:J145"/>
    <mergeCell ref="B133:C133"/>
    <mergeCell ref="F133:G133"/>
    <mergeCell ref="B134:C134"/>
    <mergeCell ref="F134:G134"/>
    <mergeCell ref="B135:C135"/>
    <mergeCell ref="D135:J135"/>
    <mergeCell ref="I126:J126"/>
    <mergeCell ref="B130:C131"/>
    <mergeCell ref="D130:I130"/>
    <mergeCell ref="D131:I131"/>
    <mergeCell ref="B132:C132"/>
    <mergeCell ref="F132:G132"/>
    <mergeCell ref="C122:G122"/>
    <mergeCell ref="C123:G123"/>
    <mergeCell ref="C124:G124"/>
    <mergeCell ref="B125:C125"/>
    <mergeCell ref="F125:G125"/>
    <mergeCell ref="C126:D126"/>
    <mergeCell ref="F126:G126"/>
    <mergeCell ref="C116:J116"/>
    <mergeCell ref="C117:J117"/>
    <mergeCell ref="C118:J118"/>
    <mergeCell ref="C119:J119"/>
    <mergeCell ref="C120:J120"/>
    <mergeCell ref="C121:G121"/>
    <mergeCell ref="C109:I109"/>
    <mergeCell ref="C110:I110"/>
    <mergeCell ref="B112:J112"/>
    <mergeCell ref="C113:J113"/>
    <mergeCell ref="C114:J114"/>
    <mergeCell ref="C115:J115"/>
    <mergeCell ref="B102:C102"/>
    <mergeCell ref="F102:G102"/>
    <mergeCell ref="B103:C103"/>
    <mergeCell ref="D103:J103"/>
    <mergeCell ref="B104:J107"/>
    <mergeCell ref="B108:I108"/>
    <mergeCell ref="C111:I111"/>
    <mergeCell ref="B98:C99"/>
    <mergeCell ref="D98:I98"/>
    <mergeCell ref="D99:I99"/>
    <mergeCell ref="B100:C100"/>
    <mergeCell ref="F100:G100"/>
    <mergeCell ref="B101:C101"/>
    <mergeCell ref="F101:G101"/>
    <mergeCell ref="I2:I3"/>
    <mergeCell ref="J2:J3"/>
    <mergeCell ref="B69:C69"/>
    <mergeCell ref="F69:G69"/>
    <mergeCell ref="B70:C70"/>
    <mergeCell ref="B67:C68"/>
    <mergeCell ref="D67:I67"/>
    <mergeCell ref="D68:I68"/>
    <mergeCell ref="F70:G70"/>
    <mergeCell ref="B71:C71"/>
    <mergeCell ref="F71:G71"/>
    <mergeCell ref="B72:C72"/>
    <mergeCell ref="D72:J72"/>
    <mergeCell ref="B73:J76"/>
    <mergeCell ref="B77:I77"/>
    <mergeCell ref="C79:I79"/>
    <mergeCell ref="C80:I80"/>
    <mergeCell ref="K2:K3"/>
    <mergeCell ref="L9:M9"/>
    <mergeCell ref="E30:K33"/>
    <mergeCell ref="C32:D32"/>
    <mergeCell ref="B2:B3"/>
    <mergeCell ref="C2:D2"/>
    <mergeCell ref="E2:E3"/>
    <mergeCell ref="F2:F3"/>
    <mergeCell ref="G2:G3"/>
    <mergeCell ref="H2:H3"/>
    <mergeCell ref="L10:M10"/>
    <mergeCell ref="L11:M11"/>
    <mergeCell ref="L12:M12"/>
    <mergeCell ref="L14:M14"/>
    <mergeCell ref="L15:M15"/>
    <mergeCell ref="L16:M16"/>
    <mergeCell ref="B197:C198"/>
    <mergeCell ref="D197:I197"/>
    <mergeCell ref="D198:I198"/>
    <mergeCell ref="B199:C199"/>
    <mergeCell ref="F199:G199"/>
    <mergeCell ref="B200:C200"/>
    <mergeCell ref="F200:G200"/>
    <mergeCell ref="B201:C201"/>
    <mergeCell ref="F201:G201"/>
    <mergeCell ref="B202:C202"/>
    <mergeCell ref="D202:J202"/>
    <mergeCell ref="B203:J206"/>
    <mergeCell ref="B207:I207"/>
    <mergeCell ref="C208:I208"/>
    <mergeCell ref="C209:I209"/>
    <mergeCell ref="C210:I210"/>
    <mergeCell ref="B211:J211"/>
    <mergeCell ref="C212:J212"/>
    <mergeCell ref="C213:J213"/>
    <mergeCell ref="C214:J214"/>
    <mergeCell ref="C215:J215"/>
    <mergeCell ref="C216:J216"/>
    <mergeCell ref="C217:J217"/>
    <mergeCell ref="C218:J218"/>
    <mergeCell ref="C219:J219"/>
    <mergeCell ref="C220:G220"/>
    <mergeCell ref="C221:G221"/>
    <mergeCell ref="C222:G222"/>
    <mergeCell ref="C223:G223"/>
    <mergeCell ref="B224:C224"/>
    <mergeCell ref="F224:G224"/>
    <mergeCell ref="C225:D225"/>
    <mergeCell ref="F225:G225"/>
    <mergeCell ref="I225:J225"/>
    <mergeCell ref="B227:C228"/>
    <mergeCell ref="D227:I227"/>
    <mergeCell ref="D228:I228"/>
    <mergeCell ref="C78:I78"/>
    <mergeCell ref="C82:J82"/>
    <mergeCell ref="C83:J83"/>
    <mergeCell ref="C84:J84"/>
    <mergeCell ref="C85:J85"/>
    <mergeCell ref="C86:J86"/>
    <mergeCell ref="C95:D95"/>
    <mergeCell ref="F95:G95"/>
    <mergeCell ref="I95:J95"/>
    <mergeCell ref="B81:J81"/>
    <mergeCell ref="C88:J88"/>
    <mergeCell ref="C89:J89"/>
    <mergeCell ref="C92:G92"/>
    <mergeCell ref="C93:G93"/>
    <mergeCell ref="B94:C94"/>
    <mergeCell ref="F94:G94"/>
    <mergeCell ref="C87:J87"/>
    <mergeCell ref="C90:G90"/>
    <mergeCell ref="C91:G91"/>
    <mergeCell ref="B36:C37"/>
    <mergeCell ref="D36:I36"/>
    <mergeCell ref="D37:I37"/>
    <mergeCell ref="B38:C38"/>
    <mergeCell ref="F38:G38"/>
    <mergeCell ref="B39:C39"/>
    <mergeCell ref="F39:G39"/>
    <mergeCell ref="B40:C40"/>
    <mergeCell ref="F40:G40"/>
    <mergeCell ref="B41:C41"/>
    <mergeCell ref="D41:J41"/>
    <mergeCell ref="B42:J45"/>
    <mergeCell ref="B46:I46"/>
    <mergeCell ref="C47:I47"/>
    <mergeCell ref="C48:I48"/>
    <mergeCell ref="C49:I49"/>
    <mergeCell ref="B50:J50"/>
    <mergeCell ref="C51:J51"/>
    <mergeCell ref="C52:J52"/>
    <mergeCell ref="C53:J53"/>
    <mergeCell ref="C54:J54"/>
    <mergeCell ref="C64:D64"/>
    <mergeCell ref="F64:G64"/>
    <mergeCell ref="I64:J64"/>
    <mergeCell ref="C55:J55"/>
    <mergeCell ref="C56:J56"/>
    <mergeCell ref="C57:J57"/>
    <mergeCell ref="C58:J58"/>
    <mergeCell ref="C59:G59"/>
    <mergeCell ref="C60:G60"/>
    <mergeCell ref="C61:G61"/>
    <mergeCell ref="C62:G62"/>
    <mergeCell ref="B63:C63"/>
    <mergeCell ref="F63:G63"/>
    <mergeCell ref="B302:C303"/>
    <mergeCell ref="D302:I302"/>
    <mergeCell ref="D303:I303"/>
    <mergeCell ref="B304:C304"/>
    <mergeCell ref="F304:G304"/>
    <mergeCell ref="B305:C305"/>
    <mergeCell ref="F305:G305"/>
    <mergeCell ref="B306:C306"/>
    <mergeCell ref="F306:G306"/>
    <mergeCell ref="B307:C307"/>
    <mergeCell ref="D307:J307"/>
    <mergeCell ref="B308:J311"/>
    <mergeCell ref="B312:I312"/>
    <mergeCell ref="C313:I313"/>
    <mergeCell ref="C314:I314"/>
    <mergeCell ref="C315:I315"/>
    <mergeCell ref="B316:J316"/>
    <mergeCell ref="C317:J317"/>
    <mergeCell ref="C318:J318"/>
    <mergeCell ref="C319:J319"/>
    <mergeCell ref="C320:J320"/>
    <mergeCell ref="C321:J321"/>
    <mergeCell ref="C322:J322"/>
    <mergeCell ref="C323:J323"/>
    <mergeCell ref="C324:J324"/>
    <mergeCell ref="C325:G325"/>
    <mergeCell ref="C326:G326"/>
    <mergeCell ref="C327:G327"/>
    <mergeCell ref="C328:G328"/>
    <mergeCell ref="B329:C329"/>
    <mergeCell ref="F329:G329"/>
    <mergeCell ref="C330:D330"/>
    <mergeCell ref="F330:G330"/>
    <mergeCell ref="I330:J330"/>
    <mergeCell ref="B332:C333"/>
    <mergeCell ref="D332:I332"/>
    <mergeCell ref="D333:I333"/>
    <mergeCell ref="B335:C336"/>
    <mergeCell ref="D335:I335"/>
    <mergeCell ref="D336:I336"/>
    <mergeCell ref="B337:C337"/>
    <mergeCell ref="F337:G337"/>
    <mergeCell ref="B338:C338"/>
    <mergeCell ref="F338:G338"/>
    <mergeCell ref="B339:C339"/>
    <mergeCell ref="F339:G339"/>
    <mergeCell ref="B340:C340"/>
    <mergeCell ref="D340:J340"/>
    <mergeCell ref="B341:J344"/>
    <mergeCell ref="B345:I345"/>
    <mergeCell ref="C346:I346"/>
    <mergeCell ref="C347:I347"/>
    <mergeCell ref="C348:I348"/>
    <mergeCell ref="B349:J349"/>
    <mergeCell ref="C350:J350"/>
    <mergeCell ref="C355:J355"/>
    <mergeCell ref="C352:J352"/>
    <mergeCell ref="C351:J351"/>
    <mergeCell ref="C354:J354"/>
    <mergeCell ref="C356:J356"/>
    <mergeCell ref="C357:J357"/>
    <mergeCell ref="C358:G358"/>
    <mergeCell ref="C359:G359"/>
    <mergeCell ref="C353:J353"/>
    <mergeCell ref="C360:G360"/>
    <mergeCell ref="C361:G361"/>
    <mergeCell ref="B362:C362"/>
    <mergeCell ref="F362:G362"/>
    <mergeCell ref="C363:D363"/>
    <mergeCell ref="F363:G363"/>
    <mergeCell ref="I363:J363"/>
    <mergeCell ref="B365:C366"/>
    <mergeCell ref="D365:I365"/>
    <mergeCell ref="D366:I366"/>
  </mergeCells>
  <phoneticPr fontId="0" type="noConversion"/>
  <printOptions horizontalCentered="1" verticalCentered="1"/>
  <pageMargins left="0.7" right="0.7" top="0.75" bottom="0.75" header="0.3" footer="0.3"/>
  <pageSetup paperSize="9"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8B1B-EF03-4079-9B8A-E4D7022779AA}">
  <sheetPr>
    <pageSetUpPr fitToPage="1"/>
  </sheetPr>
  <dimension ref="B2:Q244"/>
  <sheetViews>
    <sheetView topLeftCell="C1" workbookViewId="0">
      <selection activeCell="C209" sqref="C209:G210"/>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28515625" customWidth="1"/>
    <col min="11" max="11" width="55.28515625" customWidth="1"/>
    <col min="13" max="13" width="11.28515625" customWidth="1"/>
  </cols>
  <sheetData>
    <row r="2" spans="2:17">
      <c r="B2" s="1110" t="s">
        <v>0</v>
      </c>
      <c r="C2" s="1112" t="s">
        <v>1</v>
      </c>
      <c r="D2" s="1109"/>
      <c r="E2" s="1109" t="s">
        <v>2</v>
      </c>
      <c r="F2" s="1109" t="s">
        <v>3</v>
      </c>
      <c r="G2" s="1109" t="s">
        <v>4</v>
      </c>
      <c r="H2" s="1109" t="s">
        <v>5</v>
      </c>
      <c r="I2" s="1109" t="s">
        <v>6</v>
      </c>
      <c r="J2" s="1109" t="s">
        <v>7</v>
      </c>
      <c r="K2" s="1113" t="s">
        <v>8</v>
      </c>
    </row>
    <row r="3" spans="2:17">
      <c r="B3" s="1111"/>
      <c r="C3" s="276" t="s">
        <v>9</v>
      </c>
      <c r="D3" s="277" t="s">
        <v>10</v>
      </c>
      <c r="E3" s="745"/>
      <c r="F3" s="745"/>
      <c r="G3" s="745"/>
      <c r="H3" s="745"/>
      <c r="I3" s="745"/>
      <c r="J3" s="745"/>
      <c r="K3" s="1114"/>
    </row>
    <row r="4" spans="2:17">
      <c r="B4" s="311">
        <v>1</v>
      </c>
      <c r="C4" s="37">
        <v>17</v>
      </c>
      <c r="D4" s="41"/>
      <c r="E4" s="174">
        <v>45870</v>
      </c>
      <c r="F4" s="37" t="s">
        <v>159</v>
      </c>
      <c r="G4" s="37" t="s">
        <v>140</v>
      </c>
      <c r="H4" s="91" t="s">
        <v>2278</v>
      </c>
      <c r="I4" s="41" t="s">
        <v>2279</v>
      </c>
      <c r="J4" s="41"/>
      <c r="K4" s="312"/>
    </row>
    <row r="5" spans="2:17">
      <c r="B5" s="311">
        <v>2</v>
      </c>
      <c r="C5" s="37"/>
      <c r="D5" s="37">
        <v>9</v>
      </c>
      <c r="E5" s="174">
        <v>45870</v>
      </c>
      <c r="F5" s="37" t="s">
        <v>159</v>
      </c>
      <c r="G5" s="37" t="s">
        <v>140</v>
      </c>
      <c r="H5" s="246" t="s">
        <v>2280</v>
      </c>
      <c r="I5" s="41" t="s">
        <v>2279</v>
      </c>
      <c r="J5" s="246" t="s">
        <v>2281</v>
      </c>
      <c r="K5" s="246" t="s">
        <v>2282</v>
      </c>
    </row>
    <row r="6" spans="2:17" s="3" customFormat="1" ht="42" customHeight="1">
      <c r="B6" s="311">
        <v>3</v>
      </c>
      <c r="C6" s="163">
        <v>329</v>
      </c>
      <c r="D6" s="37"/>
      <c r="E6" s="174">
        <v>45873</v>
      </c>
      <c r="F6" s="37" t="s">
        <v>131</v>
      </c>
      <c r="G6" s="37" t="s">
        <v>174</v>
      </c>
      <c r="H6" s="271" t="s">
        <v>2283</v>
      </c>
      <c r="I6" s="305" t="s">
        <v>127</v>
      </c>
      <c r="J6" s="61" t="s">
        <v>2284</v>
      </c>
      <c r="K6" s="313" t="s">
        <v>2285</v>
      </c>
    </row>
    <row r="7" spans="2:17" s="3" customFormat="1" ht="62.25" customHeight="1">
      <c r="B7" s="311">
        <v>4</v>
      </c>
      <c r="C7" s="75"/>
      <c r="D7" s="325">
        <v>110</v>
      </c>
      <c r="E7" s="304">
        <v>45874</v>
      </c>
      <c r="F7" s="75" t="s">
        <v>124</v>
      </c>
      <c r="G7" s="75" t="s">
        <v>125</v>
      </c>
      <c r="H7" s="271" t="s">
        <v>2286</v>
      </c>
      <c r="I7" s="41" t="s">
        <v>127</v>
      </c>
      <c r="J7" s="36" t="s">
        <v>2287</v>
      </c>
      <c r="K7" s="314" t="s">
        <v>2288</v>
      </c>
    </row>
    <row r="8" spans="2:17" s="3" customFormat="1">
      <c r="B8" s="311">
        <v>5</v>
      </c>
      <c r="C8" s="37">
        <v>12</v>
      </c>
      <c r="D8" s="37"/>
      <c r="E8" s="174">
        <v>45876</v>
      </c>
      <c r="F8" s="37" t="s">
        <v>124</v>
      </c>
      <c r="G8" s="37" t="s">
        <v>125</v>
      </c>
      <c r="H8" s="271" t="s">
        <v>2289</v>
      </c>
      <c r="I8" s="41" t="s">
        <v>2279</v>
      </c>
      <c r="J8" s="272"/>
      <c r="K8" s="314"/>
    </row>
    <row r="9" spans="2:17" s="3" customFormat="1" ht="43.5">
      <c r="B9" s="311">
        <v>6</v>
      </c>
      <c r="C9" s="163">
        <v>93</v>
      </c>
      <c r="D9" s="37"/>
      <c r="E9" s="174">
        <v>45876</v>
      </c>
      <c r="F9" s="37" t="s">
        <v>124</v>
      </c>
      <c r="G9" s="37" t="s">
        <v>125</v>
      </c>
      <c r="H9" s="271" t="s">
        <v>2290</v>
      </c>
      <c r="I9" s="41" t="s">
        <v>2291</v>
      </c>
      <c r="J9" s="36" t="s">
        <v>2292</v>
      </c>
      <c r="K9" s="314"/>
    </row>
    <row r="10" spans="2:17" s="3" customFormat="1" ht="32.25" customHeight="1">
      <c r="B10" s="311">
        <v>7</v>
      </c>
      <c r="C10" s="37"/>
      <c r="D10" s="163">
        <v>89</v>
      </c>
      <c r="E10" s="174">
        <v>45882</v>
      </c>
      <c r="F10" s="37" t="s">
        <v>131</v>
      </c>
      <c r="G10" s="37" t="s">
        <v>125</v>
      </c>
      <c r="H10" s="271" t="s">
        <v>2293</v>
      </c>
      <c r="I10" s="41" t="s">
        <v>2291</v>
      </c>
      <c r="J10" s="272" t="s">
        <v>2294</v>
      </c>
      <c r="K10" s="314" t="s">
        <v>2295</v>
      </c>
    </row>
    <row r="11" spans="2:17" s="3" customFormat="1" ht="47.25" customHeight="1">
      <c r="B11" s="311">
        <v>8</v>
      </c>
      <c r="C11" s="163">
        <v>150</v>
      </c>
      <c r="D11" s="37"/>
      <c r="E11" s="174">
        <v>45891</v>
      </c>
      <c r="F11" s="37" t="s">
        <v>131</v>
      </c>
      <c r="G11" s="37" t="s">
        <v>152</v>
      </c>
      <c r="H11" s="271" t="s">
        <v>175</v>
      </c>
      <c r="I11" s="41" t="s">
        <v>2291</v>
      </c>
      <c r="J11" s="36" t="s">
        <v>2296</v>
      </c>
      <c r="K11" s="314" t="s">
        <v>2297</v>
      </c>
      <c r="O11" s="314"/>
      <c r="P11" s="314"/>
      <c r="Q11" s="314"/>
    </row>
    <row r="12" spans="2:17" s="3" customFormat="1" ht="29.25" customHeight="1">
      <c r="B12" s="311">
        <v>9</v>
      </c>
      <c r="C12" s="37"/>
      <c r="D12" s="163">
        <v>45</v>
      </c>
      <c r="E12" s="174">
        <v>45891</v>
      </c>
      <c r="F12" s="37" t="s">
        <v>131</v>
      </c>
      <c r="G12" s="37" t="s">
        <v>152</v>
      </c>
      <c r="H12" s="271" t="s">
        <v>2298</v>
      </c>
      <c r="I12" s="41" t="s">
        <v>2291</v>
      </c>
      <c r="J12" s="36" t="s">
        <v>2299</v>
      </c>
      <c r="K12" s="315" t="s">
        <v>2300</v>
      </c>
      <c r="L12" s="442"/>
      <c r="M12" s="442"/>
    </row>
    <row r="13" spans="2:17" s="3" customFormat="1" ht="19.5" customHeight="1">
      <c r="B13" s="311">
        <v>8</v>
      </c>
      <c r="C13" s="251"/>
      <c r="D13" s="74">
        <v>5</v>
      </c>
      <c r="E13" s="296">
        <v>45896</v>
      </c>
      <c r="F13" s="37" t="s">
        <v>131</v>
      </c>
      <c r="G13" s="90" t="s">
        <v>162</v>
      </c>
      <c r="H13" s="271" t="s">
        <v>2301</v>
      </c>
      <c r="I13" s="41" t="s">
        <v>2279</v>
      </c>
      <c r="J13" s="36"/>
      <c r="K13" s="317"/>
      <c r="L13" s="153"/>
      <c r="M13" s="153"/>
      <c r="N13" s="153"/>
      <c r="O13" s="153"/>
      <c r="P13" s="153"/>
      <c r="Q13" s="153"/>
    </row>
    <row r="14" spans="2:17" s="3" customFormat="1" ht="74.25">
      <c r="B14" s="311">
        <v>9</v>
      </c>
      <c r="C14" s="90"/>
      <c r="D14" s="163">
        <v>52</v>
      </c>
      <c r="E14" s="275">
        <v>45897</v>
      </c>
      <c r="F14" s="75" t="s">
        <v>124</v>
      </c>
      <c r="G14" s="37" t="s">
        <v>125</v>
      </c>
      <c r="H14" s="271" t="s">
        <v>2302</v>
      </c>
      <c r="I14" s="41" t="s">
        <v>2291</v>
      </c>
      <c r="J14" s="323" t="s">
        <v>2303</v>
      </c>
      <c r="K14" s="324" t="s">
        <v>2304</v>
      </c>
      <c r="L14" s="247"/>
      <c r="M14" s="247"/>
      <c r="N14" s="247"/>
      <c r="O14" s="247"/>
      <c r="P14" s="247"/>
      <c r="Q14" s="247"/>
    </row>
    <row r="15" spans="2:17" s="3" customFormat="1" ht="19.5" customHeight="1">
      <c r="B15" s="311">
        <v>10</v>
      </c>
      <c r="C15" s="90"/>
      <c r="D15" s="37"/>
      <c r="E15" s="275"/>
      <c r="F15" s="37"/>
      <c r="G15" s="37"/>
      <c r="H15" s="36"/>
      <c r="I15" s="41"/>
      <c r="J15" s="171"/>
      <c r="K15" s="319"/>
      <c r="L15" s="442"/>
      <c r="M15" s="442"/>
    </row>
    <row r="16" spans="2:17" s="3" customFormat="1" ht="19.5" customHeight="1">
      <c r="B16" s="311">
        <v>11</v>
      </c>
      <c r="C16" s="90"/>
      <c r="D16" s="37"/>
      <c r="E16" s="275"/>
      <c r="F16" s="37"/>
      <c r="G16" s="37"/>
      <c r="H16" s="36"/>
      <c r="I16" s="75"/>
      <c r="J16" s="37"/>
      <c r="K16" s="318"/>
      <c r="L16" s="442"/>
      <c r="M16" s="442"/>
    </row>
    <row r="17" spans="2:11" s="3" customFormat="1" ht="19.5" customHeight="1">
      <c r="B17" s="311">
        <v>12</v>
      </c>
      <c r="C17" s="90"/>
      <c r="D17" s="37"/>
      <c r="E17" s="275"/>
      <c r="F17" s="37"/>
      <c r="G17" s="37"/>
      <c r="H17" s="36"/>
      <c r="I17" s="41"/>
      <c r="J17" s="37"/>
      <c r="K17" s="318"/>
    </row>
    <row r="18" spans="2:11" s="3" customFormat="1">
      <c r="B18" s="311">
        <v>13</v>
      </c>
      <c r="C18" s="90"/>
      <c r="D18" s="37"/>
      <c r="E18" s="275"/>
      <c r="F18" s="37"/>
      <c r="G18" s="37"/>
      <c r="H18" s="36"/>
      <c r="I18" s="41"/>
      <c r="J18" s="36"/>
      <c r="K18" s="314"/>
    </row>
    <row r="19" spans="2:11" s="3" customFormat="1">
      <c r="B19" s="311">
        <v>14</v>
      </c>
      <c r="C19" s="90"/>
      <c r="D19" s="37"/>
      <c r="E19" s="37"/>
      <c r="F19" s="37"/>
      <c r="G19" s="37"/>
      <c r="H19" s="36"/>
      <c r="I19" s="37"/>
      <c r="J19" s="37"/>
      <c r="K19" s="318"/>
    </row>
    <row r="20" spans="2:11" s="3" customFormat="1">
      <c r="B20" s="316">
        <v>15</v>
      </c>
      <c r="C20" s="90"/>
      <c r="D20" s="37"/>
      <c r="E20" s="37"/>
      <c r="F20" s="37"/>
      <c r="G20" s="37"/>
      <c r="H20" s="36"/>
      <c r="I20" s="37"/>
      <c r="J20" s="37"/>
      <c r="K20" s="318"/>
    </row>
    <row r="21" spans="2:11" s="3" customFormat="1">
      <c r="B21" s="311">
        <v>16</v>
      </c>
      <c r="C21" s="90"/>
      <c r="D21" s="37"/>
      <c r="E21" s="37"/>
      <c r="F21" s="37"/>
      <c r="G21" s="37"/>
      <c r="H21" s="36"/>
      <c r="I21" s="37"/>
      <c r="J21" s="37"/>
      <c r="K21" s="318"/>
    </row>
    <row r="22" spans="2:11" s="3" customFormat="1">
      <c r="B22" s="311">
        <v>17</v>
      </c>
      <c r="C22" s="90"/>
      <c r="D22" s="37"/>
      <c r="E22" s="37"/>
      <c r="F22" s="37"/>
      <c r="G22" s="37"/>
      <c r="H22" s="36"/>
      <c r="I22" s="37"/>
      <c r="J22" s="37"/>
      <c r="K22" s="318"/>
    </row>
    <row r="23" spans="2:11">
      <c r="B23" s="311">
        <v>18</v>
      </c>
      <c r="C23" s="90"/>
      <c r="D23" s="37"/>
      <c r="E23" s="37"/>
      <c r="F23" s="37"/>
      <c r="G23" s="37"/>
      <c r="H23" s="37"/>
      <c r="I23" s="37"/>
      <c r="J23" s="37"/>
      <c r="K23" s="318"/>
    </row>
    <row r="24" spans="2:11">
      <c r="B24" s="320">
        <v>24</v>
      </c>
      <c r="C24" s="321"/>
      <c r="D24" s="321"/>
      <c r="E24" s="321"/>
      <c r="F24" s="321"/>
      <c r="G24" s="321"/>
      <c r="H24" s="321"/>
      <c r="I24" s="321"/>
      <c r="J24" s="321"/>
      <c r="K24" s="322"/>
    </row>
    <row r="25" spans="2:11">
      <c r="B25" s="124" t="s">
        <v>11</v>
      </c>
      <c r="C25" s="94">
        <f>SUM(C5:C24)</f>
        <v>584</v>
      </c>
      <c r="D25" s="94">
        <f>SUM(D5:D24)</f>
        <v>310</v>
      </c>
      <c r="E25" s="434"/>
      <c r="F25" s="435"/>
      <c r="G25" s="435"/>
      <c r="H25" s="435"/>
      <c r="I25" s="435"/>
      <c r="J25" s="435"/>
      <c r="K25" s="435"/>
    </row>
    <row r="26" spans="2:11">
      <c r="B26" s="9"/>
      <c r="C26" s="10"/>
      <c r="D26" s="11"/>
      <c r="E26" s="434"/>
      <c r="F26" s="435"/>
      <c r="G26" s="435"/>
      <c r="H26" s="435"/>
      <c r="I26" s="435"/>
      <c r="J26" s="435"/>
      <c r="K26" s="435"/>
    </row>
    <row r="27" spans="2:11">
      <c r="B27" s="6" t="s">
        <v>12</v>
      </c>
      <c r="C27" s="432">
        <f>SUM(C25,D25)</f>
        <v>894</v>
      </c>
      <c r="D27" s="433"/>
      <c r="E27" s="434"/>
      <c r="F27" s="435"/>
      <c r="G27" s="435"/>
      <c r="H27" s="435"/>
      <c r="I27" s="435"/>
      <c r="J27" s="435"/>
      <c r="K27" s="435"/>
    </row>
    <row r="28" spans="2:11">
      <c r="B28" s="12"/>
      <c r="C28" s="13"/>
      <c r="D28" s="14"/>
      <c r="E28" s="436"/>
      <c r="F28" s="437"/>
      <c r="G28" s="437"/>
      <c r="H28" s="437"/>
      <c r="I28" s="437"/>
      <c r="J28" s="437"/>
      <c r="K28" s="437"/>
    </row>
    <row r="29" spans="2:11">
      <c r="E29" s="152"/>
      <c r="F29" s="152"/>
      <c r="G29" s="152"/>
      <c r="H29" s="152"/>
      <c r="I29" s="152"/>
      <c r="J29" s="152"/>
      <c r="K29" s="152"/>
    </row>
    <row r="30" spans="2:11">
      <c r="E30" s="152"/>
      <c r="F30" s="152"/>
      <c r="G30" s="152"/>
      <c r="H30" s="152"/>
      <c r="I30" s="152"/>
      <c r="J30" s="152"/>
      <c r="K30" s="152"/>
    </row>
    <row r="31" spans="2:11" ht="26.25">
      <c r="B31" s="446" t="s">
        <v>13</v>
      </c>
      <c r="C31" s="447"/>
      <c r="D31" s="446" t="s">
        <v>14</v>
      </c>
      <c r="E31" s="446"/>
      <c r="F31" s="446"/>
      <c r="G31" s="446"/>
      <c r="H31" s="446"/>
      <c r="I31" s="446"/>
      <c r="J31" s="197" t="s">
        <v>15</v>
      </c>
    </row>
    <row r="32" spans="2:11" ht="20.25">
      <c r="B32" s="447"/>
      <c r="C32" s="447"/>
      <c r="D32" s="448" t="s">
        <v>16</v>
      </c>
      <c r="E32" s="448"/>
      <c r="F32" s="448"/>
      <c r="G32" s="448"/>
      <c r="H32" s="448"/>
      <c r="I32" s="448"/>
      <c r="J32" s="197" t="s">
        <v>17</v>
      </c>
    </row>
    <row r="33" spans="2:11">
      <c r="B33" s="449" t="s">
        <v>18</v>
      </c>
      <c r="C33" s="449"/>
      <c r="D33" s="275">
        <v>45873</v>
      </c>
      <c r="E33" s="199" t="s">
        <v>1460</v>
      </c>
      <c r="F33" s="450" t="s">
        <v>131</v>
      </c>
      <c r="G33" s="450"/>
      <c r="H33" s="201" t="s">
        <v>21</v>
      </c>
      <c r="I33" s="202" t="s">
        <v>867</v>
      </c>
      <c r="J33" s="199" t="s">
        <v>23</v>
      </c>
    </row>
    <row r="34" spans="2:11">
      <c r="B34" s="449" t="s">
        <v>24</v>
      </c>
      <c r="C34" s="449"/>
      <c r="D34" s="203" t="s">
        <v>2305</v>
      </c>
      <c r="E34" s="204" t="s">
        <v>25</v>
      </c>
      <c r="F34" s="450" t="s">
        <v>26</v>
      </c>
      <c r="G34" s="450"/>
      <c r="H34" s="199" t="s">
        <v>27</v>
      </c>
      <c r="I34" s="202" t="s">
        <v>2167</v>
      </c>
      <c r="J34" s="202" t="s">
        <v>29</v>
      </c>
      <c r="K34" s="135">
        <v>90</v>
      </c>
    </row>
    <row r="35" spans="2:11">
      <c r="B35" s="449" t="s">
        <v>30</v>
      </c>
      <c r="C35" s="449"/>
      <c r="D35" s="199" t="s">
        <v>31</v>
      </c>
      <c r="E35" s="199" t="s">
        <v>32</v>
      </c>
      <c r="F35" s="450">
        <v>329</v>
      </c>
      <c r="G35" s="450"/>
      <c r="H35" s="201" t="s">
        <v>33</v>
      </c>
      <c r="I35" s="247"/>
      <c r="J35" s="202"/>
      <c r="K35" s="135">
        <v>3</v>
      </c>
    </row>
    <row r="36" spans="2:11">
      <c r="B36" s="451" t="s">
        <v>35</v>
      </c>
      <c r="C36" s="451"/>
      <c r="D36" s="449" t="s">
        <v>1981</v>
      </c>
      <c r="E36" s="449"/>
      <c r="F36" s="449"/>
      <c r="G36" s="449"/>
      <c r="H36" s="449"/>
      <c r="I36" s="449"/>
      <c r="J36" s="449"/>
      <c r="K36" s="135">
        <v>270</v>
      </c>
    </row>
    <row r="37" spans="2:11">
      <c r="B37" s="452" t="s">
        <v>2306</v>
      </c>
      <c r="C37" s="453"/>
      <c r="D37" s="453"/>
      <c r="E37" s="453"/>
      <c r="F37" s="453"/>
      <c r="G37" s="453"/>
      <c r="H37" s="453"/>
      <c r="I37" s="453"/>
      <c r="J37" s="454"/>
      <c r="K37" s="135">
        <v>2700000</v>
      </c>
    </row>
    <row r="38" spans="2:11">
      <c r="B38" s="455"/>
      <c r="C38" s="456"/>
      <c r="D38" s="456"/>
      <c r="E38" s="456"/>
      <c r="F38" s="456"/>
      <c r="G38" s="456"/>
      <c r="H38" s="456"/>
      <c r="I38" s="456"/>
      <c r="J38" s="457"/>
    </row>
    <row r="39" spans="2:11">
      <c r="B39" s="455"/>
      <c r="C39" s="456"/>
      <c r="D39" s="456"/>
      <c r="E39" s="456"/>
      <c r="F39" s="456"/>
      <c r="G39" s="456"/>
      <c r="H39" s="456"/>
      <c r="I39" s="456"/>
      <c r="J39" s="457"/>
    </row>
    <row r="40" spans="2:11">
      <c r="B40" s="458"/>
      <c r="C40" s="459"/>
      <c r="D40" s="459"/>
      <c r="E40" s="459"/>
      <c r="F40" s="459"/>
      <c r="G40" s="459"/>
      <c r="H40" s="459"/>
      <c r="I40" s="459"/>
      <c r="J40" s="460"/>
    </row>
    <row r="41" spans="2:11" ht="18">
      <c r="B41" s="461" t="s">
        <v>38</v>
      </c>
      <c r="C41" s="462"/>
      <c r="D41" s="462"/>
      <c r="E41" s="462"/>
      <c r="F41" s="462"/>
      <c r="G41" s="462"/>
      <c r="H41" s="462"/>
      <c r="I41" s="463"/>
      <c r="J41" s="205" t="s">
        <v>39</v>
      </c>
    </row>
    <row r="42" spans="2:11">
      <c r="B42" s="200">
        <v>1</v>
      </c>
      <c r="C42" s="464" t="s">
        <v>2307</v>
      </c>
      <c r="D42" s="465"/>
      <c r="E42" s="465"/>
      <c r="F42" s="465"/>
      <c r="G42" s="465"/>
      <c r="H42" s="465"/>
      <c r="I42" s="466"/>
      <c r="J42" s="200" t="s">
        <v>26</v>
      </c>
    </row>
    <row r="43" spans="2:11">
      <c r="B43" s="200">
        <v>2</v>
      </c>
      <c r="C43" s="464" t="s">
        <v>2308</v>
      </c>
      <c r="D43" s="465"/>
      <c r="E43" s="465"/>
      <c r="F43" s="465"/>
      <c r="G43" s="465"/>
      <c r="H43" s="465"/>
      <c r="I43" s="466"/>
      <c r="J43" s="200" t="s">
        <v>26</v>
      </c>
    </row>
    <row r="44" spans="2:11" ht="20.25" customHeight="1">
      <c r="B44" s="200">
        <v>3</v>
      </c>
      <c r="C44" s="464"/>
      <c r="D44" s="465"/>
      <c r="E44" s="465"/>
      <c r="F44" s="465"/>
      <c r="G44" s="465"/>
      <c r="H44" s="465"/>
      <c r="I44" s="466"/>
      <c r="J44" s="200"/>
    </row>
    <row r="45" spans="2:11" ht="18">
      <c r="B45" s="461" t="s">
        <v>44</v>
      </c>
      <c r="C45" s="462"/>
      <c r="D45" s="462"/>
      <c r="E45" s="462"/>
      <c r="F45" s="462"/>
      <c r="G45" s="462"/>
      <c r="H45" s="462"/>
      <c r="I45" s="462"/>
      <c r="J45" s="463"/>
    </row>
    <row r="46" spans="2:11">
      <c r="B46" s="200" t="s">
        <v>45</v>
      </c>
      <c r="C46" s="1059" t="s">
        <v>1568</v>
      </c>
      <c r="D46" s="473"/>
      <c r="E46" s="473"/>
      <c r="F46" s="473"/>
      <c r="G46" s="473"/>
      <c r="H46" s="473"/>
      <c r="I46" s="473"/>
      <c r="J46" s="473"/>
    </row>
    <row r="47" spans="2:11">
      <c r="B47" s="206" t="s">
        <v>45</v>
      </c>
      <c r="C47" s="1059" t="s">
        <v>2309</v>
      </c>
      <c r="D47" s="473"/>
      <c r="E47" s="473"/>
      <c r="F47" s="473"/>
      <c r="G47" s="473"/>
      <c r="H47" s="473"/>
      <c r="I47" s="473"/>
      <c r="J47" s="473"/>
    </row>
    <row r="48" spans="2:11">
      <c r="B48" s="206" t="s">
        <v>45</v>
      </c>
      <c r="C48" s="1059" t="s">
        <v>2296</v>
      </c>
      <c r="D48" s="473"/>
      <c r="E48" s="473"/>
      <c r="F48" s="473"/>
      <c r="G48" s="473"/>
      <c r="H48" s="473"/>
      <c r="I48" s="473"/>
      <c r="J48" s="473"/>
    </row>
    <row r="49" spans="2:11">
      <c r="B49" s="206" t="s">
        <v>45</v>
      </c>
      <c r="C49" s="1101"/>
      <c r="D49" s="475"/>
      <c r="E49" s="475"/>
      <c r="F49" s="475"/>
      <c r="G49" s="475"/>
      <c r="H49" s="475"/>
      <c r="I49" s="475"/>
      <c r="J49" s="476"/>
    </row>
    <row r="50" spans="2:11">
      <c r="B50" s="206" t="s">
        <v>45</v>
      </c>
      <c r="C50" s="464"/>
      <c r="D50" s="465"/>
      <c r="E50" s="465"/>
      <c r="F50" s="465"/>
      <c r="G50" s="465"/>
      <c r="H50" s="465"/>
      <c r="I50" s="465"/>
      <c r="J50" s="466"/>
    </row>
    <row r="51" spans="2:11">
      <c r="B51" s="206" t="s">
        <v>45</v>
      </c>
      <c r="C51" s="464"/>
      <c r="D51" s="465"/>
      <c r="E51" s="465"/>
      <c r="F51" s="465"/>
      <c r="G51" s="465"/>
      <c r="H51" s="465"/>
      <c r="I51" s="465"/>
      <c r="J51" s="466"/>
    </row>
    <row r="52" spans="2:11">
      <c r="B52" s="200" t="s">
        <v>45</v>
      </c>
      <c r="C52" s="464"/>
      <c r="D52" s="465"/>
      <c r="E52" s="465"/>
      <c r="F52" s="465"/>
      <c r="G52" s="465"/>
      <c r="H52" s="465"/>
      <c r="I52" s="465"/>
      <c r="J52" s="466"/>
    </row>
    <row r="53" spans="2:11">
      <c r="B53" s="200" t="s">
        <v>7</v>
      </c>
      <c r="C53" s="1059" t="s">
        <v>2296</v>
      </c>
      <c r="D53" s="473"/>
      <c r="E53" s="473"/>
      <c r="F53" s="473"/>
      <c r="G53" s="473"/>
      <c r="H53" s="473"/>
      <c r="I53" s="473"/>
      <c r="J53" s="473"/>
    </row>
    <row r="54" spans="2:11" ht="18">
      <c r="B54" s="205" t="s">
        <v>52</v>
      </c>
      <c r="C54" s="477" t="s">
        <v>53</v>
      </c>
      <c r="D54" s="477"/>
      <c r="E54" s="477"/>
      <c r="F54" s="477"/>
      <c r="G54" s="477"/>
      <c r="H54" s="205" t="s">
        <v>54</v>
      </c>
      <c r="I54" s="205" t="s">
        <v>55</v>
      </c>
      <c r="J54" s="205" t="s">
        <v>56</v>
      </c>
    </row>
    <row r="55" spans="2:11">
      <c r="B55" s="200">
        <v>1</v>
      </c>
      <c r="C55" s="1102" t="s">
        <v>2310</v>
      </c>
      <c r="D55" s="451"/>
      <c r="E55" s="451"/>
      <c r="F55" s="451"/>
      <c r="G55" s="451"/>
      <c r="H55" s="200"/>
      <c r="I55" s="207" t="s">
        <v>1692</v>
      </c>
      <c r="J55" s="200"/>
    </row>
    <row r="56" spans="2:11">
      <c r="B56" s="200">
        <v>2</v>
      </c>
      <c r="C56" s="1102" t="s">
        <v>2311</v>
      </c>
      <c r="D56" s="451"/>
      <c r="E56" s="451"/>
      <c r="F56" s="451"/>
      <c r="G56" s="451"/>
      <c r="H56" s="200"/>
      <c r="I56" s="207" t="s">
        <v>1692</v>
      </c>
      <c r="J56" s="200"/>
    </row>
    <row r="57" spans="2:11" ht="27" customHeight="1">
      <c r="B57" s="200"/>
      <c r="C57" s="1102"/>
      <c r="D57" s="451"/>
      <c r="E57" s="451"/>
      <c r="F57" s="451"/>
      <c r="G57" s="451"/>
      <c r="H57" s="200"/>
      <c r="I57" s="207"/>
      <c r="J57" s="200"/>
    </row>
    <row r="58" spans="2:11">
      <c r="B58" s="450" t="s">
        <v>63</v>
      </c>
      <c r="C58" s="450"/>
      <c r="D58" s="199" t="s">
        <v>31</v>
      </c>
      <c r="E58" s="198" t="s">
        <v>64</v>
      </c>
      <c r="F58" s="467"/>
      <c r="G58" s="469"/>
      <c r="H58" s="199"/>
      <c r="I58" s="199"/>
      <c r="J58" s="199"/>
    </row>
    <row r="59" spans="2:11" ht="45">
      <c r="B59" s="201" t="s">
        <v>66</v>
      </c>
      <c r="C59" s="450"/>
      <c r="D59" s="450"/>
      <c r="E59" s="201" t="s">
        <v>67</v>
      </c>
      <c r="F59" s="450"/>
      <c r="G59" s="450"/>
      <c r="H59" s="201" t="s">
        <v>68</v>
      </c>
      <c r="I59" s="450"/>
      <c r="J59" s="450"/>
    </row>
    <row r="60" spans="2:11">
      <c r="E60" s="152"/>
      <c r="F60" s="152"/>
      <c r="G60" s="152"/>
      <c r="H60" s="152"/>
      <c r="I60" s="152"/>
      <c r="J60" s="152"/>
      <c r="K60" s="152"/>
    </row>
    <row r="61" spans="2:11">
      <c r="E61" s="152"/>
      <c r="F61" s="152"/>
      <c r="G61" s="152"/>
      <c r="H61" s="152"/>
      <c r="I61" s="152"/>
      <c r="J61" s="152"/>
      <c r="K61" s="152"/>
    </row>
    <row r="62" spans="2:11" ht="26.25">
      <c r="B62" s="446" t="s">
        <v>13</v>
      </c>
      <c r="C62" s="447"/>
      <c r="D62" s="446" t="s">
        <v>14</v>
      </c>
      <c r="E62" s="446"/>
      <c r="F62" s="446"/>
      <c r="G62" s="446"/>
      <c r="H62" s="446"/>
      <c r="I62" s="446"/>
      <c r="J62" s="197" t="s">
        <v>15</v>
      </c>
    </row>
    <row r="63" spans="2:11" ht="20.25">
      <c r="B63" s="447"/>
      <c r="C63" s="447"/>
      <c r="D63" s="448" t="s">
        <v>16</v>
      </c>
      <c r="E63" s="448"/>
      <c r="F63" s="448"/>
      <c r="G63" s="448"/>
      <c r="H63" s="448"/>
      <c r="I63" s="448"/>
      <c r="J63" s="197" t="s">
        <v>17</v>
      </c>
    </row>
    <row r="64" spans="2:11">
      <c r="B64" s="449" t="s">
        <v>18</v>
      </c>
      <c r="C64" s="449"/>
      <c r="D64" s="275">
        <v>45874</v>
      </c>
      <c r="E64" s="199" t="s">
        <v>1460</v>
      </c>
      <c r="F64" s="450" t="s">
        <v>124</v>
      </c>
      <c r="G64" s="450"/>
      <c r="H64" s="201" t="s">
        <v>21</v>
      </c>
      <c r="I64" s="202" t="s">
        <v>917</v>
      </c>
      <c r="J64" s="199" t="s">
        <v>23</v>
      </c>
    </row>
    <row r="65" spans="2:10">
      <c r="B65" s="449" t="s">
        <v>24</v>
      </c>
      <c r="C65" s="449"/>
      <c r="D65" s="203">
        <v>0.95138888888888884</v>
      </c>
      <c r="E65" s="204" t="s">
        <v>25</v>
      </c>
      <c r="F65" s="450" t="s">
        <v>26</v>
      </c>
      <c r="G65" s="450"/>
      <c r="H65" s="199" t="s">
        <v>27</v>
      </c>
      <c r="I65" s="202" t="s">
        <v>1904</v>
      </c>
      <c r="J65" s="202" t="s">
        <v>31</v>
      </c>
    </row>
    <row r="66" spans="2:10">
      <c r="B66" s="449" t="s">
        <v>30</v>
      </c>
      <c r="C66" s="449"/>
      <c r="D66" s="199" t="s">
        <v>31</v>
      </c>
      <c r="E66" s="199" t="s">
        <v>32</v>
      </c>
      <c r="F66" s="450">
        <v>110</v>
      </c>
      <c r="G66" s="450"/>
      <c r="H66" s="201" t="s">
        <v>33</v>
      </c>
      <c r="I66" s="247"/>
      <c r="J66" s="202"/>
    </row>
    <row r="67" spans="2:10">
      <c r="B67" s="451" t="s">
        <v>35</v>
      </c>
      <c r="C67" s="451"/>
      <c r="D67" s="449" t="s">
        <v>2129</v>
      </c>
      <c r="E67" s="449"/>
      <c r="F67" s="449"/>
      <c r="G67" s="449"/>
      <c r="H67" s="449"/>
      <c r="I67" s="449"/>
      <c r="J67" s="449"/>
    </row>
    <row r="68" spans="2:10">
      <c r="B68" s="452" t="s">
        <v>2312</v>
      </c>
      <c r="C68" s="453"/>
      <c r="D68" s="453"/>
      <c r="E68" s="453"/>
      <c r="F68" s="453"/>
      <c r="G68" s="453"/>
      <c r="H68" s="453"/>
      <c r="I68" s="453"/>
      <c r="J68" s="454"/>
    </row>
    <row r="69" spans="2:10">
      <c r="B69" s="455"/>
      <c r="C69" s="456"/>
      <c r="D69" s="456"/>
      <c r="E69" s="456"/>
      <c r="F69" s="456"/>
      <c r="G69" s="456"/>
      <c r="H69" s="456"/>
      <c r="I69" s="456"/>
      <c r="J69" s="457"/>
    </row>
    <row r="70" spans="2:10">
      <c r="B70" s="455"/>
      <c r="C70" s="456"/>
      <c r="D70" s="456"/>
      <c r="E70" s="456"/>
      <c r="F70" s="456"/>
      <c r="G70" s="456"/>
      <c r="H70" s="456"/>
      <c r="I70" s="456"/>
      <c r="J70" s="457"/>
    </row>
    <row r="71" spans="2:10">
      <c r="B71" s="458"/>
      <c r="C71" s="459"/>
      <c r="D71" s="459"/>
      <c r="E71" s="459"/>
      <c r="F71" s="459"/>
      <c r="G71" s="459"/>
      <c r="H71" s="459"/>
      <c r="I71" s="459"/>
      <c r="J71" s="460"/>
    </row>
    <row r="72" spans="2:10" ht="18">
      <c r="B72" s="461" t="s">
        <v>38</v>
      </c>
      <c r="C72" s="462"/>
      <c r="D72" s="462"/>
      <c r="E72" s="462"/>
      <c r="F72" s="462"/>
      <c r="G72" s="462"/>
      <c r="H72" s="462"/>
      <c r="I72" s="463"/>
      <c r="J72" s="205" t="s">
        <v>39</v>
      </c>
    </row>
    <row r="73" spans="2:10">
      <c r="B73" s="200">
        <v>1</v>
      </c>
      <c r="C73" s="464" t="s">
        <v>2313</v>
      </c>
      <c r="D73" s="465"/>
      <c r="E73" s="465"/>
      <c r="F73" s="465"/>
      <c r="G73" s="465"/>
      <c r="H73" s="465"/>
      <c r="I73" s="466"/>
      <c r="J73" s="200" t="s">
        <v>26</v>
      </c>
    </row>
    <row r="74" spans="2:10">
      <c r="B74" s="200">
        <v>2</v>
      </c>
      <c r="C74" s="464" t="s">
        <v>2314</v>
      </c>
      <c r="D74" s="465"/>
      <c r="E74" s="465"/>
      <c r="F74" s="465"/>
      <c r="G74" s="465"/>
      <c r="H74" s="465"/>
      <c r="I74" s="466"/>
      <c r="J74" s="200" t="s">
        <v>26</v>
      </c>
    </row>
    <row r="75" spans="2:10" ht="20.25" customHeight="1">
      <c r="B75" s="200">
        <v>3</v>
      </c>
      <c r="C75" s="464" t="s">
        <v>2315</v>
      </c>
      <c r="D75" s="465"/>
      <c r="E75" s="465"/>
      <c r="F75" s="465"/>
      <c r="G75" s="465"/>
      <c r="H75" s="465"/>
      <c r="I75" s="466"/>
      <c r="J75" s="200"/>
    </row>
    <row r="76" spans="2:10" ht="18">
      <c r="B76" s="461" t="s">
        <v>44</v>
      </c>
      <c r="C76" s="462"/>
      <c r="D76" s="462"/>
      <c r="E76" s="462"/>
      <c r="F76" s="462"/>
      <c r="G76" s="462"/>
      <c r="H76" s="462"/>
      <c r="I76" s="462"/>
      <c r="J76" s="463"/>
    </row>
    <row r="77" spans="2:10">
      <c r="B77" s="200" t="s">
        <v>45</v>
      </c>
      <c r="C77" s="1059" t="s">
        <v>1568</v>
      </c>
      <c r="D77" s="473"/>
      <c r="E77" s="473"/>
      <c r="F77" s="473"/>
      <c r="G77" s="473"/>
      <c r="H77" s="473"/>
      <c r="I77" s="473"/>
      <c r="J77" s="473"/>
    </row>
    <row r="78" spans="2:10">
      <c r="B78" s="206" t="s">
        <v>45</v>
      </c>
      <c r="C78" s="1059" t="s">
        <v>2316</v>
      </c>
      <c r="D78" s="473"/>
      <c r="E78" s="473"/>
      <c r="F78" s="473"/>
      <c r="G78" s="473"/>
      <c r="H78" s="473"/>
      <c r="I78" s="473"/>
      <c r="J78" s="473"/>
    </row>
    <row r="79" spans="2:10">
      <c r="B79" s="206" t="s">
        <v>45</v>
      </c>
      <c r="C79" s="1059" t="s">
        <v>2317</v>
      </c>
      <c r="D79" s="473"/>
      <c r="E79" s="473"/>
      <c r="F79" s="473"/>
      <c r="G79" s="473"/>
      <c r="H79" s="473"/>
      <c r="I79" s="473"/>
      <c r="J79" s="473"/>
    </row>
    <row r="80" spans="2:10">
      <c r="B80" s="206" t="s">
        <v>45</v>
      </c>
      <c r="C80" s="1101"/>
      <c r="D80" s="475"/>
      <c r="E80" s="475"/>
      <c r="F80" s="475"/>
      <c r="G80" s="475"/>
      <c r="H80" s="475"/>
      <c r="I80" s="475"/>
      <c r="J80" s="476"/>
    </row>
    <row r="81" spans="2:11">
      <c r="B81" s="206" t="s">
        <v>45</v>
      </c>
      <c r="C81" s="464"/>
      <c r="D81" s="465"/>
      <c r="E81" s="465"/>
      <c r="F81" s="465"/>
      <c r="G81" s="465"/>
      <c r="H81" s="465"/>
      <c r="I81" s="465"/>
      <c r="J81" s="466"/>
    </row>
    <row r="82" spans="2:11">
      <c r="B82" s="206" t="s">
        <v>45</v>
      </c>
      <c r="C82" s="464"/>
      <c r="D82" s="465"/>
      <c r="E82" s="465"/>
      <c r="F82" s="465"/>
      <c r="G82" s="465"/>
      <c r="H82" s="465"/>
      <c r="I82" s="465"/>
      <c r="J82" s="466"/>
    </row>
    <row r="83" spans="2:11">
      <c r="B83" s="200" t="s">
        <v>45</v>
      </c>
      <c r="C83" s="464"/>
      <c r="D83" s="465"/>
      <c r="E83" s="465"/>
      <c r="F83" s="465"/>
      <c r="G83" s="465"/>
      <c r="H83" s="465"/>
      <c r="I83" s="465"/>
      <c r="J83" s="466"/>
    </row>
    <row r="84" spans="2:11">
      <c r="B84" s="200" t="s">
        <v>7</v>
      </c>
      <c r="C84" s="1059" t="s">
        <v>2318</v>
      </c>
      <c r="D84" s="473"/>
      <c r="E84" s="473"/>
      <c r="F84" s="473"/>
      <c r="G84" s="473"/>
      <c r="H84" s="473"/>
      <c r="I84" s="473"/>
      <c r="J84" s="473"/>
    </row>
    <row r="85" spans="2:11" ht="18">
      <c r="B85" s="205" t="s">
        <v>52</v>
      </c>
      <c r="C85" s="477" t="s">
        <v>53</v>
      </c>
      <c r="D85" s="477"/>
      <c r="E85" s="477"/>
      <c r="F85" s="477"/>
      <c r="G85" s="477"/>
      <c r="H85" s="205" t="s">
        <v>54</v>
      </c>
      <c r="I85" s="205" t="s">
        <v>55</v>
      </c>
      <c r="J85" s="205" t="s">
        <v>56</v>
      </c>
    </row>
    <row r="86" spans="2:11">
      <c r="B86" s="200">
        <v>1</v>
      </c>
      <c r="C86" s="1102" t="s">
        <v>2319</v>
      </c>
      <c r="D86" s="451"/>
      <c r="E86" s="451"/>
      <c r="F86" s="451"/>
      <c r="G86" s="451"/>
      <c r="H86" s="200"/>
      <c r="I86" s="207" t="s">
        <v>1692</v>
      </c>
      <c r="J86" s="200" t="s">
        <v>2081</v>
      </c>
    </row>
    <row r="87" spans="2:11" s="281" customFormat="1" ht="34.5" customHeight="1">
      <c r="B87" s="207">
        <v>2</v>
      </c>
      <c r="C87" s="1102" t="s">
        <v>2320</v>
      </c>
      <c r="D87" s="451"/>
      <c r="E87" s="451"/>
      <c r="F87" s="451"/>
      <c r="G87" s="451"/>
      <c r="H87" s="207"/>
      <c r="I87" s="207" t="s">
        <v>1692</v>
      </c>
      <c r="J87" s="207"/>
    </row>
    <row r="88" spans="2:11">
      <c r="B88" s="200"/>
      <c r="C88" s="450"/>
      <c r="D88" s="450"/>
      <c r="E88" s="450"/>
      <c r="F88" s="450"/>
      <c r="G88" s="450"/>
      <c r="H88" s="200"/>
      <c r="I88" s="200"/>
      <c r="J88" s="200"/>
    </row>
    <row r="89" spans="2:11">
      <c r="B89" s="450" t="s">
        <v>63</v>
      </c>
      <c r="C89" s="450"/>
      <c r="D89" s="199" t="s">
        <v>31</v>
      </c>
      <c r="E89" s="198" t="s">
        <v>64</v>
      </c>
      <c r="F89" s="467"/>
      <c r="G89" s="469"/>
      <c r="H89" s="199"/>
      <c r="I89" s="199"/>
      <c r="J89" s="199"/>
    </row>
    <row r="90" spans="2:11" ht="45">
      <c r="B90" s="201" t="s">
        <v>66</v>
      </c>
      <c r="C90" s="450"/>
      <c r="D90" s="450"/>
      <c r="E90" s="201" t="s">
        <v>67</v>
      </c>
      <c r="F90" s="450"/>
      <c r="G90" s="450"/>
      <c r="H90" s="201" t="s">
        <v>68</v>
      </c>
      <c r="I90" s="450"/>
      <c r="J90" s="450"/>
    </row>
    <row r="91" spans="2:11">
      <c r="E91" s="152"/>
      <c r="F91" s="152"/>
      <c r="G91" s="152"/>
      <c r="H91" s="152"/>
      <c r="I91" s="152"/>
      <c r="J91" s="152"/>
      <c r="K91" s="152"/>
    </row>
    <row r="93" spans="2:11" ht="26.25">
      <c r="B93" s="446" t="s">
        <v>13</v>
      </c>
      <c r="C93" s="447"/>
      <c r="D93" s="446" t="s">
        <v>14</v>
      </c>
      <c r="E93" s="446"/>
      <c r="F93" s="446"/>
      <c r="G93" s="446"/>
      <c r="H93" s="446"/>
      <c r="I93" s="446"/>
      <c r="J93" s="197" t="s">
        <v>15</v>
      </c>
    </row>
    <row r="94" spans="2:11" ht="20.25">
      <c r="B94" s="447"/>
      <c r="C94" s="447"/>
      <c r="D94" s="448" t="s">
        <v>16</v>
      </c>
      <c r="E94" s="448"/>
      <c r="F94" s="448"/>
      <c r="G94" s="448"/>
      <c r="H94" s="448"/>
      <c r="I94" s="448"/>
      <c r="J94" s="197" t="s">
        <v>17</v>
      </c>
    </row>
    <row r="95" spans="2:11">
      <c r="B95" s="449" t="s">
        <v>18</v>
      </c>
      <c r="C95" s="449"/>
      <c r="D95" s="275">
        <v>45876</v>
      </c>
      <c r="E95" s="199" t="s">
        <v>1460</v>
      </c>
      <c r="F95" s="450" t="s">
        <v>124</v>
      </c>
      <c r="G95" s="450"/>
      <c r="H95" s="201" t="s">
        <v>21</v>
      </c>
      <c r="I95" s="202" t="s">
        <v>867</v>
      </c>
      <c r="J95" s="199" t="s">
        <v>23</v>
      </c>
    </row>
    <row r="96" spans="2:11">
      <c r="B96" s="449" t="s">
        <v>24</v>
      </c>
      <c r="C96" s="449"/>
      <c r="D96" s="203">
        <v>2.2222222222222223E-2</v>
      </c>
      <c r="E96" s="204" t="s">
        <v>25</v>
      </c>
      <c r="F96" s="450" t="s">
        <v>26</v>
      </c>
      <c r="G96" s="450"/>
      <c r="H96" s="199" t="s">
        <v>27</v>
      </c>
      <c r="I96" s="202" t="s">
        <v>2321</v>
      </c>
      <c r="J96" s="202" t="s">
        <v>29</v>
      </c>
    </row>
    <row r="97" spans="2:10">
      <c r="B97" s="449" t="s">
        <v>30</v>
      </c>
      <c r="C97" s="449"/>
      <c r="D97" s="199" t="s">
        <v>31</v>
      </c>
      <c r="E97" s="199" t="s">
        <v>32</v>
      </c>
      <c r="F97" s="450">
        <v>93</v>
      </c>
      <c r="G97" s="450"/>
      <c r="H97" s="201" t="s">
        <v>33</v>
      </c>
      <c r="I97" s="247"/>
      <c r="J97" s="202"/>
    </row>
    <row r="98" spans="2:10">
      <c r="B98" s="451" t="s">
        <v>35</v>
      </c>
      <c r="C98" s="451"/>
      <c r="D98" s="449" t="s">
        <v>2129</v>
      </c>
      <c r="E98" s="449"/>
      <c r="F98" s="449"/>
      <c r="G98" s="449"/>
      <c r="H98" s="449"/>
      <c r="I98" s="449"/>
      <c r="J98" s="449"/>
    </row>
    <row r="99" spans="2:10">
      <c r="B99" s="452" t="s">
        <v>2322</v>
      </c>
      <c r="C99" s="453"/>
      <c r="D99" s="453"/>
      <c r="E99" s="453"/>
      <c r="F99" s="453"/>
      <c r="G99" s="453"/>
      <c r="H99" s="453"/>
      <c r="I99" s="453"/>
      <c r="J99" s="454"/>
    </row>
    <row r="100" spans="2:10">
      <c r="B100" s="455"/>
      <c r="C100" s="456"/>
      <c r="D100" s="456"/>
      <c r="E100" s="456"/>
      <c r="F100" s="456"/>
      <c r="G100" s="456"/>
      <c r="H100" s="456"/>
      <c r="I100" s="456"/>
      <c r="J100" s="457"/>
    </row>
    <row r="101" spans="2:10">
      <c r="B101" s="455"/>
      <c r="C101" s="456"/>
      <c r="D101" s="456"/>
      <c r="E101" s="456"/>
      <c r="F101" s="456"/>
      <c r="G101" s="456"/>
      <c r="H101" s="456"/>
      <c r="I101" s="456"/>
      <c r="J101" s="457"/>
    </row>
    <row r="102" spans="2:10">
      <c r="B102" s="458"/>
      <c r="C102" s="459"/>
      <c r="D102" s="459"/>
      <c r="E102" s="459"/>
      <c r="F102" s="459"/>
      <c r="G102" s="459"/>
      <c r="H102" s="459"/>
      <c r="I102" s="459"/>
      <c r="J102" s="460"/>
    </row>
    <row r="103" spans="2:10" ht="18">
      <c r="B103" s="461" t="s">
        <v>38</v>
      </c>
      <c r="C103" s="462"/>
      <c r="D103" s="462"/>
      <c r="E103" s="462"/>
      <c r="F103" s="462"/>
      <c r="G103" s="462"/>
      <c r="H103" s="462"/>
      <c r="I103" s="463"/>
      <c r="J103" s="205" t="s">
        <v>39</v>
      </c>
    </row>
    <row r="104" spans="2:10">
      <c r="B104" s="200">
        <v>1</v>
      </c>
      <c r="C104" s="464" t="s">
        <v>2323</v>
      </c>
      <c r="D104" s="465"/>
      <c r="E104" s="465"/>
      <c r="F104" s="465"/>
      <c r="G104" s="465"/>
      <c r="H104" s="465"/>
      <c r="I104" s="466"/>
      <c r="J104" s="200" t="s">
        <v>26</v>
      </c>
    </row>
    <row r="105" spans="2:10">
      <c r="B105" s="200">
        <v>2</v>
      </c>
      <c r="C105" s="464"/>
      <c r="D105" s="465"/>
      <c r="E105" s="465"/>
      <c r="F105" s="465"/>
      <c r="G105" s="465"/>
      <c r="H105" s="465"/>
      <c r="I105" s="466"/>
      <c r="J105" s="200"/>
    </row>
    <row r="106" spans="2:10">
      <c r="B106" s="200">
        <v>3</v>
      </c>
      <c r="C106" s="464"/>
      <c r="D106" s="465"/>
      <c r="E106" s="465"/>
      <c r="F106" s="465"/>
      <c r="G106" s="465"/>
      <c r="H106" s="465"/>
      <c r="I106" s="466"/>
      <c r="J106" s="200"/>
    </row>
    <row r="107" spans="2:10" ht="18">
      <c r="B107" s="461" t="s">
        <v>44</v>
      </c>
      <c r="C107" s="462"/>
      <c r="D107" s="462"/>
      <c r="E107" s="462"/>
      <c r="F107" s="462"/>
      <c r="G107" s="462"/>
      <c r="H107" s="462"/>
      <c r="I107" s="462"/>
      <c r="J107" s="463"/>
    </row>
    <row r="108" spans="2:10">
      <c r="B108" s="200" t="s">
        <v>45</v>
      </c>
      <c r="C108" s="1059" t="s">
        <v>2324</v>
      </c>
      <c r="D108" s="473"/>
      <c r="E108" s="473"/>
      <c r="F108" s="473"/>
      <c r="G108" s="473"/>
      <c r="H108" s="473"/>
      <c r="I108" s="473"/>
      <c r="J108" s="473"/>
    </row>
    <row r="109" spans="2:10">
      <c r="B109" s="206" t="s">
        <v>45</v>
      </c>
      <c r="C109" s="1059" t="s">
        <v>2325</v>
      </c>
      <c r="D109" s="473"/>
      <c r="E109" s="473"/>
      <c r="F109" s="473"/>
      <c r="G109" s="473"/>
      <c r="H109" s="473"/>
      <c r="I109" s="473"/>
      <c r="J109" s="473"/>
    </row>
    <row r="110" spans="2:10">
      <c r="B110" s="206" t="s">
        <v>45</v>
      </c>
      <c r="C110" s="1059" t="s">
        <v>2326</v>
      </c>
      <c r="D110" s="473"/>
      <c r="E110" s="473"/>
      <c r="F110" s="473"/>
      <c r="G110" s="473"/>
      <c r="H110" s="473"/>
      <c r="I110" s="473"/>
      <c r="J110" s="473"/>
    </row>
    <row r="111" spans="2:10">
      <c r="B111" s="206" t="s">
        <v>45</v>
      </c>
      <c r="C111" s="1101" t="s">
        <v>2327</v>
      </c>
      <c r="D111" s="475"/>
      <c r="E111" s="475"/>
      <c r="F111" s="475"/>
      <c r="G111" s="475"/>
      <c r="H111" s="475"/>
      <c r="I111" s="475"/>
      <c r="J111" s="476"/>
    </row>
    <row r="112" spans="2:10">
      <c r="B112" s="206" t="s">
        <v>45</v>
      </c>
      <c r="C112" s="464" t="s">
        <v>2328</v>
      </c>
      <c r="D112" s="465"/>
      <c r="E112" s="465"/>
      <c r="F112" s="465"/>
      <c r="G112" s="465"/>
      <c r="H112" s="465"/>
      <c r="I112" s="465"/>
      <c r="J112" s="466"/>
    </row>
    <row r="113" spans="2:10">
      <c r="B113" s="206" t="s">
        <v>45</v>
      </c>
      <c r="C113" s="464" t="s">
        <v>2329</v>
      </c>
      <c r="D113" s="465"/>
      <c r="E113" s="465"/>
      <c r="F113" s="465"/>
      <c r="G113" s="465"/>
      <c r="H113" s="465"/>
      <c r="I113" s="465"/>
      <c r="J113" s="466"/>
    </row>
    <row r="114" spans="2:10">
      <c r="B114" s="200" t="s">
        <v>45</v>
      </c>
      <c r="C114" s="464"/>
      <c r="D114" s="465"/>
      <c r="E114" s="465"/>
      <c r="F114" s="465"/>
      <c r="G114" s="465"/>
      <c r="H114" s="465"/>
      <c r="I114" s="465"/>
      <c r="J114" s="466"/>
    </row>
    <row r="115" spans="2:10">
      <c r="B115" s="200" t="s">
        <v>7</v>
      </c>
      <c r="C115" s="464" t="s">
        <v>2328</v>
      </c>
      <c r="D115" s="465"/>
      <c r="E115" s="465"/>
      <c r="F115" s="465"/>
      <c r="G115" s="465"/>
      <c r="H115" s="465"/>
      <c r="I115" s="465"/>
      <c r="J115" s="466"/>
    </row>
    <row r="116" spans="2:10" ht="18">
      <c r="B116" s="205" t="s">
        <v>52</v>
      </c>
      <c r="C116" s="477" t="s">
        <v>53</v>
      </c>
      <c r="D116" s="477"/>
      <c r="E116" s="477"/>
      <c r="F116" s="477"/>
      <c r="G116" s="477"/>
      <c r="H116" s="205" t="s">
        <v>54</v>
      </c>
      <c r="I116" s="205" t="s">
        <v>55</v>
      </c>
      <c r="J116" s="205" t="s">
        <v>56</v>
      </c>
    </row>
    <row r="117" spans="2:10">
      <c r="B117" s="200">
        <v>1</v>
      </c>
      <c r="C117" s="1102" t="s">
        <v>2330</v>
      </c>
      <c r="D117" s="451"/>
      <c r="E117" s="451"/>
      <c r="F117" s="451"/>
      <c r="G117" s="451"/>
      <c r="H117" s="200"/>
      <c r="I117" s="207" t="s">
        <v>1692</v>
      </c>
      <c r="J117" s="200"/>
    </row>
    <row r="118" spans="2:10">
      <c r="B118" s="200">
        <v>2</v>
      </c>
      <c r="C118" s="1102"/>
      <c r="D118" s="451"/>
      <c r="E118" s="451"/>
      <c r="F118" s="451"/>
      <c r="G118" s="451"/>
      <c r="H118" s="200"/>
      <c r="I118" s="207"/>
      <c r="J118" s="200"/>
    </row>
    <row r="119" spans="2:10">
      <c r="B119" s="200"/>
      <c r="C119" s="450"/>
      <c r="D119" s="450"/>
      <c r="E119" s="450"/>
      <c r="F119" s="450"/>
      <c r="G119" s="450"/>
      <c r="H119" s="200"/>
      <c r="I119" s="200"/>
      <c r="J119" s="200"/>
    </row>
    <row r="120" spans="2:10">
      <c r="B120" s="450" t="s">
        <v>63</v>
      </c>
      <c r="C120" s="450"/>
      <c r="D120" s="199" t="s">
        <v>31</v>
      </c>
      <c r="E120" s="198" t="s">
        <v>64</v>
      </c>
      <c r="F120" s="467"/>
      <c r="G120" s="469"/>
      <c r="H120" s="199"/>
      <c r="I120" s="199"/>
      <c r="J120" s="199"/>
    </row>
    <row r="121" spans="2:10" ht="45">
      <c r="B121" s="201" t="s">
        <v>66</v>
      </c>
      <c r="C121" s="450"/>
      <c r="D121" s="450"/>
      <c r="E121" s="201" t="s">
        <v>67</v>
      </c>
      <c r="F121" s="450"/>
      <c r="G121" s="450"/>
      <c r="H121" s="201" t="s">
        <v>68</v>
      </c>
      <c r="I121" s="450"/>
      <c r="J121" s="450"/>
    </row>
    <row r="124" spans="2:10" ht="26.25">
      <c r="B124" s="446" t="s">
        <v>13</v>
      </c>
      <c r="C124" s="447"/>
      <c r="D124" s="446" t="s">
        <v>14</v>
      </c>
      <c r="E124" s="446"/>
      <c r="F124" s="446"/>
      <c r="G124" s="446"/>
      <c r="H124" s="446"/>
      <c r="I124" s="446"/>
      <c r="J124" s="197" t="s">
        <v>15</v>
      </c>
    </row>
    <row r="125" spans="2:10" ht="20.25">
      <c r="B125" s="447"/>
      <c r="C125" s="447"/>
      <c r="D125" s="448" t="s">
        <v>16</v>
      </c>
      <c r="E125" s="448"/>
      <c r="F125" s="448"/>
      <c r="G125" s="448"/>
      <c r="H125" s="448"/>
      <c r="I125" s="448"/>
      <c r="J125" s="197" t="s">
        <v>17</v>
      </c>
    </row>
    <row r="126" spans="2:10">
      <c r="B126" s="449" t="s">
        <v>18</v>
      </c>
      <c r="C126" s="449"/>
      <c r="D126" s="275">
        <v>45882</v>
      </c>
      <c r="E126" s="199" t="s">
        <v>1460</v>
      </c>
      <c r="F126" s="450" t="s">
        <v>131</v>
      </c>
      <c r="G126" s="450"/>
      <c r="H126" s="201" t="s">
        <v>21</v>
      </c>
      <c r="I126" s="202" t="s">
        <v>917</v>
      </c>
      <c r="J126" s="199" t="s">
        <v>23</v>
      </c>
    </row>
    <row r="127" spans="2:10">
      <c r="B127" s="449" t="s">
        <v>24</v>
      </c>
      <c r="C127" s="449"/>
      <c r="D127" s="203">
        <v>0.66388888888888886</v>
      </c>
      <c r="E127" s="204" t="s">
        <v>25</v>
      </c>
      <c r="F127" s="450" t="s">
        <v>26</v>
      </c>
      <c r="G127" s="450"/>
      <c r="H127" s="199" t="s">
        <v>27</v>
      </c>
      <c r="I127" s="202"/>
      <c r="J127" s="202" t="s">
        <v>31</v>
      </c>
    </row>
    <row r="128" spans="2:10">
      <c r="B128" s="449" t="s">
        <v>30</v>
      </c>
      <c r="C128" s="449"/>
      <c r="D128" s="199" t="s">
        <v>31</v>
      </c>
      <c r="E128" s="199" t="s">
        <v>32</v>
      </c>
      <c r="F128" s="450">
        <v>89</v>
      </c>
      <c r="G128" s="450"/>
      <c r="H128" s="201" t="s">
        <v>33</v>
      </c>
      <c r="I128" s="247" t="s">
        <v>2331</v>
      </c>
      <c r="J128" s="202"/>
    </row>
    <row r="129" spans="2:10">
      <c r="B129" s="451" t="s">
        <v>35</v>
      </c>
      <c r="C129" s="451"/>
      <c r="D129" s="449" t="s">
        <v>2129</v>
      </c>
      <c r="E129" s="449"/>
      <c r="F129" s="449"/>
      <c r="G129" s="449"/>
      <c r="H129" s="449"/>
      <c r="I129" s="449"/>
      <c r="J129" s="449"/>
    </row>
    <row r="130" spans="2:10">
      <c r="B130" s="452" t="s">
        <v>2332</v>
      </c>
      <c r="C130" s="453"/>
      <c r="D130" s="453"/>
      <c r="E130" s="453"/>
      <c r="F130" s="453"/>
      <c r="G130" s="453"/>
      <c r="H130" s="453"/>
      <c r="I130" s="453"/>
      <c r="J130" s="454"/>
    </row>
    <row r="131" spans="2:10">
      <c r="B131" s="455"/>
      <c r="C131" s="456"/>
      <c r="D131" s="456"/>
      <c r="E131" s="456"/>
      <c r="F131" s="456"/>
      <c r="G131" s="456"/>
      <c r="H131" s="456"/>
      <c r="I131" s="456"/>
      <c r="J131" s="457"/>
    </row>
    <row r="132" spans="2:10">
      <c r="B132" s="455"/>
      <c r="C132" s="456"/>
      <c r="D132" s="456"/>
      <c r="E132" s="456"/>
      <c r="F132" s="456"/>
      <c r="G132" s="456"/>
      <c r="H132" s="456"/>
      <c r="I132" s="456"/>
      <c r="J132" s="457"/>
    </row>
    <row r="133" spans="2:10">
      <c r="B133" s="458"/>
      <c r="C133" s="459"/>
      <c r="D133" s="459"/>
      <c r="E133" s="459"/>
      <c r="F133" s="459"/>
      <c r="G133" s="459"/>
      <c r="H133" s="459"/>
      <c r="I133" s="459"/>
      <c r="J133" s="460"/>
    </row>
    <row r="134" spans="2:10" ht="18">
      <c r="B134" s="461" t="s">
        <v>38</v>
      </c>
      <c r="C134" s="462"/>
      <c r="D134" s="462"/>
      <c r="E134" s="462"/>
      <c r="F134" s="462"/>
      <c r="G134" s="462"/>
      <c r="H134" s="462"/>
      <c r="I134" s="463"/>
      <c r="J134" s="205" t="s">
        <v>39</v>
      </c>
    </row>
    <row r="135" spans="2:10">
      <c r="B135" s="200">
        <v>1</v>
      </c>
      <c r="C135" s="464" t="s">
        <v>2333</v>
      </c>
      <c r="D135" s="465"/>
      <c r="E135" s="465"/>
      <c r="F135" s="465"/>
      <c r="G135" s="465"/>
      <c r="H135" s="465"/>
      <c r="I135" s="466"/>
      <c r="J135" s="200" t="s">
        <v>26</v>
      </c>
    </row>
    <row r="136" spans="2:10">
      <c r="B136" s="200">
        <v>2</v>
      </c>
      <c r="C136" s="464" t="s">
        <v>2295</v>
      </c>
      <c r="D136" s="465"/>
      <c r="E136" s="465"/>
      <c r="F136" s="465"/>
      <c r="G136" s="465"/>
      <c r="H136" s="465"/>
      <c r="I136" s="466"/>
      <c r="J136" s="200" t="s">
        <v>26</v>
      </c>
    </row>
    <row r="137" spans="2:10">
      <c r="B137" s="200">
        <v>3</v>
      </c>
      <c r="C137" s="973"/>
      <c r="D137" s="974"/>
      <c r="E137" s="974"/>
      <c r="F137" s="974"/>
      <c r="G137" s="974"/>
      <c r="H137" s="974"/>
      <c r="I137" s="982"/>
      <c r="J137" s="200"/>
    </row>
    <row r="138" spans="2:10" ht="18">
      <c r="B138" s="461" t="s">
        <v>44</v>
      </c>
      <c r="C138" s="462"/>
      <c r="D138" s="462"/>
      <c r="E138" s="462"/>
      <c r="F138" s="462"/>
      <c r="G138" s="462"/>
      <c r="H138" s="462"/>
      <c r="I138" s="462"/>
      <c r="J138" s="463"/>
    </row>
    <row r="139" spans="2:10">
      <c r="B139" s="200" t="s">
        <v>45</v>
      </c>
      <c r="C139" s="1059" t="s">
        <v>2334</v>
      </c>
      <c r="D139" s="473"/>
      <c r="E139" s="473"/>
      <c r="F139" s="473"/>
      <c r="G139" s="473"/>
      <c r="H139" s="473"/>
      <c r="I139" s="473"/>
      <c r="J139" s="473"/>
    </row>
    <row r="140" spans="2:10">
      <c r="B140" s="206" t="s">
        <v>45</v>
      </c>
      <c r="C140" s="1059" t="s">
        <v>2335</v>
      </c>
      <c r="D140" s="473"/>
      <c r="E140" s="473"/>
      <c r="F140" s="473"/>
      <c r="G140" s="473"/>
      <c r="H140" s="473"/>
      <c r="I140" s="473"/>
      <c r="J140" s="473"/>
    </row>
    <row r="141" spans="2:10">
      <c r="B141" s="206" t="s">
        <v>45</v>
      </c>
      <c r="C141" s="1059" t="s">
        <v>2336</v>
      </c>
      <c r="D141" s="473"/>
      <c r="E141" s="473"/>
      <c r="F141" s="473"/>
      <c r="G141" s="473"/>
      <c r="H141" s="473"/>
      <c r="I141" s="473"/>
      <c r="J141" s="473"/>
    </row>
    <row r="142" spans="2:10">
      <c r="B142" s="206" t="s">
        <v>45</v>
      </c>
      <c r="C142" s="1101" t="s">
        <v>2337</v>
      </c>
      <c r="D142" s="475"/>
      <c r="E142" s="475"/>
      <c r="F142" s="475"/>
      <c r="G142" s="475"/>
      <c r="H142" s="475"/>
      <c r="I142" s="475"/>
      <c r="J142" s="476"/>
    </row>
    <row r="143" spans="2:10">
      <c r="B143" s="206" t="s">
        <v>45</v>
      </c>
      <c r="C143" s="464"/>
      <c r="D143" s="465"/>
      <c r="E143" s="465"/>
      <c r="F143" s="465"/>
      <c r="G143" s="465"/>
      <c r="H143" s="465"/>
      <c r="I143" s="465"/>
      <c r="J143" s="466"/>
    </row>
    <row r="144" spans="2:10">
      <c r="B144" s="206" t="s">
        <v>45</v>
      </c>
      <c r="C144" s="464"/>
      <c r="D144" s="465"/>
      <c r="E144" s="465"/>
      <c r="F144" s="465"/>
      <c r="G144" s="465"/>
      <c r="H144" s="465"/>
      <c r="I144" s="465"/>
      <c r="J144" s="466"/>
    </row>
    <row r="145" spans="2:11">
      <c r="B145" s="200" t="s">
        <v>45</v>
      </c>
      <c r="C145" s="464"/>
      <c r="D145" s="465"/>
      <c r="E145" s="465"/>
      <c r="F145" s="465"/>
      <c r="G145" s="465"/>
      <c r="H145" s="465"/>
      <c r="I145" s="465"/>
      <c r="J145" s="466"/>
    </row>
    <row r="146" spans="2:11">
      <c r="B146" s="200" t="s">
        <v>7</v>
      </c>
      <c r="C146" s="464" t="s">
        <v>2337</v>
      </c>
      <c r="D146" s="465"/>
      <c r="E146" s="465"/>
      <c r="F146" s="465"/>
      <c r="G146" s="465"/>
      <c r="H146" s="465"/>
      <c r="I146" s="465"/>
      <c r="J146" s="466"/>
    </row>
    <row r="147" spans="2:11" ht="18">
      <c r="B147" s="205" t="s">
        <v>52</v>
      </c>
      <c r="C147" s="477" t="s">
        <v>53</v>
      </c>
      <c r="D147" s="477"/>
      <c r="E147" s="477"/>
      <c r="F147" s="477"/>
      <c r="G147" s="477"/>
      <c r="H147" s="205" t="s">
        <v>54</v>
      </c>
      <c r="I147" s="205" t="s">
        <v>55</v>
      </c>
      <c r="J147" s="205" t="s">
        <v>56</v>
      </c>
    </row>
    <row r="148" spans="2:11">
      <c r="B148" s="200">
        <v>1</v>
      </c>
      <c r="C148" s="1102" t="s">
        <v>2338</v>
      </c>
      <c r="D148" s="451"/>
      <c r="E148" s="451"/>
      <c r="F148" s="451"/>
      <c r="G148" s="451"/>
      <c r="H148" s="200"/>
      <c r="I148" s="207" t="s">
        <v>1692</v>
      </c>
      <c r="J148" s="200"/>
    </row>
    <row r="149" spans="2:11">
      <c r="B149" s="200">
        <v>2</v>
      </c>
      <c r="C149" s="1102"/>
      <c r="D149" s="451"/>
      <c r="E149" s="451"/>
      <c r="F149" s="451"/>
      <c r="G149" s="451"/>
      <c r="H149" s="200"/>
      <c r="I149" s="207"/>
      <c r="J149" s="200"/>
    </row>
    <row r="150" spans="2:11">
      <c r="B150" s="200"/>
      <c r="C150" s="450"/>
      <c r="D150" s="450"/>
      <c r="E150" s="450"/>
      <c r="F150" s="450"/>
      <c r="G150" s="450"/>
      <c r="H150" s="200"/>
      <c r="I150" s="200"/>
      <c r="J150" s="200"/>
    </row>
    <row r="151" spans="2:11">
      <c r="B151" s="450" t="s">
        <v>63</v>
      </c>
      <c r="C151" s="450"/>
      <c r="D151" s="199" t="s">
        <v>31</v>
      </c>
      <c r="E151" s="198" t="s">
        <v>64</v>
      </c>
      <c r="F151" s="467"/>
      <c r="G151" s="469"/>
      <c r="H151" s="199"/>
      <c r="I151" s="199"/>
      <c r="J151" s="199"/>
    </row>
    <row r="152" spans="2:11" ht="45">
      <c r="B152" s="201" t="s">
        <v>66</v>
      </c>
      <c r="C152" s="450"/>
      <c r="D152" s="450"/>
      <c r="E152" s="201" t="s">
        <v>67</v>
      </c>
      <c r="F152" s="450"/>
      <c r="G152" s="450"/>
      <c r="H152" s="201" t="s">
        <v>68</v>
      </c>
      <c r="I152" s="450"/>
      <c r="J152" s="450"/>
    </row>
    <row r="155" spans="2:11" ht="26.25">
      <c r="B155" s="446" t="s">
        <v>13</v>
      </c>
      <c r="C155" s="447"/>
      <c r="D155" s="446" t="s">
        <v>14</v>
      </c>
      <c r="E155" s="446"/>
      <c r="F155" s="446"/>
      <c r="G155" s="446"/>
      <c r="H155" s="446"/>
      <c r="I155" s="446"/>
      <c r="J155" s="197" t="s">
        <v>15</v>
      </c>
    </row>
    <row r="156" spans="2:11" ht="20.25">
      <c r="B156" s="447"/>
      <c r="C156" s="447"/>
      <c r="D156" s="448" t="s">
        <v>16</v>
      </c>
      <c r="E156" s="448"/>
      <c r="F156" s="448"/>
      <c r="G156" s="448"/>
      <c r="H156" s="448"/>
      <c r="I156" s="448"/>
      <c r="J156" s="197" t="s">
        <v>17</v>
      </c>
    </row>
    <row r="157" spans="2:11">
      <c r="B157" s="449" t="s">
        <v>18</v>
      </c>
      <c r="C157" s="449"/>
      <c r="D157" s="275">
        <v>45891</v>
      </c>
      <c r="E157" s="199" t="s">
        <v>1460</v>
      </c>
      <c r="F157" s="450" t="s">
        <v>131</v>
      </c>
      <c r="G157" s="450"/>
      <c r="H157" s="201" t="s">
        <v>21</v>
      </c>
      <c r="I157" s="202" t="s">
        <v>867</v>
      </c>
      <c r="J157" s="199" t="s">
        <v>23</v>
      </c>
    </row>
    <row r="158" spans="2:11">
      <c r="B158" s="449" t="s">
        <v>24</v>
      </c>
      <c r="C158" s="449"/>
      <c r="D158" s="203">
        <v>0.77430555555555558</v>
      </c>
      <c r="E158" s="204" t="s">
        <v>25</v>
      </c>
      <c r="F158" s="450" t="s">
        <v>26</v>
      </c>
      <c r="G158" s="450"/>
      <c r="H158" s="199" t="s">
        <v>27</v>
      </c>
      <c r="I158" s="202" t="s">
        <v>2167</v>
      </c>
      <c r="J158" s="202" t="s">
        <v>29</v>
      </c>
      <c r="K158" s="135">
        <v>90</v>
      </c>
    </row>
    <row r="159" spans="2:11">
      <c r="B159" s="449" t="s">
        <v>30</v>
      </c>
      <c r="C159" s="449"/>
      <c r="D159" s="199" t="s">
        <v>31</v>
      </c>
      <c r="E159" s="199" t="s">
        <v>32</v>
      </c>
      <c r="F159" s="450">
        <v>150</v>
      </c>
      <c r="G159" s="450"/>
      <c r="H159" s="201" t="s">
        <v>33</v>
      </c>
      <c r="I159" s="247"/>
      <c r="J159" s="202"/>
      <c r="K159" s="135">
        <v>3</v>
      </c>
    </row>
    <row r="160" spans="2:11">
      <c r="B160" s="451" t="s">
        <v>35</v>
      </c>
      <c r="C160" s="451"/>
      <c r="D160" s="449" t="s">
        <v>2339</v>
      </c>
      <c r="E160" s="449"/>
      <c r="F160" s="449"/>
      <c r="G160" s="449"/>
      <c r="H160" s="449"/>
      <c r="I160" s="449"/>
      <c r="J160" s="449"/>
      <c r="K160" s="135">
        <v>270</v>
      </c>
    </row>
    <row r="161" spans="2:11">
      <c r="B161" s="452" t="s">
        <v>2340</v>
      </c>
      <c r="C161" s="453"/>
      <c r="D161" s="453"/>
      <c r="E161" s="453"/>
      <c r="F161" s="453"/>
      <c r="G161" s="453"/>
      <c r="H161" s="453"/>
      <c r="I161" s="453"/>
      <c r="J161" s="454"/>
      <c r="K161" s="135">
        <v>2700000</v>
      </c>
    </row>
    <row r="162" spans="2:11">
      <c r="B162" s="455"/>
      <c r="C162" s="456"/>
      <c r="D162" s="456"/>
      <c r="E162" s="456"/>
      <c r="F162" s="456"/>
      <c r="G162" s="456"/>
      <c r="H162" s="456"/>
      <c r="I162" s="456"/>
      <c r="J162" s="457"/>
    </row>
    <row r="163" spans="2:11">
      <c r="B163" s="455"/>
      <c r="C163" s="456"/>
      <c r="D163" s="456"/>
      <c r="E163" s="456"/>
      <c r="F163" s="456"/>
      <c r="G163" s="456"/>
      <c r="H163" s="456"/>
      <c r="I163" s="456"/>
      <c r="J163" s="457"/>
    </row>
    <row r="164" spans="2:11">
      <c r="B164" s="458"/>
      <c r="C164" s="459"/>
      <c r="D164" s="459"/>
      <c r="E164" s="459"/>
      <c r="F164" s="459"/>
      <c r="G164" s="459"/>
      <c r="H164" s="459"/>
      <c r="I164" s="459"/>
      <c r="J164" s="460"/>
    </row>
    <row r="165" spans="2:11" ht="18">
      <c r="B165" s="461" t="s">
        <v>38</v>
      </c>
      <c r="C165" s="462"/>
      <c r="D165" s="462"/>
      <c r="E165" s="462"/>
      <c r="F165" s="462"/>
      <c r="G165" s="462"/>
      <c r="H165" s="462"/>
      <c r="I165" s="463"/>
      <c r="J165" s="205" t="s">
        <v>39</v>
      </c>
    </row>
    <row r="166" spans="2:11">
      <c r="B166" s="200">
        <v>1</v>
      </c>
      <c r="C166" s="464" t="s">
        <v>2341</v>
      </c>
      <c r="D166" s="465"/>
      <c r="E166" s="465"/>
      <c r="F166" s="465"/>
      <c r="G166" s="465"/>
      <c r="H166" s="465"/>
      <c r="I166" s="466"/>
      <c r="J166" s="200" t="s">
        <v>26</v>
      </c>
    </row>
    <row r="167" spans="2:11">
      <c r="B167" s="200">
        <v>2</v>
      </c>
      <c r="C167" s="464" t="s">
        <v>2342</v>
      </c>
      <c r="D167" s="465"/>
      <c r="E167" s="465"/>
      <c r="F167" s="465"/>
      <c r="G167" s="465"/>
      <c r="H167" s="465"/>
      <c r="I167" s="466"/>
      <c r="J167" s="200"/>
    </row>
    <row r="168" spans="2:11" ht="20.25" customHeight="1">
      <c r="B168" s="200">
        <v>3</v>
      </c>
      <c r="C168" s="464"/>
      <c r="D168" s="465"/>
      <c r="E168" s="465"/>
      <c r="F168" s="465"/>
      <c r="G168" s="465"/>
      <c r="H168" s="465"/>
      <c r="I168" s="466"/>
      <c r="J168" s="200"/>
    </row>
    <row r="169" spans="2:11" ht="18">
      <c r="B169" s="461" t="s">
        <v>44</v>
      </c>
      <c r="C169" s="462"/>
      <c r="D169" s="462"/>
      <c r="E169" s="462"/>
      <c r="F169" s="462"/>
      <c r="G169" s="462"/>
      <c r="H169" s="462"/>
      <c r="I169" s="462"/>
      <c r="J169" s="463"/>
    </row>
    <row r="170" spans="2:11">
      <c r="B170" s="200" t="s">
        <v>45</v>
      </c>
      <c r="C170" s="1059" t="s">
        <v>1568</v>
      </c>
      <c r="D170" s="473"/>
      <c r="E170" s="473"/>
      <c r="F170" s="473"/>
      <c r="G170" s="473"/>
      <c r="H170" s="473"/>
      <c r="I170" s="473"/>
      <c r="J170" s="473"/>
    </row>
    <row r="171" spans="2:11">
      <c r="B171" s="206" t="s">
        <v>45</v>
      </c>
      <c r="C171" s="1059" t="s">
        <v>2309</v>
      </c>
      <c r="D171" s="473"/>
      <c r="E171" s="473"/>
      <c r="F171" s="473"/>
      <c r="G171" s="473"/>
      <c r="H171" s="473"/>
      <c r="I171" s="473"/>
      <c r="J171" s="473"/>
    </row>
    <row r="172" spans="2:11">
      <c r="B172" s="206" t="s">
        <v>45</v>
      </c>
      <c r="C172" s="1059" t="s">
        <v>2343</v>
      </c>
      <c r="D172" s="473"/>
      <c r="E172" s="473"/>
      <c r="F172" s="473"/>
      <c r="G172" s="473"/>
      <c r="H172" s="473"/>
      <c r="I172" s="473"/>
      <c r="J172" s="473"/>
    </row>
    <row r="173" spans="2:11">
      <c r="B173" s="206" t="s">
        <v>45</v>
      </c>
      <c r="C173" s="1101"/>
      <c r="D173" s="475"/>
      <c r="E173" s="475"/>
      <c r="F173" s="475"/>
      <c r="G173" s="475"/>
      <c r="H173" s="475"/>
      <c r="I173" s="475"/>
      <c r="J173" s="476"/>
    </row>
    <row r="174" spans="2:11">
      <c r="B174" s="206" t="s">
        <v>45</v>
      </c>
      <c r="C174" s="464"/>
      <c r="D174" s="465"/>
      <c r="E174" s="465"/>
      <c r="F174" s="465"/>
      <c r="G174" s="465"/>
      <c r="H174" s="465"/>
      <c r="I174" s="465"/>
      <c r="J174" s="466"/>
    </row>
    <row r="175" spans="2:11">
      <c r="B175" s="206" t="s">
        <v>45</v>
      </c>
      <c r="C175" s="464"/>
      <c r="D175" s="465"/>
      <c r="E175" s="465"/>
      <c r="F175" s="465"/>
      <c r="G175" s="465"/>
      <c r="H175" s="465"/>
      <c r="I175" s="465"/>
      <c r="J175" s="466"/>
    </row>
    <row r="176" spans="2:11">
      <c r="B176" s="200" t="s">
        <v>45</v>
      </c>
      <c r="C176" s="464"/>
      <c r="D176" s="465"/>
      <c r="E176" s="465"/>
      <c r="F176" s="465"/>
      <c r="G176" s="465"/>
      <c r="H176" s="465"/>
      <c r="I176" s="465"/>
      <c r="J176" s="466"/>
    </row>
    <row r="177" spans="2:11">
      <c r="B177" s="200" t="s">
        <v>7</v>
      </c>
      <c r="C177" s="1059" t="s">
        <v>2296</v>
      </c>
      <c r="D177" s="473"/>
      <c r="E177" s="473"/>
      <c r="F177" s="473"/>
      <c r="G177" s="473"/>
      <c r="H177" s="473"/>
      <c r="I177" s="473"/>
      <c r="J177" s="473"/>
    </row>
    <row r="178" spans="2:11" ht="18">
      <c r="B178" s="205" t="s">
        <v>52</v>
      </c>
      <c r="C178" s="477" t="s">
        <v>53</v>
      </c>
      <c r="D178" s="477"/>
      <c r="E178" s="477"/>
      <c r="F178" s="477"/>
      <c r="G178" s="477"/>
      <c r="H178" s="205" t="s">
        <v>54</v>
      </c>
      <c r="I178" s="205" t="s">
        <v>55</v>
      </c>
      <c r="J178" s="205" t="s">
        <v>56</v>
      </c>
    </row>
    <row r="179" spans="2:11">
      <c r="B179" s="200">
        <v>1</v>
      </c>
      <c r="C179" s="1102" t="s">
        <v>2310</v>
      </c>
      <c r="D179" s="451"/>
      <c r="E179" s="451"/>
      <c r="F179" s="451"/>
      <c r="G179" s="451"/>
      <c r="H179" s="200"/>
      <c r="I179" s="207" t="s">
        <v>1692</v>
      </c>
      <c r="J179" s="200"/>
    </row>
    <row r="180" spans="2:11">
      <c r="B180" s="200">
        <v>2</v>
      </c>
      <c r="C180" s="1102" t="s">
        <v>2311</v>
      </c>
      <c r="D180" s="451"/>
      <c r="E180" s="451"/>
      <c r="F180" s="451"/>
      <c r="G180" s="451"/>
      <c r="H180" s="200"/>
      <c r="I180" s="207" t="s">
        <v>1692</v>
      </c>
      <c r="J180" s="200"/>
    </row>
    <row r="181" spans="2:11" ht="27" customHeight="1">
      <c r="B181" s="200">
        <v>3</v>
      </c>
      <c r="C181" s="1102" t="s">
        <v>2344</v>
      </c>
      <c r="D181" s="451"/>
      <c r="E181" s="451"/>
      <c r="F181" s="451"/>
      <c r="G181" s="451"/>
      <c r="H181" s="200"/>
      <c r="I181" s="207" t="s">
        <v>1692</v>
      </c>
      <c r="J181" s="200"/>
    </row>
    <row r="182" spans="2:11">
      <c r="B182" s="450" t="s">
        <v>63</v>
      </c>
      <c r="C182" s="450"/>
      <c r="D182" s="199" t="s">
        <v>31</v>
      </c>
      <c r="E182" s="198" t="s">
        <v>64</v>
      </c>
      <c r="F182" s="467"/>
      <c r="G182" s="469"/>
      <c r="H182" s="199"/>
      <c r="I182" s="199"/>
      <c r="J182" s="199"/>
    </row>
    <row r="183" spans="2:11" ht="45">
      <c r="B183" s="201" t="s">
        <v>66</v>
      </c>
      <c r="C183" s="450"/>
      <c r="D183" s="450"/>
      <c r="E183" s="201" t="s">
        <v>67</v>
      </c>
      <c r="F183" s="450"/>
      <c r="G183" s="450"/>
      <c r="H183" s="201" t="s">
        <v>68</v>
      </c>
      <c r="I183" s="450"/>
      <c r="J183" s="450"/>
    </row>
    <row r="185" spans="2:11" ht="26.25">
      <c r="B185" s="446" t="s">
        <v>13</v>
      </c>
      <c r="C185" s="447"/>
      <c r="D185" s="446" t="s">
        <v>14</v>
      </c>
      <c r="E185" s="446"/>
      <c r="F185" s="446"/>
      <c r="G185" s="446"/>
      <c r="H185" s="446"/>
      <c r="I185" s="446"/>
      <c r="J185" s="197" t="s">
        <v>15</v>
      </c>
    </row>
    <row r="186" spans="2:11" ht="20.25">
      <c r="B186" s="447"/>
      <c r="C186" s="447"/>
      <c r="D186" s="448" t="s">
        <v>16</v>
      </c>
      <c r="E186" s="448"/>
      <c r="F186" s="448"/>
      <c r="G186" s="448"/>
      <c r="H186" s="448"/>
      <c r="I186" s="448"/>
      <c r="J186" s="197" t="s">
        <v>17</v>
      </c>
    </row>
    <row r="187" spans="2:11">
      <c r="B187" s="449" t="s">
        <v>18</v>
      </c>
      <c r="C187" s="449"/>
      <c r="D187" s="275">
        <v>45891</v>
      </c>
      <c r="E187" s="199" t="s">
        <v>1460</v>
      </c>
      <c r="F187" s="450" t="s">
        <v>124</v>
      </c>
      <c r="G187" s="450"/>
      <c r="H187" s="201" t="s">
        <v>21</v>
      </c>
      <c r="I187" s="202" t="s">
        <v>917</v>
      </c>
      <c r="J187" s="199" t="s">
        <v>23</v>
      </c>
    </row>
    <row r="188" spans="2:11">
      <c r="B188" s="449" t="s">
        <v>24</v>
      </c>
      <c r="C188" s="449"/>
      <c r="D188" s="203">
        <v>0.73263888888888884</v>
      </c>
      <c r="E188" s="204" t="s">
        <v>25</v>
      </c>
      <c r="F188" s="450" t="s">
        <v>26</v>
      </c>
      <c r="G188" s="450"/>
      <c r="H188" s="199" t="s">
        <v>27</v>
      </c>
      <c r="I188" s="202" t="s">
        <v>1484</v>
      </c>
      <c r="J188" s="202" t="s">
        <v>31</v>
      </c>
      <c r="K188" s="135">
        <v>90</v>
      </c>
    </row>
    <row r="189" spans="2:11">
      <c r="B189" s="449" t="s">
        <v>30</v>
      </c>
      <c r="C189" s="449"/>
      <c r="D189" s="199" t="s">
        <v>31</v>
      </c>
      <c r="E189" s="199" t="s">
        <v>32</v>
      </c>
      <c r="F189" s="450">
        <v>45</v>
      </c>
      <c r="G189" s="450"/>
      <c r="H189" s="201" t="s">
        <v>33</v>
      </c>
      <c r="I189" s="247" t="s">
        <v>2345</v>
      </c>
      <c r="J189" s="202"/>
      <c r="K189" s="135">
        <v>3</v>
      </c>
    </row>
    <row r="190" spans="2:11">
      <c r="B190" s="451" t="s">
        <v>35</v>
      </c>
      <c r="C190" s="451"/>
      <c r="D190" s="449" t="s">
        <v>2346</v>
      </c>
      <c r="E190" s="449"/>
      <c r="F190" s="449"/>
      <c r="G190" s="449"/>
      <c r="H190" s="449"/>
      <c r="I190" s="449"/>
      <c r="J190" s="449"/>
      <c r="K190" s="135">
        <v>270</v>
      </c>
    </row>
    <row r="191" spans="2:11">
      <c r="B191" s="452" t="s">
        <v>2347</v>
      </c>
      <c r="C191" s="453"/>
      <c r="D191" s="453"/>
      <c r="E191" s="453"/>
      <c r="F191" s="453"/>
      <c r="G191" s="453"/>
      <c r="H191" s="453"/>
      <c r="I191" s="453"/>
      <c r="J191" s="454"/>
      <c r="K191" s="135">
        <v>2700000</v>
      </c>
    </row>
    <row r="192" spans="2:11">
      <c r="B192" s="455"/>
      <c r="C192" s="456"/>
      <c r="D192" s="456"/>
      <c r="E192" s="456"/>
      <c r="F192" s="456"/>
      <c r="G192" s="456"/>
      <c r="H192" s="456"/>
      <c r="I192" s="456"/>
      <c r="J192" s="457"/>
    </row>
    <row r="193" spans="2:10">
      <c r="B193" s="455"/>
      <c r="C193" s="456"/>
      <c r="D193" s="456"/>
      <c r="E193" s="456"/>
      <c r="F193" s="456"/>
      <c r="G193" s="456"/>
      <c r="H193" s="456"/>
      <c r="I193" s="456"/>
      <c r="J193" s="457"/>
    </row>
    <row r="194" spans="2:10">
      <c r="B194" s="458"/>
      <c r="C194" s="459"/>
      <c r="D194" s="459"/>
      <c r="E194" s="459"/>
      <c r="F194" s="459"/>
      <c r="G194" s="459"/>
      <c r="H194" s="459"/>
      <c r="I194" s="459"/>
      <c r="J194" s="460"/>
    </row>
    <row r="195" spans="2:10" ht="18">
      <c r="B195" s="461" t="s">
        <v>38</v>
      </c>
      <c r="C195" s="462"/>
      <c r="D195" s="462"/>
      <c r="E195" s="462"/>
      <c r="F195" s="462"/>
      <c r="G195" s="462"/>
      <c r="H195" s="462"/>
      <c r="I195" s="463"/>
      <c r="J195" s="205" t="s">
        <v>39</v>
      </c>
    </row>
    <row r="196" spans="2:10">
      <c r="B196" s="200">
        <v>1</v>
      </c>
      <c r="C196" s="464" t="s">
        <v>2348</v>
      </c>
      <c r="D196" s="465"/>
      <c r="E196" s="465"/>
      <c r="F196" s="465"/>
      <c r="G196" s="465"/>
      <c r="H196" s="465"/>
      <c r="I196" s="466"/>
      <c r="J196" s="200" t="s">
        <v>26</v>
      </c>
    </row>
    <row r="197" spans="2:10">
      <c r="B197" s="200">
        <v>2</v>
      </c>
      <c r="C197" s="464" t="s">
        <v>2349</v>
      </c>
      <c r="D197" s="465"/>
      <c r="E197" s="465"/>
      <c r="F197" s="465"/>
      <c r="G197" s="465"/>
      <c r="H197" s="465"/>
      <c r="I197" s="466"/>
      <c r="J197" s="200"/>
    </row>
    <row r="198" spans="2:10" ht="20.25" customHeight="1">
      <c r="B198" s="200">
        <v>3</v>
      </c>
      <c r="C198" s="464"/>
      <c r="D198" s="465"/>
      <c r="E198" s="465"/>
      <c r="F198" s="465"/>
      <c r="G198" s="465"/>
      <c r="H198" s="465"/>
      <c r="I198" s="466"/>
      <c r="J198" s="200"/>
    </row>
    <row r="199" spans="2:10" ht="18">
      <c r="B199" s="461" t="s">
        <v>44</v>
      </c>
      <c r="C199" s="462"/>
      <c r="D199" s="462"/>
      <c r="E199" s="462"/>
      <c r="F199" s="462"/>
      <c r="G199" s="462"/>
      <c r="H199" s="462"/>
      <c r="I199" s="462"/>
      <c r="J199" s="463"/>
    </row>
    <row r="200" spans="2:10">
      <c r="B200" s="200" t="s">
        <v>45</v>
      </c>
      <c r="C200" s="1059" t="s">
        <v>2350</v>
      </c>
      <c r="D200" s="473"/>
      <c r="E200" s="473"/>
      <c r="F200" s="473"/>
      <c r="G200" s="473"/>
      <c r="H200" s="473"/>
      <c r="I200" s="473"/>
      <c r="J200" s="473"/>
    </row>
    <row r="201" spans="2:10">
      <c r="B201" s="206" t="s">
        <v>45</v>
      </c>
      <c r="C201" s="1059" t="s">
        <v>2351</v>
      </c>
      <c r="D201" s="473"/>
      <c r="E201" s="473"/>
      <c r="F201" s="473"/>
      <c r="G201" s="473"/>
      <c r="H201" s="473"/>
      <c r="I201" s="473"/>
      <c r="J201" s="473"/>
    </row>
    <row r="202" spans="2:10">
      <c r="B202" s="206" t="s">
        <v>45</v>
      </c>
      <c r="C202" s="1059"/>
      <c r="D202" s="473"/>
      <c r="E202" s="473"/>
      <c r="F202" s="473"/>
      <c r="G202" s="473"/>
      <c r="H202" s="473"/>
      <c r="I202" s="473"/>
      <c r="J202" s="473"/>
    </row>
    <row r="203" spans="2:10">
      <c r="B203" s="206" t="s">
        <v>45</v>
      </c>
      <c r="C203" s="1101"/>
      <c r="D203" s="475"/>
      <c r="E203" s="475"/>
      <c r="F203" s="475"/>
      <c r="G203" s="475"/>
      <c r="H203" s="475"/>
      <c r="I203" s="475"/>
      <c r="J203" s="476"/>
    </row>
    <row r="204" spans="2:10">
      <c r="B204" s="206" t="s">
        <v>45</v>
      </c>
      <c r="C204" s="464"/>
      <c r="D204" s="465"/>
      <c r="E204" s="465"/>
      <c r="F204" s="465"/>
      <c r="G204" s="465"/>
      <c r="H204" s="465"/>
      <c r="I204" s="465"/>
      <c r="J204" s="466"/>
    </row>
    <row r="205" spans="2:10">
      <c r="B205" s="206" t="s">
        <v>45</v>
      </c>
      <c r="C205" s="464"/>
      <c r="D205" s="465"/>
      <c r="E205" s="465"/>
      <c r="F205" s="465"/>
      <c r="G205" s="465"/>
      <c r="H205" s="465"/>
      <c r="I205" s="465"/>
      <c r="J205" s="466"/>
    </row>
    <row r="206" spans="2:10">
      <c r="B206" s="200" t="s">
        <v>45</v>
      </c>
      <c r="C206" s="464"/>
      <c r="D206" s="465"/>
      <c r="E206" s="465"/>
      <c r="F206" s="465"/>
      <c r="G206" s="465"/>
      <c r="H206" s="465"/>
      <c r="I206" s="465"/>
      <c r="J206" s="466"/>
    </row>
    <row r="207" spans="2:10">
      <c r="B207" s="200" t="s">
        <v>7</v>
      </c>
      <c r="C207" s="1059" t="s">
        <v>2300</v>
      </c>
      <c r="D207" s="473"/>
      <c r="E207" s="473"/>
      <c r="F207" s="473"/>
      <c r="G207" s="473"/>
      <c r="H207" s="473"/>
      <c r="I207" s="473"/>
      <c r="J207" s="473"/>
    </row>
    <row r="208" spans="2:10" ht="18">
      <c r="B208" s="205" t="s">
        <v>52</v>
      </c>
      <c r="C208" s="477" t="s">
        <v>53</v>
      </c>
      <c r="D208" s="477"/>
      <c r="E208" s="477"/>
      <c r="F208" s="477"/>
      <c r="G208" s="477"/>
      <c r="H208" s="205" t="s">
        <v>54</v>
      </c>
      <c r="I208" s="205" t="s">
        <v>55</v>
      </c>
      <c r="J208" s="205" t="s">
        <v>56</v>
      </c>
    </row>
    <row r="209" spans="2:11">
      <c r="B209" s="200">
        <v>1</v>
      </c>
      <c r="C209" s="1102" t="s">
        <v>2352</v>
      </c>
      <c r="D209" s="451"/>
      <c r="E209" s="451"/>
      <c r="F209" s="451"/>
      <c r="G209" s="451"/>
      <c r="H209" s="200"/>
      <c r="I209" s="207" t="s">
        <v>1692</v>
      </c>
      <c r="J209" s="200"/>
    </row>
    <row r="210" spans="2:11">
      <c r="B210" s="200">
        <v>2</v>
      </c>
      <c r="C210" s="1102" t="s">
        <v>2353</v>
      </c>
      <c r="D210" s="451"/>
      <c r="E210" s="451"/>
      <c r="F210" s="451"/>
      <c r="G210" s="451"/>
      <c r="H210" s="200"/>
      <c r="I210" s="207" t="s">
        <v>1692</v>
      </c>
      <c r="J210" s="200"/>
    </row>
    <row r="211" spans="2:11">
      <c r="B211" s="200"/>
      <c r="C211" s="1102"/>
      <c r="D211" s="451"/>
      <c r="E211" s="451"/>
      <c r="F211" s="451"/>
      <c r="G211" s="451"/>
      <c r="H211" s="200"/>
      <c r="I211" s="207"/>
      <c r="J211" s="200"/>
    </row>
    <row r="212" spans="2:11">
      <c r="B212" s="450" t="s">
        <v>63</v>
      </c>
      <c r="C212" s="450"/>
      <c r="D212" s="199" t="s">
        <v>31</v>
      </c>
      <c r="E212" s="198" t="s">
        <v>64</v>
      </c>
      <c r="F212" s="467"/>
      <c r="G212" s="469"/>
      <c r="H212" s="199"/>
      <c r="I212" s="199"/>
      <c r="J212" s="199"/>
    </row>
    <row r="213" spans="2:11" ht="45">
      <c r="B213" s="201" t="s">
        <v>66</v>
      </c>
      <c r="C213" s="450"/>
      <c r="D213" s="450"/>
      <c r="E213" s="201" t="s">
        <v>67</v>
      </c>
      <c r="F213" s="450"/>
      <c r="G213" s="450"/>
      <c r="H213" s="201" t="s">
        <v>68</v>
      </c>
      <c r="I213" s="450"/>
      <c r="J213" s="450"/>
    </row>
    <row r="216" spans="2:11" ht="26.25">
      <c r="B216" s="446" t="s">
        <v>13</v>
      </c>
      <c r="C216" s="447"/>
      <c r="D216" s="446" t="s">
        <v>14</v>
      </c>
      <c r="E216" s="446"/>
      <c r="F216" s="446"/>
      <c r="G216" s="446"/>
      <c r="H216" s="446"/>
      <c r="I216" s="446"/>
      <c r="J216" s="197" t="s">
        <v>15</v>
      </c>
    </row>
    <row r="217" spans="2:11" ht="20.25">
      <c r="B217" s="447"/>
      <c r="C217" s="447"/>
      <c r="D217" s="448" t="s">
        <v>16</v>
      </c>
      <c r="E217" s="448"/>
      <c r="F217" s="448"/>
      <c r="G217" s="448"/>
      <c r="H217" s="448"/>
      <c r="I217" s="448"/>
      <c r="J217" s="197" t="s">
        <v>17</v>
      </c>
    </row>
    <row r="218" spans="2:11">
      <c r="B218" s="449" t="s">
        <v>18</v>
      </c>
      <c r="C218" s="449"/>
      <c r="D218" s="275">
        <v>45897</v>
      </c>
      <c r="E218" s="199" t="s">
        <v>1460</v>
      </c>
      <c r="F218" s="450" t="s">
        <v>124</v>
      </c>
      <c r="G218" s="450"/>
      <c r="H218" s="201" t="s">
        <v>21</v>
      </c>
      <c r="I218" s="202" t="s">
        <v>917</v>
      </c>
      <c r="J218" s="199" t="s">
        <v>23</v>
      </c>
    </row>
    <row r="219" spans="2:11">
      <c r="B219" s="449" t="s">
        <v>24</v>
      </c>
      <c r="C219" s="449"/>
      <c r="D219" s="203"/>
      <c r="E219" s="204" t="s">
        <v>25</v>
      </c>
      <c r="F219" s="450" t="s">
        <v>26</v>
      </c>
      <c r="G219" s="450"/>
      <c r="H219" s="199" t="s">
        <v>27</v>
      </c>
      <c r="I219" s="202" t="s">
        <v>1484</v>
      </c>
      <c r="J219" s="202" t="s">
        <v>29</v>
      </c>
      <c r="K219" s="135">
        <v>90</v>
      </c>
    </row>
    <row r="220" spans="2:11">
      <c r="B220" s="449" t="s">
        <v>30</v>
      </c>
      <c r="C220" s="449"/>
      <c r="D220" s="199" t="s">
        <v>31</v>
      </c>
      <c r="E220" s="199" t="s">
        <v>32</v>
      </c>
      <c r="F220" s="450">
        <v>52</v>
      </c>
      <c r="G220" s="450"/>
      <c r="H220" s="201" t="s">
        <v>33</v>
      </c>
      <c r="I220" s="247" t="s">
        <v>2354</v>
      </c>
      <c r="J220" s="202"/>
      <c r="K220" s="135">
        <v>3</v>
      </c>
    </row>
    <row r="221" spans="2:11">
      <c r="B221" s="451" t="s">
        <v>35</v>
      </c>
      <c r="C221" s="451"/>
      <c r="D221" s="449" t="s">
        <v>2355</v>
      </c>
      <c r="E221" s="449"/>
      <c r="F221" s="449"/>
      <c r="G221" s="449"/>
      <c r="H221" s="449"/>
      <c r="I221" s="449"/>
      <c r="J221" s="449"/>
      <c r="K221" s="135">
        <v>270</v>
      </c>
    </row>
    <row r="222" spans="2:11">
      <c r="B222" s="452" t="s">
        <v>2356</v>
      </c>
      <c r="C222" s="453"/>
      <c r="D222" s="453"/>
      <c r="E222" s="453"/>
      <c r="F222" s="453"/>
      <c r="G222" s="453"/>
      <c r="H222" s="453"/>
      <c r="I222" s="453"/>
      <c r="J222" s="454"/>
      <c r="K222" s="135">
        <v>2700000</v>
      </c>
    </row>
    <row r="223" spans="2:11">
      <c r="B223" s="455"/>
      <c r="C223" s="456"/>
      <c r="D223" s="456"/>
      <c r="E223" s="456"/>
      <c r="F223" s="456"/>
      <c r="G223" s="456"/>
      <c r="H223" s="456"/>
      <c r="I223" s="456"/>
      <c r="J223" s="457"/>
    </row>
    <row r="224" spans="2:11">
      <c r="B224" s="455"/>
      <c r="C224" s="456"/>
      <c r="D224" s="456"/>
      <c r="E224" s="456"/>
      <c r="F224" s="456"/>
      <c r="G224" s="456"/>
      <c r="H224" s="456"/>
      <c r="I224" s="456"/>
      <c r="J224" s="457"/>
    </row>
    <row r="225" spans="2:10">
      <c r="B225" s="458"/>
      <c r="C225" s="459"/>
      <c r="D225" s="459"/>
      <c r="E225" s="459"/>
      <c r="F225" s="459"/>
      <c r="G225" s="459"/>
      <c r="H225" s="459"/>
      <c r="I225" s="459"/>
      <c r="J225" s="460"/>
    </row>
    <row r="226" spans="2:10" ht="18">
      <c r="B226" s="461" t="s">
        <v>38</v>
      </c>
      <c r="C226" s="462"/>
      <c r="D226" s="462"/>
      <c r="E226" s="462"/>
      <c r="F226" s="462"/>
      <c r="G226" s="462"/>
      <c r="H226" s="462"/>
      <c r="I226" s="463"/>
      <c r="J226" s="205" t="s">
        <v>39</v>
      </c>
    </row>
    <row r="227" spans="2:10">
      <c r="B227" s="200">
        <v>1</v>
      </c>
      <c r="C227" s="464" t="s">
        <v>2348</v>
      </c>
      <c r="D227" s="465"/>
      <c r="E227" s="465"/>
      <c r="F227" s="465"/>
      <c r="G227" s="465"/>
      <c r="H227" s="465"/>
      <c r="I227" s="466"/>
      <c r="J227" s="200" t="s">
        <v>26</v>
      </c>
    </row>
    <row r="228" spans="2:10">
      <c r="B228" s="200">
        <v>2</v>
      </c>
      <c r="C228" s="464" t="s">
        <v>2349</v>
      </c>
      <c r="D228" s="465"/>
      <c r="E228" s="465"/>
      <c r="F228" s="465"/>
      <c r="G228" s="465"/>
      <c r="H228" s="465"/>
      <c r="I228" s="466"/>
      <c r="J228" s="200"/>
    </row>
    <row r="229" spans="2:10" ht="20.25" customHeight="1">
      <c r="B229" s="200">
        <v>3</v>
      </c>
      <c r="C229" s="464"/>
      <c r="D229" s="465"/>
      <c r="E229" s="465"/>
      <c r="F229" s="465"/>
      <c r="G229" s="465"/>
      <c r="H229" s="465"/>
      <c r="I229" s="466"/>
      <c r="J229" s="200"/>
    </row>
    <row r="230" spans="2:10" ht="18">
      <c r="B230" s="461" t="s">
        <v>44</v>
      </c>
      <c r="C230" s="462"/>
      <c r="D230" s="462"/>
      <c r="E230" s="462"/>
      <c r="F230" s="462"/>
      <c r="G230" s="462"/>
      <c r="H230" s="462"/>
      <c r="I230" s="462"/>
      <c r="J230" s="463"/>
    </row>
    <row r="231" spans="2:10">
      <c r="B231" s="200" t="s">
        <v>45</v>
      </c>
      <c r="C231" s="1059" t="s">
        <v>2357</v>
      </c>
      <c r="D231" s="473"/>
      <c r="E231" s="473"/>
      <c r="F231" s="473"/>
      <c r="G231" s="473"/>
      <c r="H231" s="473"/>
      <c r="I231" s="473"/>
      <c r="J231" s="473"/>
    </row>
    <row r="232" spans="2:10">
      <c r="B232" s="206" t="s">
        <v>45</v>
      </c>
      <c r="C232" s="1059" t="s">
        <v>2358</v>
      </c>
      <c r="D232" s="473"/>
      <c r="E232" s="473"/>
      <c r="F232" s="473"/>
      <c r="G232" s="473"/>
      <c r="H232" s="473"/>
      <c r="I232" s="473"/>
      <c r="J232" s="473"/>
    </row>
    <row r="233" spans="2:10">
      <c r="B233" s="206" t="s">
        <v>45</v>
      </c>
      <c r="C233" s="1059" t="s">
        <v>2359</v>
      </c>
      <c r="D233" s="473"/>
      <c r="E233" s="473"/>
      <c r="F233" s="473"/>
      <c r="G233" s="473"/>
      <c r="H233" s="473"/>
      <c r="I233" s="473"/>
      <c r="J233" s="473"/>
    </row>
    <row r="234" spans="2:10">
      <c r="B234" s="206" t="s">
        <v>45</v>
      </c>
      <c r="C234" s="1101" t="s">
        <v>2360</v>
      </c>
      <c r="D234" s="475"/>
      <c r="E234" s="475"/>
      <c r="F234" s="475"/>
      <c r="G234" s="475"/>
      <c r="H234" s="475"/>
      <c r="I234" s="475"/>
      <c r="J234" s="476"/>
    </row>
    <row r="235" spans="2:10">
      <c r="B235" s="206" t="s">
        <v>45</v>
      </c>
      <c r="C235" s="464"/>
      <c r="D235" s="465"/>
      <c r="E235" s="465"/>
      <c r="F235" s="465"/>
      <c r="G235" s="465"/>
      <c r="H235" s="465"/>
      <c r="I235" s="465"/>
      <c r="J235" s="466"/>
    </row>
    <row r="236" spans="2:10">
      <c r="B236" s="206" t="s">
        <v>45</v>
      </c>
      <c r="C236" s="464"/>
      <c r="D236" s="465"/>
      <c r="E236" s="465"/>
      <c r="F236" s="465"/>
      <c r="G236" s="465"/>
      <c r="H236" s="465"/>
      <c r="I236" s="465"/>
      <c r="J236" s="466"/>
    </row>
    <row r="237" spans="2:10">
      <c r="B237" s="200" t="s">
        <v>45</v>
      </c>
      <c r="C237" s="464"/>
      <c r="D237" s="465"/>
      <c r="E237" s="465"/>
      <c r="F237" s="465"/>
      <c r="G237" s="465"/>
      <c r="H237" s="465"/>
      <c r="I237" s="465"/>
      <c r="J237" s="466"/>
    </row>
    <row r="238" spans="2:10">
      <c r="B238" s="200" t="s">
        <v>7</v>
      </c>
      <c r="C238" s="1059" t="s">
        <v>2303</v>
      </c>
      <c r="D238" s="473"/>
      <c r="E238" s="473"/>
      <c r="F238" s="473"/>
      <c r="G238" s="473"/>
      <c r="H238" s="473"/>
      <c r="I238" s="473"/>
      <c r="J238" s="473"/>
    </row>
    <row r="239" spans="2:10" ht="18">
      <c r="B239" s="205" t="s">
        <v>52</v>
      </c>
      <c r="C239" s="477" t="s">
        <v>53</v>
      </c>
      <c r="D239" s="477"/>
      <c r="E239" s="477"/>
      <c r="F239" s="477"/>
      <c r="G239" s="477"/>
      <c r="H239" s="205" t="s">
        <v>54</v>
      </c>
      <c r="I239" s="205" t="s">
        <v>55</v>
      </c>
      <c r="J239" s="205" t="s">
        <v>56</v>
      </c>
    </row>
    <row r="240" spans="2:10">
      <c r="B240" s="200">
        <v>1</v>
      </c>
      <c r="C240" s="1102" t="s">
        <v>2361</v>
      </c>
      <c r="D240" s="451"/>
      <c r="E240" s="451"/>
      <c r="F240" s="451"/>
      <c r="G240" s="451"/>
      <c r="H240" s="200"/>
      <c r="I240" s="207" t="s">
        <v>1692</v>
      </c>
      <c r="J240" s="200"/>
    </row>
    <row r="241" spans="2:10">
      <c r="B241" s="200">
        <v>2</v>
      </c>
      <c r="C241" s="1102"/>
      <c r="D241" s="451"/>
      <c r="E241" s="451"/>
      <c r="F241" s="451"/>
      <c r="G241" s="451"/>
      <c r="H241" s="200"/>
      <c r="I241" s="207"/>
      <c r="J241" s="200"/>
    </row>
    <row r="242" spans="2:10">
      <c r="B242" s="200"/>
      <c r="C242" s="1102"/>
      <c r="D242" s="451"/>
      <c r="E242" s="451"/>
      <c r="F242" s="451"/>
      <c r="G242" s="451"/>
      <c r="H242" s="200"/>
      <c r="I242" s="207"/>
      <c r="J242" s="200"/>
    </row>
    <row r="243" spans="2:10">
      <c r="B243" s="450" t="s">
        <v>63</v>
      </c>
      <c r="C243" s="450"/>
      <c r="D243" s="199" t="s">
        <v>31</v>
      </c>
      <c r="E243" s="198" t="s">
        <v>64</v>
      </c>
      <c r="F243" s="467"/>
      <c r="G243" s="469"/>
      <c r="H243" s="199"/>
      <c r="I243" s="199"/>
      <c r="J243" s="199"/>
    </row>
    <row r="244" spans="2:10" ht="45">
      <c r="B244" s="201" t="s">
        <v>66</v>
      </c>
      <c r="C244" s="450"/>
      <c r="D244" s="450"/>
      <c r="E244" s="201" t="s">
        <v>67</v>
      </c>
      <c r="F244" s="450"/>
      <c r="G244" s="450"/>
      <c r="H244" s="201" t="s">
        <v>68</v>
      </c>
      <c r="I244" s="450"/>
      <c r="J244" s="450"/>
    </row>
  </sheetData>
  <autoFilter ref="B2:K25" xr:uid="{7E3221BD-3E6C-4BA8-BFAD-98351ACD7F09}">
    <filterColumn colId="1" showButton="0"/>
  </autoFilter>
  <mergeCells count="252">
    <mergeCell ref="C228:I228"/>
    <mergeCell ref="C229:I229"/>
    <mergeCell ref="B230:J230"/>
    <mergeCell ref="C231:J231"/>
    <mergeCell ref="C241:G241"/>
    <mergeCell ref="C242:G242"/>
    <mergeCell ref="B243:C243"/>
    <mergeCell ref="F243:G243"/>
    <mergeCell ref="C244:D244"/>
    <mergeCell ref="F244:G244"/>
    <mergeCell ref="I244:J244"/>
    <mergeCell ref="C232:J232"/>
    <mergeCell ref="C233:J233"/>
    <mergeCell ref="C234:J234"/>
    <mergeCell ref="C235:J235"/>
    <mergeCell ref="C236:J236"/>
    <mergeCell ref="C237:J237"/>
    <mergeCell ref="C238:J238"/>
    <mergeCell ref="C239:G239"/>
    <mergeCell ref="C240:G240"/>
    <mergeCell ref="B219:C219"/>
    <mergeCell ref="F219:G219"/>
    <mergeCell ref="B220:C220"/>
    <mergeCell ref="F220:G220"/>
    <mergeCell ref="B221:C221"/>
    <mergeCell ref="D221:J221"/>
    <mergeCell ref="B222:J225"/>
    <mergeCell ref="B226:I226"/>
    <mergeCell ref="C227:I227"/>
    <mergeCell ref="I2:I3"/>
    <mergeCell ref="J2:J3"/>
    <mergeCell ref="K2:K3"/>
    <mergeCell ref="B216:C217"/>
    <mergeCell ref="D216:I216"/>
    <mergeCell ref="D217:I217"/>
    <mergeCell ref="B218:C218"/>
    <mergeCell ref="F218:G218"/>
    <mergeCell ref="C53:J53"/>
    <mergeCell ref="C42:I42"/>
    <mergeCell ref="C43:I43"/>
    <mergeCell ref="C44:I44"/>
    <mergeCell ref="B45:J45"/>
    <mergeCell ref="C46:J46"/>
    <mergeCell ref="C47:J47"/>
    <mergeCell ref="C48:J48"/>
    <mergeCell ref="C49:J49"/>
    <mergeCell ref="C50:J50"/>
    <mergeCell ref="C51:J51"/>
    <mergeCell ref="C52:J52"/>
    <mergeCell ref="C59:D59"/>
    <mergeCell ref="F59:G59"/>
    <mergeCell ref="I59:J59"/>
    <mergeCell ref="B62:C63"/>
    <mergeCell ref="L12:M12"/>
    <mergeCell ref="H2:H3"/>
    <mergeCell ref="L15:M15"/>
    <mergeCell ref="L16:M16"/>
    <mergeCell ref="E25:K28"/>
    <mergeCell ref="B41:I41"/>
    <mergeCell ref="B31:C32"/>
    <mergeCell ref="D31:I31"/>
    <mergeCell ref="D32:I32"/>
    <mergeCell ref="B33:C33"/>
    <mergeCell ref="F33:G33"/>
    <mergeCell ref="B34:C34"/>
    <mergeCell ref="F34:G34"/>
    <mergeCell ref="B35:C35"/>
    <mergeCell ref="F35:G35"/>
    <mergeCell ref="B36:C36"/>
    <mergeCell ref="D36:J36"/>
    <mergeCell ref="B37:J40"/>
    <mergeCell ref="B2:B3"/>
    <mergeCell ref="C2:D2"/>
    <mergeCell ref="E2:E3"/>
    <mergeCell ref="F2:F3"/>
    <mergeCell ref="G2:G3"/>
    <mergeCell ref="C27:D27"/>
    <mergeCell ref="D62:I62"/>
    <mergeCell ref="D63:I63"/>
    <mergeCell ref="C54:G54"/>
    <mergeCell ref="C55:G55"/>
    <mergeCell ref="C56:G56"/>
    <mergeCell ref="C57:G57"/>
    <mergeCell ref="B58:C58"/>
    <mergeCell ref="F58:G58"/>
    <mergeCell ref="C74:I74"/>
    <mergeCell ref="B64:C64"/>
    <mergeCell ref="F64:G64"/>
    <mergeCell ref="B65:C65"/>
    <mergeCell ref="F65:G65"/>
    <mergeCell ref="B66:C66"/>
    <mergeCell ref="F66:G66"/>
    <mergeCell ref="B67:C67"/>
    <mergeCell ref="D67:J67"/>
    <mergeCell ref="B68:J71"/>
    <mergeCell ref="B72:I72"/>
    <mergeCell ref="C73:I73"/>
    <mergeCell ref="C86:G86"/>
    <mergeCell ref="C75:I75"/>
    <mergeCell ref="B76:J76"/>
    <mergeCell ref="C77:J77"/>
    <mergeCell ref="C78:J78"/>
    <mergeCell ref="C79:J79"/>
    <mergeCell ref="C80:J80"/>
    <mergeCell ref="C81:J81"/>
    <mergeCell ref="C82:J82"/>
    <mergeCell ref="C83:J83"/>
    <mergeCell ref="C84:J84"/>
    <mergeCell ref="C85:G85"/>
    <mergeCell ref="B93:C94"/>
    <mergeCell ref="D93:I93"/>
    <mergeCell ref="D94:I94"/>
    <mergeCell ref="B95:C95"/>
    <mergeCell ref="F95:G95"/>
    <mergeCell ref="I90:J90"/>
    <mergeCell ref="C87:G87"/>
    <mergeCell ref="C88:G88"/>
    <mergeCell ref="B89:C89"/>
    <mergeCell ref="F89:G89"/>
    <mergeCell ref="C90:D90"/>
    <mergeCell ref="F90:G90"/>
    <mergeCell ref="B99:J102"/>
    <mergeCell ref="B103:I103"/>
    <mergeCell ref="C104:I104"/>
    <mergeCell ref="C105:I105"/>
    <mergeCell ref="C106:I106"/>
    <mergeCell ref="B96:C96"/>
    <mergeCell ref="F96:G96"/>
    <mergeCell ref="B97:C97"/>
    <mergeCell ref="F97:G97"/>
    <mergeCell ref="B98:C98"/>
    <mergeCell ref="D98:J98"/>
    <mergeCell ref="C112:J112"/>
    <mergeCell ref="C113:J113"/>
    <mergeCell ref="C114:J114"/>
    <mergeCell ref="C115:J115"/>
    <mergeCell ref="C116:G116"/>
    <mergeCell ref="B107:J107"/>
    <mergeCell ref="C108:J108"/>
    <mergeCell ref="C109:J109"/>
    <mergeCell ref="C110:J110"/>
    <mergeCell ref="C111:J111"/>
    <mergeCell ref="C121:D121"/>
    <mergeCell ref="F121:G121"/>
    <mergeCell ref="I121:J121"/>
    <mergeCell ref="B124:C125"/>
    <mergeCell ref="D124:I124"/>
    <mergeCell ref="D125:I125"/>
    <mergeCell ref="C117:G117"/>
    <mergeCell ref="C118:G118"/>
    <mergeCell ref="C119:G119"/>
    <mergeCell ref="B120:C120"/>
    <mergeCell ref="F120:G120"/>
    <mergeCell ref="B129:C129"/>
    <mergeCell ref="D129:J129"/>
    <mergeCell ref="B130:J133"/>
    <mergeCell ref="B134:I134"/>
    <mergeCell ref="C135:I135"/>
    <mergeCell ref="B126:C126"/>
    <mergeCell ref="F126:G126"/>
    <mergeCell ref="B127:C127"/>
    <mergeCell ref="F127:G127"/>
    <mergeCell ref="B128:C128"/>
    <mergeCell ref="F128:G128"/>
    <mergeCell ref="C141:J141"/>
    <mergeCell ref="C142:J142"/>
    <mergeCell ref="C143:J143"/>
    <mergeCell ref="C144:J144"/>
    <mergeCell ref="C145:J145"/>
    <mergeCell ref="C136:I136"/>
    <mergeCell ref="C137:I137"/>
    <mergeCell ref="B138:J138"/>
    <mergeCell ref="C139:J139"/>
    <mergeCell ref="C140:J140"/>
    <mergeCell ref="B151:C151"/>
    <mergeCell ref="F151:G151"/>
    <mergeCell ref="C152:D152"/>
    <mergeCell ref="F152:G152"/>
    <mergeCell ref="I152:J152"/>
    <mergeCell ref="C146:J146"/>
    <mergeCell ref="C147:G147"/>
    <mergeCell ref="C148:G148"/>
    <mergeCell ref="C149:G149"/>
    <mergeCell ref="C150:G150"/>
    <mergeCell ref="B155:C156"/>
    <mergeCell ref="D155:I155"/>
    <mergeCell ref="D156:I156"/>
    <mergeCell ref="B157:C157"/>
    <mergeCell ref="F157:G157"/>
    <mergeCell ref="B158:C158"/>
    <mergeCell ref="F158:G158"/>
    <mergeCell ref="B159:C159"/>
    <mergeCell ref="F159:G159"/>
    <mergeCell ref="B160:C160"/>
    <mergeCell ref="D160:J160"/>
    <mergeCell ref="B161:J164"/>
    <mergeCell ref="B165:I165"/>
    <mergeCell ref="C166:I166"/>
    <mergeCell ref="C167:I167"/>
    <mergeCell ref="C168:I168"/>
    <mergeCell ref="B169:J169"/>
    <mergeCell ref="C170:J170"/>
    <mergeCell ref="C180:G180"/>
    <mergeCell ref="C181:G181"/>
    <mergeCell ref="B182:C182"/>
    <mergeCell ref="F182:G182"/>
    <mergeCell ref="C183:D183"/>
    <mergeCell ref="F183:G183"/>
    <mergeCell ref="I183:J183"/>
    <mergeCell ref="C171:J171"/>
    <mergeCell ref="C172:J172"/>
    <mergeCell ref="C173:J173"/>
    <mergeCell ref="C174:J174"/>
    <mergeCell ref="C175:J175"/>
    <mergeCell ref="C176:J176"/>
    <mergeCell ref="C177:J177"/>
    <mergeCell ref="C178:G178"/>
    <mergeCell ref="C179:G179"/>
    <mergeCell ref="B185:C186"/>
    <mergeCell ref="D185:I185"/>
    <mergeCell ref="D186:I186"/>
    <mergeCell ref="B187:C187"/>
    <mergeCell ref="F187:G187"/>
    <mergeCell ref="B188:C188"/>
    <mergeCell ref="F188:G188"/>
    <mergeCell ref="B189:C189"/>
    <mergeCell ref="F189:G189"/>
    <mergeCell ref="B190:C190"/>
    <mergeCell ref="D190:J190"/>
    <mergeCell ref="B191:J194"/>
    <mergeCell ref="B195:I195"/>
    <mergeCell ref="C196:I196"/>
    <mergeCell ref="C197:I197"/>
    <mergeCell ref="C198:I198"/>
    <mergeCell ref="B199:J199"/>
    <mergeCell ref="C200:J200"/>
    <mergeCell ref="C210:G210"/>
    <mergeCell ref="C211:G211"/>
    <mergeCell ref="B212:C212"/>
    <mergeCell ref="F212:G212"/>
    <mergeCell ref="C213:D213"/>
    <mergeCell ref="F213:G213"/>
    <mergeCell ref="I213:J213"/>
    <mergeCell ref="C201:J201"/>
    <mergeCell ref="C202:J202"/>
    <mergeCell ref="C203:J203"/>
    <mergeCell ref="C204:J204"/>
    <mergeCell ref="C205:J205"/>
    <mergeCell ref="C206:J206"/>
    <mergeCell ref="C207:J207"/>
    <mergeCell ref="C208:G208"/>
    <mergeCell ref="C209:G209"/>
  </mergeCells>
  <phoneticPr fontId="0" type="noConversion"/>
  <printOptions horizontalCentered="1" verticalCentered="1"/>
  <pageMargins left="0.7" right="0.7" top="0.75" bottom="0.75" header="0.3" footer="0.3"/>
  <pageSetup paperSize="9"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48A6-8B06-4AED-B074-AEED28267DA1}">
  <sheetPr>
    <pageSetUpPr fitToPage="1"/>
  </sheetPr>
  <dimension ref="B2:Q305"/>
  <sheetViews>
    <sheetView topLeftCell="A5" workbookViewId="0">
      <selection activeCell="D18" sqref="D18"/>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28515625" customWidth="1"/>
    <col min="11" max="11" width="60.5703125" customWidth="1"/>
    <col min="13" max="13" width="11.28515625" customWidth="1"/>
  </cols>
  <sheetData>
    <row r="2" spans="2:17">
      <c r="B2" s="1110" t="s">
        <v>0</v>
      </c>
      <c r="C2" s="1112" t="s">
        <v>1</v>
      </c>
      <c r="D2" s="1109"/>
      <c r="E2" s="1109" t="s">
        <v>2</v>
      </c>
      <c r="F2" s="1109" t="s">
        <v>3</v>
      </c>
      <c r="G2" s="1109" t="s">
        <v>4</v>
      </c>
      <c r="H2" s="1109" t="s">
        <v>5</v>
      </c>
      <c r="I2" s="1109" t="s">
        <v>6</v>
      </c>
      <c r="J2" s="1109" t="s">
        <v>7</v>
      </c>
      <c r="K2" s="1113" t="s">
        <v>8</v>
      </c>
    </row>
    <row r="3" spans="2:17">
      <c r="B3" s="1111"/>
      <c r="C3" s="276" t="s">
        <v>9</v>
      </c>
      <c r="D3" s="277" t="s">
        <v>10</v>
      </c>
      <c r="E3" s="745"/>
      <c r="F3" s="745"/>
      <c r="G3" s="745"/>
      <c r="H3" s="745"/>
      <c r="I3" s="745"/>
      <c r="J3" s="745"/>
      <c r="K3" s="1114"/>
    </row>
    <row r="4" spans="2:17" s="58" customFormat="1" ht="29.25">
      <c r="B4" s="326">
        <v>1</v>
      </c>
      <c r="C4" s="68">
        <v>50</v>
      </c>
      <c r="D4" s="327"/>
      <c r="E4" s="174">
        <v>45902</v>
      </c>
      <c r="F4" s="68" t="s">
        <v>124</v>
      </c>
      <c r="G4" s="68" t="s">
        <v>140</v>
      </c>
      <c r="H4" s="285" t="s">
        <v>2362</v>
      </c>
      <c r="I4" s="68" t="s">
        <v>31</v>
      </c>
      <c r="J4" s="328" t="s">
        <v>2363</v>
      </c>
      <c r="K4" s="175" t="s">
        <v>2364</v>
      </c>
      <c r="L4" s="175"/>
      <c r="M4" s="175"/>
      <c r="N4" s="175"/>
      <c r="O4" s="175"/>
      <c r="P4" s="175"/>
      <c r="Q4" s="175"/>
    </row>
    <row r="5" spans="2:17" s="58" customFormat="1" ht="48" customHeight="1">
      <c r="B5" s="326">
        <v>2</v>
      </c>
      <c r="C5" s="68">
        <v>90</v>
      </c>
      <c r="D5" s="68"/>
      <c r="E5" s="174">
        <v>45903</v>
      </c>
      <c r="F5" s="68" t="s">
        <v>131</v>
      </c>
      <c r="G5" s="68" t="s">
        <v>2365</v>
      </c>
      <c r="H5" s="285" t="s">
        <v>2366</v>
      </c>
      <c r="I5" s="68" t="s">
        <v>31</v>
      </c>
      <c r="J5" s="328" t="s">
        <v>2367</v>
      </c>
      <c r="K5" s="328" t="s">
        <v>2368</v>
      </c>
      <c r="L5" s="328"/>
      <c r="M5" s="328"/>
      <c r="N5" s="328"/>
      <c r="O5" s="328"/>
      <c r="P5" s="328"/>
      <c r="Q5" s="328"/>
    </row>
    <row r="6" spans="2:17" s="66" customFormat="1" ht="42" customHeight="1">
      <c r="B6" s="326">
        <v>3</v>
      </c>
      <c r="C6" s="68"/>
      <c r="D6" s="68">
        <v>30</v>
      </c>
      <c r="E6" s="174">
        <v>45905</v>
      </c>
      <c r="F6" s="68" t="s">
        <v>124</v>
      </c>
      <c r="G6" s="68" t="s">
        <v>140</v>
      </c>
      <c r="H6" s="285" t="s">
        <v>2369</v>
      </c>
      <c r="I6" s="68" t="s">
        <v>31</v>
      </c>
      <c r="J6" s="62" t="s">
        <v>2370</v>
      </c>
      <c r="K6" s="62" t="s">
        <v>2371</v>
      </c>
    </row>
    <row r="7" spans="2:17" s="3" customFormat="1" ht="43.5">
      <c r="B7" s="311">
        <v>4</v>
      </c>
      <c r="C7" s="90"/>
      <c r="D7" s="37">
        <v>128</v>
      </c>
      <c r="E7" s="275">
        <v>45915</v>
      </c>
      <c r="F7" s="37" t="s">
        <v>124</v>
      </c>
      <c r="G7" s="37" t="s">
        <v>125</v>
      </c>
      <c r="H7" s="285" t="s">
        <v>2372</v>
      </c>
      <c r="I7" s="41" t="s">
        <v>31</v>
      </c>
      <c r="J7" s="62" t="s">
        <v>2373</v>
      </c>
      <c r="K7" s="62" t="s">
        <v>2374</v>
      </c>
    </row>
    <row r="8" spans="2:17" s="3" customFormat="1">
      <c r="B8" s="311">
        <v>5</v>
      </c>
      <c r="C8" s="90">
        <v>100</v>
      </c>
      <c r="D8" s="37"/>
      <c r="E8" s="275">
        <v>45916</v>
      </c>
      <c r="F8" s="37" t="s">
        <v>159</v>
      </c>
      <c r="G8" s="37" t="s">
        <v>140</v>
      </c>
      <c r="H8" s="285" t="s">
        <v>2375</v>
      </c>
      <c r="I8" s="41"/>
      <c r="J8" s="36"/>
      <c r="K8" s="314"/>
    </row>
    <row r="9" spans="2:17" s="3" customFormat="1">
      <c r="B9" s="311">
        <v>6</v>
      </c>
      <c r="C9" s="90">
        <v>77</v>
      </c>
      <c r="D9" s="37"/>
      <c r="E9" s="275">
        <v>45917</v>
      </c>
      <c r="F9" s="37" t="s">
        <v>159</v>
      </c>
      <c r="G9" s="37" t="s">
        <v>140</v>
      </c>
      <c r="H9" s="285" t="s">
        <v>2376</v>
      </c>
      <c r="I9" s="37"/>
      <c r="J9" s="37"/>
      <c r="K9" s="318"/>
    </row>
    <row r="10" spans="2:17" s="3" customFormat="1">
      <c r="B10" s="316">
        <v>7</v>
      </c>
      <c r="C10" s="90">
        <v>10</v>
      </c>
      <c r="D10" s="37"/>
      <c r="E10" s="275">
        <v>45918</v>
      </c>
      <c r="F10" s="37" t="s">
        <v>131</v>
      </c>
      <c r="G10" s="37" t="s">
        <v>2377</v>
      </c>
      <c r="H10" s="285" t="s">
        <v>2378</v>
      </c>
      <c r="I10" s="37"/>
      <c r="J10" s="37"/>
      <c r="K10" s="318"/>
    </row>
    <row r="11" spans="2:17" s="3" customFormat="1">
      <c r="B11" s="311">
        <v>8</v>
      </c>
      <c r="C11" s="90">
        <v>90</v>
      </c>
      <c r="D11" s="37"/>
      <c r="E11" s="275">
        <v>45919</v>
      </c>
      <c r="F11" s="37" t="s">
        <v>124</v>
      </c>
      <c r="G11" s="37" t="s">
        <v>140</v>
      </c>
      <c r="H11" s="285" t="s">
        <v>2379</v>
      </c>
      <c r="I11" s="37"/>
      <c r="J11" s="37"/>
      <c r="K11" s="318"/>
    </row>
    <row r="12" spans="2:17" s="3" customFormat="1" ht="29.25">
      <c r="B12" s="311">
        <v>9</v>
      </c>
      <c r="C12" s="90"/>
      <c r="D12" s="37">
        <v>10</v>
      </c>
      <c r="E12" s="275">
        <v>45921</v>
      </c>
      <c r="F12" s="37" t="s">
        <v>131</v>
      </c>
      <c r="G12" s="37" t="s">
        <v>125</v>
      </c>
      <c r="H12" s="285" t="s">
        <v>2380</v>
      </c>
      <c r="I12" s="37"/>
      <c r="J12" s="36" t="s">
        <v>2381</v>
      </c>
      <c r="K12" s="318"/>
    </row>
    <row r="13" spans="2:17" ht="29.25">
      <c r="B13" s="311">
        <v>10</v>
      </c>
      <c r="C13" s="90"/>
      <c r="D13" s="37">
        <v>108</v>
      </c>
      <c r="E13" s="275">
        <v>45922</v>
      </c>
      <c r="F13" s="37" t="s">
        <v>159</v>
      </c>
      <c r="G13" s="37" t="s">
        <v>2377</v>
      </c>
      <c r="H13" s="285" t="s">
        <v>2382</v>
      </c>
      <c r="I13" s="37"/>
      <c r="J13" s="37"/>
      <c r="K13" s="318"/>
    </row>
    <row r="14" spans="2:17">
      <c r="B14" s="311"/>
      <c r="C14" s="251"/>
      <c r="D14" s="74"/>
      <c r="E14" s="275"/>
      <c r="F14" s="74"/>
      <c r="G14" s="74"/>
      <c r="H14" s="74"/>
      <c r="I14" s="74"/>
      <c r="J14" s="74"/>
      <c r="K14" s="319"/>
    </row>
    <row r="15" spans="2:17">
      <c r="B15" s="311"/>
      <c r="C15" s="251"/>
      <c r="D15" s="74"/>
      <c r="E15" s="275"/>
      <c r="F15" s="74"/>
      <c r="G15" s="74"/>
      <c r="H15" s="74"/>
      <c r="I15" s="74"/>
      <c r="J15" s="74"/>
      <c r="K15" s="319"/>
    </row>
    <row r="16" spans="2:17">
      <c r="B16" s="311"/>
      <c r="C16" s="321"/>
      <c r="D16" s="321"/>
      <c r="E16" s="321"/>
      <c r="F16" s="321"/>
      <c r="G16" s="321"/>
      <c r="H16" s="321"/>
      <c r="I16" s="321"/>
      <c r="J16" s="321"/>
      <c r="K16" s="322"/>
    </row>
    <row r="17" spans="2:11">
      <c r="B17" s="124" t="s">
        <v>11</v>
      </c>
      <c r="C17" s="94">
        <f>SUM(C4:C16)</f>
        <v>417</v>
      </c>
      <c r="D17" s="94">
        <f>SUM(D4:D16)</f>
        <v>276</v>
      </c>
      <c r="E17" s="434"/>
      <c r="F17" s="435"/>
      <c r="G17" s="435"/>
      <c r="H17" s="435"/>
      <c r="I17" s="435"/>
      <c r="J17" s="435"/>
      <c r="K17" s="435"/>
    </row>
    <row r="18" spans="2:11">
      <c r="B18" s="9"/>
      <c r="C18" s="10"/>
      <c r="D18" s="11"/>
      <c r="E18" s="434"/>
      <c r="F18" s="435"/>
      <c r="G18" s="435"/>
      <c r="H18" s="435"/>
      <c r="I18" s="435"/>
      <c r="J18" s="435"/>
      <c r="K18" s="435"/>
    </row>
    <row r="19" spans="2:11">
      <c r="B19" s="6" t="s">
        <v>12</v>
      </c>
      <c r="C19" s="432">
        <f>SUM(C17,D17)</f>
        <v>693</v>
      </c>
      <c r="D19" s="433"/>
      <c r="E19" s="434"/>
      <c r="F19" s="435"/>
      <c r="G19" s="435"/>
      <c r="H19" s="435"/>
      <c r="I19" s="435"/>
      <c r="J19" s="435"/>
      <c r="K19" s="435"/>
    </row>
    <row r="20" spans="2:11">
      <c r="B20" s="12"/>
      <c r="C20" s="13"/>
      <c r="D20" s="14"/>
      <c r="E20" s="436"/>
      <c r="F20" s="437"/>
      <c r="G20" s="437"/>
      <c r="H20" s="437"/>
      <c r="I20" s="437"/>
      <c r="J20" s="437"/>
      <c r="K20" s="437"/>
    </row>
    <row r="21" spans="2:11">
      <c r="E21" s="152"/>
      <c r="F21" s="152"/>
      <c r="G21" s="152"/>
      <c r="H21" s="152"/>
      <c r="I21" s="152"/>
      <c r="J21" s="152"/>
      <c r="K21" s="152"/>
    </row>
    <row r="22" spans="2:11">
      <c r="E22" s="152"/>
      <c r="F22" s="152"/>
      <c r="G22" s="152"/>
      <c r="H22" s="152"/>
      <c r="I22" s="152"/>
      <c r="J22" s="152"/>
      <c r="K22" s="152"/>
    </row>
    <row r="23" spans="2:11" ht="26.25">
      <c r="B23" s="446" t="s">
        <v>13</v>
      </c>
      <c r="C23" s="447"/>
      <c r="D23" s="446" t="s">
        <v>14</v>
      </c>
      <c r="E23" s="446"/>
      <c r="F23" s="446"/>
      <c r="G23" s="446"/>
      <c r="H23" s="446"/>
      <c r="I23" s="446"/>
      <c r="J23" s="197" t="s">
        <v>15</v>
      </c>
    </row>
    <row r="24" spans="2:11" ht="20.25">
      <c r="B24" s="447"/>
      <c r="C24" s="447"/>
      <c r="D24" s="448" t="s">
        <v>16</v>
      </c>
      <c r="E24" s="448"/>
      <c r="F24" s="448"/>
      <c r="G24" s="448"/>
      <c r="H24" s="448"/>
      <c r="I24" s="448"/>
      <c r="J24" s="197" t="s">
        <v>17</v>
      </c>
    </row>
    <row r="25" spans="2:11">
      <c r="B25" s="449" t="s">
        <v>18</v>
      </c>
      <c r="C25" s="449"/>
      <c r="D25" s="174">
        <v>45902</v>
      </c>
      <c r="E25" s="199" t="s">
        <v>1460</v>
      </c>
      <c r="F25" s="450" t="s">
        <v>124</v>
      </c>
      <c r="G25" s="450"/>
      <c r="H25" s="201" t="s">
        <v>21</v>
      </c>
      <c r="I25" s="202" t="s">
        <v>867</v>
      </c>
      <c r="J25" s="199" t="s">
        <v>23</v>
      </c>
    </row>
    <row r="26" spans="2:11">
      <c r="B26" s="449" t="s">
        <v>24</v>
      </c>
      <c r="C26" s="449"/>
      <c r="D26" s="203" t="s">
        <v>2383</v>
      </c>
      <c r="E26" s="204" t="s">
        <v>25</v>
      </c>
      <c r="F26" s="450" t="s">
        <v>26</v>
      </c>
      <c r="G26" s="450"/>
      <c r="H26" s="199" t="s">
        <v>27</v>
      </c>
      <c r="I26" s="202" t="s">
        <v>1484</v>
      </c>
      <c r="J26" s="202" t="s">
        <v>29</v>
      </c>
      <c r="K26" s="135">
        <v>90</v>
      </c>
    </row>
    <row r="27" spans="2:11">
      <c r="B27" s="449" t="s">
        <v>30</v>
      </c>
      <c r="C27" s="449"/>
      <c r="D27" s="199" t="s">
        <v>31</v>
      </c>
      <c r="E27" s="199" t="s">
        <v>32</v>
      </c>
      <c r="F27" s="450">
        <v>50</v>
      </c>
      <c r="G27" s="450"/>
      <c r="H27" s="201" t="s">
        <v>33</v>
      </c>
      <c r="I27" s="247"/>
      <c r="J27" s="202"/>
      <c r="K27" s="135">
        <v>3</v>
      </c>
    </row>
    <row r="28" spans="2:11">
      <c r="B28" s="451" t="s">
        <v>35</v>
      </c>
      <c r="C28" s="451"/>
      <c r="D28" s="449" t="s">
        <v>2005</v>
      </c>
      <c r="E28" s="449"/>
      <c r="F28" s="449"/>
      <c r="G28" s="449"/>
      <c r="H28" s="449"/>
      <c r="I28" s="449"/>
      <c r="J28" s="449"/>
      <c r="K28" s="135">
        <v>270</v>
      </c>
    </row>
    <row r="29" spans="2:11">
      <c r="B29" s="452" t="s">
        <v>2384</v>
      </c>
      <c r="C29" s="453"/>
      <c r="D29" s="453"/>
      <c r="E29" s="453"/>
      <c r="F29" s="453"/>
      <c r="G29" s="453"/>
      <c r="H29" s="453"/>
      <c r="I29" s="453"/>
      <c r="J29" s="454"/>
      <c r="K29" s="135">
        <v>2700000</v>
      </c>
    </row>
    <row r="30" spans="2:11">
      <c r="B30" s="455"/>
      <c r="C30" s="456"/>
      <c r="D30" s="456"/>
      <c r="E30" s="456"/>
      <c r="F30" s="456"/>
      <c r="G30" s="456"/>
      <c r="H30" s="456"/>
      <c r="I30" s="456"/>
      <c r="J30" s="457"/>
    </row>
    <row r="31" spans="2:11">
      <c r="B31" s="455"/>
      <c r="C31" s="456"/>
      <c r="D31" s="456"/>
      <c r="E31" s="456"/>
      <c r="F31" s="456"/>
      <c r="G31" s="456"/>
      <c r="H31" s="456"/>
      <c r="I31" s="456"/>
      <c r="J31" s="457"/>
    </row>
    <row r="32" spans="2:11">
      <c r="B32" s="458"/>
      <c r="C32" s="459"/>
      <c r="D32" s="459"/>
      <c r="E32" s="459"/>
      <c r="F32" s="459"/>
      <c r="G32" s="459"/>
      <c r="H32" s="459"/>
      <c r="I32" s="459"/>
      <c r="J32" s="460"/>
    </row>
    <row r="33" spans="2:10" ht="18">
      <c r="B33" s="461" t="s">
        <v>38</v>
      </c>
      <c r="C33" s="462"/>
      <c r="D33" s="462"/>
      <c r="E33" s="462"/>
      <c r="F33" s="462"/>
      <c r="G33" s="462"/>
      <c r="H33" s="462"/>
      <c r="I33" s="463"/>
      <c r="J33" s="205" t="s">
        <v>39</v>
      </c>
    </row>
    <row r="34" spans="2:10">
      <c r="B34" s="200">
        <v>1</v>
      </c>
      <c r="C34" s="464" t="s">
        <v>2385</v>
      </c>
      <c r="D34" s="465"/>
      <c r="E34" s="465"/>
      <c r="F34" s="465"/>
      <c r="G34" s="465"/>
      <c r="H34" s="465"/>
      <c r="I34" s="466"/>
      <c r="J34" s="200" t="s">
        <v>26</v>
      </c>
    </row>
    <row r="35" spans="2:10">
      <c r="B35" s="200">
        <v>2</v>
      </c>
      <c r="C35" s="464" t="s">
        <v>2386</v>
      </c>
      <c r="D35" s="465"/>
      <c r="E35" s="465"/>
      <c r="F35" s="465"/>
      <c r="G35" s="465"/>
      <c r="H35" s="465"/>
      <c r="I35" s="466"/>
      <c r="J35" s="200" t="s">
        <v>2387</v>
      </c>
    </row>
    <row r="36" spans="2:10">
      <c r="B36" s="254">
        <v>3</v>
      </c>
      <c r="C36" s="464" t="s">
        <v>2388</v>
      </c>
      <c r="D36" s="465"/>
      <c r="E36" s="465"/>
      <c r="F36" s="465"/>
      <c r="G36" s="465"/>
      <c r="H36" s="465"/>
      <c r="I36" s="466"/>
      <c r="J36" s="200" t="s">
        <v>26</v>
      </c>
    </row>
    <row r="37" spans="2:10" ht="20.25" customHeight="1">
      <c r="B37" s="88"/>
      <c r="C37" s="465"/>
      <c r="D37" s="465"/>
      <c r="E37" s="465"/>
      <c r="F37" s="465"/>
      <c r="G37" s="465"/>
      <c r="H37" s="465"/>
      <c r="I37" s="466"/>
      <c r="J37" s="200"/>
    </row>
    <row r="38" spans="2:10" ht="18">
      <c r="B38" s="1115" t="s">
        <v>44</v>
      </c>
      <c r="C38" s="462"/>
      <c r="D38" s="462"/>
      <c r="E38" s="462"/>
      <c r="F38" s="462"/>
      <c r="G38" s="462"/>
      <c r="H38" s="462"/>
      <c r="I38" s="462"/>
      <c r="J38" s="463"/>
    </row>
    <row r="39" spans="2:10">
      <c r="B39" s="200" t="s">
        <v>45</v>
      </c>
      <c r="C39" s="1059" t="s">
        <v>2389</v>
      </c>
      <c r="D39" s="473"/>
      <c r="E39" s="473"/>
      <c r="F39" s="473"/>
      <c r="G39" s="473"/>
      <c r="H39" s="473"/>
      <c r="I39" s="473"/>
      <c r="J39" s="473"/>
    </row>
    <row r="40" spans="2:10">
      <c r="B40" s="206" t="s">
        <v>45</v>
      </c>
      <c r="C40" s="1059" t="s">
        <v>2390</v>
      </c>
      <c r="D40" s="473"/>
      <c r="E40" s="473"/>
      <c r="F40" s="473"/>
      <c r="G40" s="473"/>
      <c r="H40" s="473"/>
      <c r="I40" s="473"/>
      <c r="J40" s="473"/>
    </row>
    <row r="41" spans="2:10">
      <c r="B41" s="206" t="s">
        <v>45</v>
      </c>
      <c r="C41" s="1059" t="s">
        <v>2391</v>
      </c>
      <c r="D41" s="473"/>
      <c r="E41" s="473"/>
      <c r="F41" s="473"/>
      <c r="G41" s="473"/>
      <c r="H41" s="473"/>
      <c r="I41" s="473"/>
      <c r="J41" s="473"/>
    </row>
    <row r="42" spans="2:10">
      <c r="B42" s="206" t="s">
        <v>45</v>
      </c>
      <c r="C42" s="1101"/>
      <c r="D42" s="475"/>
      <c r="E42" s="475"/>
      <c r="F42" s="475"/>
      <c r="G42" s="475"/>
      <c r="H42" s="475"/>
      <c r="I42" s="475"/>
      <c r="J42" s="476"/>
    </row>
    <row r="43" spans="2:10">
      <c r="B43" s="206" t="s">
        <v>45</v>
      </c>
      <c r="C43" s="464"/>
      <c r="D43" s="465"/>
      <c r="E43" s="465"/>
      <c r="F43" s="465"/>
      <c r="G43" s="465"/>
      <c r="H43" s="465"/>
      <c r="I43" s="465"/>
      <c r="J43" s="466"/>
    </row>
    <row r="44" spans="2:10">
      <c r="B44" s="206" t="s">
        <v>45</v>
      </c>
      <c r="C44" s="464"/>
      <c r="D44" s="465"/>
      <c r="E44" s="465"/>
      <c r="F44" s="465"/>
      <c r="G44" s="465"/>
      <c r="H44" s="465"/>
      <c r="I44" s="465"/>
      <c r="J44" s="466"/>
    </row>
    <row r="45" spans="2:10">
      <c r="B45" s="200" t="s">
        <v>45</v>
      </c>
      <c r="C45" s="464"/>
      <c r="D45" s="465"/>
      <c r="E45" s="465"/>
      <c r="F45" s="465"/>
      <c r="G45" s="465"/>
      <c r="H45" s="465"/>
      <c r="I45" s="465"/>
      <c r="J45" s="466"/>
    </row>
    <row r="46" spans="2:10">
      <c r="B46" s="200" t="s">
        <v>7</v>
      </c>
      <c r="C46" s="1059" t="s">
        <v>2392</v>
      </c>
      <c r="D46" s="473"/>
      <c r="E46" s="473"/>
      <c r="F46" s="473"/>
      <c r="G46" s="473"/>
      <c r="H46" s="473"/>
      <c r="I46" s="473"/>
      <c r="J46" s="473"/>
    </row>
    <row r="47" spans="2:10" ht="18">
      <c r="B47" s="205" t="s">
        <v>52</v>
      </c>
      <c r="C47" s="477" t="s">
        <v>53</v>
      </c>
      <c r="D47" s="477"/>
      <c r="E47" s="477"/>
      <c r="F47" s="477"/>
      <c r="G47" s="477"/>
      <c r="H47" s="205" t="s">
        <v>54</v>
      </c>
      <c r="I47" s="205" t="s">
        <v>55</v>
      </c>
      <c r="J47" s="205" t="s">
        <v>56</v>
      </c>
    </row>
    <row r="48" spans="2:10">
      <c r="B48" s="200">
        <v>1</v>
      </c>
      <c r="C48" s="1102" t="s">
        <v>2393</v>
      </c>
      <c r="D48" s="451"/>
      <c r="E48" s="451"/>
      <c r="F48" s="451"/>
      <c r="G48" s="451"/>
      <c r="H48" s="200"/>
      <c r="I48" s="207" t="s">
        <v>1692</v>
      </c>
      <c r="J48" s="200" t="s">
        <v>1973</v>
      </c>
    </row>
    <row r="49" spans="2:11">
      <c r="B49" s="200">
        <v>2</v>
      </c>
      <c r="C49" s="1102"/>
      <c r="D49" s="451"/>
      <c r="E49" s="451"/>
      <c r="F49" s="451"/>
      <c r="G49" s="451"/>
      <c r="H49" s="200"/>
      <c r="I49" s="207" t="s">
        <v>1692</v>
      </c>
      <c r="J49" s="200"/>
    </row>
    <row r="50" spans="2:11" ht="27" customHeight="1">
      <c r="B50" s="200"/>
      <c r="C50" s="1102"/>
      <c r="D50" s="451"/>
      <c r="E50" s="451"/>
      <c r="F50" s="451"/>
      <c r="G50" s="451"/>
      <c r="H50" s="200"/>
      <c r="I50" s="207" t="s">
        <v>1692</v>
      </c>
      <c r="J50" s="200"/>
    </row>
    <row r="51" spans="2:11">
      <c r="B51" s="450" t="s">
        <v>63</v>
      </c>
      <c r="C51" s="450"/>
      <c r="D51" s="199" t="s">
        <v>31</v>
      </c>
      <c r="E51" s="198" t="s">
        <v>64</v>
      </c>
      <c r="F51" s="467"/>
      <c r="G51" s="469"/>
      <c r="H51" s="199"/>
      <c r="I51" s="199"/>
      <c r="J51" s="199"/>
    </row>
    <row r="52" spans="2:11" ht="45">
      <c r="B52" s="201" t="s">
        <v>66</v>
      </c>
      <c r="C52" s="450"/>
      <c r="D52" s="450"/>
      <c r="E52" s="201" t="s">
        <v>67</v>
      </c>
      <c r="F52" s="450"/>
      <c r="G52" s="450"/>
      <c r="H52" s="201" t="s">
        <v>68</v>
      </c>
      <c r="I52" s="450"/>
      <c r="J52" s="450"/>
    </row>
    <row r="53" spans="2:11">
      <c r="E53" s="152"/>
      <c r="F53" s="152"/>
      <c r="G53" s="152"/>
      <c r="H53" s="152"/>
      <c r="I53" s="152"/>
      <c r="J53" s="152"/>
      <c r="K53" s="152"/>
    </row>
    <row r="56" spans="2:11" ht="26.25">
      <c r="B56" s="446" t="s">
        <v>13</v>
      </c>
      <c r="C56" s="447"/>
      <c r="D56" s="446" t="s">
        <v>14</v>
      </c>
      <c r="E56" s="446"/>
      <c r="F56" s="446"/>
      <c r="G56" s="446"/>
      <c r="H56" s="446"/>
      <c r="I56" s="446"/>
      <c r="J56" s="197" t="s">
        <v>15</v>
      </c>
    </row>
    <row r="57" spans="2:11" ht="20.25">
      <c r="B57" s="447"/>
      <c r="C57" s="447"/>
      <c r="D57" s="448" t="s">
        <v>16</v>
      </c>
      <c r="E57" s="448"/>
      <c r="F57" s="448"/>
      <c r="G57" s="448"/>
      <c r="H57" s="448"/>
      <c r="I57" s="448"/>
      <c r="J57" s="197" t="s">
        <v>17</v>
      </c>
    </row>
    <row r="58" spans="2:11">
      <c r="B58" s="449" t="s">
        <v>18</v>
      </c>
      <c r="C58" s="449"/>
      <c r="D58" s="174">
        <v>45903</v>
      </c>
      <c r="E58" s="199" t="s">
        <v>1460</v>
      </c>
      <c r="F58" s="450" t="s">
        <v>131</v>
      </c>
      <c r="G58" s="450"/>
      <c r="H58" s="201" t="s">
        <v>21</v>
      </c>
      <c r="I58" s="202" t="s">
        <v>867</v>
      </c>
      <c r="J58" s="199" t="s">
        <v>23</v>
      </c>
    </row>
    <row r="59" spans="2:11">
      <c r="B59" s="449" t="s">
        <v>24</v>
      </c>
      <c r="C59" s="449"/>
      <c r="D59" s="203">
        <v>0.82638888888888884</v>
      </c>
      <c r="E59" s="204" t="s">
        <v>25</v>
      </c>
      <c r="F59" s="450" t="s">
        <v>26</v>
      </c>
      <c r="G59" s="450"/>
      <c r="H59" s="199" t="s">
        <v>27</v>
      </c>
      <c r="I59" s="202" t="s">
        <v>1980</v>
      </c>
      <c r="J59" s="202" t="s">
        <v>29</v>
      </c>
      <c r="K59" s="135">
        <v>90</v>
      </c>
    </row>
    <row r="60" spans="2:11">
      <c r="B60" s="449" t="s">
        <v>30</v>
      </c>
      <c r="C60" s="449"/>
      <c r="D60" s="199" t="s">
        <v>31</v>
      </c>
      <c r="E60" s="199" t="s">
        <v>32</v>
      </c>
      <c r="F60" s="450">
        <v>90</v>
      </c>
      <c r="G60" s="450"/>
      <c r="H60" s="201" t="s">
        <v>33</v>
      </c>
      <c r="I60" s="247"/>
      <c r="J60" s="202"/>
      <c r="K60" s="135">
        <v>3</v>
      </c>
    </row>
    <row r="61" spans="2:11">
      <c r="B61" s="451" t="s">
        <v>35</v>
      </c>
      <c r="C61" s="451"/>
      <c r="D61" s="449" t="s">
        <v>2394</v>
      </c>
      <c r="E61" s="449"/>
      <c r="F61" s="449"/>
      <c r="G61" s="449"/>
      <c r="H61" s="449"/>
      <c r="I61" s="449"/>
      <c r="J61" s="449"/>
      <c r="K61" s="135">
        <v>270</v>
      </c>
    </row>
    <row r="62" spans="2:11">
      <c r="B62" s="452" t="s">
        <v>2395</v>
      </c>
      <c r="C62" s="453"/>
      <c r="D62" s="453"/>
      <c r="E62" s="453"/>
      <c r="F62" s="453"/>
      <c r="G62" s="453"/>
      <c r="H62" s="453"/>
      <c r="I62" s="453"/>
      <c r="J62" s="454"/>
      <c r="K62" s="135">
        <v>2700000</v>
      </c>
    </row>
    <row r="63" spans="2:11">
      <c r="B63" s="455"/>
      <c r="C63" s="456"/>
      <c r="D63" s="456"/>
      <c r="E63" s="456"/>
      <c r="F63" s="456"/>
      <c r="G63" s="456"/>
      <c r="H63" s="456"/>
      <c r="I63" s="456"/>
      <c r="J63" s="457"/>
    </row>
    <row r="64" spans="2:11">
      <c r="B64" s="455"/>
      <c r="C64" s="456"/>
      <c r="D64" s="456"/>
      <c r="E64" s="456"/>
      <c r="F64" s="456"/>
      <c r="G64" s="456"/>
      <c r="H64" s="456"/>
      <c r="I64" s="456"/>
      <c r="J64" s="457"/>
    </row>
    <row r="65" spans="2:10">
      <c r="B65" s="458"/>
      <c r="C65" s="459"/>
      <c r="D65" s="459"/>
      <c r="E65" s="459"/>
      <c r="F65" s="459"/>
      <c r="G65" s="459"/>
      <c r="H65" s="459"/>
      <c r="I65" s="459"/>
      <c r="J65" s="460"/>
    </row>
    <row r="66" spans="2:10" ht="18">
      <c r="B66" s="461" t="s">
        <v>38</v>
      </c>
      <c r="C66" s="462"/>
      <c r="D66" s="462"/>
      <c r="E66" s="462"/>
      <c r="F66" s="462"/>
      <c r="G66" s="462"/>
      <c r="H66" s="462"/>
      <c r="I66" s="463"/>
      <c r="J66" s="205" t="s">
        <v>39</v>
      </c>
    </row>
    <row r="67" spans="2:10">
      <c r="B67" s="200">
        <v>1</v>
      </c>
      <c r="C67" s="464" t="s">
        <v>2396</v>
      </c>
      <c r="D67" s="465"/>
      <c r="E67" s="465"/>
      <c r="F67" s="465"/>
      <c r="G67" s="465"/>
      <c r="H67" s="465"/>
      <c r="I67" s="466"/>
      <c r="J67" s="200" t="s">
        <v>26</v>
      </c>
    </row>
    <row r="68" spans="2:10">
      <c r="B68" s="200">
        <v>2</v>
      </c>
      <c r="C68" s="464" t="s">
        <v>2397</v>
      </c>
      <c r="D68" s="465"/>
      <c r="E68" s="465"/>
      <c r="F68" s="465"/>
      <c r="G68" s="465"/>
      <c r="H68" s="465"/>
      <c r="I68" s="466"/>
      <c r="J68" s="200" t="s">
        <v>26</v>
      </c>
    </row>
    <row r="69" spans="2:10">
      <c r="B69" s="254">
        <v>3</v>
      </c>
      <c r="C69" s="464" t="s">
        <v>2398</v>
      </c>
      <c r="D69" s="465"/>
      <c r="E69" s="465"/>
      <c r="F69" s="465"/>
      <c r="G69" s="465"/>
      <c r="H69" s="465"/>
      <c r="I69" s="466"/>
      <c r="J69" s="254" t="s">
        <v>2387</v>
      </c>
    </row>
    <row r="70" spans="2:10" ht="20.25" customHeight="1">
      <c r="B70" s="88"/>
      <c r="C70" s="465"/>
      <c r="D70" s="465"/>
      <c r="E70" s="465"/>
      <c r="F70" s="465"/>
      <c r="G70" s="465"/>
      <c r="H70" s="465"/>
      <c r="I70" s="465"/>
      <c r="J70" s="88"/>
    </row>
    <row r="71" spans="2:10" ht="18">
      <c r="B71" s="1115" t="s">
        <v>44</v>
      </c>
      <c r="C71" s="462"/>
      <c r="D71" s="462"/>
      <c r="E71" s="462"/>
      <c r="F71" s="462"/>
      <c r="G71" s="462"/>
      <c r="H71" s="462"/>
      <c r="I71" s="462"/>
      <c r="J71" s="1116"/>
    </row>
    <row r="72" spans="2:10">
      <c r="B72" s="200" t="s">
        <v>45</v>
      </c>
      <c r="C72" s="1059" t="s">
        <v>2334</v>
      </c>
      <c r="D72" s="473"/>
      <c r="E72" s="473"/>
      <c r="F72" s="473"/>
      <c r="G72" s="473"/>
      <c r="H72" s="473"/>
      <c r="I72" s="473"/>
      <c r="J72" s="473"/>
    </row>
    <row r="73" spans="2:10">
      <c r="B73" s="206" t="s">
        <v>45</v>
      </c>
      <c r="C73" s="1059" t="s">
        <v>2399</v>
      </c>
      <c r="D73" s="473"/>
      <c r="E73" s="473"/>
      <c r="F73" s="473"/>
      <c r="G73" s="473"/>
      <c r="H73" s="473"/>
      <c r="I73" s="473"/>
      <c r="J73" s="473"/>
    </row>
    <row r="74" spans="2:10">
      <c r="B74" s="206" t="s">
        <v>45</v>
      </c>
      <c r="C74" s="1059" t="s">
        <v>2367</v>
      </c>
      <c r="D74" s="473"/>
      <c r="E74" s="473"/>
      <c r="F74" s="473"/>
      <c r="G74" s="473"/>
      <c r="H74" s="473"/>
      <c r="I74" s="473"/>
      <c r="J74" s="473"/>
    </row>
    <row r="75" spans="2:10">
      <c r="B75" s="206" t="s">
        <v>45</v>
      </c>
      <c r="C75" s="1101"/>
      <c r="D75" s="475"/>
      <c r="E75" s="475"/>
      <c r="F75" s="475"/>
      <c r="G75" s="475"/>
      <c r="H75" s="475"/>
      <c r="I75" s="475"/>
      <c r="J75" s="476"/>
    </row>
    <row r="76" spans="2:10">
      <c r="B76" s="206" t="s">
        <v>45</v>
      </c>
      <c r="C76" s="464"/>
      <c r="D76" s="465"/>
      <c r="E76" s="465"/>
      <c r="F76" s="465"/>
      <c r="G76" s="465"/>
      <c r="H76" s="465"/>
      <c r="I76" s="465"/>
      <c r="J76" s="466"/>
    </row>
    <row r="77" spans="2:10">
      <c r="B77" s="206" t="s">
        <v>45</v>
      </c>
      <c r="C77" s="464"/>
      <c r="D77" s="465"/>
      <c r="E77" s="465"/>
      <c r="F77" s="465"/>
      <c r="G77" s="465"/>
      <c r="H77" s="465"/>
      <c r="I77" s="465"/>
      <c r="J77" s="466"/>
    </row>
    <row r="78" spans="2:10">
      <c r="B78" s="200" t="s">
        <v>45</v>
      </c>
      <c r="C78" s="464"/>
      <c r="D78" s="465"/>
      <c r="E78" s="465"/>
      <c r="F78" s="465"/>
      <c r="G78" s="465"/>
      <c r="H78" s="465"/>
      <c r="I78" s="465"/>
      <c r="J78" s="466"/>
    </row>
    <row r="79" spans="2:10">
      <c r="B79" s="200" t="s">
        <v>7</v>
      </c>
      <c r="C79" s="1059" t="s">
        <v>2367</v>
      </c>
      <c r="D79" s="473"/>
      <c r="E79" s="473"/>
      <c r="F79" s="473"/>
      <c r="G79" s="473"/>
      <c r="H79" s="473"/>
      <c r="I79" s="473"/>
      <c r="J79" s="473"/>
    </row>
    <row r="80" spans="2:10" ht="18">
      <c r="B80" s="205" t="s">
        <v>52</v>
      </c>
      <c r="C80" s="477" t="s">
        <v>53</v>
      </c>
      <c r="D80" s="477"/>
      <c r="E80" s="477"/>
      <c r="F80" s="477"/>
      <c r="G80" s="477"/>
      <c r="H80" s="205" t="s">
        <v>54</v>
      </c>
      <c r="I80" s="205" t="s">
        <v>55</v>
      </c>
      <c r="J80" s="205" t="s">
        <v>56</v>
      </c>
    </row>
    <row r="81" spans="2:11">
      <c r="B81" s="200">
        <v>1</v>
      </c>
      <c r="C81" s="1102" t="s">
        <v>2400</v>
      </c>
      <c r="D81" s="451"/>
      <c r="E81" s="451"/>
      <c r="F81" s="451"/>
      <c r="G81" s="451"/>
      <c r="H81" s="200"/>
      <c r="I81" s="207" t="s">
        <v>1692</v>
      </c>
      <c r="J81" s="200" t="s">
        <v>1973</v>
      </c>
    </row>
    <row r="82" spans="2:11">
      <c r="B82" s="200">
        <v>2</v>
      </c>
      <c r="C82" s="1102" t="s">
        <v>2401</v>
      </c>
      <c r="D82" s="451"/>
      <c r="E82" s="451"/>
      <c r="F82" s="451"/>
      <c r="G82" s="451"/>
      <c r="H82" s="200"/>
      <c r="I82" s="207" t="s">
        <v>1692</v>
      </c>
      <c r="J82" s="200" t="s">
        <v>1973</v>
      </c>
    </row>
    <row r="83" spans="2:11">
      <c r="B83" s="200">
        <v>3</v>
      </c>
      <c r="C83" s="1102" t="s">
        <v>2402</v>
      </c>
      <c r="D83" s="451"/>
      <c r="E83" s="451"/>
      <c r="F83" s="451"/>
      <c r="G83" s="451"/>
      <c r="H83" s="200"/>
      <c r="I83" s="207" t="s">
        <v>1692</v>
      </c>
      <c r="J83" s="200" t="s">
        <v>1973</v>
      </c>
    </row>
    <row r="84" spans="2:11" ht="27" customHeight="1">
      <c r="B84" s="200"/>
      <c r="C84" s="1102"/>
      <c r="D84" s="451"/>
      <c r="E84" s="451"/>
      <c r="F84" s="451"/>
      <c r="G84" s="451"/>
      <c r="H84" s="200"/>
      <c r="I84" s="207"/>
      <c r="J84" s="200"/>
    </row>
    <row r="85" spans="2:11">
      <c r="B85" s="450" t="s">
        <v>63</v>
      </c>
      <c r="C85" s="450"/>
      <c r="D85" s="199" t="s">
        <v>31</v>
      </c>
      <c r="E85" s="198" t="s">
        <v>64</v>
      </c>
      <c r="F85" s="467"/>
      <c r="G85" s="469"/>
      <c r="H85" s="199"/>
      <c r="I85" s="199"/>
      <c r="J85" s="199"/>
    </row>
    <row r="86" spans="2:11" ht="45">
      <c r="B86" s="201" t="s">
        <v>66</v>
      </c>
      <c r="C86" s="450"/>
      <c r="D86" s="450"/>
      <c r="E86" s="201" t="s">
        <v>67</v>
      </c>
      <c r="F86" s="450"/>
      <c r="G86" s="450"/>
      <c r="H86" s="201" t="s">
        <v>68</v>
      </c>
      <c r="I86" s="450"/>
      <c r="J86" s="450"/>
    </row>
    <row r="87" spans="2:11">
      <c r="E87" s="152"/>
      <c r="F87" s="152"/>
      <c r="G87" s="152"/>
      <c r="H87" s="152"/>
      <c r="I87" s="152"/>
      <c r="J87" s="152"/>
      <c r="K87" s="152"/>
    </row>
    <row r="91" spans="2:11" ht="26.25" customHeight="1">
      <c r="B91" s="446" t="s">
        <v>13</v>
      </c>
      <c r="C91" s="447"/>
      <c r="D91" s="446" t="s">
        <v>14</v>
      </c>
      <c r="E91" s="446"/>
      <c r="F91" s="446"/>
      <c r="G91" s="446"/>
      <c r="H91" s="446"/>
      <c r="I91" s="446"/>
      <c r="J91" s="197" t="s">
        <v>15</v>
      </c>
    </row>
    <row r="92" spans="2:11" ht="20.25" customHeight="1">
      <c r="B92" s="447"/>
      <c r="C92" s="447"/>
      <c r="D92" s="448" t="s">
        <v>16</v>
      </c>
      <c r="E92" s="448"/>
      <c r="F92" s="448"/>
      <c r="G92" s="448"/>
      <c r="H92" s="448"/>
      <c r="I92" s="448"/>
      <c r="J92" s="197" t="s">
        <v>17</v>
      </c>
    </row>
    <row r="93" spans="2:11">
      <c r="B93" s="449" t="s">
        <v>18</v>
      </c>
      <c r="C93" s="449"/>
      <c r="D93" s="275">
        <v>45905</v>
      </c>
      <c r="E93" s="199" t="s">
        <v>1460</v>
      </c>
      <c r="F93" s="450" t="s">
        <v>124</v>
      </c>
      <c r="G93" s="450"/>
      <c r="H93" s="201" t="s">
        <v>21</v>
      </c>
      <c r="I93" s="202" t="s">
        <v>917</v>
      </c>
      <c r="J93" s="199" t="s">
        <v>23</v>
      </c>
    </row>
    <row r="94" spans="2:11">
      <c r="B94" s="449" t="s">
        <v>24</v>
      </c>
      <c r="C94" s="449"/>
      <c r="D94" s="203"/>
      <c r="E94" s="204" t="s">
        <v>25</v>
      </c>
      <c r="F94" s="450" t="s">
        <v>26</v>
      </c>
      <c r="G94" s="450"/>
      <c r="H94" s="199" t="s">
        <v>27</v>
      </c>
      <c r="I94" s="202" t="s">
        <v>1484</v>
      </c>
      <c r="J94" s="202" t="s">
        <v>29</v>
      </c>
    </row>
    <row r="95" spans="2:11">
      <c r="B95" s="449" t="s">
        <v>30</v>
      </c>
      <c r="C95" s="449"/>
      <c r="D95" s="199" t="s">
        <v>31</v>
      </c>
      <c r="E95" s="199" t="s">
        <v>32</v>
      </c>
      <c r="F95" s="450">
        <v>30</v>
      </c>
      <c r="G95" s="450"/>
      <c r="H95" s="201" t="s">
        <v>33</v>
      </c>
      <c r="I95" s="247" t="s">
        <v>2403</v>
      </c>
      <c r="J95" s="202"/>
    </row>
    <row r="96" spans="2:11" ht="15" customHeight="1">
      <c r="B96" s="451" t="s">
        <v>35</v>
      </c>
      <c r="C96" s="451"/>
      <c r="D96" s="449" t="s">
        <v>2268</v>
      </c>
      <c r="E96" s="449"/>
      <c r="F96" s="449"/>
      <c r="G96" s="449"/>
      <c r="H96" s="449"/>
      <c r="I96" s="449"/>
      <c r="J96" s="449"/>
    </row>
    <row r="97" spans="2:10" ht="15" customHeight="1">
      <c r="B97" s="452" t="s">
        <v>2356</v>
      </c>
      <c r="C97" s="453"/>
      <c r="D97" s="453"/>
      <c r="E97" s="453"/>
      <c r="F97" s="453"/>
      <c r="G97" s="453"/>
      <c r="H97" s="453"/>
      <c r="I97" s="453"/>
      <c r="J97" s="454"/>
    </row>
    <row r="98" spans="2:10">
      <c r="B98" s="455"/>
      <c r="C98" s="456"/>
      <c r="D98" s="456"/>
      <c r="E98" s="456"/>
      <c r="F98" s="456"/>
      <c r="G98" s="456"/>
      <c r="H98" s="456"/>
      <c r="I98" s="456"/>
      <c r="J98" s="457"/>
    </row>
    <row r="99" spans="2:10">
      <c r="B99" s="455"/>
      <c r="C99" s="456"/>
      <c r="D99" s="456"/>
      <c r="E99" s="456"/>
      <c r="F99" s="456"/>
      <c r="G99" s="456"/>
      <c r="H99" s="456"/>
      <c r="I99" s="456"/>
      <c r="J99" s="457"/>
    </row>
    <row r="100" spans="2:10">
      <c r="B100" s="458"/>
      <c r="C100" s="459"/>
      <c r="D100" s="459"/>
      <c r="E100" s="459"/>
      <c r="F100" s="459"/>
      <c r="G100" s="459"/>
      <c r="H100" s="459"/>
      <c r="I100" s="459"/>
      <c r="J100" s="460"/>
    </row>
    <row r="101" spans="2:10" ht="18">
      <c r="B101" s="461" t="s">
        <v>38</v>
      </c>
      <c r="C101" s="462"/>
      <c r="D101" s="462"/>
      <c r="E101" s="462"/>
      <c r="F101" s="462"/>
      <c r="G101" s="462"/>
      <c r="H101" s="462"/>
      <c r="I101" s="463"/>
      <c r="J101" s="205" t="s">
        <v>39</v>
      </c>
    </row>
    <row r="102" spans="2:10">
      <c r="B102" s="200">
        <v>1</v>
      </c>
      <c r="C102" s="464" t="s">
        <v>2348</v>
      </c>
      <c r="D102" s="465"/>
      <c r="E102" s="465"/>
      <c r="F102" s="465"/>
      <c r="G102" s="465"/>
      <c r="H102" s="465"/>
      <c r="I102" s="466"/>
      <c r="J102" s="200" t="s">
        <v>26</v>
      </c>
    </row>
    <row r="103" spans="2:10">
      <c r="B103" s="200">
        <v>2</v>
      </c>
      <c r="C103" s="464" t="s">
        <v>2349</v>
      </c>
      <c r="D103" s="465"/>
      <c r="E103" s="465"/>
      <c r="F103" s="465"/>
      <c r="G103" s="465"/>
      <c r="H103" s="465"/>
      <c r="I103" s="466"/>
      <c r="J103" s="200"/>
    </row>
    <row r="104" spans="2:10">
      <c r="B104" s="200">
        <v>3</v>
      </c>
      <c r="C104" s="464"/>
      <c r="D104" s="465"/>
      <c r="E104" s="465"/>
      <c r="F104" s="465"/>
      <c r="G104" s="465"/>
      <c r="H104" s="465"/>
      <c r="I104" s="466"/>
      <c r="J104" s="200"/>
    </row>
    <row r="105" spans="2:10" ht="18">
      <c r="B105" s="461" t="s">
        <v>44</v>
      </c>
      <c r="C105" s="462"/>
      <c r="D105" s="462"/>
      <c r="E105" s="462"/>
      <c r="F105" s="462"/>
      <c r="G105" s="462"/>
      <c r="H105" s="462"/>
      <c r="I105" s="462"/>
      <c r="J105" s="463"/>
    </row>
    <row r="106" spans="2:10">
      <c r="B106" s="200" t="s">
        <v>45</v>
      </c>
      <c r="C106" s="1059" t="s">
        <v>2357</v>
      </c>
      <c r="D106" s="473"/>
      <c r="E106" s="473"/>
      <c r="F106" s="473"/>
      <c r="G106" s="473"/>
      <c r="H106" s="473"/>
      <c r="I106" s="473"/>
      <c r="J106" s="473"/>
    </row>
    <row r="107" spans="2:10">
      <c r="B107" s="206" t="s">
        <v>45</v>
      </c>
      <c r="C107" s="1059" t="s">
        <v>2404</v>
      </c>
      <c r="D107" s="473"/>
      <c r="E107" s="473"/>
      <c r="F107" s="473"/>
      <c r="G107" s="473"/>
      <c r="H107" s="473"/>
      <c r="I107" s="473"/>
      <c r="J107" s="473"/>
    </row>
    <row r="108" spans="2:10">
      <c r="B108" s="206" t="s">
        <v>45</v>
      </c>
      <c r="C108" s="1059" t="s">
        <v>2405</v>
      </c>
      <c r="D108" s="473"/>
      <c r="E108" s="473"/>
      <c r="F108" s="473"/>
      <c r="G108" s="473"/>
      <c r="H108" s="473"/>
      <c r="I108" s="473"/>
      <c r="J108" s="473"/>
    </row>
    <row r="109" spans="2:10">
      <c r="B109" s="206" t="s">
        <v>45</v>
      </c>
      <c r="C109" s="1101" t="s">
        <v>2406</v>
      </c>
      <c r="D109" s="475"/>
      <c r="E109" s="475"/>
      <c r="F109" s="475"/>
      <c r="G109" s="475"/>
      <c r="H109" s="475"/>
      <c r="I109" s="475"/>
      <c r="J109" s="476"/>
    </row>
    <row r="110" spans="2:10">
      <c r="B110" s="206" t="s">
        <v>45</v>
      </c>
      <c r="C110" s="464"/>
      <c r="D110" s="465"/>
      <c r="E110" s="465"/>
      <c r="F110" s="465"/>
      <c r="G110" s="465"/>
      <c r="H110" s="465"/>
      <c r="I110" s="465"/>
      <c r="J110" s="466"/>
    </row>
    <row r="111" spans="2:10">
      <c r="B111" s="206" t="s">
        <v>45</v>
      </c>
      <c r="C111" s="464"/>
      <c r="D111" s="465"/>
      <c r="E111" s="465"/>
      <c r="F111" s="465"/>
      <c r="G111" s="465"/>
      <c r="H111" s="465"/>
      <c r="I111" s="465"/>
      <c r="J111" s="466"/>
    </row>
    <row r="112" spans="2:10">
      <c r="B112" s="200" t="s">
        <v>45</v>
      </c>
      <c r="C112" s="464"/>
      <c r="D112" s="465"/>
      <c r="E112" s="465"/>
      <c r="F112" s="465"/>
      <c r="G112" s="465"/>
      <c r="H112" s="465"/>
      <c r="I112" s="465"/>
      <c r="J112" s="466"/>
    </row>
    <row r="113" spans="2:10">
      <c r="B113" s="200" t="s">
        <v>7</v>
      </c>
      <c r="C113" s="1059" t="s">
        <v>2303</v>
      </c>
      <c r="D113" s="473"/>
      <c r="E113" s="473"/>
      <c r="F113" s="473"/>
      <c r="G113" s="473"/>
      <c r="H113" s="473"/>
      <c r="I113" s="473"/>
      <c r="J113" s="473"/>
    </row>
    <row r="114" spans="2:10" ht="18">
      <c r="B114" s="205" t="s">
        <v>52</v>
      </c>
      <c r="C114" s="477" t="s">
        <v>53</v>
      </c>
      <c r="D114" s="477"/>
      <c r="E114" s="477"/>
      <c r="F114" s="477"/>
      <c r="G114" s="477"/>
      <c r="H114" s="205" t="s">
        <v>54</v>
      </c>
      <c r="I114" s="205" t="s">
        <v>55</v>
      </c>
      <c r="J114" s="205" t="s">
        <v>56</v>
      </c>
    </row>
    <row r="115" spans="2:10" ht="15" customHeight="1">
      <c r="B115" s="200">
        <v>1</v>
      </c>
      <c r="C115" s="1102" t="s">
        <v>2407</v>
      </c>
      <c r="D115" s="451"/>
      <c r="E115" s="451"/>
      <c r="F115" s="451"/>
      <c r="G115" s="451"/>
      <c r="H115" s="200"/>
      <c r="I115" s="207" t="s">
        <v>1692</v>
      </c>
      <c r="J115" s="200" t="s">
        <v>1973</v>
      </c>
    </row>
    <row r="116" spans="2:10" ht="15" customHeight="1">
      <c r="B116" s="200">
        <v>1</v>
      </c>
      <c r="C116" s="1102" t="s">
        <v>2408</v>
      </c>
      <c r="D116" s="451"/>
      <c r="E116" s="451"/>
      <c r="F116" s="451"/>
      <c r="G116" s="451"/>
      <c r="H116" s="200"/>
      <c r="I116" s="207" t="s">
        <v>1692</v>
      </c>
      <c r="J116" s="200" t="s">
        <v>1973</v>
      </c>
    </row>
    <row r="117" spans="2:10" ht="15" customHeight="1">
      <c r="B117" s="200">
        <v>2</v>
      </c>
      <c r="C117" s="1102" t="s">
        <v>2353</v>
      </c>
      <c r="D117" s="451"/>
      <c r="E117" s="451"/>
      <c r="F117" s="451"/>
      <c r="G117" s="451"/>
      <c r="H117" s="200"/>
      <c r="I117" s="207" t="s">
        <v>1692</v>
      </c>
      <c r="J117" s="200" t="s">
        <v>1973</v>
      </c>
    </row>
    <row r="118" spans="2:10" ht="15" customHeight="1">
      <c r="B118" s="200"/>
      <c r="C118" s="1102"/>
      <c r="D118" s="451"/>
      <c r="E118" s="451"/>
      <c r="F118" s="451"/>
      <c r="G118" s="451"/>
      <c r="H118" s="200"/>
      <c r="I118" s="207"/>
      <c r="J118" s="200"/>
    </row>
    <row r="119" spans="2:10">
      <c r="B119" s="450" t="s">
        <v>63</v>
      </c>
      <c r="C119" s="450"/>
      <c r="D119" s="199" t="s">
        <v>31</v>
      </c>
      <c r="E119" s="198" t="s">
        <v>64</v>
      </c>
      <c r="F119" s="467"/>
      <c r="G119" s="469"/>
      <c r="H119" s="199"/>
      <c r="I119" s="199"/>
      <c r="J119" s="199"/>
    </row>
    <row r="120" spans="2:10" ht="45">
      <c r="B120" s="201" t="s">
        <v>66</v>
      </c>
      <c r="C120" s="450"/>
      <c r="D120" s="450"/>
      <c r="E120" s="201" t="s">
        <v>67</v>
      </c>
      <c r="F120" s="450"/>
      <c r="G120" s="450"/>
      <c r="H120" s="201" t="s">
        <v>68</v>
      </c>
      <c r="I120" s="450"/>
      <c r="J120" s="450"/>
    </row>
    <row r="121" spans="2:10">
      <c r="B121" s="201"/>
      <c r="C121" s="200"/>
      <c r="D121" s="200"/>
      <c r="E121" s="201"/>
      <c r="F121" s="200"/>
      <c r="G121" s="200"/>
      <c r="H121" s="201"/>
      <c r="I121" s="200"/>
      <c r="J121" s="200"/>
    </row>
    <row r="122" spans="2:10">
      <c r="B122" s="247"/>
      <c r="C122" s="253"/>
      <c r="D122" s="253"/>
      <c r="E122" s="247"/>
      <c r="F122" s="253"/>
      <c r="G122" s="253"/>
      <c r="H122" s="247"/>
      <c r="I122" s="253"/>
      <c r="J122" s="253"/>
    </row>
    <row r="123" spans="2:10">
      <c r="B123" s="247"/>
      <c r="C123" s="253"/>
      <c r="D123" s="253"/>
      <c r="E123" s="247"/>
      <c r="F123" s="253"/>
      <c r="G123" s="253"/>
      <c r="H123" s="247"/>
      <c r="I123" s="253"/>
      <c r="J123" s="253"/>
    </row>
    <row r="124" spans="2:10">
      <c r="B124" s="247"/>
      <c r="C124" s="253"/>
      <c r="D124" s="253"/>
      <c r="E124" s="247"/>
      <c r="F124" s="253"/>
      <c r="G124" s="253"/>
      <c r="H124" s="247"/>
      <c r="I124" s="253"/>
      <c r="J124" s="253"/>
    </row>
    <row r="125" spans="2:10">
      <c r="B125" s="247"/>
      <c r="C125" s="253"/>
      <c r="D125" s="253"/>
      <c r="E125" s="247"/>
      <c r="F125" s="253"/>
      <c r="G125" s="253"/>
      <c r="H125" s="247"/>
      <c r="I125" s="253"/>
      <c r="J125" s="253"/>
    </row>
    <row r="128" spans="2:10" ht="26.25" customHeight="1">
      <c r="B128" s="446" t="s">
        <v>13</v>
      </c>
      <c r="C128" s="447"/>
      <c r="D128" s="446" t="s">
        <v>14</v>
      </c>
      <c r="E128" s="446"/>
      <c r="F128" s="446"/>
      <c r="G128" s="446"/>
      <c r="H128" s="446"/>
      <c r="I128" s="446"/>
      <c r="J128" s="197" t="s">
        <v>15</v>
      </c>
    </row>
    <row r="129" spans="2:10" ht="20.25" customHeight="1">
      <c r="B129" s="447"/>
      <c r="C129" s="447"/>
      <c r="D129" s="448" t="s">
        <v>16</v>
      </c>
      <c r="E129" s="448"/>
      <c r="F129" s="448"/>
      <c r="G129" s="448"/>
      <c r="H129" s="448"/>
      <c r="I129" s="448"/>
      <c r="J129" s="197" t="s">
        <v>17</v>
      </c>
    </row>
    <row r="130" spans="2:10">
      <c r="B130" s="449" t="s">
        <v>18</v>
      </c>
      <c r="C130" s="449"/>
      <c r="D130" s="275">
        <v>45915</v>
      </c>
      <c r="E130" s="199" t="s">
        <v>1460</v>
      </c>
      <c r="F130" s="450" t="s">
        <v>124</v>
      </c>
      <c r="G130" s="450"/>
      <c r="H130" s="201" t="s">
        <v>21</v>
      </c>
      <c r="I130" s="202" t="s">
        <v>917</v>
      </c>
      <c r="J130" s="199" t="s">
        <v>23</v>
      </c>
    </row>
    <row r="131" spans="2:10">
      <c r="B131" s="449" t="s">
        <v>24</v>
      </c>
      <c r="C131" s="449"/>
      <c r="D131" s="203"/>
      <c r="E131" s="204" t="s">
        <v>25</v>
      </c>
      <c r="F131" s="450" t="s">
        <v>26</v>
      </c>
      <c r="G131" s="450"/>
      <c r="H131" s="199" t="s">
        <v>27</v>
      </c>
      <c r="I131" s="202" t="s">
        <v>2409</v>
      </c>
      <c r="J131" s="202" t="s">
        <v>29</v>
      </c>
    </row>
    <row r="132" spans="2:10">
      <c r="B132" s="449" t="s">
        <v>30</v>
      </c>
      <c r="C132" s="449"/>
      <c r="D132" s="199" t="s">
        <v>31</v>
      </c>
      <c r="E132" s="199" t="s">
        <v>32</v>
      </c>
      <c r="F132" s="450">
        <v>128</v>
      </c>
      <c r="G132" s="450"/>
      <c r="H132" s="201" t="s">
        <v>33</v>
      </c>
      <c r="I132" s="247" t="s">
        <v>2410</v>
      </c>
      <c r="J132" s="202"/>
    </row>
    <row r="133" spans="2:10" ht="15" customHeight="1">
      <c r="B133" s="451" t="s">
        <v>35</v>
      </c>
      <c r="C133" s="451"/>
      <c r="D133" s="449" t="s">
        <v>2355</v>
      </c>
      <c r="E133" s="449"/>
      <c r="F133" s="449"/>
      <c r="G133" s="449"/>
      <c r="H133" s="449"/>
      <c r="I133" s="449"/>
      <c r="J133" s="449"/>
    </row>
    <row r="134" spans="2:10" ht="15" customHeight="1">
      <c r="B134" s="452" t="s">
        <v>2411</v>
      </c>
      <c r="C134" s="453"/>
      <c r="D134" s="453"/>
      <c r="E134" s="453"/>
      <c r="F134" s="453"/>
      <c r="G134" s="453"/>
      <c r="H134" s="453"/>
      <c r="I134" s="453"/>
      <c r="J134" s="454"/>
    </row>
    <row r="135" spans="2:10">
      <c r="B135" s="455"/>
      <c r="C135" s="456"/>
      <c r="D135" s="456"/>
      <c r="E135" s="456"/>
      <c r="F135" s="456"/>
      <c r="G135" s="456"/>
      <c r="H135" s="456"/>
      <c r="I135" s="456"/>
      <c r="J135" s="457"/>
    </row>
    <row r="136" spans="2:10">
      <c r="B136" s="455"/>
      <c r="C136" s="456"/>
      <c r="D136" s="456"/>
      <c r="E136" s="456"/>
      <c r="F136" s="456"/>
      <c r="G136" s="456"/>
      <c r="H136" s="456"/>
      <c r="I136" s="456"/>
      <c r="J136" s="457"/>
    </row>
    <row r="137" spans="2:10">
      <c r="B137" s="458"/>
      <c r="C137" s="459"/>
      <c r="D137" s="459"/>
      <c r="E137" s="459"/>
      <c r="F137" s="459"/>
      <c r="G137" s="459"/>
      <c r="H137" s="459"/>
      <c r="I137" s="459"/>
      <c r="J137" s="460"/>
    </row>
    <row r="138" spans="2:10" ht="18">
      <c r="B138" s="461" t="s">
        <v>38</v>
      </c>
      <c r="C138" s="462"/>
      <c r="D138" s="462"/>
      <c r="E138" s="462"/>
      <c r="F138" s="462"/>
      <c r="G138" s="462"/>
      <c r="H138" s="462"/>
      <c r="I138" s="463"/>
      <c r="J138" s="205" t="s">
        <v>39</v>
      </c>
    </row>
    <row r="139" spans="2:10">
      <c r="B139" s="200">
        <v>1</v>
      </c>
      <c r="C139" s="464" t="s">
        <v>2374</v>
      </c>
      <c r="D139" s="465"/>
      <c r="E139" s="465"/>
      <c r="F139" s="465"/>
      <c r="G139" s="465"/>
      <c r="H139" s="465"/>
      <c r="I139" s="466"/>
      <c r="J139" s="200" t="s">
        <v>26</v>
      </c>
    </row>
    <row r="140" spans="2:10">
      <c r="B140" s="200">
        <v>2</v>
      </c>
      <c r="C140" s="464" t="s">
        <v>2412</v>
      </c>
      <c r="D140" s="465"/>
      <c r="E140" s="465"/>
      <c r="F140" s="465"/>
      <c r="G140" s="465"/>
      <c r="H140" s="465"/>
      <c r="I140" s="466"/>
      <c r="J140" s="200"/>
    </row>
    <row r="141" spans="2:10">
      <c r="B141" s="200">
        <v>3</v>
      </c>
      <c r="C141" s="464"/>
      <c r="D141" s="465"/>
      <c r="E141" s="465"/>
      <c r="F141" s="465"/>
      <c r="G141" s="465"/>
      <c r="H141" s="465"/>
      <c r="I141" s="466"/>
      <c r="J141" s="200"/>
    </row>
    <row r="142" spans="2:10" ht="18">
      <c r="B142" s="461" t="s">
        <v>44</v>
      </c>
      <c r="C142" s="462"/>
      <c r="D142" s="462"/>
      <c r="E142" s="462"/>
      <c r="F142" s="462"/>
      <c r="G142" s="462"/>
      <c r="H142" s="462"/>
      <c r="I142" s="462"/>
      <c r="J142" s="463"/>
    </row>
    <row r="143" spans="2:10">
      <c r="B143" s="200" t="s">
        <v>45</v>
      </c>
      <c r="C143" s="1059" t="s">
        <v>2357</v>
      </c>
      <c r="D143" s="473"/>
      <c r="E143" s="473"/>
      <c r="F143" s="473"/>
      <c r="G143" s="473"/>
      <c r="H143" s="473"/>
      <c r="I143" s="473"/>
      <c r="J143" s="473"/>
    </row>
    <row r="144" spans="2:10">
      <c r="B144" s="206" t="s">
        <v>45</v>
      </c>
      <c r="C144" s="1059" t="s">
        <v>2413</v>
      </c>
      <c r="D144" s="473"/>
      <c r="E144" s="473"/>
      <c r="F144" s="473"/>
      <c r="G144" s="473"/>
      <c r="H144" s="473"/>
      <c r="I144" s="473"/>
      <c r="J144" s="473"/>
    </row>
    <row r="145" spans="2:10">
      <c r="B145" s="206" t="s">
        <v>45</v>
      </c>
      <c r="C145" s="1059" t="s">
        <v>2414</v>
      </c>
      <c r="D145" s="473"/>
      <c r="E145" s="473"/>
      <c r="F145" s="473"/>
      <c r="G145" s="473"/>
      <c r="H145" s="473"/>
      <c r="I145" s="473"/>
      <c r="J145" s="473"/>
    </row>
    <row r="146" spans="2:10">
      <c r="B146" s="206" t="s">
        <v>45</v>
      </c>
      <c r="C146" s="1101" t="s">
        <v>2415</v>
      </c>
      <c r="D146" s="475"/>
      <c r="E146" s="475"/>
      <c r="F146" s="475"/>
      <c r="G146" s="475"/>
      <c r="H146" s="475"/>
      <c r="I146" s="475"/>
      <c r="J146" s="476"/>
    </row>
    <row r="147" spans="2:10">
      <c r="B147" s="206" t="s">
        <v>45</v>
      </c>
      <c r="C147" s="464" t="s">
        <v>2416</v>
      </c>
      <c r="D147" s="465"/>
      <c r="E147" s="465"/>
      <c r="F147" s="465"/>
      <c r="G147" s="465"/>
      <c r="H147" s="465"/>
      <c r="I147" s="465"/>
      <c r="J147" s="466"/>
    </row>
    <row r="148" spans="2:10">
      <c r="B148" s="206" t="s">
        <v>45</v>
      </c>
      <c r="C148" s="464"/>
      <c r="D148" s="465"/>
      <c r="E148" s="465"/>
      <c r="F148" s="465"/>
      <c r="G148" s="465"/>
      <c r="H148" s="465"/>
      <c r="I148" s="465"/>
      <c r="J148" s="466"/>
    </row>
    <row r="149" spans="2:10">
      <c r="B149" s="200" t="s">
        <v>45</v>
      </c>
      <c r="C149" s="464"/>
      <c r="D149" s="465"/>
      <c r="E149" s="465"/>
      <c r="F149" s="465"/>
      <c r="G149" s="465"/>
      <c r="H149" s="465"/>
      <c r="I149" s="465"/>
      <c r="J149" s="466"/>
    </row>
    <row r="150" spans="2:10">
      <c r="B150" s="200" t="s">
        <v>7</v>
      </c>
      <c r="C150" s="1059" t="s">
        <v>2417</v>
      </c>
      <c r="D150" s="473"/>
      <c r="E150" s="473"/>
      <c r="F150" s="473"/>
      <c r="G150" s="473"/>
      <c r="H150" s="473"/>
      <c r="I150" s="473"/>
      <c r="J150" s="473"/>
    </row>
    <row r="151" spans="2:10" ht="18">
      <c r="B151" s="205" t="s">
        <v>52</v>
      </c>
      <c r="C151" s="477" t="s">
        <v>53</v>
      </c>
      <c r="D151" s="477"/>
      <c r="E151" s="477"/>
      <c r="F151" s="477"/>
      <c r="G151" s="477"/>
      <c r="H151" s="205" t="s">
        <v>54</v>
      </c>
      <c r="I151" s="205" t="s">
        <v>55</v>
      </c>
      <c r="J151" s="205" t="s">
        <v>56</v>
      </c>
    </row>
    <row r="152" spans="2:10" ht="15" customHeight="1">
      <c r="B152" s="200">
        <v>1</v>
      </c>
      <c r="C152" s="1102" t="s">
        <v>2418</v>
      </c>
      <c r="D152" s="451"/>
      <c r="E152" s="451"/>
      <c r="F152" s="451"/>
      <c r="G152" s="451"/>
      <c r="H152" s="200"/>
      <c r="I152" s="207" t="s">
        <v>1692</v>
      </c>
      <c r="J152" s="200"/>
    </row>
    <row r="153" spans="2:10" ht="15" customHeight="1">
      <c r="B153" s="200">
        <v>2</v>
      </c>
      <c r="C153" s="1102" t="s">
        <v>2419</v>
      </c>
      <c r="D153" s="451"/>
      <c r="E153" s="451"/>
      <c r="F153" s="451"/>
      <c r="G153" s="451"/>
      <c r="H153" s="200"/>
      <c r="I153" s="207" t="s">
        <v>1692</v>
      </c>
      <c r="J153" s="200" t="s">
        <v>1973</v>
      </c>
    </row>
    <row r="154" spans="2:10" ht="15" customHeight="1">
      <c r="B154" s="200">
        <v>3</v>
      </c>
      <c r="C154" s="1102"/>
      <c r="D154" s="451"/>
      <c r="E154" s="451"/>
      <c r="F154" s="451"/>
      <c r="G154" s="451"/>
      <c r="H154" s="200"/>
      <c r="I154" s="207"/>
      <c r="J154" s="200"/>
    </row>
    <row r="155" spans="2:10">
      <c r="B155" s="450" t="s">
        <v>63</v>
      </c>
      <c r="C155" s="450"/>
      <c r="D155" s="199" t="s">
        <v>31</v>
      </c>
      <c r="E155" s="198" t="s">
        <v>64</v>
      </c>
      <c r="F155" s="467"/>
      <c r="G155" s="469"/>
      <c r="H155" s="199"/>
      <c r="I155" s="199"/>
      <c r="J155" s="199"/>
    </row>
    <row r="156" spans="2:10" ht="45">
      <c r="B156" s="201" t="s">
        <v>66</v>
      </c>
      <c r="C156" s="450"/>
      <c r="D156" s="450"/>
      <c r="E156" s="201" t="s">
        <v>67</v>
      </c>
      <c r="F156" s="450"/>
      <c r="G156" s="450"/>
      <c r="H156" s="201" t="s">
        <v>68</v>
      </c>
      <c r="I156" s="450"/>
      <c r="J156" s="450"/>
    </row>
    <row r="162" spans="2:10" ht="26.25">
      <c r="B162" s="446" t="s">
        <v>13</v>
      </c>
      <c r="C162" s="447"/>
      <c r="D162" s="446" t="s">
        <v>14</v>
      </c>
      <c r="E162" s="446"/>
      <c r="F162" s="446"/>
      <c r="G162" s="446"/>
      <c r="H162" s="446"/>
      <c r="I162" s="446"/>
      <c r="J162" s="197" t="s">
        <v>15</v>
      </c>
    </row>
    <row r="163" spans="2:10" ht="20.25">
      <c r="B163" s="447"/>
      <c r="C163" s="447"/>
      <c r="D163" s="448" t="s">
        <v>16</v>
      </c>
      <c r="E163" s="448"/>
      <c r="F163" s="448"/>
      <c r="G163" s="448"/>
      <c r="H163" s="448"/>
      <c r="I163" s="448"/>
      <c r="J163" s="197" t="s">
        <v>17</v>
      </c>
    </row>
    <row r="164" spans="2:10">
      <c r="B164" s="449" t="s">
        <v>18</v>
      </c>
      <c r="C164" s="449"/>
      <c r="D164" s="275">
        <v>45916</v>
      </c>
      <c r="E164" s="199" t="s">
        <v>1460</v>
      </c>
      <c r="F164" s="450" t="s">
        <v>159</v>
      </c>
      <c r="G164" s="450"/>
      <c r="H164" s="201" t="s">
        <v>21</v>
      </c>
      <c r="I164" s="202" t="s">
        <v>867</v>
      </c>
      <c r="J164" s="199" t="s">
        <v>23</v>
      </c>
    </row>
    <row r="165" spans="2:10">
      <c r="B165" s="449" t="s">
        <v>24</v>
      </c>
      <c r="C165" s="449"/>
      <c r="D165" s="203"/>
      <c r="E165" s="204" t="s">
        <v>25</v>
      </c>
      <c r="F165" s="450" t="s">
        <v>26</v>
      </c>
      <c r="G165" s="450"/>
      <c r="H165" s="199" t="s">
        <v>27</v>
      </c>
      <c r="I165" s="202" t="s">
        <v>2420</v>
      </c>
      <c r="J165" s="202" t="s">
        <v>29</v>
      </c>
    </row>
    <row r="166" spans="2:10">
      <c r="B166" s="449" t="s">
        <v>30</v>
      </c>
      <c r="C166" s="449"/>
      <c r="D166" s="199" t="s">
        <v>31</v>
      </c>
      <c r="E166" s="199" t="s">
        <v>32</v>
      </c>
      <c r="F166" s="450">
        <v>100</v>
      </c>
      <c r="G166" s="450"/>
      <c r="H166" s="201" t="s">
        <v>33</v>
      </c>
      <c r="I166" s="247" t="s">
        <v>2421</v>
      </c>
      <c r="J166" s="202"/>
    </row>
    <row r="167" spans="2:10">
      <c r="B167" s="451" t="s">
        <v>35</v>
      </c>
      <c r="C167" s="451"/>
      <c r="D167" s="449" t="s">
        <v>2268</v>
      </c>
      <c r="E167" s="449"/>
      <c r="F167" s="449"/>
      <c r="G167" s="449"/>
      <c r="H167" s="449"/>
      <c r="I167" s="449"/>
      <c r="J167" s="449"/>
    </row>
    <row r="168" spans="2:10">
      <c r="B168" s="452" t="s">
        <v>2422</v>
      </c>
      <c r="C168" s="453"/>
      <c r="D168" s="453"/>
      <c r="E168" s="453"/>
      <c r="F168" s="453"/>
      <c r="G168" s="453"/>
      <c r="H168" s="453"/>
      <c r="I168" s="453"/>
      <c r="J168" s="454"/>
    </row>
    <row r="169" spans="2:10">
      <c r="B169" s="455"/>
      <c r="C169" s="456"/>
      <c r="D169" s="456"/>
      <c r="E169" s="456"/>
      <c r="F169" s="456"/>
      <c r="G169" s="456"/>
      <c r="H169" s="456"/>
      <c r="I169" s="456"/>
      <c r="J169" s="457"/>
    </row>
    <row r="170" spans="2:10">
      <c r="B170" s="455"/>
      <c r="C170" s="456"/>
      <c r="D170" s="456"/>
      <c r="E170" s="456"/>
      <c r="F170" s="456"/>
      <c r="G170" s="456"/>
      <c r="H170" s="456"/>
      <c r="I170" s="456"/>
      <c r="J170" s="457"/>
    </row>
    <row r="171" spans="2:10">
      <c r="B171" s="458"/>
      <c r="C171" s="459"/>
      <c r="D171" s="459"/>
      <c r="E171" s="459"/>
      <c r="F171" s="459"/>
      <c r="G171" s="459"/>
      <c r="H171" s="459"/>
      <c r="I171" s="459"/>
      <c r="J171" s="460"/>
    </row>
    <row r="172" spans="2:10" ht="18">
      <c r="B172" s="461" t="s">
        <v>38</v>
      </c>
      <c r="C172" s="462"/>
      <c r="D172" s="462"/>
      <c r="E172" s="462"/>
      <c r="F172" s="462"/>
      <c r="G172" s="462"/>
      <c r="H172" s="462"/>
      <c r="I172" s="463"/>
      <c r="J172" s="205" t="s">
        <v>39</v>
      </c>
    </row>
    <row r="173" spans="2:10">
      <c r="B173" s="200">
        <v>1</v>
      </c>
      <c r="C173" s="464" t="s">
        <v>2423</v>
      </c>
      <c r="D173" s="465"/>
      <c r="E173" s="465"/>
      <c r="F173" s="465"/>
      <c r="G173" s="465"/>
      <c r="H173" s="465"/>
      <c r="I173" s="466"/>
      <c r="J173" s="200" t="s">
        <v>26</v>
      </c>
    </row>
    <row r="174" spans="2:10">
      <c r="B174" s="200">
        <v>2</v>
      </c>
      <c r="C174" s="464" t="s">
        <v>2424</v>
      </c>
      <c r="D174" s="465"/>
      <c r="E174" s="465"/>
      <c r="F174" s="465"/>
      <c r="G174" s="465"/>
      <c r="H174" s="465"/>
      <c r="I174" s="466"/>
      <c r="J174" s="200"/>
    </row>
    <row r="175" spans="2:10">
      <c r="B175" s="200">
        <v>3</v>
      </c>
      <c r="C175" s="464"/>
      <c r="D175" s="465"/>
      <c r="E175" s="465"/>
      <c r="F175" s="465"/>
      <c r="G175" s="465"/>
      <c r="H175" s="465"/>
      <c r="I175" s="466"/>
      <c r="J175" s="200"/>
    </row>
    <row r="176" spans="2:10" ht="18">
      <c r="B176" s="461" t="s">
        <v>44</v>
      </c>
      <c r="C176" s="462"/>
      <c r="D176" s="462"/>
      <c r="E176" s="462"/>
      <c r="F176" s="462"/>
      <c r="G176" s="462"/>
      <c r="H176" s="462"/>
      <c r="I176" s="462"/>
      <c r="J176" s="463"/>
    </row>
    <row r="177" spans="2:10">
      <c r="B177" s="200" t="s">
        <v>45</v>
      </c>
      <c r="C177" s="1059" t="s">
        <v>2425</v>
      </c>
      <c r="D177" s="473"/>
      <c r="E177" s="473"/>
      <c r="F177" s="473"/>
      <c r="G177" s="473"/>
      <c r="H177" s="473"/>
      <c r="I177" s="473"/>
      <c r="J177" s="473"/>
    </row>
    <row r="178" spans="2:10">
      <c r="B178" s="206" t="s">
        <v>45</v>
      </c>
      <c r="C178" s="1059" t="s">
        <v>2426</v>
      </c>
      <c r="D178" s="473"/>
      <c r="E178" s="473"/>
      <c r="F178" s="473"/>
      <c r="G178" s="473"/>
      <c r="H178" s="473"/>
      <c r="I178" s="473"/>
      <c r="J178" s="473"/>
    </row>
    <row r="179" spans="2:10">
      <c r="B179" s="206" t="s">
        <v>45</v>
      </c>
      <c r="C179" s="1059" t="s">
        <v>2427</v>
      </c>
      <c r="D179" s="473"/>
      <c r="E179" s="473"/>
      <c r="F179" s="473"/>
      <c r="G179" s="473"/>
      <c r="H179" s="473"/>
      <c r="I179" s="473"/>
      <c r="J179" s="473"/>
    </row>
    <row r="180" spans="2:10">
      <c r="B180" s="206" t="s">
        <v>45</v>
      </c>
      <c r="C180" s="1101" t="s">
        <v>2428</v>
      </c>
      <c r="D180" s="475"/>
      <c r="E180" s="475"/>
      <c r="F180" s="475"/>
      <c r="G180" s="475"/>
      <c r="H180" s="475"/>
      <c r="I180" s="475"/>
      <c r="J180" s="476"/>
    </row>
    <row r="181" spans="2:10">
      <c r="B181" s="206" t="s">
        <v>45</v>
      </c>
      <c r="C181" s="464" t="s">
        <v>2429</v>
      </c>
      <c r="D181" s="465"/>
      <c r="E181" s="465"/>
      <c r="F181" s="465"/>
      <c r="G181" s="465"/>
      <c r="H181" s="465"/>
      <c r="I181" s="465"/>
      <c r="J181" s="466"/>
    </row>
    <row r="182" spans="2:10">
      <c r="B182" s="206" t="s">
        <v>45</v>
      </c>
      <c r="C182" s="464"/>
      <c r="D182" s="465"/>
      <c r="E182" s="465"/>
      <c r="F182" s="465"/>
      <c r="G182" s="465"/>
      <c r="H182" s="465"/>
      <c r="I182" s="465"/>
      <c r="J182" s="466"/>
    </row>
    <row r="183" spans="2:10">
      <c r="B183" s="200" t="s">
        <v>45</v>
      </c>
      <c r="C183" s="464"/>
      <c r="D183" s="465"/>
      <c r="E183" s="465"/>
      <c r="F183" s="465"/>
      <c r="G183" s="465"/>
      <c r="H183" s="465"/>
      <c r="I183" s="465"/>
      <c r="J183" s="466"/>
    </row>
    <row r="184" spans="2:10">
      <c r="B184" s="200" t="s">
        <v>7</v>
      </c>
      <c r="C184" s="1059" t="s">
        <v>2430</v>
      </c>
      <c r="D184" s="473"/>
      <c r="E184" s="473"/>
      <c r="F184" s="473"/>
      <c r="G184" s="473"/>
      <c r="H184" s="473"/>
      <c r="I184" s="473"/>
      <c r="J184" s="473"/>
    </row>
    <row r="185" spans="2:10" ht="18">
      <c r="B185" s="205" t="s">
        <v>52</v>
      </c>
      <c r="C185" s="477" t="s">
        <v>53</v>
      </c>
      <c r="D185" s="477"/>
      <c r="E185" s="477"/>
      <c r="F185" s="477"/>
      <c r="G185" s="477"/>
      <c r="H185" s="205" t="s">
        <v>54</v>
      </c>
      <c r="I185" s="205" t="s">
        <v>55</v>
      </c>
      <c r="J185" s="205" t="s">
        <v>56</v>
      </c>
    </row>
    <row r="186" spans="2:10">
      <c r="B186" s="200">
        <v>1</v>
      </c>
      <c r="C186" s="1102" t="s">
        <v>2431</v>
      </c>
      <c r="D186" s="451"/>
      <c r="E186" s="451"/>
      <c r="F186" s="451"/>
      <c r="G186" s="451"/>
      <c r="H186" s="200"/>
      <c r="I186" s="207" t="s">
        <v>1692</v>
      </c>
      <c r="J186" s="200"/>
    </row>
    <row r="187" spans="2:10">
      <c r="B187" s="200">
        <v>2</v>
      </c>
      <c r="C187" s="1102"/>
      <c r="D187" s="451"/>
      <c r="E187" s="451"/>
      <c r="F187" s="451"/>
      <c r="G187" s="451"/>
      <c r="H187" s="200"/>
      <c r="I187" s="207"/>
      <c r="J187" s="200"/>
    </row>
    <row r="188" spans="2:10">
      <c r="B188" s="200"/>
      <c r="C188" s="1102"/>
      <c r="D188" s="451"/>
      <c r="E188" s="451"/>
      <c r="F188" s="451"/>
      <c r="G188" s="451"/>
      <c r="H188" s="200"/>
      <c r="I188" s="207"/>
      <c r="J188" s="200"/>
    </row>
    <row r="189" spans="2:10">
      <c r="B189" s="450" t="s">
        <v>63</v>
      </c>
      <c r="C189" s="450"/>
      <c r="D189" s="199" t="s">
        <v>31</v>
      </c>
      <c r="E189" s="198" t="s">
        <v>64</v>
      </c>
      <c r="F189" s="467"/>
      <c r="G189" s="469"/>
      <c r="H189" s="199"/>
      <c r="I189" s="199"/>
      <c r="J189" s="199"/>
    </row>
    <row r="190" spans="2:10" ht="45">
      <c r="B190" s="201" t="s">
        <v>66</v>
      </c>
      <c r="C190" s="450"/>
      <c r="D190" s="450"/>
      <c r="E190" s="201" t="s">
        <v>67</v>
      </c>
      <c r="F190" s="450"/>
      <c r="G190" s="450"/>
      <c r="H190" s="201" t="s">
        <v>68</v>
      </c>
      <c r="I190" s="450"/>
      <c r="J190" s="450"/>
    </row>
    <row r="200" spans="2:10" ht="26.25">
      <c r="B200" s="446" t="s">
        <v>13</v>
      </c>
      <c r="C200" s="447"/>
      <c r="D200" s="446" t="s">
        <v>14</v>
      </c>
      <c r="E200" s="446"/>
      <c r="F200" s="446"/>
      <c r="G200" s="446"/>
      <c r="H200" s="446"/>
      <c r="I200" s="446"/>
      <c r="J200" s="197" t="s">
        <v>15</v>
      </c>
    </row>
    <row r="201" spans="2:10" ht="20.25">
      <c r="B201" s="447"/>
      <c r="C201" s="447"/>
      <c r="D201" s="448" t="s">
        <v>16</v>
      </c>
      <c r="E201" s="448"/>
      <c r="F201" s="448"/>
      <c r="G201" s="448"/>
      <c r="H201" s="448"/>
      <c r="I201" s="448"/>
      <c r="J201" s="197" t="s">
        <v>17</v>
      </c>
    </row>
    <row r="202" spans="2:10">
      <c r="B202" s="449" t="s">
        <v>18</v>
      </c>
      <c r="C202" s="449"/>
      <c r="D202" s="275">
        <v>45917</v>
      </c>
      <c r="E202" s="199" t="s">
        <v>1460</v>
      </c>
      <c r="F202" s="450" t="s">
        <v>159</v>
      </c>
      <c r="G202" s="450"/>
      <c r="H202" s="201" t="s">
        <v>21</v>
      </c>
      <c r="I202" s="202" t="s">
        <v>867</v>
      </c>
      <c r="J202" s="199" t="s">
        <v>23</v>
      </c>
    </row>
    <row r="203" spans="2:10">
      <c r="B203" s="449" t="s">
        <v>24</v>
      </c>
      <c r="C203" s="449"/>
      <c r="D203" s="203"/>
      <c r="E203" s="204" t="s">
        <v>25</v>
      </c>
      <c r="F203" s="450" t="s">
        <v>26</v>
      </c>
      <c r="G203" s="450"/>
      <c r="H203" s="199" t="s">
        <v>27</v>
      </c>
      <c r="I203" s="202" t="s">
        <v>2432</v>
      </c>
      <c r="J203" s="202" t="s">
        <v>29</v>
      </c>
    </row>
    <row r="204" spans="2:10">
      <c r="B204" s="449" t="s">
        <v>30</v>
      </c>
      <c r="C204" s="449"/>
      <c r="D204" s="199" t="s">
        <v>31</v>
      </c>
      <c r="E204" s="199" t="s">
        <v>32</v>
      </c>
      <c r="F204" s="450">
        <v>100</v>
      </c>
      <c r="G204" s="450"/>
      <c r="H204" s="201" t="s">
        <v>33</v>
      </c>
      <c r="I204" s="247" t="s">
        <v>2433</v>
      </c>
      <c r="J204" s="202"/>
    </row>
    <row r="205" spans="2:10">
      <c r="B205" s="451" t="s">
        <v>35</v>
      </c>
      <c r="C205" s="451"/>
      <c r="D205" s="449" t="s">
        <v>2268</v>
      </c>
      <c r="E205" s="449"/>
      <c r="F205" s="449"/>
      <c r="G205" s="449"/>
      <c r="H205" s="449"/>
      <c r="I205" s="449"/>
      <c r="J205" s="449"/>
    </row>
    <row r="206" spans="2:10">
      <c r="B206" s="452" t="s">
        <v>2434</v>
      </c>
      <c r="C206" s="453"/>
      <c r="D206" s="453"/>
      <c r="E206" s="453"/>
      <c r="F206" s="453"/>
      <c r="G206" s="453"/>
      <c r="H206" s="453"/>
      <c r="I206" s="453"/>
      <c r="J206" s="454"/>
    </row>
    <row r="207" spans="2:10">
      <c r="B207" s="455"/>
      <c r="C207" s="456"/>
      <c r="D207" s="456"/>
      <c r="E207" s="456"/>
      <c r="F207" s="456"/>
      <c r="G207" s="456"/>
      <c r="H207" s="456"/>
      <c r="I207" s="456"/>
      <c r="J207" s="457"/>
    </row>
    <row r="208" spans="2:10">
      <c r="B208" s="455"/>
      <c r="C208" s="456"/>
      <c r="D208" s="456"/>
      <c r="E208" s="456"/>
      <c r="F208" s="456"/>
      <c r="G208" s="456"/>
      <c r="H208" s="456"/>
      <c r="I208" s="456"/>
      <c r="J208" s="457"/>
    </row>
    <row r="209" spans="2:10">
      <c r="B209" s="458"/>
      <c r="C209" s="459"/>
      <c r="D209" s="459"/>
      <c r="E209" s="459"/>
      <c r="F209" s="459"/>
      <c r="G209" s="459"/>
      <c r="H209" s="459"/>
      <c r="I209" s="459"/>
      <c r="J209" s="460"/>
    </row>
    <row r="210" spans="2:10" ht="18">
      <c r="B210" s="461" t="s">
        <v>38</v>
      </c>
      <c r="C210" s="462"/>
      <c r="D210" s="462"/>
      <c r="E210" s="462"/>
      <c r="F210" s="462"/>
      <c r="G210" s="462"/>
      <c r="H210" s="462"/>
      <c r="I210" s="463"/>
      <c r="J210" s="205" t="s">
        <v>39</v>
      </c>
    </row>
    <row r="211" spans="2:10">
      <c r="B211" s="200">
        <v>1</v>
      </c>
      <c r="C211" s="464" t="s">
        <v>2435</v>
      </c>
      <c r="D211" s="465"/>
      <c r="E211" s="465"/>
      <c r="F211" s="465"/>
      <c r="G211" s="465"/>
      <c r="H211" s="465"/>
      <c r="I211" s="466"/>
      <c r="J211" s="200" t="s">
        <v>26</v>
      </c>
    </row>
    <row r="212" spans="2:10">
      <c r="B212" s="200">
        <v>2</v>
      </c>
      <c r="C212" s="464" t="s">
        <v>2436</v>
      </c>
      <c r="D212" s="465"/>
      <c r="E212" s="465"/>
      <c r="F212" s="465"/>
      <c r="G212" s="465"/>
      <c r="H212" s="465"/>
      <c r="I212" s="466"/>
      <c r="J212" s="200"/>
    </row>
    <row r="213" spans="2:10">
      <c r="B213" s="200">
        <v>3</v>
      </c>
      <c r="C213" s="464"/>
      <c r="D213" s="465"/>
      <c r="E213" s="465"/>
      <c r="F213" s="465"/>
      <c r="G213" s="465"/>
      <c r="H213" s="465"/>
      <c r="I213" s="466"/>
      <c r="J213" s="200"/>
    </row>
    <row r="214" spans="2:10" ht="18">
      <c r="B214" s="461" t="s">
        <v>44</v>
      </c>
      <c r="C214" s="462"/>
      <c r="D214" s="462"/>
      <c r="E214" s="462"/>
      <c r="F214" s="462"/>
      <c r="G214" s="462"/>
      <c r="H214" s="462"/>
      <c r="I214" s="462"/>
      <c r="J214" s="463"/>
    </row>
    <row r="215" spans="2:10">
      <c r="B215" s="200" t="s">
        <v>45</v>
      </c>
      <c r="C215" s="1059" t="s">
        <v>2437</v>
      </c>
      <c r="D215" s="473"/>
      <c r="E215" s="473"/>
      <c r="F215" s="473"/>
      <c r="G215" s="473"/>
      <c r="H215" s="473"/>
      <c r="I215" s="473"/>
      <c r="J215" s="473"/>
    </row>
    <row r="216" spans="2:10">
      <c r="B216" s="206" t="s">
        <v>45</v>
      </c>
      <c r="C216" s="1059" t="s">
        <v>2438</v>
      </c>
      <c r="D216" s="473"/>
      <c r="E216" s="473"/>
      <c r="F216" s="473"/>
      <c r="G216" s="473"/>
      <c r="H216" s="473"/>
      <c r="I216" s="473"/>
      <c r="J216" s="473"/>
    </row>
    <row r="217" spans="2:10">
      <c r="B217" s="206" t="s">
        <v>45</v>
      </c>
      <c r="C217" s="1059"/>
      <c r="D217" s="473"/>
      <c r="E217" s="473"/>
      <c r="F217" s="473"/>
      <c r="G217" s="473"/>
      <c r="H217" s="473"/>
      <c r="I217" s="473"/>
      <c r="J217" s="473"/>
    </row>
    <row r="218" spans="2:10">
      <c r="B218" s="206" t="s">
        <v>45</v>
      </c>
      <c r="C218" s="1101"/>
      <c r="D218" s="475"/>
      <c r="E218" s="475"/>
      <c r="F218" s="475"/>
      <c r="G218" s="475"/>
      <c r="H218" s="475"/>
      <c r="I218" s="475"/>
      <c r="J218" s="476"/>
    </row>
    <row r="219" spans="2:10">
      <c r="B219" s="206" t="s">
        <v>45</v>
      </c>
      <c r="C219" s="464"/>
      <c r="D219" s="465"/>
      <c r="E219" s="465"/>
      <c r="F219" s="465"/>
      <c r="G219" s="465"/>
      <c r="H219" s="465"/>
      <c r="I219" s="465"/>
      <c r="J219" s="466"/>
    </row>
    <row r="220" spans="2:10">
      <c r="B220" s="206" t="s">
        <v>45</v>
      </c>
      <c r="C220" s="464"/>
      <c r="D220" s="465"/>
      <c r="E220" s="465"/>
      <c r="F220" s="465"/>
      <c r="G220" s="465"/>
      <c r="H220" s="465"/>
      <c r="I220" s="465"/>
      <c r="J220" s="466"/>
    </row>
    <row r="221" spans="2:10">
      <c r="B221" s="200" t="s">
        <v>45</v>
      </c>
      <c r="C221" s="464"/>
      <c r="D221" s="465"/>
      <c r="E221" s="465"/>
      <c r="F221" s="465"/>
      <c r="G221" s="465"/>
      <c r="H221" s="465"/>
      <c r="I221" s="465"/>
      <c r="J221" s="466"/>
    </row>
    <row r="222" spans="2:10">
      <c r="B222" s="200" t="s">
        <v>7</v>
      </c>
      <c r="C222" s="1059" t="s">
        <v>2439</v>
      </c>
      <c r="D222" s="473"/>
      <c r="E222" s="473"/>
      <c r="F222" s="473"/>
      <c r="G222" s="473"/>
      <c r="H222" s="473"/>
      <c r="I222" s="473"/>
      <c r="J222" s="473"/>
    </row>
    <row r="223" spans="2:10" ht="18">
      <c r="B223" s="205" t="s">
        <v>52</v>
      </c>
      <c r="C223" s="477" t="s">
        <v>53</v>
      </c>
      <c r="D223" s="477"/>
      <c r="E223" s="477"/>
      <c r="F223" s="477"/>
      <c r="G223" s="477"/>
      <c r="H223" s="205" t="s">
        <v>54</v>
      </c>
      <c r="I223" s="205" t="s">
        <v>55</v>
      </c>
      <c r="J223" s="205" t="s">
        <v>56</v>
      </c>
    </row>
    <row r="224" spans="2:10">
      <c r="B224" s="200">
        <v>1</v>
      </c>
      <c r="C224" s="1102"/>
      <c r="D224" s="451"/>
      <c r="E224" s="451"/>
      <c r="F224" s="451"/>
      <c r="G224" s="451"/>
      <c r="H224" s="200"/>
      <c r="I224" s="207" t="s">
        <v>1692</v>
      </c>
      <c r="J224" s="200"/>
    </row>
    <row r="225" spans="2:10">
      <c r="B225" s="200">
        <v>2</v>
      </c>
      <c r="C225" s="1102"/>
      <c r="D225" s="451"/>
      <c r="E225" s="451"/>
      <c r="F225" s="451"/>
      <c r="G225" s="451"/>
      <c r="H225" s="200"/>
      <c r="I225" s="207"/>
      <c r="J225" s="200"/>
    </row>
    <row r="226" spans="2:10">
      <c r="B226" s="200"/>
      <c r="C226" s="1102"/>
      <c r="D226" s="451"/>
      <c r="E226" s="451"/>
      <c r="F226" s="451"/>
      <c r="G226" s="451"/>
      <c r="H226" s="200"/>
      <c r="I226" s="207"/>
      <c r="J226" s="200"/>
    </row>
    <row r="227" spans="2:10">
      <c r="B227" s="450" t="s">
        <v>63</v>
      </c>
      <c r="C227" s="450"/>
      <c r="D227" s="199" t="s">
        <v>31</v>
      </c>
      <c r="E227" s="198" t="s">
        <v>64</v>
      </c>
      <c r="F227" s="467"/>
      <c r="G227" s="469"/>
      <c r="H227" s="199"/>
      <c r="I227" s="199"/>
      <c r="J227" s="199"/>
    </row>
    <row r="228" spans="2:10" ht="45">
      <c r="B228" s="201" t="s">
        <v>66</v>
      </c>
      <c r="C228" s="450"/>
      <c r="D228" s="450"/>
      <c r="E228" s="201" t="s">
        <v>67</v>
      </c>
      <c r="F228" s="450"/>
      <c r="G228" s="450"/>
      <c r="H228" s="201" t="s">
        <v>68</v>
      </c>
      <c r="I228" s="450"/>
      <c r="J228" s="450"/>
    </row>
    <row r="237" spans="2:10" ht="26.25">
      <c r="B237" s="446" t="s">
        <v>13</v>
      </c>
      <c r="C237" s="447"/>
      <c r="D237" s="446" t="s">
        <v>14</v>
      </c>
      <c r="E237" s="446"/>
      <c r="F237" s="446"/>
      <c r="G237" s="446"/>
      <c r="H237" s="446"/>
      <c r="I237" s="446"/>
      <c r="J237" s="197" t="s">
        <v>15</v>
      </c>
    </row>
    <row r="238" spans="2:10" ht="20.25">
      <c r="B238" s="447"/>
      <c r="C238" s="447"/>
      <c r="D238" s="448" t="s">
        <v>16</v>
      </c>
      <c r="E238" s="448"/>
      <c r="F238" s="448"/>
      <c r="G238" s="448"/>
      <c r="H238" s="448"/>
      <c r="I238" s="448"/>
      <c r="J238" s="197" t="s">
        <v>17</v>
      </c>
    </row>
    <row r="239" spans="2:10">
      <c r="B239" s="449" t="s">
        <v>18</v>
      </c>
      <c r="C239" s="449"/>
      <c r="D239" s="275">
        <v>45919</v>
      </c>
      <c r="E239" s="199" t="s">
        <v>1460</v>
      </c>
      <c r="F239" s="450" t="s">
        <v>159</v>
      </c>
      <c r="G239" s="450"/>
      <c r="H239" s="201" t="s">
        <v>21</v>
      </c>
      <c r="I239" s="202" t="s">
        <v>867</v>
      </c>
      <c r="J239" s="199" t="s">
        <v>23</v>
      </c>
    </row>
    <row r="240" spans="2:10">
      <c r="B240" s="449" t="s">
        <v>24</v>
      </c>
      <c r="C240" s="449"/>
      <c r="D240" s="203"/>
      <c r="E240" s="204" t="s">
        <v>25</v>
      </c>
      <c r="F240" s="450" t="s">
        <v>26</v>
      </c>
      <c r="G240" s="450"/>
      <c r="H240" s="199" t="s">
        <v>27</v>
      </c>
      <c r="I240" s="202" t="s">
        <v>2432</v>
      </c>
      <c r="J240" s="202" t="s">
        <v>29</v>
      </c>
    </row>
    <row r="241" spans="2:10">
      <c r="B241" s="449" t="s">
        <v>30</v>
      </c>
      <c r="C241" s="449"/>
      <c r="D241" s="199" t="s">
        <v>31</v>
      </c>
      <c r="E241" s="199" t="s">
        <v>32</v>
      </c>
      <c r="F241" s="450">
        <v>100</v>
      </c>
      <c r="G241" s="450"/>
      <c r="H241" s="201" t="s">
        <v>33</v>
      </c>
      <c r="I241" s="247" t="s">
        <v>2433</v>
      </c>
      <c r="J241" s="202"/>
    </row>
    <row r="242" spans="2:10">
      <c r="B242" s="451" t="s">
        <v>35</v>
      </c>
      <c r="C242" s="451"/>
      <c r="D242" s="449" t="s">
        <v>2268</v>
      </c>
      <c r="E242" s="449"/>
      <c r="F242" s="449"/>
      <c r="G242" s="449"/>
      <c r="H242" s="449"/>
      <c r="I242" s="449"/>
      <c r="J242" s="449"/>
    </row>
    <row r="243" spans="2:10">
      <c r="B243" s="452" t="s">
        <v>2440</v>
      </c>
      <c r="C243" s="453"/>
      <c r="D243" s="453"/>
      <c r="E243" s="453"/>
      <c r="F243" s="453"/>
      <c r="G243" s="453"/>
      <c r="H243" s="453"/>
      <c r="I243" s="453"/>
      <c r="J243" s="454"/>
    </row>
    <row r="244" spans="2:10">
      <c r="B244" s="455"/>
      <c r="C244" s="456"/>
      <c r="D244" s="456"/>
      <c r="E244" s="456"/>
      <c r="F244" s="456"/>
      <c r="G244" s="456"/>
      <c r="H244" s="456"/>
      <c r="I244" s="456"/>
      <c r="J244" s="457"/>
    </row>
    <row r="245" spans="2:10">
      <c r="B245" s="455"/>
      <c r="C245" s="456"/>
      <c r="D245" s="456"/>
      <c r="E245" s="456"/>
      <c r="F245" s="456"/>
      <c r="G245" s="456"/>
      <c r="H245" s="456"/>
      <c r="I245" s="456"/>
      <c r="J245" s="457"/>
    </row>
    <row r="246" spans="2:10">
      <c r="B246" s="458"/>
      <c r="C246" s="459"/>
      <c r="D246" s="459"/>
      <c r="E246" s="459"/>
      <c r="F246" s="459"/>
      <c r="G246" s="459"/>
      <c r="H246" s="459"/>
      <c r="I246" s="459"/>
      <c r="J246" s="460"/>
    </row>
    <row r="247" spans="2:10" ht="18">
      <c r="B247" s="461" t="s">
        <v>38</v>
      </c>
      <c r="C247" s="462"/>
      <c r="D247" s="462"/>
      <c r="E247" s="462"/>
      <c r="F247" s="462"/>
      <c r="G247" s="462"/>
      <c r="H247" s="462"/>
      <c r="I247" s="463"/>
      <c r="J247" s="205" t="s">
        <v>39</v>
      </c>
    </row>
    <row r="248" spans="2:10">
      <c r="B248" s="200">
        <v>1</v>
      </c>
      <c r="C248" s="464" t="s">
        <v>2435</v>
      </c>
      <c r="D248" s="465"/>
      <c r="E248" s="465"/>
      <c r="F248" s="465"/>
      <c r="G248" s="465"/>
      <c r="H248" s="465"/>
      <c r="I248" s="466"/>
      <c r="J248" s="200" t="s">
        <v>26</v>
      </c>
    </row>
    <row r="249" spans="2:10">
      <c r="B249" s="200">
        <v>2</v>
      </c>
      <c r="C249" s="464" t="s">
        <v>2436</v>
      </c>
      <c r="D249" s="465"/>
      <c r="E249" s="465"/>
      <c r="F249" s="465"/>
      <c r="G249" s="465"/>
      <c r="H249" s="465"/>
      <c r="I249" s="466"/>
      <c r="J249" s="200"/>
    </row>
    <row r="250" spans="2:10">
      <c r="B250" s="200">
        <v>3</v>
      </c>
      <c r="C250" s="464"/>
      <c r="D250" s="465"/>
      <c r="E250" s="465"/>
      <c r="F250" s="465"/>
      <c r="G250" s="465"/>
      <c r="H250" s="465"/>
      <c r="I250" s="466"/>
      <c r="J250" s="200"/>
    </row>
    <row r="251" spans="2:10" ht="18">
      <c r="B251" s="461" t="s">
        <v>44</v>
      </c>
      <c r="C251" s="462"/>
      <c r="D251" s="462"/>
      <c r="E251" s="462"/>
      <c r="F251" s="462"/>
      <c r="G251" s="462"/>
      <c r="H251" s="462"/>
      <c r="I251" s="462"/>
      <c r="J251" s="463"/>
    </row>
    <row r="252" spans="2:10">
      <c r="B252" s="200" t="s">
        <v>45</v>
      </c>
      <c r="C252" s="1059" t="s">
        <v>2437</v>
      </c>
      <c r="D252" s="473"/>
      <c r="E252" s="473"/>
      <c r="F252" s="473"/>
      <c r="G252" s="473"/>
      <c r="H252" s="473"/>
      <c r="I252" s="473"/>
      <c r="J252" s="473"/>
    </row>
    <row r="253" spans="2:10">
      <c r="B253" s="206" t="s">
        <v>45</v>
      </c>
      <c r="C253" s="1059" t="s">
        <v>2438</v>
      </c>
      <c r="D253" s="473"/>
      <c r="E253" s="473"/>
      <c r="F253" s="473"/>
      <c r="G253" s="473"/>
      <c r="H253" s="473"/>
      <c r="I253" s="473"/>
      <c r="J253" s="473"/>
    </row>
    <row r="254" spans="2:10">
      <c r="B254" s="206" t="s">
        <v>45</v>
      </c>
      <c r="C254" s="1059"/>
      <c r="D254" s="473"/>
      <c r="E254" s="473"/>
      <c r="F254" s="473"/>
      <c r="G254" s="473"/>
      <c r="H254" s="473"/>
      <c r="I254" s="473"/>
      <c r="J254" s="473"/>
    </row>
    <row r="255" spans="2:10">
      <c r="B255" s="206" t="s">
        <v>45</v>
      </c>
      <c r="C255" s="1101"/>
      <c r="D255" s="475"/>
      <c r="E255" s="475"/>
      <c r="F255" s="475"/>
      <c r="G255" s="475"/>
      <c r="H255" s="475"/>
      <c r="I255" s="475"/>
      <c r="J255" s="476"/>
    </row>
    <row r="256" spans="2:10">
      <c r="B256" s="206" t="s">
        <v>45</v>
      </c>
      <c r="C256" s="464"/>
      <c r="D256" s="465"/>
      <c r="E256" s="465"/>
      <c r="F256" s="465"/>
      <c r="G256" s="465"/>
      <c r="H256" s="465"/>
      <c r="I256" s="465"/>
      <c r="J256" s="466"/>
    </row>
    <row r="257" spans="2:10">
      <c r="B257" s="206" t="s">
        <v>45</v>
      </c>
      <c r="C257" s="464"/>
      <c r="D257" s="465"/>
      <c r="E257" s="465"/>
      <c r="F257" s="465"/>
      <c r="G257" s="465"/>
      <c r="H257" s="465"/>
      <c r="I257" s="465"/>
      <c r="J257" s="466"/>
    </row>
    <row r="258" spans="2:10">
      <c r="B258" s="200" t="s">
        <v>45</v>
      </c>
      <c r="C258" s="464"/>
      <c r="D258" s="465"/>
      <c r="E258" s="465"/>
      <c r="F258" s="465"/>
      <c r="G258" s="465"/>
      <c r="H258" s="465"/>
      <c r="I258" s="465"/>
      <c r="J258" s="466"/>
    </row>
    <row r="259" spans="2:10">
      <c r="B259" s="200" t="s">
        <v>7</v>
      </c>
      <c r="C259" s="1059" t="s">
        <v>2439</v>
      </c>
      <c r="D259" s="473"/>
      <c r="E259" s="473"/>
      <c r="F259" s="473"/>
      <c r="G259" s="473"/>
      <c r="H259" s="473"/>
      <c r="I259" s="473"/>
      <c r="J259" s="473"/>
    </row>
    <row r="260" spans="2:10" ht="18">
      <c r="B260" s="205" t="s">
        <v>52</v>
      </c>
      <c r="C260" s="477" t="s">
        <v>53</v>
      </c>
      <c r="D260" s="477"/>
      <c r="E260" s="477"/>
      <c r="F260" s="477"/>
      <c r="G260" s="477"/>
      <c r="H260" s="205" t="s">
        <v>54</v>
      </c>
      <c r="I260" s="205" t="s">
        <v>55</v>
      </c>
      <c r="J260" s="205" t="s">
        <v>56</v>
      </c>
    </row>
    <row r="261" spans="2:10">
      <c r="B261" s="200">
        <v>1</v>
      </c>
      <c r="C261" s="1102"/>
      <c r="D261" s="451"/>
      <c r="E261" s="451"/>
      <c r="F261" s="451"/>
      <c r="G261" s="451"/>
      <c r="H261" s="200"/>
      <c r="I261" s="207" t="s">
        <v>1692</v>
      </c>
      <c r="J261" s="200"/>
    </row>
    <row r="262" spans="2:10">
      <c r="B262" s="200">
        <v>2</v>
      </c>
      <c r="C262" s="1102"/>
      <c r="D262" s="451"/>
      <c r="E262" s="451"/>
      <c r="F262" s="451"/>
      <c r="G262" s="451"/>
      <c r="H262" s="200"/>
      <c r="I262" s="207"/>
      <c r="J262" s="200"/>
    </row>
    <row r="263" spans="2:10">
      <c r="B263" s="200"/>
      <c r="C263" s="1102"/>
      <c r="D263" s="451"/>
      <c r="E263" s="451"/>
      <c r="F263" s="451"/>
      <c r="G263" s="451"/>
      <c r="H263" s="200"/>
      <c r="I263" s="207"/>
      <c r="J263" s="200"/>
    </row>
    <row r="264" spans="2:10">
      <c r="B264" s="450" t="s">
        <v>63</v>
      </c>
      <c r="C264" s="450"/>
      <c r="D264" s="199" t="s">
        <v>31</v>
      </c>
      <c r="E264" s="198" t="s">
        <v>64</v>
      </c>
      <c r="F264" s="467"/>
      <c r="G264" s="469"/>
      <c r="H264" s="199"/>
      <c r="I264" s="199"/>
      <c r="J264" s="199"/>
    </row>
    <row r="265" spans="2:10" ht="45">
      <c r="B265" s="201" t="s">
        <v>66</v>
      </c>
      <c r="C265" s="450"/>
      <c r="D265" s="450"/>
      <c r="E265" s="201" t="s">
        <v>67</v>
      </c>
      <c r="F265" s="450"/>
      <c r="G265" s="450"/>
      <c r="H265" s="201" t="s">
        <v>68</v>
      </c>
      <c r="I265" s="450"/>
      <c r="J265" s="450"/>
    </row>
    <row r="277" spans="2:10" ht="26.25">
      <c r="B277" s="446" t="s">
        <v>13</v>
      </c>
      <c r="C277" s="447"/>
      <c r="D277" s="446" t="s">
        <v>14</v>
      </c>
      <c r="E277" s="446"/>
      <c r="F277" s="446"/>
      <c r="G277" s="446"/>
      <c r="H277" s="446"/>
      <c r="I277" s="446"/>
      <c r="J277" s="197" t="s">
        <v>15</v>
      </c>
    </row>
    <row r="278" spans="2:10" ht="20.25">
      <c r="B278" s="447"/>
      <c r="C278" s="447"/>
      <c r="D278" s="448" t="s">
        <v>16</v>
      </c>
      <c r="E278" s="448"/>
      <c r="F278" s="448"/>
      <c r="G278" s="448"/>
      <c r="H278" s="448"/>
      <c r="I278" s="448"/>
      <c r="J278" s="197" t="s">
        <v>17</v>
      </c>
    </row>
    <row r="279" spans="2:10" ht="19.5" customHeight="1">
      <c r="B279" s="449" t="s">
        <v>18</v>
      </c>
      <c r="C279" s="449"/>
      <c r="D279" s="275">
        <v>45922</v>
      </c>
      <c r="E279" s="199" t="s">
        <v>1460</v>
      </c>
      <c r="F279" s="450" t="s">
        <v>159</v>
      </c>
      <c r="G279" s="450"/>
      <c r="H279" s="201" t="s">
        <v>21</v>
      </c>
      <c r="I279" s="202" t="s">
        <v>917</v>
      </c>
      <c r="J279" s="199" t="s">
        <v>23</v>
      </c>
    </row>
    <row r="280" spans="2:10" ht="19.5" customHeight="1">
      <c r="B280" s="449" t="s">
        <v>24</v>
      </c>
      <c r="C280" s="449"/>
      <c r="D280" s="203" t="s">
        <v>2441</v>
      </c>
      <c r="E280" s="204" t="s">
        <v>25</v>
      </c>
      <c r="F280" s="450" t="s">
        <v>26</v>
      </c>
      <c r="G280" s="450"/>
      <c r="H280" s="199" t="s">
        <v>27</v>
      </c>
      <c r="I280" s="202" t="s">
        <v>2442</v>
      </c>
      <c r="J280" s="202" t="s">
        <v>29</v>
      </c>
    </row>
    <row r="281" spans="2:10" ht="19.5" customHeight="1">
      <c r="B281" s="449" t="s">
        <v>30</v>
      </c>
      <c r="C281" s="449"/>
      <c r="D281" s="199" t="s">
        <v>31</v>
      </c>
      <c r="E281" s="199" t="s">
        <v>32</v>
      </c>
      <c r="F281" s="450">
        <v>108</v>
      </c>
      <c r="G281" s="450"/>
      <c r="H281" s="201" t="s">
        <v>33</v>
      </c>
      <c r="I281" s="247"/>
      <c r="J281" s="202"/>
    </row>
    <row r="282" spans="2:10" ht="19.5" customHeight="1">
      <c r="B282" s="451" t="s">
        <v>35</v>
      </c>
      <c r="C282" s="451"/>
      <c r="D282" s="449" t="s">
        <v>1981</v>
      </c>
      <c r="E282" s="449"/>
      <c r="F282" s="449"/>
      <c r="G282" s="449"/>
      <c r="H282" s="449"/>
      <c r="I282" s="449"/>
      <c r="J282" s="449"/>
    </row>
    <row r="283" spans="2:10" ht="19.5" customHeight="1">
      <c r="B283" s="452" t="s">
        <v>2443</v>
      </c>
      <c r="C283" s="453"/>
      <c r="D283" s="453"/>
      <c r="E283" s="453"/>
      <c r="F283" s="453"/>
      <c r="G283" s="453"/>
      <c r="H283" s="453"/>
      <c r="I283" s="453"/>
      <c r="J283" s="454"/>
    </row>
    <row r="284" spans="2:10" ht="19.5" customHeight="1">
      <c r="B284" s="455"/>
      <c r="C284" s="456"/>
      <c r="D284" s="456"/>
      <c r="E284" s="456"/>
      <c r="F284" s="456"/>
      <c r="G284" s="456"/>
      <c r="H284" s="456"/>
      <c r="I284" s="456"/>
      <c r="J284" s="457"/>
    </row>
    <row r="285" spans="2:10" ht="19.5" customHeight="1">
      <c r="B285" s="455"/>
      <c r="C285" s="456"/>
      <c r="D285" s="456"/>
      <c r="E285" s="456"/>
      <c r="F285" s="456"/>
      <c r="G285" s="456"/>
      <c r="H285" s="456"/>
      <c r="I285" s="456"/>
      <c r="J285" s="457"/>
    </row>
    <row r="286" spans="2:10" ht="19.5" customHeight="1">
      <c r="B286" s="458"/>
      <c r="C286" s="459"/>
      <c r="D286" s="459"/>
      <c r="E286" s="459"/>
      <c r="F286" s="459"/>
      <c r="G286" s="459"/>
      <c r="H286" s="459"/>
      <c r="I286" s="459"/>
      <c r="J286" s="460"/>
    </row>
    <row r="287" spans="2:10" ht="19.5" customHeight="1">
      <c r="B287" s="461" t="s">
        <v>38</v>
      </c>
      <c r="C287" s="462"/>
      <c r="D287" s="462"/>
      <c r="E287" s="462"/>
      <c r="F287" s="462"/>
      <c r="G287" s="462"/>
      <c r="H287" s="462"/>
      <c r="I287" s="463"/>
      <c r="J287" s="205" t="s">
        <v>39</v>
      </c>
    </row>
    <row r="288" spans="2:10" ht="19.5" customHeight="1">
      <c r="B288" s="200">
        <v>1</v>
      </c>
      <c r="C288" s="464" t="s">
        <v>2444</v>
      </c>
      <c r="D288" s="465"/>
      <c r="E288" s="465"/>
      <c r="F288" s="465"/>
      <c r="G288" s="465"/>
      <c r="H288" s="465"/>
      <c r="I288" s="466"/>
      <c r="J288" s="200" t="s">
        <v>26</v>
      </c>
    </row>
    <row r="289" spans="2:10" ht="19.5" customHeight="1">
      <c r="B289" s="200">
        <v>2</v>
      </c>
      <c r="C289" s="464"/>
      <c r="D289" s="465"/>
      <c r="E289" s="465"/>
      <c r="F289" s="465"/>
      <c r="G289" s="465"/>
      <c r="H289" s="465"/>
      <c r="I289" s="466"/>
      <c r="J289" s="200"/>
    </row>
    <row r="290" spans="2:10" ht="19.5" customHeight="1">
      <c r="B290" s="200">
        <v>3</v>
      </c>
      <c r="C290" s="464"/>
      <c r="D290" s="465"/>
      <c r="E290" s="465"/>
      <c r="F290" s="465"/>
      <c r="G290" s="465"/>
      <c r="H290" s="465"/>
      <c r="I290" s="466"/>
      <c r="J290" s="200"/>
    </row>
    <row r="291" spans="2:10" ht="19.5" customHeight="1">
      <c r="B291" s="461" t="s">
        <v>44</v>
      </c>
      <c r="C291" s="462"/>
      <c r="D291" s="462"/>
      <c r="E291" s="462"/>
      <c r="F291" s="462"/>
      <c r="G291" s="462"/>
      <c r="H291" s="462"/>
      <c r="I291" s="462"/>
      <c r="J291" s="463"/>
    </row>
    <row r="292" spans="2:10" ht="19.5" customHeight="1">
      <c r="B292" s="200" t="s">
        <v>45</v>
      </c>
      <c r="C292" s="1059" t="s">
        <v>1568</v>
      </c>
      <c r="D292" s="473"/>
      <c r="E292" s="473"/>
      <c r="F292" s="473"/>
      <c r="G292" s="473"/>
      <c r="H292" s="473"/>
      <c r="I292" s="473"/>
      <c r="J292" s="473"/>
    </row>
    <row r="293" spans="2:10" ht="19.5" customHeight="1">
      <c r="B293" s="206" t="s">
        <v>45</v>
      </c>
      <c r="C293" s="1059" t="s">
        <v>2445</v>
      </c>
      <c r="D293" s="473"/>
      <c r="E293" s="473"/>
      <c r="F293" s="473"/>
      <c r="G293" s="473"/>
      <c r="H293" s="473"/>
      <c r="I293" s="473"/>
      <c r="J293" s="473"/>
    </row>
    <row r="294" spans="2:10" ht="19.5" customHeight="1">
      <c r="B294" s="206" t="s">
        <v>45</v>
      </c>
      <c r="C294" s="1059" t="s">
        <v>2446</v>
      </c>
      <c r="D294" s="473"/>
      <c r="E294" s="473"/>
      <c r="F294" s="473"/>
      <c r="G294" s="473"/>
      <c r="H294" s="473"/>
      <c r="I294" s="473"/>
      <c r="J294" s="473"/>
    </row>
    <row r="295" spans="2:10" ht="19.5" customHeight="1">
      <c r="B295" s="206" t="s">
        <v>45</v>
      </c>
      <c r="C295" s="1101" t="s">
        <v>2447</v>
      </c>
      <c r="D295" s="475"/>
      <c r="E295" s="475"/>
      <c r="F295" s="475"/>
      <c r="G295" s="475"/>
      <c r="H295" s="475"/>
      <c r="I295" s="475"/>
      <c r="J295" s="476"/>
    </row>
    <row r="296" spans="2:10" ht="19.5" customHeight="1">
      <c r="B296" s="206" t="s">
        <v>45</v>
      </c>
      <c r="C296" s="464"/>
      <c r="D296" s="465"/>
      <c r="E296" s="465"/>
      <c r="F296" s="465"/>
      <c r="G296" s="465"/>
      <c r="H296" s="465"/>
      <c r="I296" s="465"/>
      <c r="J296" s="466"/>
    </row>
    <row r="297" spans="2:10" ht="19.5" customHeight="1">
      <c r="B297" s="206" t="s">
        <v>45</v>
      </c>
      <c r="C297" s="464"/>
      <c r="D297" s="465"/>
      <c r="E297" s="465"/>
      <c r="F297" s="465"/>
      <c r="G297" s="465"/>
      <c r="H297" s="465"/>
      <c r="I297" s="465"/>
      <c r="J297" s="466"/>
    </row>
    <row r="298" spans="2:10" ht="19.5" customHeight="1">
      <c r="B298" s="200" t="s">
        <v>45</v>
      </c>
      <c r="C298" s="464"/>
      <c r="D298" s="465"/>
      <c r="E298" s="465"/>
      <c r="F298" s="465"/>
      <c r="G298" s="465"/>
      <c r="H298" s="465"/>
      <c r="I298" s="465"/>
      <c r="J298" s="466"/>
    </row>
    <row r="299" spans="2:10" ht="19.5" customHeight="1">
      <c r="B299" s="200" t="s">
        <v>7</v>
      </c>
      <c r="C299" s="1101" t="s">
        <v>2448</v>
      </c>
      <c r="D299" s="475"/>
      <c r="E299" s="475"/>
      <c r="F299" s="475"/>
      <c r="G299" s="475"/>
      <c r="H299" s="475"/>
      <c r="I299" s="475"/>
      <c r="J299" s="476"/>
    </row>
    <row r="300" spans="2:10" ht="19.5" customHeight="1">
      <c r="B300" s="205" t="s">
        <v>52</v>
      </c>
      <c r="C300" s="477" t="s">
        <v>53</v>
      </c>
      <c r="D300" s="477"/>
      <c r="E300" s="477"/>
      <c r="F300" s="477"/>
      <c r="G300" s="477"/>
      <c r="H300" s="205" t="s">
        <v>54</v>
      </c>
      <c r="I300" s="205" t="s">
        <v>55</v>
      </c>
      <c r="J300" s="205" t="s">
        <v>56</v>
      </c>
    </row>
    <row r="301" spans="2:10" ht="19.5" customHeight="1">
      <c r="B301" s="200">
        <v>1</v>
      </c>
      <c r="C301" s="1102" t="s">
        <v>2449</v>
      </c>
      <c r="D301" s="451"/>
      <c r="E301" s="451"/>
      <c r="F301" s="451"/>
      <c r="G301" s="451"/>
      <c r="H301" s="200"/>
      <c r="I301" s="207" t="s">
        <v>1692</v>
      </c>
      <c r="J301" s="200"/>
    </row>
    <row r="302" spans="2:10" ht="19.5" customHeight="1">
      <c r="B302" s="200">
        <v>2</v>
      </c>
      <c r="C302" s="1102"/>
      <c r="D302" s="451"/>
      <c r="E302" s="451"/>
      <c r="F302" s="451"/>
      <c r="G302" s="451"/>
      <c r="H302" s="200"/>
      <c r="I302" s="207"/>
      <c r="J302" s="200"/>
    </row>
    <row r="303" spans="2:10" ht="19.5" customHeight="1">
      <c r="B303" s="200"/>
      <c r="C303" s="1102"/>
      <c r="D303" s="451"/>
      <c r="E303" s="451"/>
      <c r="F303" s="451"/>
      <c r="G303" s="451"/>
      <c r="H303" s="200"/>
      <c r="I303" s="207"/>
      <c r="J303" s="200"/>
    </row>
    <row r="304" spans="2:10" ht="19.5" customHeight="1">
      <c r="B304" s="450" t="s">
        <v>63</v>
      </c>
      <c r="C304" s="450"/>
      <c r="D304" s="199" t="s">
        <v>31</v>
      </c>
      <c r="E304" s="198" t="s">
        <v>64</v>
      </c>
      <c r="F304" s="467"/>
      <c r="G304" s="469"/>
      <c r="H304" s="199"/>
      <c r="I304" s="199"/>
      <c r="J304" s="199"/>
    </row>
    <row r="305" spans="2:10" ht="45">
      <c r="B305" s="201" t="s">
        <v>66</v>
      </c>
      <c r="C305" s="450"/>
      <c r="D305" s="450"/>
      <c r="E305" s="201" t="s">
        <v>67</v>
      </c>
      <c r="F305" s="450"/>
      <c r="G305" s="450"/>
      <c r="H305" s="201" t="s">
        <v>68</v>
      </c>
      <c r="I305" s="450"/>
      <c r="J305" s="450"/>
    </row>
  </sheetData>
  <autoFilter ref="B2:K17" xr:uid="{7E3221BD-3E6C-4BA8-BFAD-98351ACD7F09}">
    <filterColumn colId="1" showButton="0"/>
  </autoFilter>
  <mergeCells count="287">
    <mergeCell ref="C223:G223"/>
    <mergeCell ref="C224:G224"/>
    <mergeCell ref="C225:G225"/>
    <mergeCell ref="C226:G226"/>
    <mergeCell ref="B227:C227"/>
    <mergeCell ref="F227:G227"/>
    <mergeCell ref="C228:D228"/>
    <mergeCell ref="F228:G228"/>
    <mergeCell ref="I228:J228"/>
    <mergeCell ref="B214:J214"/>
    <mergeCell ref="C215:J215"/>
    <mergeCell ref="C216:J216"/>
    <mergeCell ref="C217:J217"/>
    <mergeCell ref="C218:J218"/>
    <mergeCell ref="C219:J219"/>
    <mergeCell ref="C220:J220"/>
    <mergeCell ref="C221:J221"/>
    <mergeCell ref="C222:J222"/>
    <mergeCell ref="B204:C204"/>
    <mergeCell ref="F204:G204"/>
    <mergeCell ref="B205:C205"/>
    <mergeCell ref="D205:J205"/>
    <mergeCell ref="B206:J209"/>
    <mergeCell ref="B210:I210"/>
    <mergeCell ref="C211:I211"/>
    <mergeCell ref="C212:I212"/>
    <mergeCell ref="C213:I213"/>
    <mergeCell ref="C265:D265"/>
    <mergeCell ref="F265:G265"/>
    <mergeCell ref="I265:J265"/>
    <mergeCell ref="B200:C201"/>
    <mergeCell ref="D200:I200"/>
    <mergeCell ref="D201:I201"/>
    <mergeCell ref="B202:C202"/>
    <mergeCell ref="F202:G202"/>
    <mergeCell ref="B203:C203"/>
    <mergeCell ref="F203:G203"/>
    <mergeCell ref="C256:J256"/>
    <mergeCell ref="C257:J257"/>
    <mergeCell ref="C258:J258"/>
    <mergeCell ref="C259:J259"/>
    <mergeCell ref="C260:G260"/>
    <mergeCell ref="C261:G261"/>
    <mergeCell ref="C262:G262"/>
    <mergeCell ref="C263:G263"/>
    <mergeCell ref="B264:C264"/>
    <mergeCell ref="F264:G264"/>
    <mergeCell ref="B247:I247"/>
    <mergeCell ref="C248:I248"/>
    <mergeCell ref="C249:I249"/>
    <mergeCell ref="C250:I250"/>
    <mergeCell ref="C252:J252"/>
    <mergeCell ref="C253:J253"/>
    <mergeCell ref="C254:J254"/>
    <mergeCell ref="C255:J255"/>
    <mergeCell ref="B239:C239"/>
    <mergeCell ref="F239:G239"/>
    <mergeCell ref="B240:C240"/>
    <mergeCell ref="F240:G240"/>
    <mergeCell ref="B241:C241"/>
    <mergeCell ref="F241:G241"/>
    <mergeCell ref="B242:C242"/>
    <mergeCell ref="D242:J242"/>
    <mergeCell ref="B243:J246"/>
    <mergeCell ref="C153:G153"/>
    <mergeCell ref="C154:G154"/>
    <mergeCell ref="B155:C155"/>
    <mergeCell ref="F155:G155"/>
    <mergeCell ref="C156:D156"/>
    <mergeCell ref="F156:G156"/>
    <mergeCell ref="I156:J156"/>
    <mergeCell ref="B237:C238"/>
    <mergeCell ref="D237:I237"/>
    <mergeCell ref="D238:I238"/>
    <mergeCell ref="B162:C163"/>
    <mergeCell ref="D162:I162"/>
    <mergeCell ref="D163:I163"/>
    <mergeCell ref="B164:C164"/>
    <mergeCell ref="F164:G164"/>
    <mergeCell ref="B165:C165"/>
    <mergeCell ref="F165:G165"/>
    <mergeCell ref="B166:C166"/>
    <mergeCell ref="F166:G166"/>
    <mergeCell ref="B167:C167"/>
    <mergeCell ref="D167:J167"/>
    <mergeCell ref="B168:J171"/>
    <mergeCell ref="B172:I172"/>
    <mergeCell ref="C173:I173"/>
    <mergeCell ref="C144:J144"/>
    <mergeCell ref="C145:J145"/>
    <mergeCell ref="C146:J146"/>
    <mergeCell ref="C147:J147"/>
    <mergeCell ref="C148:J148"/>
    <mergeCell ref="C149:J149"/>
    <mergeCell ref="C150:J150"/>
    <mergeCell ref="C151:G151"/>
    <mergeCell ref="C152:G152"/>
    <mergeCell ref="B133:C133"/>
    <mergeCell ref="D133:J133"/>
    <mergeCell ref="B134:J137"/>
    <mergeCell ref="B138:I138"/>
    <mergeCell ref="C139:I139"/>
    <mergeCell ref="C140:I140"/>
    <mergeCell ref="C141:I141"/>
    <mergeCell ref="B142:J142"/>
    <mergeCell ref="C143:J143"/>
    <mergeCell ref="B128:C129"/>
    <mergeCell ref="D128:I128"/>
    <mergeCell ref="D129:I129"/>
    <mergeCell ref="B130:C130"/>
    <mergeCell ref="F130:G130"/>
    <mergeCell ref="B131:C131"/>
    <mergeCell ref="F131:G131"/>
    <mergeCell ref="B132:C132"/>
    <mergeCell ref="F132:G132"/>
    <mergeCell ref="B105:J105"/>
    <mergeCell ref="C106:J106"/>
    <mergeCell ref="C114:G114"/>
    <mergeCell ref="B119:C119"/>
    <mergeCell ref="F119:G119"/>
    <mergeCell ref="C120:D120"/>
    <mergeCell ref="I120:J120"/>
    <mergeCell ref="C115:G115"/>
    <mergeCell ref="C117:G117"/>
    <mergeCell ref="C118:G118"/>
    <mergeCell ref="F120:G120"/>
    <mergeCell ref="C110:J110"/>
    <mergeCell ref="C111:J111"/>
    <mergeCell ref="C112:J112"/>
    <mergeCell ref="C113:J113"/>
    <mergeCell ref="C107:J107"/>
    <mergeCell ref="C108:J108"/>
    <mergeCell ref="C109:J109"/>
    <mergeCell ref="C116:G116"/>
    <mergeCell ref="B97:J100"/>
    <mergeCell ref="B101:I101"/>
    <mergeCell ref="C102:I102"/>
    <mergeCell ref="C103:I103"/>
    <mergeCell ref="C104:I104"/>
    <mergeCell ref="B94:C94"/>
    <mergeCell ref="F94:G94"/>
    <mergeCell ref="B95:C95"/>
    <mergeCell ref="F95:G95"/>
    <mergeCell ref="B96:C96"/>
    <mergeCell ref="D96:J96"/>
    <mergeCell ref="B91:C92"/>
    <mergeCell ref="D91:I91"/>
    <mergeCell ref="D92:I92"/>
    <mergeCell ref="B93:C93"/>
    <mergeCell ref="F93:G93"/>
    <mergeCell ref="B25:C25"/>
    <mergeCell ref="F25:G25"/>
    <mergeCell ref="I2:I3"/>
    <mergeCell ref="J2:J3"/>
    <mergeCell ref="B23:C24"/>
    <mergeCell ref="D23:I23"/>
    <mergeCell ref="D24:I24"/>
    <mergeCell ref="B38:J38"/>
    <mergeCell ref="C36:I36"/>
    <mergeCell ref="B26:C26"/>
    <mergeCell ref="F26:G26"/>
    <mergeCell ref="B27:C27"/>
    <mergeCell ref="F27:G27"/>
    <mergeCell ref="B28:C28"/>
    <mergeCell ref="D28:J28"/>
    <mergeCell ref="B29:J32"/>
    <mergeCell ref="B33:I33"/>
    <mergeCell ref="C34:I34"/>
    <mergeCell ref="C35:I35"/>
    <mergeCell ref="K2:K3"/>
    <mergeCell ref="B2:B3"/>
    <mergeCell ref="C2:D2"/>
    <mergeCell ref="E2:E3"/>
    <mergeCell ref="F2:F3"/>
    <mergeCell ref="G2:G3"/>
    <mergeCell ref="H2:H3"/>
    <mergeCell ref="E17:K20"/>
    <mergeCell ref="C19:D19"/>
    <mergeCell ref="C37:I37"/>
    <mergeCell ref="B51:C51"/>
    <mergeCell ref="F51:G51"/>
    <mergeCell ref="C52:D52"/>
    <mergeCell ref="F52:G52"/>
    <mergeCell ref="I52:J52"/>
    <mergeCell ref="C50:G50"/>
    <mergeCell ref="C39:J39"/>
    <mergeCell ref="C40:J40"/>
    <mergeCell ref="C41:J41"/>
    <mergeCell ref="C42:J42"/>
    <mergeCell ref="C45:J45"/>
    <mergeCell ref="C46:J46"/>
    <mergeCell ref="C47:G47"/>
    <mergeCell ref="C48:G48"/>
    <mergeCell ref="C49:G49"/>
    <mergeCell ref="C43:J43"/>
    <mergeCell ref="C44:J44"/>
    <mergeCell ref="B56:C57"/>
    <mergeCell ref="D56:I56"/>
    <mergeCell ref="D57:I57"/>
    <mergeCell ref="B58:C58"/>
    <mergeCell ref="F58:G58"/>
    <mergeCell ref="B59:C59"/>
    <mergeCell ref="F59:G59"/>
    <mergeCell ref="B60:C60"/>
    <mergeCell ref="F60:G60"/>
    <mergeCell ref="B61:C61"/>
    <mergeCell ref="D61:J61"/>
    <mergeCell ref="B62:J65"/>
    <mergeCell ref="B66:I66"/>
    <mergeCell ref="C67:I67"/>
    <mergeCell ref="C68:I68"/>
    <mergeCell ref="C69:I69"/>
    <mergeCell ref="C70:I70"/>
    <mergeCell ref="B71:J71"/>
    <mergeCell ref="C72:J72"/>
    <mergeCell ref="C73:J73"/>
    <mergeCell ref="C74:J74"/>
    <mergeCell ref="C75:J75"/>
    <mergeCell ref="C76:J76"/>
    <mergeCell ref="C77:J77"/>
    <mergeCell ref="C78:J78"/>
    <mergeCell ref="C79:J79"/>
    <mergeCell ref="C86:D86"/>
    <mergeCell ref="F86:G86"/>
    <mergeCell ref="I86:J86"/>
    <mergeCell ref="C80:G80"/>
    <mergeCell ref="C81:G81"/>
    <mergeCell ref="C82:G82"/>
    <mergeCell ref="C84:G84"/>
    <mergeCell ref="B85:C85"/>
    <mergeCell ref="F85:G85"/>
    <mergeCell ref="C83:G83"/>
    <mergeCell ref="B277:C278"/>
    <mergeCell ref="D277:I277"/>
    <mergeCell ref="D278:I278"/>
    <mergeCell ref="C174:I174"/>
    <mergeCell ref="C175:I175"/>
    <mergeCell ref="B176:J176"/>
    <mergeCell ref="C177:J177"/>
    <mergeCell ref="C187:G187"/>
    <mergeCell ref="C188:G188"/>
    <mergeCell ref="B189:C189"/>
    <mergeCell ref="F189:G189"/>
    <mergeCell ref="C190:D190"/>
    <mergeCell ref="F190:G190"/>
    <mergeCell ref="I190:J190"/>
    <mergeCell ref="C178:J178"/>
    <mergeCell ref="C179:J179"/>
    <mergeCell ref="C180:J180"/>
    <mergeCell ref="C181:J181"/>
    <mergeCell ref="C182:J182"/>
    <mergeCell ref="C183:J183"/>
    <mergeCell ref="C184:J184"/>
    <mergeCell ref="C185:G185"/>
    <mergeCell ref="C186:G186"/>
    <mergeCell ref="B251:J251"/>
    <mergeCell ref="B279:C279"/>
    <mergeCell ref="F279:G279"/>
    <mergeCell ref="B280:C280"/>
    <mergeCell ref="F280:G280"/>
    <mergeCell ref="B281:C281"/>
    <mergeCell ref="F281:G281"/>
    <mergeCell ref="B282:C282"/>
    <mergeCell ref="D282:J282"/>
    <mergeCell ref="B283:J286"/>
    <mergeCell ref="B287:I287"/>
    <mergeCell ref="C288:I288"/>
    <mergeCell ref="C289:I289"/>
    <mergeCell ref="C290:I290"/>
    <mergeCell ref="B291:J291"/>
    <mergeCell ref="C292:J292"/>
    <mergeCell ref="C293:J293"/>
    <mergeCell ref="C294:J294"/>
    <mergeCell ref="C295:J295"/>
    <mergeCell ref="C305:D305"/>
    <mergeCell ref="F305:G305"/>
    <mergeCell ref="I305:J305"/>
    <mergeCell ref="C296:J296"/>
    <mergeCell ref="C297:J297"/>
    <mergeCell ref="C298:J298"/>
    <mergeCell ref="C299:J299"/>
    <mergeCell ref="C300:G300"/>
    <mergeCell ref="C301:G301"/>
    <mergeCell ref="C302:G302"/>
    <mergeCell ref="C303:G303"/>
    <mergeCell ref="B304:C304"/>
    <mergeCell ref="F304:G304"/>
  </mergeCells>
  <phoneticPr fontId="0" type="noConversion"/>
  <dataValidations count="1">
    <dataValidation type="list" allowBlank="1" showInputMessage="1" showErrorMessage="1" sqref="H10" xr:uid="{C4D39E51-C5FC-4E93-8AA1-0B2A74FE8B1C}">
      <formula1>INDIRECT($K10)</formula1>
    </dataValidation>
  </dataValidations>
  <printOptions horizontalCentered="1" verticalCentered="1"/>
  <pageMargins left="0.7" right="0.7" top="0.75" bottom="0.75" header="0.3" footer="0.3"/>
  <pageSetup paperSize="9"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B962-7D82-4254-B4FF-423B21996EAD}">
  <sheetPr>
    <pageSetUpPr fitToPage="1"/>
  </sheetPr>
  <dimension ref="B2:Q147"/>
  <sheetViews>
    <sheetView workbookViewId="0">
      <selection activeCell="K4" sqref="K4:K12"/>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28515625" customWidth="1"/>
    <col min="11" max="11" width="60.5703125" customWidth="1"/>
    <col min="13" max="13" width="11.28515625" customWidth="1"/>
  </cols>
  <sheetData>
    <row r="2" spans="2:17">
      <c r="B2" s="1110" t="s">
        <v>0</v>
      </c>
      <c r="C2" s="1112" t="s">
        <v>1</v>
      </c>
      <c r="D2" s="1109"/>
      <c r="E2" s="1109" t="s">
        <v>2</v>
      </c>
      <c r="F2" s="1109" t="s">
        <v>3</v>
      </c>
      <c r="G2" s="1109" t="s">
        <v>4</v>
      </c>
      <c r="H2" s="1109" t="s">
        <v>5</v>
      </c>
      <c r="I2" s="1109" t="s">
        <v>6</v>
      </c>
      <c r="J2" s="1109" t="s">
        <v>7</v>
      </c>
      <c r="K2" s="1113" t="s">
        <v>8</v>
      </c>
    </row>
    <row r="3" spans="2:17">
      <c r="B3" s="1111"/>
      <c r="C3" s="276" t="s">
        <v>9</v>
      </c>
      <c r="D3" s="277" t="s">
        <v>10</v>
      </c>
      <c r="E3" s="745"/>
      <c r="F3" s="745"/>
      <c r="G3" s="745"/>
      <c r="H3" s="745"/>
      <c r="I3" s="745"/>
      <c r="J3" s="745"/>
      <c r="K3" s="1114"/>
    </row>
    <row r="4" spans="2:17" s="58" customFormat="1">
      <c r="B4" s="326">
        <v>1</v>
      </c>
      <c r="C4" s="68"/>
      <c r="D4" s="68">
        <v>15</v>
      </c>
      <c r="E4" s="329">
        <v>45932</v>
      </c>
      <c r="F4" s="68" t="s">
        <v>124</v>
      </c>
      <c r="G4" s="68"/>
      <c r="H4" s="330" t="s">
        <v>2450</v>
      </c>
      <c r="I4" s="68"/>
      <c r="J4" s="328" t="s">
        <v>2451</v>
      </c>
      <c r="K4" s="175" t="s">
        <v>2452</v>
      </c>
      <c r="L4" s="175"/>
      <c r="M4" s="175"/>
      <c r="N4" s="175"/>
      <c r="O4" s="175"/>
      <c r="P4" s="175"/>
      <c r="Q4" s="175"/>
    </row>
    <row r="5" spans="2:17" s="58" customFormat="1" ht="48" customHeight="1">
      <c r="B5" s="326">
        <v>2</v>
      </c>
      <c r="C5" s="68"/>
      <c r="D5" s="68">
        <v>13</v>
      </c>
      <c r="E5" s="329">
        <v>45941</v>
      </c>
      <c r="F5" s="68" t="s">
        <v>159</v>
      </c>
      <c r="G5" s="68"/>
      <c r="H5" s="330" t="s">
        <v>2453</v>
      </c>
      <c r="I5" s="68" t="s">
        <v>1653</v>
      </c>
      <c r="J5" s="328" t="s">
        <v>2454</v>
      </c>
      <c r="K5" s="328" t="s">
        <v>2452</v>
      </c>
      <c r="L5" s="328"/>
      <c r="M5" s="328"/>
      <c r="N5" s="328"/>
      <c r="O5" s="328"/>
      <c r="P5" s="328"/>
      <c r="Q5" s="328"/>
    </row>
    <row r="6" spans="2:17" s="66" customFormat="1" ht="28.5">
      <c r="B6" s="326">
        <v>3</v>
      </c>
      <c r="C6" s="68"/>
      <c r="D6" s="68">
        <v>32</v>
      </c>
      <c r="E6" s="329">
        <v>45942</v>
      </c>
      <c r="F6" s="68" t="s">
        <v>131</v>
      </c>
      <c r="G6" s="68"/>
      <c r="H6" s="331" t="s">
        <v>2455</v>
      </c>
      <c r="I6" s="68" t="s">
        <v>2291</v>
      </c>
      <c r="J6" s="62" t="s">
        <v>2456</v>
      </c>
      <c r="K6" s="62"/>
    </row>
    <row r="7" spans="2:17" s="3" customFormat="1" ht="72.75">
      <c r="B7" s="311">
        <v>4</v>
      </c>
      <c r="C7" s="90"/>
      <c r="D7" s="68">
        <v>230</v>
      </c>
      <c r="E7" s="329">
        <v>45943</v>
      </c>
      <c r="F7" s="37" t="s">
        <v>124</v>
      </c>
      <c r="G7" s="37"/>
      <c r="H7" s="330" t="s">
        <v>2457</v>
      </c>
      <c r="I7" s="41" t="s">
        <v>2291</v>
      </c>
      <c r="J7" s="62" t="s">
        <v>2458</v>
      </c>
      <c r="K7" s="62" t="s">
        <v>2459</v>
      </c>
    </row>
    <row r="8" spans="2:17" s="3" customFormat="1">
      <c r="B8" s="311">
        <v>5</v>
      </c>
      <c r="C8" s="90"/>
      <c r="D8" s="68">
        <v>20</v>
      </c>
      <c r="E8" s="329">
        <v>45944</v>
      </c>
      <c r="F8" s="37" t="s">
        <v>159</v>
      </c>
      <c r="G8" s="37"/>
      <c r="H8" s="330" t="s">
        <v>2460</v>
      </c>
      <c r="I8" s="41" t="s">
        <v>1653</v>
      </c>
      <c r="J8" s="36" t="s">
        <v>2461</v>
      </c>
      <c r="K8" s="314"/>
    </row>
    <row r="9" spans="2:17" s="3" customFormat="1">
      <c r="B9" s="311">
        <v>6</v>
      </c>
      <c r="C9" s="90"/>
      <c r="D9" s="332">
        <v>2.9999999999999893</v>
      </c>
      <c r="E9" s="275"/>
      <c r="F9" s="37"/>
      <c r="G9" s="37"/>
      <c r="H9" s="285" t="s">
        <v>2462</v>
      </c>
      <c r="I9" s="37"/>
      <c r="J9" s="37"/>
      <c r="K9" s="318"/>
    </row>
    <row r="10" spans="2:17" s="3" customFormat="1">
      <c r="B10" s="316">
        <v>7</v>
      </c>
      <c r="C10" s="90"/>
      <c r="D10" s="332">
        <v>70.000000000000014</v>
      </c>
      <c r="E10" s="275"/>
      <c r="F10" s="37"/>
      <c r="G10" s="37"/>
      <c r="H10" s="285" t="s">
        <v>2463</v>
      </c>
      <c r="I10" s="37"/>
      <c r="J10" s="37"/>
      <c r="K10" s="318"/>
    </row>
    <row r="11" spans="2:17" s="3" customFormat="1">
      <c r="B11" s="311">
        <v>8</v>
      </c>
      <c r="C11" s="90"/>
      <c r="D11" s="332">
        <v>49.999999999999986</v>
      </c>
      <c r="E11" s="275"/>
      <c r="F11" s="37"/>
      <c r="G11" s="37"/>
      <c r="H11" s="285" t="s">
        <v>2464</v>
      </c>
      <c r="I11" s="37"/>
      <c r="J11" s="37"/>
      <c r="K11" s="318"/>
    </row>
    <row r="12" spans="2:17" s="3" customFormat="1">
      <c r="B12" s="311">
        <v>9</v>
      </c>
      <c r="C12" s="90"/>
      <c r="D12" s="68">
        <v>195</v>
      </c>
      <c r="E12" s="275">
        <v>45957</v>
      </c>
      <c r="F12" s="37" t="s">
        <v>124</v>
      </c>
      <c r="G12" s="37" t="s">
        <v>125</v>
      </c>
      <c r="H12" s="285" t="s">
        <v>2465</v>
      </c>
      <c r="I12" s="37"/>
      <c r="J12" s="333" t="s">
        <v>2466</v>
      </c>
      <c r="K12" s="318"/>
    </row>
    <row r="13" spans="2:17">
      <c r="B13" s="311">
        <v>10</v>
      </c>
      <c r="C13" s="90"/>
      <c r="D13" s="68"/>
      <c r="E13" s="275"/>
      <c r="F13" s="37"/>
      <c r="G13" s="37"/>
      <c r="H13" s="285"/>
      <c r="I13" s="37"/>
      <c r="J13" s="37"/>
      <c r="K13" s="318"/>
    </row>
    <row r="14" spans="2:17">
      <c r="B14" s="311"/>
      <c r="C14" s="251"/>
      <c r="D14" s="68"/>
      <c r="E14" s="275"/>
      <c r="F14" s="74"/>
      <c r="G14" s="74"/>
      <c r="H14" s="74"/>
      <c r="I14" s="74"/>
      <c r="J14" s="74"/>
      <c r="K14" s="319"/>
    </row>
    <row r="15" spans="2:17">
      <c r="B15" s="311"/>
      <c r="C15" s="251"/>
      <c r="D15" s="68"/>
      <c r="E15" s="275"/>
      <c r="F15" s="74"/>
      <c r="G15" s="74"/>
      <c r="H15" s="74"/>
      <c r="I15" s="74"/>
      <c r="J15" s="74"/>
      <c r="K15" s="319"/>
    </row>
    <row r="16" spans="2:17">
      <c r="B16" s="311"/>
      <c r="C16" s="321"/>
      <c r="D16" s="68"/>
      <c r="E16" s="321"/>
      <c r="F16" s="321"/>
      <c r="G16" s="321"/>
      <c r="H16" s="321"/>
      <c r="I16" s="321"/>
      <c r="J16" s="321"/>
      <c r="K16" s="322"/>
    </row>
    <row r="17" spans="2:11">
      <c r="B17" s="124" t="s">
        <v>11</v>
      </c>
      <c r="C17" s="94">
        <f>SUM(C5:C16)</f>
        <v>0</v>
      </c>
      <c r="D17" s="94">
        <f>SUM(D5:D16)</f>
        <v>613</v>
      </c>
      <c r="E17" s="434"/>
      <c r="F17" s="435"/>
      <c r="G17" s="435"/>
      <c r="H17" s="435"/>
      <c r="I17" s="435"/>
      <c r="J17" s="435"/>
      <c r="K17" s="435"/>
    </row>
    <row r="18" spans="2:11">
      <c r="B18" s="9"/>
      <c r="C18" s="10"/>
      <c r="D18" s="11"/>
      <c r="E18" s="434"/>
      <c r="F18" s="435"/>
      <c r="G18" s="435"/>
      <c r="H18" s="435"/>
      <c r="I18" s="435"/>
      <c r="J18" s="435"/>
      <c r="K18" s="435"/>
    </row>
    <row r="19" spans="2:11">
      <c r="B19" s="6" t="s">
        <v>12</v>
      </c>
      <c r="C19" s="432">
        <f>SUM(C17,D17)</f>
        <v>613</v>
      </c>
      <c r="D19" s="433"/>
      <c r="E19" s="434"/>
      <c r="F19" s="435"/>
      <c r="G19" s="435"/>
      <c r="H19" s="435"/>
      <c r="I19" s="435"/>
      <c r="J19" s="435"/>
      <c r="K19" s="435"/>
    </row>
    <row r="20" spans="2:11">
      <c r="B20" s="12"/>
      <c r="C20" s="13"/>
      <c r="D20" s="14"/>
      <c r="E20" s="436"/>
      <c r="F20" s="437"/>
      <c r="G20" s="437"/>
      <c r="H20" s="437"/>
      <c r="I20" s="437"/>
      <c r="J20" s="437"/>
      <c r="K20" s="437"/>
    </row>
    <row r="21" spans="2:11">
      <c r="E21" s="152"/>
      <c r="F21" s="152"/>
      <c r="G21" s="152"/>
      <c r="H21" s="152"/>
      <c r="I21" s="152"/>
      <c r="J21" s="152"/>
      <c r="K21" s="152"/>
    </row>
    <row r="22" spans="2:11">
      <c r="E22" s="152"/>
      <c r="F22" s="152"/>
      <c r="G22" s="152"/>
      <c r="H22" s="152"/>
      <c r="I22" s="152"/>
      <c r="J22" s="152"/>
      <c r="K22" s="152"/>
    </row>
    <row r="23" spans="2:11" ht="26.25">
      <c r="B23" s="446" t="s">
        <v>13</v>
      </c>
      <c r="C23" s="447"/>
      <c r="D23" s="446" t="s">
        <v>14</v>
      </c>
      <c r="E23" s="446"/>
      <c r="F23" s="446"/>
      <c r="G23" s="446"/>
      <c r="H23" s="446"/>
      <c r="I23" s="446"/>
      <c r="J23" s="197" t="s">
        <v>15</v>
      </c>
    </row>
    <row r="24" spans="2:11" ht="20.25">
      <c r="B24" s="447"/>
      <c r="C24" s="447"/>
      <c r="D24" s="448" t="s">
        <v>16</v>
      </c>
      <c r="E24" s="448"/>
      <c r="F24" s="448"/>
      <c r="G24" s="448"/>
      <c r="H24" s="448"/>
      <c r="I24" s="448"/>
      <c r="J24" s="197" t="s">
        <v>17</v>
      </c>
    </row>
    <row r="25" spans="2:11">
      <c r="B25" s="449" t="s">
        <v>18</v>
      </c>
      <c r="C25" s="449"/>
      <c r="D25" s="174">
        <v>45942</v>
      </c>
      <c r="E25" s="199" t="s">
        <v>1460</v>
      </c>
      <c r="F25" s="450" t="s">
        <v>124</v>
      </c>
      <c r="G25" s="450"/>
      <c r="H25" s="201" t="s">
        <v>21</v>
      </c>
      <c r="I25" s="202" t="s">
        <v>917</v>
      </c>
      <c r="J25" s="199" t="s">
        <v>23</v>
      </c>
    </row>
    <row r="26" spans="2:11">
      <c r="B26" s="449" t="s">
        <v>24</v>
      </c>
      <c r="C26" s="449"/>
      <c r="D26" s="203" t="s">
        <v>2467</v>
      </c>
      <c r="E26" s="204" t="s">
        <v>25</v>
      </c>
      <c r="F26" s="450" t="s">
        <v>26</v>
      </c>
      <c r="G26" s="450"/>
      <c r="H26" s="199" t="s">
        <v>27</v>
      </c>
      <c r="I26" s="202" t="s">
        <v>2468</v>
      </c>
      <c r="J26" s="202" t="s">
        <v>2469</v>
      </c>
      <c r="K26" s="135">
        <v>90</v>
      </c>
    </row>
    <row r="27" spans="2:11">
      <c r="B27" s="449" t="s">
        <v>30</v>
      </c>
      <c r="C27" s="449"/>
      <c r="D27" s="199" t="s">
        <v>31</v>
      </c>
      <c r="E27" s="199" t="s">
        <v>32</v>
      </c>
      <c r="F27" s="450">
        <v>262</v>
      </c>
      <c r="G27" s="450"/>
      <c r="H27" s="201" t="s">
        <v>33</v>
      </c>
      <c r="I27" s="247" t="s">
        <v>2470</v>
      </c>
      <c r="J27" s="202"/>
      <c r="K27" s="135">
        <v>3</v>
      </c>
    </row>
    <row r="28" spans="2:11">
      <c r="B28" s="451" t="s">
        <v>35</v>
      </c>
      <c r="C28" s="451"/>
      <c r="D28" s="449" t="s">
        <v>2471</v>
      </c>
      <c r="E28" s="449"/>
      <c r="F28" s="449"/>
      <c r="G28" s="449"/>
      <c r="H28" s="449"/>
      <c r="I28" s="449"/>
      <c r="J28" s="449"/>
      <c r="K28" s="135">
        <v>270</v>
      </c>
    </row>
    <row r="29" spans="2:11">
      <c r="B29" s="452" t="s">
        <v>2472</v>
      </c>
      <c r="C29" s="453"/>
      <c r="D29" s="453"/>
      <c r="E29" s="453"/>
      <c r="F29" s="453"/>
      <c r="G29" s="453"/>
      <c r="H29" s="453"/>
      <c r="I29" s="453"/>
      <c r="J29" s="454"/>
      <c r="K29" s="135">
        <v>2700000</v>
      </c>
    </row>
    <row r="30" spans="2:11">
      <c r="B30" s="455"/>
      <c r="C30" s="456"/>
      <c r="D30" s="456"/>
      <c r="E30" s="456"/>
      <c r="F30" s="456"/>
      <c r="G30" s="456"/>
      <c r="H30" s="456"/>
      <c r="I30" s="456"/>
      <c r="J30" s="457"/>
    </row>
    <row r="31" spans="2:11">
      <c r="B31" s="455"/>
      <c r="C31" s="456"/>
      <c r="D31" s="456"/>
      <c r="E31" s="456"/>
      <c r="F31" s="456"/>
      <c r="G31" s="456"/>
      <c r="H31" s="456"/>
      <c r="I31" s="456"/>
      <c r="J31" s="457"/>
    </row>
    <row r="32" spans="2:11">
      <c r="B32" s="458"/>
      <c r="C32" s="459"/>
      <c r="D32" s="459"/>
      <c r="E32" s="459"/>
      <c r="F32" s="459"/>
      <c r="G32" s="459"/>
      <c r="H32" s="459"/>
      <c r="I32" s="459"/>
      <c r="J32" s="460"/>
    </row>
    <row r="33" spans="2:10" ht="18">
      <c r="B33" s="461" t="s">
        <v>38</v>
      </c>
      <c r="C33" s="462"/>
      <c r="D33" s="462"/>
      <c r="E33" s="462"/>
      <c r="F33" s="462"/>
      <c r="G33" s="462"/>
      <c r="H33" s="462"/>
      <c r="I33" s="463"/>
      <c r="J33" s="205" t="s">
        <v>39</v>
      </c>
    </row>
    <row r="34" spans="2:10">
      <c r="B34" s="200">
        <v>1</v>
      </c>
      <c r="C34" s="464" t="s">
        <v>2473</v>
      </c>
      <c r="D34" s="465"/>
      <c r="E34" s="465"/>
      <c r="F34" s="465"/>
      <c r="G34" s="465"/>
      <c r="H34" s="465"/>
      <c r="I34" s="466"/>
      <c r="J34" s="200" t="s">
        <v>26</v>
      </c>
    </row>
    <row r="35" spans="2:10">
      <c r="B35" s="200">
        <v>2</v>
      </c>
      <c r="C35" s="464" t="s">
        <v>2474</v>
      </c>
      <c r="D35" s="465"/>
      <c r="E35" s="465"/>
      <c r="F35" s="465"/>
      <c r="G35" s="465"/>
      <c r="H35" s="465"/>
      <c r="I35" s="466"/>
      <c r="J35" s="200" t="s">
        <v>2387</v>
      </c>
    </row>
    <row r="36" spans="2:10">
      <c r="B36" s="254">
        <v>3</v>
      </c>
      <c r="C36" s="464" t="s">
        <v>2475</v>
      </c>
      <c r="D36" s="465"/>
      <c r="E36" s="465"/>
      <c r="F36" s="465"/>
      <c r="G36" s="465"/>
      <c r="H36" s="465"/>
      <c r="I36" s="466"/>
      <c r="J36" s="200" t="s">
        <v>26</v>
      </c>
    </row>
    <row r="37" spans="2:10" ht="20.25" customHeight="1">
      <c r="B37" s="88"/>
      <c r="C37" s="465"/>
      <c r="D37" s="465"/>
      <c r="E37" s="465"/>
      <c r="F37" s="465"/>
      <c r="G37" s="465"/>
      <c r="H37" s="465"/>
      <c r="I37" s="466"/>
      <c r="J37" s="200"/>
    </row>
    <row r="38" spans="2:10" ht="18">
      <c r="B38" s="1115" t="s">
        <v>44</v>
      </c>
      <c r="C38" s="462"/>
      <c r="D38" s="462"/>
      <c r="E38" s="462"/>
      <c r="F38" s="462"/>
      <c r="G38" s="462"/>
      <c r="H38" s="462"/>
      <c r="I38" s="462"/>
      <c r="J38" s="463"/>
    </row>
    <row r="39" spans="2:10">
      <c r="B39" s="200" t="s">
        <v>45</v>
      </c>
      <c r="C39" s="1059" t="s">
        <v>2476</v>
      </c>
      <c r="D39" s="473"/>
      <c r="E39" s="473"/>
      <c r="F39" s="473"/>
      <c r="G39" s="473"/>
      <c r="H39" s="473"/>
      <c r="I39" s="473"/>
      <c r="J39" s="473"/>
    </row>
    <row r="40" spans="2:10">
      <c r="B40" s="206" t="s">
        <v>45</v>
      </c>
      <c r="C40" s="1059" t="s">
        <v>2477</v>
      </c>
      <c r="D40" s="473"/>
      <c r="E40" s="473"/>
      <c r="F40" s="473"/>
      <c r="G40" s="473"/>
      <c r="H40" s="473"/>
      <c r="I40" s="473"/>
      <c r="J40" s="473"/>
    </row>
    <row r="41" spans="2:10">
      <c r="B41" s="206" t="s">
        <v>45</v>
      </c>
      <c r="C41" s="1059" t="s">
        <v>2478</v>
      </c>
      <c r="D41" s="473"/>
      <c r="E41" s="473"/>
      <c r="F41" s="473"/>
      <c r="G41" s="473"/>
      <c r="H41" s="473"/>
      <c r="I41" s="473"/>
      <c r="J41" s="473"/>
    </row>
    <row r="42" spans="2:10">
      <c r="B42" s="206" t="s">
        <v>45</v>
      </c>
      <c r="C42" s="1101" t="s">
        <v>2479</v>
      </c>
      <c r="D42" s="475"/>
      <c r="E42" s="475"/>
      <c r="F42" s="475"/>
      <c r="G42" s="475"/>
      <c r="H42" s="475"/>
      <c r="I42" s="475"/>
      <c r="J42" s="476"/>
    </row>
    <row r="43" spans="2:10">
      <c r="B43" s="206" t="s">
        <v>45</v>
      </c>
      <c r="C43" s="464" t="s">
        <v>2480</v>
      </c>
      <c r="D43" s="465"/>
      <c r="E43" s="465"/>
      <c r="F43" s="465"/>
      <c r="G43" s="465"/>
      <c r="H43" s="465"/>
      <c r="I43" s="465"/>
      <c r="J43" s="466"/>
    </row>
    <row r="44" spans="2:10">
      <c r="B44" s="206" t="s">
        <v>45</v>
      </c>
      <c r="C44" s="464"/>
      <c r="D44" s="465"/>
      <c r="E44" s="465"/>
      <c r="F44" s="465"/>
      <c r="G44" s="465"/>
      <c r="H44" s="465"/>
      <c r="I44" s="465"/>
      <c r="J44" s="466"/>
    </row>
    <row r="45" spans="2:10">
      <c r="B45" s="200" t="s">
        <v>45</v>
      </c>
      <c r="C45" s="464"/>
      <c r="D45" s="465"/>
      <c r="E45" s="465"/>
      <c r="F45" s="465"/>
      <c r="G45" s="465"/>
      <c r="H45" s="465"/>
      <c r="I45" s="465"/>
      <c r="J45" s="466"/>
    </row>
    <row r="46" spans="2:10">
      <c r="B46" s="200" t="s">
        <v>7</v>
      </c>
      <c r="C46" s="464" t="s">
        <v>2480</v>
      </c>
      <c r="D46" s="465"/>
      <c r="E46" s="465"/>
      <c r="F46" s="465"/>
      <c r="G46" s="465"/>
      <c r="H46" s="465"/>
      <c r="I46" s="465"/>
      <c r="J46" s="466"/>
    </row>
    <row r="47" spans="2:10" ht="18">
      <c r="B47" s="205" t="s">
        <v>52</v>
      </c>
      <c r="C47" s="477" t="s">
        <v>53</v>
      </c>
      <c r="D47" s="477"/>
      <c r="E47" s="477"/>
      <c r="F47" s="477"/>
      <c r="G47" s="477"/>
      <c r="H47" s="205" t="s">
        <v>54</v>
      </c>
      <c r="I47" s="205" t="s">
        <v>55</v>
      </c>
      <c r="J47" s="205" t="s">
        <v>56</v>
      </c>
    </row>
    <row r="48" spans="2:10">
      <c r="B48" s="200">
        <v>1</v>
      </c>
      <c r="C48" s="1102" t="s">
        <v>2481</v>
      </c>
      <c r="D48" s="451"/>
      <c r="E48" s="451"/>
      <c r="F48" s="451"/>
      <c r="G48" s="451"/>
      <c r="H48" s="200"/>
      <c r="I48" s="207" t="s">
        <v>1692</v>
      </c>
      <c r="J48" s="200" t="s">
        <v>1973</v>
      </c>
    </row>
    <row r="49" spans="2:11" ht="15" customHeight="1">
      <c r="B49" s="200">
        <v>1</v>
      </c>
      <c r="C49" s="1102" t="s">
        <v>2482</v>
      </c>
      <c r="D49" s="451"/>
      <c r="E49" s="451"/>
      <c r="F49" s="451"/>
      <c r="G49" s="451"/>
      <c r="H49" s="200"/>
      <c r="I49" s="207" t="s">
        <v>1692</v>
      </c>
      <c r="J49" s="200"/>
    </row>
    <row r="50" spans="2:11" ht="27" customHeight="1">
      <c r="B50" s="200">
        <v>2</v>
      </c>
      <c r="C50" s="1102" t="s">
        <v>2483</v>
      </c>
      <c r="D50" s="451"/>
      <c r="E50" s="451"/>
      <c r="F50" s="451"/>
      <c r="G50" s="451"/>
      <c r="H50" s="200"/>
      <c r="I50" s="207" t="s">
        <v>1692</v>
      </c>
      <c r="J50" s="200"/>
    </row>
    <row r="51" spans="2:11">
      <c r="B51" s="450" t="s">
        <v>63</v>
      </c>
      <c r="C51" s="450"/>
      <c r="D51" s="199" t="s">
        <v>31</v>
      </c>
      <c r="E51" s="198" t="s">
        <v>64</v>
      </c>
      <c r="F51" s="467"/>
      <c r="G51" s="469"/>
      <c r="H51" s="199"/>
      <c r="I51" s="199"/>
      <c r="J51" s="199"/>
    </row>
    <row r="52" spans="2:11" ht="45">
      <c r="B52" s="201" t="s">
        <v>66</v>
      </c>
      <c r="C52" s="450"/>
      <c r="D52" s="450"/>
      <c r="E52" s="201" t="s">
        <v>67</v>
      </c>
      <c r="F52" s="450"/>
      <c r="G52" s="450"/>
      <c r="H52" s="201" t="s">
        <v>68</v>
      </c>
      <c r="I52" s="450"/>
      <c r="J52" s="450"/>
    </row>
    <row r="53" spans="2:11">
      <c r="E53" s="152"/>
      <c r="F53" s="152"/>
      <c r="G53" s="152"/>
      <c r="H53" s="152"/>
      <c r="I53" s="152"/>
      <c r="J53" s="152"/>
      <c r="K53" s="152"/>
    </row>
    <row r="55" spans="2:11" ht="26.25">
      <c r="B55" s="446" t="s">
        <v>13</v>
      </c>
      <c r="C55" s="447"/>
      <c r="D55" s="446" t="s">
        <v>14</v>
      </c>
      <c r="E55" s="446"/>
      <c r="F55" s="446"/>
      <c r="G55" s="446"/>
      <c r="H55" s="446"/>
      <c r="I55" s="446"/>
      <c r="J55" s="197" t="s">
        <v>15</v>
      </c>
    </row>
    <row r="56" spans="2:11" ht="20.25">
      <c r="B56" s="447"/>
      <c r="C56" s="447"/>
      <c r="D56" s="448" t="s">
        <v>16</v>
      </c>
      <c r="E56" s="448"/>
      <c r="F56" s="448"/>
      <c r="G56" s="448"/>
      <c r="H56" s="448"/>
      <c r="I56" s="448"/>
      <c r="J56" s="197" t="s">
        <v>17</v>
      </c>
    </row>
    <row r="57" spans="2:11">
      <c r="B57" s="449" t="s">
        <v>18</v>
      </c>
      <c r="C57" s="449"/>
      <c r="D57" s="275">
        <v>45950</v>
      </c>
      <c r="E57" s="199" t="s">
        <v>1460</v>
      </c>
      <c r="F57" s="450" t="s">
        <v>124</v>
      </c>
      <c r="G57" s="450"/>
      <c r="H57" s="201" t="s">
        <v>21</v>
      </c>
      <c r="I57" s="202" t="s">
        <v>917</v>
      </c>
      <c r="J57" s="199" t="s">
        <v>23</v>
      </c>
    </row>
    <row r="58" spans="2:11">
      <c r="B58" s="449" t="s">
        <v>24</v>
      </c>
      <c r="C58" s="449"/>
      <c r="D58" s="203" t="s">
        <v>2484</v>
      </c>
      <c r="E58" s="204" t="s">
        <v>25</v>
      </c>
      <c r="F58" s="450" t="s">
        <v>26</v>
      </c>
      <c r="G58" s="450"/>
      <c r="H58" s="199" t="s">
        <v>27</v>
      </c>
      <c r="I58" s="202" t="s">
        <v>2485</v>
      </c>
      <c r="J58" s="202" t="s">
        <v>29</v>
      </c>
    </row>
    <row r="59" spans="2:11">
      <c r="B59" s="449" t="s">
        <v>30</v>
      </c>
      <c r="C59" s="449"/>
      <c r="D59" s="199" t="s">
        <v>31</v>
      </c>
      <c r="E59" s="199" t="s">
        <v>32</v>
      </c>
      <c r="F59" s="450">
        <v>120</v>
      </c>
      <c r="G59" s="450"/>
      <c r="H59" s="201" t="s">
        <v>33</v>
      </c>
      <c r="I59" s="247"/>
      <c r="J59" s="202"/>
    </row>
    <row r="60" spans="2:11">
      <c r="B60" s="451" t="s">
        <v>35</v>
      </c>
      <c r="C60" s="451"/>
      <c r="D60" s="449" t="s">
        <v>2486</v>
      </c>
      <c r="E60" s="449"/>
      <c r="F60" s="449"/>
      <c r="G60" s="449"/>
      <c r="H60" s="449"/>
      <c r="I60" s="449"/>
      <c r="J60" s="449"/>
    </row>
    <row r="61" spans="2:11">
      <c r="B61" s="452" t="s">
        <v>2487</v>
      </c>
      <c r="C61" s="453"/>
      <c r="D61" s="453"/>
      <c r="E61" s="453"/>
      <c r="F61" s="453"/>
      <c r="G61" s="453"/>
      <c r="H61" s="453"/>
      <c r="I61" s="453"/>
      <c r="J61" s="454"/>
    </row>
    <row r="62" spans="2:11">
      <c r="B62" s="455"/>
      <c r="C62" s="456"/>
      <c r="D62" s="456"/>
      <c r="E62" s="456"/>
      <c r="F62" s="456"/>
      <c r="G62" s="456"/>
      <c r="H62" s="456"/>
      <c r="I62" s="456"/>
      <c r="J62" s="457"/>
    </row>
    <row r="63" spans="2:11">
      <c r="B63" s="455"/>
      <c r="C63" s="456"/>
      <c r="D63" s="456"/>
      <c r="E63" s="456"/>
      <c r="F63" s="456"/>
      <c r="G63" s="456"/>
      <c r="H63" s="456"/>
      <c r="I63" s="456"/>
      <c r="J63" s="457"/>
    </row>
    <row r="64" spans="2:11">
      <c r="B64" s="458"/>
      <c r="C64" s="459"/>
      <c r="D64" s="459"/>
      <c r="E64" s="459"/>
      <c r="F64" s="459"/>
      <c r="G64" s="459"/>
      <c r="H64" s="459"/>
      <c r="I64" s="459"/>
      <c r="J64" s="460"/>
    </row>
    <row r="65" spans="2:10" ht="18">
      <c r="B65" s="461" t="s">
        <v>38</v>
      </c>
      <c r="C65" s="462"/>
      <c r="D65" s="462"/>
      <c r="E65" s="462"/>
      <c r="F65" s="462"/>
      <c r="G65" s="462"/>
      <c r="H65" s="462"/>
      <c r="I65" s="463"/>
      <c r="J65" s="205" t="s">
        <v>39</v>
      </c>
    </row>
    <row r="66" spans="2:10">
      <c r="B66" s="200">
        <v>1</v>
      </c>
      <c r="C66" s="464" t="s">
        <v>2488</v>
      </c>
      <c r="D66" s="465"/>
      <c r="E66" s="465"/>
      <c r="F66" s="465"/>
      <c r="G66" s="465"/>
      <c r="H66" s="465"/>
      <c r="I66" s="466"/>
      <c r="J66" s="200" t="s">
        <v>26</v>
      </c>
    </row>
    <row r="67" spans="2:10">
      <c r="B67" s="200">
        <v>2</v>
      </c>
      <c r="C67" s="464"/>
      <c r="D67" s="465"/>
      <c r="E67" s="465"/>
      <c r="F67" s="465"/>
      <c r="G67" s="465"/>
      <c r="H67" s="465"/>
      <c r="I67" s="466"/>
      <c r="J67" s="200"/>
    </row>
    <row r="68" spans="2:10">
      <c r="B68" s="200">
        <v>3</v>
      </c>
      <c r="C68" s="464"/>
      <c r="D68" s="465"/>
      <c r="E68" s="465"/>
      <c r="F68" s="465"/>
      <c r="G68" s="465"/>
      <c r="H68" s="465"/>
      <c r="I68" s="466"/>
      <c r="J68" s="200"/>
    </row>
    <row r="69" spans="2:10" ht="18">
      <c r="B69" s="461" t="s">
        <v>44</v>
      </c>
      <c r="C69" s="462"/>
      <c r="D69" s="462"/>
      <c r="E69" s="462"/>
      <c r="F69" s="462"/>
      <c r="G69" s="462"/>
      <c r="H69" s="462"/>
      <c r="I69" s="462"/>
      <c r="J69" s="463"/>
    </row>
    <row r="70" spans="2:10">
      <c r="B70" s="200" t="s">
        <v>45</v>
      </c>
      <c r="C70" s="1059" t="s">
        <v>2489</v>
      </c>
      <c r="D70" s="473"/>
      <c r="E70" s="473"/>
      <c r="F70" s="473"/>
      <c r="G70" s="473"/>
      <c r="H70" s="473"/>
      <c r="I70" s="473"/>
      <c r="J70" s="473"/>
    </row>
    <row r="71" spans="2:10">
      <c r="B71" s="206" t="s">
        <v>45</v>
      </c>
      <c r="C71" s="1059" t="s">
        <v>2490</v>
      </c>
      <c r="D71" s="473"/>
      <c r="E71" s="473"/>
      <c r="F71" s="473"/>
      <c r="G71" s="473"/>
      <c r="H71" s="473"/>
      <c r="I71" s="473"/>
      <c r="J71" s="473"/>
    </row>
    <row r="72" spans="2:10">
      <c r="B72" s="206" t="s">
        <v>45</v>
      </c>
      <c r="C72" s="1059" t="s">
        <v>2491</v>
      </c>
      <c r="D72" s="473"/>
      <c r="E72" s="473"/>
      <c r="F72" s="473"/>
      <c r="G72" s="473"/>
      <c r="H72" s="473"/>
      <c r="I72" s="473"/>
      <c r="J72" s="473"/>
    </row>
    <row r="73" spans="2:10">
      <c r="B73" s="206" t="s">
        <v>45</v>
      </c>
      <c r="C73" s="1101"/>
      <c r="D73" s="475"/>
      <c r="E73" s="475"/>
      <c r="F73" s="475"/>
      <c r="G73" s="475"/>
      <c r="H73" s="475"/>
      <c r="I73" s="475"/>
      <c r="J73" s="476"/>
    </row>
    <row r="74" spans="2:10">
      <c r="B74" s="206" t="s">
        <v>45</v>
      </c>
      <c r="C74" s="464"/>
      <c r="D74" s="465"/>
      <c r="E74" s="465"/>
      <c r="F74" s="465"/>
      <c r="G74" s="465"/>
      <c r="H74" s="465"/>
      <c r="I74" s="465"/>
      <c r="J74" s="466"/>
    </row>
    <row r="75" spans="2:10">
      <c r="B75" s="206" t="s">
        <v>45</v>
      </c>
      <c r="C75" s="464"/>
      <c r="D75" s="465"/>
      <c r="E75" s="465"/>
      <c r="F75" s="465"/>
      <c r="G75" s="465"/>
      <c r="H75" s="465"/>
      <c r="I75" s="465"/>
      <c r="J75" s="466"/>
    </row>
    <row r="76" spans="2:10">
      <c r="B76" s="200" t="s">
        <v>45</v>
      </c>
      <c r="C76" s="464"/>
      <c r="D76" s="465"/>
      <c r="E76" s="465"/>
      <c r="F76" s="465"/>
      <c r="G76" s="465"/>
      <c r="H76" s="465"/>
      <c r="I76" s="465"/>
      <c r="J76" s="466"/>
    </row>
    <row r="77" spans="2:10">
      <c r="B77" s="200" t="s">
        <v>7</v>
      </c>
      <c r="C77" s="1059" t="s">
        <v>2492</v>
      </c>
      <c r="D77" s="473"/>
      <c r="E77" s="473"/>
      <c r="F77" s="473"/>
      <c r="G77" s="473"/>
      <c r="H77" s="473"/>
      <c r="I77" s="473"/>
      <c r="J77" s="473"/>
    </row>
    <row r="78" spans="2:10" ht="18">
      <c r="B78" s="205" t="s">
        <v>52</v>
      </c>
      <c r="C78" s="477" t="s">
        <v>53</v>
      </c>
      <c r="D78" s="477"/>
      <c r="E78" s="477"/>
      <c r="F78" s="477"/>
      <c r="G78" s="477"/>
      <c r="H78" s="205" t="s">
        <v>54</v>
      </c>
      <c r="I78" s="205" t="s">
        <v>55</v>
      </c>
      <c r="J78" s="205" t="s">
        <v>56</v>
      </c>
    </row>
    <row r="79" spans="2:10">
      <c r="B79" s="200">
        <v>1</v>
      </c>
      <c r="C79" s="1102" t="s">
        <v>2493</v>
      </c>
      <c r="D79" s="451"/>
      <c r="E79" s="451"/>
      <c r="F79" s="451"/>
      <c r="G79" s="451"/>
      <c r="H79" s="200"/>
      <c r="I79" s="207" t="s">
        <v>1692</v>
      </c>
      <c r="J79" s="200"/>
    </row>
    <row r="80" spans="2:10">
      <c r="B80" s="200">
        <v>2</v>
      </c>
      <c r="C80" s="1102"/>
      <c r="D80" s="451"/>
      <c r="E80" s="451"/>
      <c r="F80" s="451"/>
      <c r="G80" s="451"/>
      <c r="H80" s="200"/>
      <c r="I80" s="207"/>
      <c r="J80" s="200"/>
    </row>
    <row r="81" spans="2:10">
      <c r="B81" s="200"/>
      <c r="C81" s="1102"/>
      <c r="D81" s="451"/>
      <c r="E81" s="451"/>
      <c r="F81" s="451"/>
      <c r="G81" s="451"/>
      <c r="H81" s="200"/>
      <c r="I81" s="207"/>
      <c r="J81" s="200"/>
    </row>
    <row r="82" spans="2:10">
      <c r="B82" s="450" t="s">
        <v>63</v>
      </c>
      <c r="C82" s="450"/>
      <c r="D82" s="199" t="s">
        <v>31</v>
      </c>
      <c r="E82" s="198" t="s">
        <v>64</v>
      </c>
      <c r="F82" s="467"/>
      <c r="G82" s="469"/>
      <c r="H82" s="199"/>
      <c r="I82" s="199"/>
      <c r="J82" s="199"/>
    </row>
    <row r="83" spans="2:10" ht="45">
      <c r="B83" s="201" t="s">
        <v>66</v>
      </c>
      <c r="C83" s="450"/>
      <c r="D83" s="450"/>
      <c r="E83" s="201" t="s">
        <v>67</v>
      </c>
      <c r="F83" s="450"/>
      <c r="G83" s="450"/>
      <c r="H83" s="201" t="s">
        <v>68</v>
      </c>
      <c r="I83" s="450"/>
      <c r="J83" s="450"/>
    </row>
    <row r="86" spans="2:10" ht="26.25">
      <c r="B86" s="446" t="s">
        <v>13</v>
      </c>
      <c r="C86" s="447"/>
      <c r="D86" s="446" t="s">
        <v>14</v>
      </c>
      <c r="E86" s="446"/>
      <c r="F86" s="446"/>
      <c r="G86" s="446"/>
      <c r="H86" s="446"/>
      <c r="I86" s="446"/>
      <c r="J86" s="197" t="s">
        <v>15</v>
      </c>
    </row>
    <row r="87" spans="2:10" ht="20.25">
      <c r="B87" s="447"/>
      <c r="C87" s="447"/>
      <c r="D87" s="448" t="s">
        <v>16</v>
      </c>
      <c r="E87" s="448"/>
      <c r="F87" s="448"/>
      <c r="G87" s="448"/>
      <c r="H87" s="448"/>
      <c r="I87" s="448"/>
      <c r="J87" s="197" t="s">
        <v>17</v>
      </c>
    </row>
    <row r="88" spans="2:10">
      <c r="B88" s="449" t="s">
        <v>18</v>
      </c>
      <c r="C88" s="449"/>
      <c r="D88" s="275">
        <v>45957</v>
      </c>
      <c r="E88" s="199" t="s">
        <v>1460</v>
      </c>
      <c r="F88" s="450" t="s">
        <v>124</v>
      </c>
      <c r="G88" s="450"/>
      <c r="H88" s="201" t="s">
        <v>21</v>
      </c>
      <c r="I88" s="202" t="s">
        <v>917</v>
      </c>
      <c r="J88" s="199" t="s">
        <v>23</v>
      </c>
    </row>
    <row r="89" spans="2:10">
      <c r="B89" s="449" t="s">
        <v>24</v>
      </c>
      <c r="C89" s="449"/>
      <c r="D89" s="203" t="s">
        <v>2494</v>
      </c>
      <c r="E89" s="204" t="s">
        <v>25</v>
      </c>
      <c r="F89" s="450" t="s">
        <v>26</v>
      </c>
      <c r="G89" s="450"/>
      <c r="H89" s="199" t="s">
        <v>27</v>
      </c>
      <c r="I89" s="202" t="s">
        <v>1951</v>
      </c>
      <c r="J89" s="202" t="s">
        <v>29</v>
      </c>
    </row>
    <row r="90" spans="2:10">
      <c r="B90" s="449" t="s">
        <v>30</v>
      </c>
      <c r="C90" s="449"/>
      <c r="D90" s="199" t="s">
        <v>31</v>
      </c>
      <c r="E90" s="199" t="s">
        <v>32</v>
      </c>
      <c r="F90" s="450">
        <v>195</v>
      </c>
      <c r="G90" s="450"/>
      <c r="H90" s="201" t="s">
        <v>33</v>
      </c>
      <c r="I90" s="247"/>
      <c r="J90" s="202"/>
    </row>
    <row r="91" spans="2:10">
      <c r="B91" s="451" t="s">
        <v>35</v>
      </c>
      <c r="C91" s="451"/>
      <c r="D91" s="449" t="s">
        <v>2495</v>
      </c>
      <c r="E91" s="449"/>
      <c r="F91" s="449"/>
      <c r="G91" s="449"/>
      <c r="H91" s="449"/>
      <c r="I91" s="449"/>
      <c r="J91" s="449"/>
    </row>
    <row r="92" spans="2:10">
      <c r="B92" s="452" t="s">
        <v>2496</v>
      </c>
      <c r="C92" s="453"/>
      <c r="D92" s="453"/>
      <c r="E92" s="453"/>
      <c r="F92" s="453"/>
      <c r="G92" s="453"/>
      <c r="H92" s="453"/>
      <c r="I92" s="453"/>
      <c r="J92" s="454"/>
    </row>
    <row r="93" spans="2:10">
      <c r="B93" s="455"/>
      <c r="C93" s="456"/>
      <c r="D93" s="456"/>
      <c r="E93" s="456"/>
      <c r="F93" s="456"/>
      <c r="G93" s="456"/>
      <c r="H93" s="456"/>
      <c r="I93" s="456"/>
      <c r="J93" s="457"/>
    </row>
    <row r="94" spans="2:10">
      <c r="B94" s="455"/>
      <c r="C94" s="456"/>
      <c r="D94" s="456"/>
      <c r="E94" s="456"/>
      <c r="F94" s="456"/>
      <c r="G94" s="456"/>
      <c r="H94" s="456"/>
      <c r="I94" s="456"/>
      <c r="J94" s="457"/>
    </row>
    <row r="95" spans="2:10">
      <c r="B95" s="458"/>
      <c r="C95" s="459"/>
      <c r="D95" s="459"/>
      <c r="E95" s="459"/>
      <c r="F95" s="459"/>
      <c r="G95" s="459"/>
      <c r="H95" s="459"/>
      <c r="I95" s="459"/>
      <c r="J95" s="460"/>
    </row>
    <row r="96" spans="2:10" ht="18">
      <c r="B96" s="461" t="s">
        <v>38</v>
      </c>
      <c r="C96" s="462"/>
      <c r="D96" s="462"/>
      <c r="E96" s="462"/>
      <c r="F96" s="462"/>
      <c r="G96" s="462"/>
      <c r="H96" s="462"/>
      <c r="I96" s="463"/>
      <c r="J96" s="205" t="s">
        <v>39</v>
      </c>
    </row>
    <row r="97" spans="2:10">
      <c r="B97" s="200">
        <v>1</v>
      </c>
      <c r="C97" s="464"/>
      <c r="D97" s="465"/>
      <c r="E97" s="465"/>
      <c r="F97" s="465"/>
      <c r="G97" s="465"/>
      <c r="H97" s="465"/>
      <c r="I97" s="466"/>
      <c r="J97" s="200" t="s">
        <v>26</v>
      </c>
    </row>
    <row r="98" spans="2:10">
      <c r="B98" s="200">
        <v>2</v>
      </c>
      <c r="C98" s="464"/>
      <c r="D98" s="465"/>
      <c r="E98" s="465"/>
      <c r="F98" s="465"/>
      <c r="G98" s="465"/>
      <c r="H98" s="465"/>
      <c r="I98" s="466"/>
      <c r="J98" s="200"/>
    </row>
    <row r="99" spans="2:10">
      <c r="B99" s="200">
        <v>3</v>
      </c>
      <c r="C99" s="464"/>
      <c r="D99" s="465"/>
      <c r="E99" s="465"/>
      <c r="F99" s="465"/>
      <c r="G99" s="465"/>
      <c r="H99" s="465"/>
      <c r="I99" s="466"/>
      <c r="J99" s="200"/>
    </row>
    <row r="100" spans="2:10" ht="18">
      <c r="B100" s="461" t="s">
        <v>44</v>
      </c>
      <c r="C100" s="462"/>
      <c r="D100" s="462"/>
      <c r="E100" s="462"/>
      <c r="F100" s="462"/>
      <c r="G100" s="462"/>
      <c r="H100" s="462"/>
      <c r="I100" s="462"/>
      <c r="J100" s="463"/>
    </row>
    <row r="101" spans="2:10">
      <c r="B101" s="200" t="s">
        <v>45</v>
      </c>
      <c r="C101" s="1059" t="s">
        <v>2489</v>
      </c>
      <c r="D101" s="473"/>
      <c r="E101" s="473"/>
      <c r="F101" s="473"/>
      <c r="G101" s="473"/>
      <c r="H101" s="473"/>
      <c r="I101" s="473"/>
      <c r="J101" s="473"/>
    </row>
    <row r="102" spans="2:10">
      <c r="B102" s="206" t="s">
        <v>45</v>
      </c>
      <c r="C102" s="1059" t="s">
        <v>2465</v>
      </c>
      <c r="D102" s="473"/>
      <c r="E102" s="473"/>
      <c r="F102" s="473"/>
      <c r="G102" s="473"/>
      <c r="H102" s="473"/>
      <c r="I102" s="473"/>
      <c r="J102" s="473"/>
    </row>
    <row r="103" spans="2:10">
      <c r="B103" s="206" t="s">
        <v>45</v>
      </c>
      <c r="C103" s="1059" t="s">
        <v>2466</v>
      </c>
      <c r="D103" s="473"/>
      <c r="E103" s="473"/>
      <c r="F103" s="473"/>
      <c r="G103" s="473"/>
      <c r="H103" s="473"/>
      <c r="I103" s="473"/>
      <c r="J103" s="473"/>
    </row>
    <row r="104" spans="2:10">
      <c r="B104" s="206" t="s">
        <v>45</v>
      </c>
      <c r="C104" s="1101" t="s">
        <v>2497</v>
      </c>
      <c r="D104" s="475"/>
      <c r="E104" s="475"/>
      <c r="F104" s="475"/>
      <c r="G104" s="475"/>
      <c r="H104" s="475"/>
      <c r="I104" s="475"/>
      <c r="J104" s="476"/>
    </row>
    <row r="105" spans="2:10">
      <c r="B105" s="206" t="s">
        <v>45</v>
      </c>
      <c r="C105" s="464"/>
      <c r="D105" s="465"/>
      <c r="E105" s="465"/>
      <c r="F105" s="465"/>
      <c r="G105" s="465"/>
      <c r="H105" s="465"/>
      <c r="I105" s="465"/>
      <c r="J105" s="466"/>
    </row>
    <row r="106" spans="2:10">
      <c r="B106" s="206" t="s">
        <v>45</v>
      </c>
      <c r="C106" s="464"/>
      <c r="D106" s="465"/>
      <c r="E106" s="465"/>
      <c r="F106" s="465"/>
      <c r="G106" s="465"/>
      <c r="H106" s="465"/>
      <c r="I106" s="465"/>
      <c r="J106" s="466"/>
    </row>
    <row r="107" spans="2:10">
      <c r="B107" s="200" t="s">
        <v>45</v>
      </c>
      <c r="C107" s="464"/>
      <c r="D107" s="465"/>
      <c r="E107" s="465"/>
      <c r="F107" s="465"/>
      <c r="G107" s="465"/>
      <c r="H107" s="465"/>
      <c r="I107" s="465"/>
      <c r="J107" s="466"/>
    </row>
    <row r="108" spans="2:10">
      <c r="B108" s="200" t="s">
        <v>7</v>
      </c>
      <c r="C108" s="1101" t="s">
        <v>2497</v>
      </c>
      <c r="D108" s="475"/>
      <c r="E108" s="475"/>
      <c r="F108" s="475"/>
      <c r="G108" s="475"/>
      <c r="H108" s="475"/>
      <c r="I108" s="475"/>
      <c r="J108" s="476"/>
    </row>
    <row r="109" spans="2:10" ht="18">
      <c r="B109" s="205" t="s">
        <v>52</v>
      </c>
      <c r="C109" s="477" t="s">
        <v>53</v>
      </c>
      <c r="D109" s="477"/>
      <c r="E109" s="477"/>
      <c r="F109" s="477"/>
      <c r="G109" s="477"/>
      <c r="H109" s="205" t="s">
        <v>54</v>
      </c>
      <c r="I109" s="205" t="s">
        <v>55</v>
      </c>
      <c r="J109" s="205" t="s">
        <v>56</v>
      </c>
    </row>
    <row r="110" spans="2:10">
      <c r="B110" s="200">
        <v>1</v>
      </c>
      <c r="C110" s="1102"/>
      <c r="D110" s="451"/>
      <c r="E110" s="451"/>
      <c r="F110" s="451"/>
      <c r="G110" s="451"/>
      <c r="H110" s="200"/>
      <c r="I110" s="207" t="s">
        <v>1692</v>
      </c>
      <c r="J110" s="200"/>
    </row>
    <row r="111" spans="2:10">
      <c r="B111" s="200">
        <v>2</v>
      </c>
      <c r="C111" s="1102"/>
      <c r="D111" s="451"/>
      <c r="E111" s="451"/>
      <c r="F111" s="451"/>
      <c r="G111" s="451"/>
      <c r="H111" s="200"/>
      <c r="I111" s="207"/>
      <c r="J111" s="200"/>
    </row>
    <row r="112" spans="2:10">
      <c r="B112" s="200"/>
      <c r="C112" s="1102"/>
      <c r="D112" s="451"/>
      <c r="E112" s="451"/>
      <c r="F112" s="451"/>
      <c r="G112" s="451"/>
      <c r="H112" s="200"/>
      <c r="I112" s="207"/>
      <c r="J112" s="200"/>
    </row>
    <row r="113" spans="2:10">
      <c r="B113" s="450" t="s">
        <v>63</v>
      </c>
      <c r="C113" s="450"/>
      <c r="D113" s="199" t="s">
        <v>31</v>
      </c>
      <c r="E113" s="198" t="s">
        <v>64</v>
      </c>
      <c r="F113" s="467"/>
      <c r="G113" s="469"/>
      <c r="H113" s="199"/>
      <c r="I113" s="199"/>
      <c r="J113" s="199"/>
    </row>
    <row r="114" spans="2:10" ht="45">
      <c r="B114" s="201" t="s">
        <v>66</v>
      </c>
      <c r="C114" s="450"/>
      <c r="D114" s="450"/>
      <c r="E114" s="201" t="s">
        <v>67</v>
      </c>
      <c r="F114" s="450"/>
      <c r="G114" s="450"/>
      <c r="H114" s="201" t="s">
        <v>68</v>
      </c>
      <c r="I114" s="450"/>
      <c r="J114" s="450"/>
    </row>
    <row r="119" spans="2:10" ht="26.25">
      <c r="B119" s="446" t="s">
        <v>13</v>
      </c>
      <c r="C119" s="447"/>
      <c r="D119" s="446" t="s">
        <v>14</v>
      </c>
      <c r="E119" s="446"/>
      <c r="F119" s="446"/>
      <c r="G119" s="446"/>
      <c r="H119" s="446"/>
      <c r="I119" s="446"/>
      <c r="J119" s="197" t="s">
        <v>15</v>
      </c>
    </row>
    <row r="120" spans="2:10" ht="20.25">
      <c r="B120" s="447"/>
      <c r="C120" s="447"/>
      <c r="D120" s="448" t="s">
        <v>16</v>
      </c>
      <c r="E120" s="448"/>
      <c r="F120" s="448"/>
      <c r="G120" s="448"/>
      <c r="H120" s="448"/>
      <c r="I120" s="448"/>
      <c r="J120" s="197" t="s">
        <v>17</v>
      </c>
    </row>
    <row r="121" spans="2:10">
      <c r="B121" s="449" t="s">
        <v>18</v>
      </c>
      <c r="C121" s="449"/>
      <c r="D121" s="275">
        <v>45961</v>
      </c>
      <c r="E121" s="199" t="s">
        <v>1460</v>
      </c>
      <c r="F121" s="450" t="s">
        <v>124</v>
      </c>
      <c r="G121" s="450"/>
      <c r="H121" s="201" t="s">
        <v>21</v>
      </c>
      <c r="I121" s="202" t="s">
        <v>867</v>
      </c>
      <c r="J121" s="199" t="s">
        <v>1653</v>
      </c>
    </row>
    <row r="122" spans="2:10">
      <c r="B122" s="449" t="s">
        <v>24</v>
      </c>
      <c r="C122" s="449"/>
      <c r="D122" s="203">
        <v>0.61111111111111116</v>
      </c>
      <c r="E122" s="204" t="s">
        <v>25</v>
      </c>
      <c r="F122" s="450" t="s">
        <v>26</v>
      </c>
      <c r="G122" s="450"/>
      <c r="H122" s="199" t="s">
        <v>27</v>
      </c>
      <c r="I122" s="202" t="s">
        <v>2498</v>
      </c>
      <c r="J122" s="202" t="s">
        <v>29</v>
      </c>
    </row>
    <row r="123" spans="2:10" ht="30">
      <c r="B123" s="449" t="s">
        <v>30</v>
      </c>
      <c r="C123" s="449"/>
      <c r="D123" s="199" t="s">
        <v>31</v>
      </c>
      <c r="E123" s="199" t="s">
        <v>32</v>
      </c>
      <c r="F123" s="450">
        <v>90</v>
      </c>
      <c r="G123" s="450"/>
      <c r="H123" s="201" t="s">
        <v>33</v>
      </c>
      <c r="I123" s="247" t="s">
        <v>2499</v>
      </c>
      <c r="J123" s="202"/>
    </row>
    <row r="124" spans="2:10">
      <c r="B124" s="451" t="s">
        <v>35</v>
      </c>
      <c r="C124" s="451"/>
      <c r="D124" s="449" t="s">
        <v>2500</v>
      </c>
      <c r="E124" s="449"/>
      <c r="F124" s="449"/>
      <c r="G124" s="449"/>
      <c r="H124" s="449"/>
      <c r="I124" s="449"/>
      <c r="J124" s="449"/>
    </row>
    <row r="125" spans="2:10">
      <c r="B125" s="452" t="s">
        <v>2501</v>
      </c>
      <c r="C125" s="453"/>
      <c r="D125" s="453"/>
      <c r="E125" s="453"/>
      <c r="F125" s="453"/>
      <c r="G125" s="453"/>
      <c r="H125" s="453"/>
      <c r="I125" s="453"/>
      <c r="J125" s="454"/>
    </row>
    <row r="126" spans="2:10">
      <c r="B126" s="455"/>
      <c r="C126" s="456"/>
      <c r="D126" s="456"/>
      <c r="E126" s="456"/>
      <c r="F126" s="456"/>
      <c r="G126" s="456"/>
      <c r="H126" s="456"/>
      <c r="I126" s="456"/>
      <c r="J126" s="457"/>
    </row>
    <row r="127" spans="2:10">
      <c r="B127" s="455"/>
      <c r="C127" s="456"/>
      <c r="D127" s="456"/>
      <c r="E127" s="456"/>
      <c r="F127" s="456"/>
      <c r="G127" s="456"/>
      <c r="H127" s="456"/>
      <c r="I127" s="456"/>
      <c r="J127" s="457"/>
    </row>
    <row r="128" spans="2:10">
      <c r="B128" s="458"/>
      <c r="C128" s="459"/>
      <c r="D128" s="459"/>
      <c r="E128" s="459"/>
      <c r="F128" s="459"/>
      <c r="G128" s="459"/>
      <c r="H128" s="459"/>
      <c r="I128" s="459"/>
      <c r="J128" s="460"/>
    </row>
    <row r="129" spans="2:10" ht="18">
      <c r="B129" s="461" t="s">
        <v>38</v>
      </c>
      <c r="C129" s="462"/>
      <c r="D129" s="462"/>
      <c r="E129" s="462"/>
      <c r="F129" s="462"/>
      <c r="G129" s="462"/>
      <c r="H129" s="462"/>
      <c r="I129" s="463"/>
      <c r="J129" s="205" t="s">
        <v>39</v>
      </c>
    </row>
    <row r="130" spans="2:10">
      <c r="B130" s="200">
        <v>1</v>
      </c>
      <c r="C130" s="464" t="s">
        <v>2502</v>
      </c>
      <c r="D130" s="465"/>
      <c r="E130" s="465"/>
      <c r="F130" s="465"/>
      <c r="G130" s="465"/>
      <c r="H130" s="465"/>
      <c r="I130" s="466"/>
      <c r="J130" s="200" t="s">
        <v>26</v>
      </c>
    </row>
    <row r="131" spans="2:10">
      <c r="B131" s="200">
        <v>2</v>
      </c>
      <c r="C131" s="464" t="s">
        <v>2503</v>
      </c>
      <c r="D131" s="465"/>
      <c r="E131" s="465"/>
      <c r="F131" s="465"/>
      <c r="G131" s="465"/>
      <c r="H131" s="465"/>
      <c r="I131" s="466"/>
      <c r="J131" s="200" t="s">
        <v>26</v>
      </c>
    </row>
    <row r="132" spans="2:10">
      <c r="B132" s="200">
        <v>3</v>
      </c>
      <c r="C132" s="464" t="s">
        <v>2504</v>
      </c>
      <c r="D132" s="465"/>
      <c r="E132" s="465"/>
      <c r="F132" s="465"/>
      <c r="G132" s="465"/>
      <c r="H132" s="465"/>
      <c r="I132" s="466"/>
      <c r="J132" s="200" t="s">
        <v>26</v>
      </c>
    </row>
    <row r="133" spans="2:10" ht="18">
      <c r="B133" s="461" t="s">
        <v>44</v>
      </c>
      <c r="C133" s="462"/>
      <c r="D133" s="462"/>
      <c r="E133" s="462"/>
      <c r="F133" s="462"/>
      <c r="G133" s="462"/>
      <c r="H133" s="462"/>
      <c r="I133" s="462"/>
      <c r="J133" s="463"/>
    </row>
    <row r="134" spans="2:10">
      <c r="B134" s="200" t="s">
        <v>45</v>
      </c>
      <c r="C134" s="1059" t="s">
        <v>2489</v>
      </c>
      <c r="D134" s="473"/>
      <c r="E134" s="473"/>
      <c r="F134" s="473"/>
      <c r="G134" s="473"/>
      <c r="H134" s="473"/>
      <c r="I134" s="473"/>
      <c r="J134" s="473"/>
    </row>
    <row r="135" spans="2:10">
      <c r="B135" s="206" t="s">
        <v>45</v>
      </c>
      <c r="C135" s="1059" t="s">
        <v>2465</v>
      </c>
      <c r="D135" s="473"/>
      <c r="E135" s="473"/>
      <c r="F135" s="473"/>
      <c r="G135" s="473"/>
      <c r="H135" s="473"/>
      <c r="I135" s="473"/>
      <c r="J135" s="473"/>
    </row>
    <row r="136" spans="2:10">
      <c r="B136" s="206" t="s">
        <v>45</v>
      </c>
      <c r="C136" s="1059" t="s">
        <v>2505</v>
      </c>
      <c r="D136" s="473"/>
      <c r="E136" s="473"/>
      <c r="F136" s="473"/>
      <c r="G136" s="473"/>
      <c r="H136" s="473"/>
      <c r="I136" s="473"/>
      <c r="J136" s="473"/>
    </row>
    <row r="137" spans="2:10">
      <c r="B137" s="206" t="s">
        <v>45</v>
      </c>
      <c r="C137" s="1101" t="s">
        <v>2506</v>
      </c>
      <c r="D137" s="475"/>
      <c r="E137" s="475"/>
      <c r="F137" s="475"/>
      <c r="G137" s="475"/>
      <c r="H137" s="475"/>
      <c r="I137" s="475"/>
      <c r="J137" s="476"/>
    </row>
    <row r="138" spans="2:10">
      <c r="B138" s="206" t="s">
        <v>45</v>
      </c>
      <c r="C138" s="464"/>
      <c r="D138" s="465"/>
      <c r="E138" s="465"/>
      <c r="F138" s="465"/>
      <c r="G138" s="465"/>
      <c r="H138" s="465"/>
      <c r="I138" s="465"/>
      <c r="J138" s="466"/>
    </row>
    <row r="139" spans="2:10">
      <c r="B139" s="206" t="s">
        <v>45</v>
      </c>
      <c r="C139" s="464"/>
      <c r="D139" s="465"/>
      <c r="E139" s="465"/>
      <c r="F139" s="465"/>
      <c r="G139" s="465"/>
      <c r="H139" s="465"/>
      <c r="I139" s="465"/>
      <c r="J139" s="466"/>
    </row>
    <row r="140" spans="2:10">
      <c r="B140" s="200" t="s">
        <v>45</v>
      </c>
      <c r="C140" s="464"/>
      <c r="D140" s="465"/>
      <c r="E140" s="465"/>
      <c r="F140" s="465"/>
      <c r="G140" s="465"/>
      <c r="H140" s="465"/>
      <c r="I140" s="465"/>
      <c r="J140" s="466"/>
    </row>
    <row r="141" spans="2:10">
      <c r="B141" s="200" t="s">
        <v>7</v>
      </c>
      <c r="C141" s="1101" t="s">
        <v>2506</v>
      </c>
      <c r="D141" s="475"/>
      <c r="E141" s="475"/>
      <c r="F141" s="475"/>
      <c r="G141" s="475"/>
      <c r="H141" s="475"/>
      <c r="I141" s="475"/>
      <c r="J141" s="476"/>
    </row>
    <row r="142" spans="2:10" ht="18">
      <c r="B142" s="205" t="s">
        <v>52</v>
      </c>
      <c r="C142" s="477" t="s">
        <v>53</v>
      </c>
      <c r="D142" s="477"/>
      <c r="E142" s="477"/>
      <c r="F142" s="477"/>
      <c r="G142" s="477"/>
      <c r="H142" s="205" t="s">
        <v>54</v>
      </c>
      <c r="I142" s="205" t="s">
        <v>55</v>
      </c>
      <c r="J142" s="205" t="s">
        <v>56</v>
      </c>
    </row>
    <row r="143" spans="2:10">
      <c r="B143" s="200">
        <v>1</v>
      </c>
      <c r="C143" s="1102"/>
      <c r="D143" s="451"/>
      <c r="E143" s="451"/>
      <c r="F143" s="451"/>
      <c r="G143" s="451"/>
      <c r="H143" s="200"/>
      <c r="I143" s="207" t="s">
        <v>1692</v>
      </c>
      <c r="J143" s="200"/>
    </row>
    <row r="144" spans="2:10">
      <c r="B144" s="200">
        <v>2</v>
      </c>
      <c r="C144" s="1102"/>
      <c r="D144" s="451"/>
      <c r="E144" s="451"/>
      <c r="F144" s="451"/>
      <c r="G144" s="451"/>
      <c r="H144" s="200"/>
      <c r="I144" s="207"/>
      <c r="J144" s="200"/>
    </row>
    <row r="145" spans="2:10">
      <c r="B145" s="200"/>
      <c r="C145" s="1102"/>
      <c r="D145" s="451"/>
      <c r="E145" s="451"/>
      <c r="F145" s="451"/>
      <c r="G145" s="451"/>
      <c r="H145" s="200"/>
      <c r="I145" s="207"/>
      <c r="J145" s="200"/>
    </row>
    <row r="146" spans="2:10">
      <c r="B146" s="450" t="s">
        <v>63</v>
      </c>
      <c r="C146" s="450"/>
      <c r="D146" s="199" t="s">
        <v>31</v>
      </c>
      <c r="E146" s="198" t="s">
        <v>64</v>
      </c>
      <c r="F146" s="467"/>
      <c r="G146" s="469"/>
      <c r="H146" s="199"/>
      <c r="I146" s="199"/>
      <c r="J146" s="199"/>
    </row>
    <row r="147" spans="2:10" ht="45">
      <c r="B147" s="201" t="s">
        <v>66</v>
      </c>
      <c r="C147" s="450"/>
      <c r="D147" s="450"/>
      <c r="E147" s="201" t="s">
        <v>67</v>
      </c>
      <c r="F147" s="450"/>
      <c r="G147" s="450"/>
      <c r="H147" s="201" t="s">
        <v>68</v>
      </c>
      <c r="I147" s="450"/>
      <c r="J147" s="450"/>
    </row>
  </sheetData>
  <autoFilter ref="B2:K17" xr:uid="{7E3221BD-3E6C-4BA8-BFAD-98351ACD7F09}">
    <filterColumn colId="1" showButton="0"/>
  </autoFilter>
  <mergeCells count="148">
    <mergeCell ref="C144:G144"/>
    <mergeCell ref="C145:G145"/>
    <mergeCell ref="B146:C146"/>
    <mergeCell ref="F146:G146"/>
    <mergeCell ref="C147:D147"/>
    <mergeCell ref="F147:G147"/>
    <mergeCell ref="I147:J147"/>
    <mergeCell ref="C135:J135"/>
    <mergeCell ref="C136:J136"/>
    <mergeCell ref="C137:J137"/>
    <mergeCell ref="C138:J138"/>
    <mergeCell ref="C139:J139"/>
    <mergeCell ref="C140:J140"/>
    <mergeCell ref="C141:J141"/>
    <mergeCell ref="C142:G142"/>
    <mergeCell ref="C143:G143"/>
    <mergeCell ref="B124:C124"/>
    <mergeCell ref="D124:J124"/>
    <mergeCell ref="B125:J128"/>
    <mergeCell ref="B129:I129"/>
    <mergeCell ref="C130:I130"/>
    <mergeCell ref="C131:I131"/>
    <mergeCell ref="C132:I132"/>
    <mergeCell ref="B133:J133"/>
    <mergeCell ref="C134:J134"/>
    <mergeCell ref="B119:C120"/>
    <mergeCell ref="D119:I119"/>
    <mergeCell ref="D120:I120"/>
    <mergeCell ref="B121:C121"/>
    <mergeCell ref="F121:G121"/>
    <mergeCell ref="B122:C122"/>
    <mergeCell ref="F122:G122"/>
    <mergeCell ref="B123:C123"/>
    <mergeCell ref="F123:G123"/>
    <mergeCell ref="C75:J75"/>
    <mergeCell ref="C76:J76"/>
    <mergeCell ref="C77:J77"/>
    <mergeCell ref="C78:G78"/>
    <mergeCell ref="C83:D83"/>
    <mergeCell ref="F83:G83"/>
    <mergeCell ref="I83:J83"/>
    <mergeCell ref="C79:G79"/>
    <mergeCell ref="C80:G80"/>
    <mergeCell ref="C81:G81"/>
    <mergeCell ref="B82:C82"/>
    <mergeCell ref="F82:G82"/>
    <mergeCell ref="I2:I3"/>
    <mergeCell ref="B55:C56"/>
    <mergeCell ref="D55:I55"/>
    <mergeCell ref="D56:I56"/>
    <mergeCell ref="B57:C57"/>
    <mergeCell ref="F57:G57"/>
    <mergeCell ref="C45:J45"/>
    <mergeCell ref="C46:J46"/>
    <mergeCell ref="J2:J3"/>
    <mergeCell ref="C36:I36"/>
    <mergeCell ref="C37:I37"/>
    <mergeCell ref="B38:J38"/>
    <mergeCell ref="C39:J39"/>
    <mergeCell ref="C40:J40"/>
    <mergeCell ref="C41:J41"/>
    <mergeCell ref="C42:J42"/>
    <mergeCell ref="C43:J43"/>
    <mergeCell ref="C44:J44"/>
    <mergeCell ref="I52:J52"/>
    <mergeCell ref="C48:G48"/>
    <mergeCell ref="C49:G49"/>
    <mergeCell ref="C50:G50"/>
    <mergeCell ref="B51:C51"/>
    <mergeCell ref="F51:G51"/>
    <mergeCell ref="K2:K3"/>
    <mergeCell ref="E17:K20"/>
    <mergeCell ref="C19:D19"/>
    <mergeCell ref="C35:I35"/>
    <mergeCell ref="B25:C25"/>
    <mergeCell ref="F25:G25"/>
    <mergeCell ref="B26:C26"/>
    <mergeCell ref="F26:G26"/>
    <mergeCell ref="B27:C27"/>
    <mergeCell ref="F27:G27"/>
    <mergeCell ref="B28:C28"/>
    <mergeCell ref="D28:J28"/>
    <mergeCell ref="B29:J32"/>
    <mergeCell ref="B33:I33"/>
    <mergeCell ref="C34:I34"/>
    <mergeCell ref="B23:C24"/>
    <mergeCell ref="D23:I23"/>
    <mergeCell ref="D24:I24"/>
    <mergeCell ref="B2:B3"/>
    <mergeCell ref="C2:D2"/>
    <mergeCell ref="E2:E3"/>
    <mergeCell ref="F2:F3"/>
    <mergeCell ref="G2:G3"/>
    <mergeCell ref="H2:H3"/>
    <mergeCell ref="C52:D52"/>
    <mergeCell ref="F52:G52"/>
    <mergeCell ref="C47:G47"/>
    <mergeCell ref="B89:C89"/>
    <mergeCell ref="F89:G89"/>
    <mergeCell ref="B90:C90"/>
    <mergeCell ref="F90:G90"/>
    <mergeCell ref="B58:C58"/>
    <mergeCell ref="F58:G58"/>
    <mergeCell ref="B59:C59"/>
    <mergeCell ref="F59:G59"/>
    <mergeCell ref="B60:C60"/>
    <mergeCell ref="D60:J60"/>
    <mergeCell ref="B61:J64"/>
    <mergeCell ref="B65:I65"/>
    <mergeCell ref="C66:I66"/>
    <mergeCell ref="C67:I67"/>
    <mergeCell ref="C68:I68"/>
    <mergeCell ref="B69:J69"/>
    <mergeCell ref="C70:J70"/>
    <mergeCell ref="C71:J71"/>
    <mergeCell ref="C72:J72"/>
    <mergeCell ref="C73:J73"/>
    <mergeCell ref="C74:J74"/>
    <mergeCell ref="B91:C91"/>
    <mergeCell ref="D91:J91"/>
    <mergeCell ref="B86:C87"/>
    <mergeCell ref="D86:I86"/>
    <mergeCell ref="D87:I87"/>
    <mergeCell ref="B88:C88"/>
    <mergeCell ref="F88:G88"/>
    <mergeCell ref="B100:J100"/>
    <mergeCell ref="C101:J101"/>
    <mergeCell ref="C102:J102"/>
    <mergeCell ref="C103:J103"/>
    <mergeCell ref="C104:J104"/>
    <mergeCell ref="B92:J95"/>
    <mergeCell ref="B96:I96"/>
    <mergeCell ref="C97:I97"/>
    <mergeCell ref="C98:I98"/>
    <mergeCell ref="C99:I99"/>
    <mergeCell ref="C114:D114"/>
    <mergeCell ref="F114:G114"/>
    <mergeCell ref="I114:J114"/>
    <mergeCell ref="C110:G110"/>
    <mergeCell ref="C111:G111"/>
    <mergeCell ref="C112:G112"/>
    <mergeCell ref="B113:C113"/>
    <mergeCell ref="F113:G113"/>
    <mergeCell ref="C105:J105"/>
    <mergeCell ref="C106:J106"/>
    <mergeCell ref="C107:J107"/>
    <mergeCell ref="C108:J108"/>
    <mergeCell ref="C109:G109"/>
  </mergeCells>
  <phoneticPr fontId="0" type="noConversion"/>
  <dataValidations count="1">
    <dataValidation type="list" allowBlank="1" showInputMessage="1" showErrorMessage="1" sqref="H10" xr:uid="{218DB7F1-A504-49F3-833B-3CC1CF39D130}">
      <formula1>INDIRECT($K10)</formula1>
    </dataValidation>
  </dataValidations>
  <printOptions horizontalCentered="1" verticalCentered="1"/>
  <pageMargins left="0.7" right="0.7" top="0.75" bottom="0.75" header="0.3" footer="0.3"/>
  <pageSetup paperSize="9"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6DAB-C19E-44BE-8DC9-EBB72CE748A9}">
  <sheetPr>
    <pageSetUpPr fitToPage="1"/>
  </sheetPr>
  <dimension ref="B2:Q242"/>
  <sheetViews>
    <sheetView workbookViewId="0">
      <selection activeCell="E8" sqref="E8"/>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18.42578125" customWidth="1"/>
    <col min="10" max="10" width="36.28515625" customWidth="1"/>
    <col min="11" max="11" width="60.5703125" customWidth="1"/>
    <col min="13" max="13" width="11.28515625" customWidth="1"/>
  </cols>
  <sheetData>
    <row r="2" spans="2:17">
      <c r="B2" s="1110" t="s">
        <v>0</v>
      </c>
      <c r="C2" s="1112" t="s">
        <v>1</v>
      </c>
      <c r="D2" s="1109"/>
      <c r="E2" s="1109" t="s">
        <v>2</v>
      </c>
      <c r="F2" s="1109" t="s">
        <v>3</v>
      </c>
      <c r="G2" s="1109" t="s">
        <v>4</v>
      </c>
      <c r="H2" s="1109" t="s">
        <v>5</v>
      </c>
      <c r="I2" s="1109" t="s">
        <v>6</v>
      </c>
      <c r="J2" s="1109" t="s">
        <v>7</v>
      </c>
      <c r="K2" s="1113" t="s">
        <v>8</v>
      </c>
    </row>
    <row r="3" spans="2:17">
      <c r="B3" s="1111"/>
      <c r="C3" s="276" t="s">
        <v>9</v>
      </c>
      <c r="D3" s="277" t="s">
        <v>10</v>
      </c>
      <c r="E3" s="745"/>
      <c r="F3" s="745"/>
      <c r="G3" s="745"/>
      <c r="H3" s="745"/>
      <c r="I3" s="745"/>
      <c r="J3" s="745"/>
      <c r="K3" s="1114"/>
    </row>
    <row r="4" spans="2:17" s="58" customFormat="1">
      <c r="B4" s="326">
        <v>1</v>
      </c>
      <c r="C4" s="163">
        <v>70</v>
      </c>
      <c r="D4" s="68"/>
      <c r="E4" s="335">
        <v>45964</v>
      </c>
      <c r="F4" s="68" t="s">
        <v>159</v>
      </c>
      <c r="G4" s="68" t="s">
        <v>162</v>
      </c>
      <c r="H4" s="330" t="s">
        <v>2507</v>
      </c>
      <c r="I4" s="68"/>
      <c r="J4" s="328" t="s">
        <v>2508</v>
      </c>
      <c r="K4" s="175" t="s">
        <v>2509</v>
      </c>
      <c r="L4"/>
      <c r="M4"/>
      <c r="N4" s="175"/>
      <c r="O4" s="175"/>
      <c r="P4" s="175"/>
      <c r="Q4" s="175"/>
    </row>
    <row r="5" spans="2:17" s="58" customFormat="1" ht="48" customHeight="1">
      <c r="B5" s="326">
        <v>2</v>
      </c>
      <c r="C5" s="68"/>
      <c r="D5" s="163">
        <v>35</v>
      </c>
      <c r="E5" s="329">
        <v>45968</v>
      </c>
      <c r="F5" s="68" t="s">
        <v>124</v>
      </c>
      <c r="G5" s="68" t="s">
        <v>152</v>
      </c>
      <c r="H5" s="330" t="s">
        <v>2510</v>
      </c>
      <c r="I5" s="68"/>
      <c r="J5" s="328" t="s">
        <v>2511</v>
      </c>
      <c r="K5" s="328" t="s">
        <v>2512</v>
      </c>
      <c r="L5"/>
      <c r="M5"/>
      <c r="N5" s="328"/>
      <c r="O5" s="328"/>
      <c r="P5" s="328"/>
      <c r="Q5" s="328"/>
    </row>
    <row r="6" spans="2:17" s="58" customFormat="1" ht="48" customHeight="1">
      <c r="B6" s="326">
        <v>3</v>
      </c>
      <c r="C6" s="68"/>
      <c r="D6" s="163">
        <v>33</v>
      </c>
      <c r="E6" s="329">
        <v>45968</v>
      </c>
      <c r="F6" s="68" t="s">
        <v>124</v>
      </c>
      <c r="G6" s="68" t="s">
        <v>152</v>
      </c>
      <c r="H6" s="330" t="s">
        <v>2513</v>
      </c>
      <c r="I6" s="68"/>
      <c r="J6" s="328" t="s">
        <v>2514</v>
      </c>
      <c r="K6" s="328" t="s">
        <v>2515</v>
      </c>
      <c r="L6"/>
      <c r="M6"/>
      <c r="N6" s="328"/>
      <c r="O6" s="328"/>
      <c r="P6" s="328"/>
      <c r="Q6" s="328"/>
    </row>
    <row r="7" spans="2:17" s="66" customFormat="1">
      <c r="B7" s="326">
        <v>4</v>
      </c>
      <c r="C7" s="163">
        <v>236</v>
      </c>
      <c r="D7" s="68"/>
      <c r="E7" s="329">
        <v>45969</v>
      </c>
      <c r="F7" s="68" t="s">
        <v>131</v>
      </c>
      <c r="G7" s="68" t="s">
        <v>140</v>
      </c>
      <c r="H7" s="330" t="s">
        <v>2516</v>
      </c>
      <c r="I7" s="68"/>
      <c r="J7" s="62" t="s">
        <v>2517</v>
      </c>
      <c r="K7" s="62" t="s">
        <v>2518</v>
      </c>
    </row>
    <row r="8" spans="2:17" s="3" customFormat="1" ht="29.25">
      <c r="B8" s="326">
        <v>5</v>
      </c>
      <c r="C8" s="339">
        <v>75</v>
      </c>
      <c r="D8" s="68"/>
      <c r="E8" s="329">
        <v>45975</v>
      </c>
      <c r="F8" s="37" t="s">
        <v>124</v>
      </c>
      <c r="G8" s="37" t="s">
        <v>174</v>
      </c>
      <c r="H8" s="330" t="s">
        <v>2519</v>
      </c>
      <c r="I8" s="41"/>
      <c r="J8" s="62" t="s">
        <v>2520</v>
      </c>
      <c r="K8" s="62" t="s">
        <v>2521</v>
      </c>
    </row>
    <row r="9" spans="2:17" s="3" customFormat="1">
      <c r="B9" s="326">
        <v>6</v>
      </c>
      <c r="C9" s="339">
        <v>140</v>
      </c>
      <c r="D9" s="68"/>
      <c r="E9" s="329">
        <v>45979</v>
      </c>
      <c r="F9" s="37" t="s">
        <v>124</v>
      </c>
      <c r="G9" s="37" t="s">
        <v>125</v>
      </c>
      <c r="H9" s="330" t="s">
        <v>2522</v>
      </c>
      <c r="I9" s="41" t="s">
        <v>31</v>
      </c>
      <c r="J9" s="36" t="s">
        <v>2523</v>
      </c>
      <c r="K9" s="314" t="s">
        <v>2524</v>
      </c>
    </row>
    <row r="10" spans="2:17" s="3" customFormat="1">
      <c r="B10" s="326">
        <v>7</v>
      </c>
      <c r="C10" s="90">
        <v>14</v>
      </c>
      <c r="D10" s="332"/>
      <c r="E10" s="329">
        <v>45981</v>
      </c>
      <c r="F10" s="37" t="s">
        <v>131</v>
      </c>
      <c r="G10" s="37"/>
      <c r="H10" s="285" t="s">
        <v>2525</v>
      </c>
      <c r="I10" s="37" t="s">
        <v>1653</v>
      </c>
      <c r="J10" s="37"/>
      <c r="K10" s="318"/>
    </row>
    <row r="11" spans="2:17" s="3" customFormat="1">
      <c r="B11" s="326">
        <v>8</v>
      </c>
      <c r="C11" s="90"/>
      <c r="D11" s="332">
        <v>10</v>
      </c>
      <c r="E11" s="329">
        <v>45981</v>
      </c>
      <c r="F11" s="37" t="s">
        <v>131</v>
      </c>
      <c r="G11" s="37"/>
      <c r="H11" s="337" t="s">
        <v>2526</v>
      </c>
      <c r="I11" s="37"/>
      <c r="J11" s="37"/>
      <c r="K11" s="318"/>
    </row>
    <row r="12" spans="2:17" s="3" customFormat="1">
      <c r="B12" s="326">
        <v>9</v>
      </c>
      <c r="C12" s="90"/>
      <c r="D12" s="338">
        <v>237</v>
      </c>
      <c r="E12" s="329">
        <v>45983</v>
      </c>
      <c r="F12" s="37" t="s">
        <v>159</v>
      </c>
      <c r="G12" s="37" t="s">
        <v>2527</v>
      </c>
      <c r="H12" s="337" t="s">
        <v>2528</v>
      </c>
      <c r="I12" s="37" t="s">
        <v>31</v>
      </c>
      <c r="J12" s="37"/>
      <c r="K12" s="318"/>
    </row>
    <row r="13" spans="2:17" s="3" customFormat="1">
      <c r="B13" s="326">
        <v>10</v>
      </c>
      <c r="C13" s="90">
        <v>5</v>
      </c>
      <c r="D13" s="332"/>
      <c r="E13" s="329">
        <v>45987</v>
      </c>
      <c r="F13" s="37" t="s">
        <v>131</v>
      </c>
      <c r="G13" s="37"/>
      <c r="H13" s="337" t="s">
        <v>2049</v>
      </c>
      <c r="I13" s="37"/>
      <c r="J13" s="37"/>
      <c r="K13" s="318"/>
    </row>
    <row r="14" spans="2:17" s="3" customFormat="1">
      <c r="B14" s="326">
        <v>11</v>
      </c>
      <c r="C14" s="90"/>
      <c r="D14" s="332">
        <v>15</v>
      </c>
      <c r="E14" s="329">
        <v>45989</v>
      </c>
      <c r="F14" s="37" t="s">
        <v>159</v>
      </c>
      <c r="G14" s="37" t="s">
        <v>174</v>
      </c>
      <c r="H14" s="337" t="s">
        <v>2529</v>
      </c>
      <c r="I14" s="37" t="s">
        <v>1653</v>
      </c>
      <c r="J14" s="37"/>
      <c r="K14" s="318"/>
    </row>
    <row r="15" spans="2:17" s="3" customFormat="1">
      <c r="B15" s="311"/>
      <c r="C15" s="90"/>
      <c r="D15" s="68"/>
      <c r="E15" s="275"/>
      <c r="F15" s="37"/>
      <c r="G15" s="37"/>
      <c r="H15" s="285"/>
      <c r="I15" s="37"/>
      <c r="J15" s="333"/>
      <c r="K15" s="318"/>
    </row>
    <row r="16" spans="2:17">
      <c r="B16" s="311"/>
      <c r="C16" s="90"/>
      <c r="D16" s="68"/>
      <c r="E16" s="275"/>
      <c r="F16" s="37"/>
      <c r="G16" s="37"/>
      <c r="H16" s="285"/>
      <c r="I16" s="37"/>
      <c r="J16" s="37"/>
      <c r="K16" s="318"/>
    </row>
    <row r="17" spans="2:11">
      <c r="B17" s="311"/>
      <c r="C17" s="251"/>
      <c r="D17" s="68"/>
      <c r="E17" s="275"/>
      <c r="F17" s="74"/>
      <c r="G17" s="74"/>
      <c r="H17" s="74"/>
      <c r="I17" s="74"/>
      <c r="J17" s="74"/>
      <c r="K17" s="319"/>
    </row>
    <row r="18" spans="2:11">
      <c r="B18" s="311"/>
      <c r="C18" s="251"/>
      <c r="D18" s="68"/>
      <c r="E18" s="275"/>
      <c r="F18" s="74"/>
      <c r="G18" s="74"/>
      <c r="H18" s="74"/>
      <c r="I18" s="74"/>
      <c r="J18" s="74"/>
      <c r="K18" s="319"/>
    </row>
    <row r="19" spans="2:11">
      <c r="B19" s="311"/>
      <c r="C19" s="321"/>
      <c r="D19" s="68"/>
      <c r="E19" s="321"/>
      <c r="F19" s="321"/>
      <c r="G19" s="321"/>
      <c r="H19" s="321"/>
      <c r="I19" s="321"/>
      <c r="J19" s="321"/>
      <c r="K19" s="322"/>
    </row>
    <row r="20" spans="2:11">
      <c r="B20" s="124" t="s">
        <v>11</v>
      </c>
      <c r="C20" s="94">
        <f>SUM(C4:C19)</f>
        <v>540</v>
      </c>
      <c r="D20" s="94">
        <f>SUM(D4:D19)</f>
        <v>330</v>
      </c>
      <c r="E20" s="434"/>
      <c r="F20" s="435"/>
      <c r="G20" s="435"/>
      <c r="H20" s="435"/>
      <c r="I20" s="435"/>
      <c r="J20" s="435"/>
      <c r="K20" s="435"/>
    </row>
    <row r="21" spans="2:11">
      <c r="B21" s="9"/>
      <c r="C21" s="10"/>
      <c r="D21" s="11"/>
      <c r="E21" s="434"/>
      <c r="F21" s="435"/>
      <c r="G21" s="435"/>
      <c r="H21" s="435"/>
      <c r="I21" s="435"/>
      <c r="J21" s="435"/>
      <c r="K21" s="435"/>
    </row>
    <row r="22" spans="2:11">
      <c r="B22" s="6" t="s">
        <v>12</v>
      </c>
      <c r="C22" s="432">
        <f>SUM(C20,D20)</f>
        <v>870</v>
      </c>
      <c r="D22" s="433"/>
      <c r="E22" s="434"/>
      <c r="F22" s="435"/>
      <c r="G22" s="435"/>
      <c r="H22" s="435"/>
      <c r="I22" s="435"/>
      <c r="J22" s="435"/>
      <c r="K22" s="435"/>
    </row>
    <row r="23" spans="2:11">
      <c r="B23" s="12"/>
      <c r="C23" s="13"/>
      <c r="D23" s="14"/>
      <c r="E23" s="436"/>
      <c r="F23" s="437"/>
      <c r="G23" s="437"/>
      <c r="H23" s="437"/>
      <c r="I23" s="437"/>
      <c r="J23" s="437"/>
      <c r="K23" s="437"/>
    </row>
    <row r="24" spans="2:11">
      <c r="E24" s="152"/>
      <c r="F24" s="152"/>
      <c r="G24" s="152"/>
      <c r="H24" s="152"/>
      <c r="I24" s="152"/>
      <c r="J24" s="152"/>
      <c r="K24" s="152"/>
    </row>
    <row r="25" spans="2:11">
      <c r="E25" s="152"/>
      <c r="F25" s="152"/>
      <c r="G25" s="152"/>
      <c r="H25" s="152"/>
      <c r="I25" s="152"/>
      <c r="J25" s="152"/>
      <c r="K25" s="152"/>
    </row>
    <row r="26" spans="2:11" ht="26.25">
      <c r="B26" s="446" t="s">
        <v>13</v>
      </c>
      <c r="C26" s="447"/>
      <c r="D26" s="446" t="s">
        <v>14</v>
      </c>
      <c r="E26" s="446"/>
      <c r="F26" s="446"/>
      <c r="G26" s="446"/>
      <c r="H26" s="446"/>
      <c r="I26" s="446"/>
      <c r="J26" s="197" t="s">
        <v>15</v>
      </c>
    </row>
    <row r="27" spans="2:11" ht="20.25">
      <c r="B27" s="447"/>
      <c r="C27" s="447"/>
      <c r="D27" s="448" t="s">
        <v>16</v>
      </c>
      <c r="E27" s="448"/>
      <c r="F27" s="448"/>
      <c r="G27" s="448"/>
      <c r="H27" s="448"/>
      <c r="I27" s="448"/>
      <c r="J27" s="197" t="s">
        <v>17</v>
      </c>
    </row>
    <row r="28" spans="2:11">
      <c r="B28" s="449" t="s">
        <v>18</v>
      </c>
      <c r="C28" s="449"/>
      <c r="D28" s="174">
        <v>45964</v>
      </c>
      <c r="E28" s="199" t="s">
        <v>1460</v>
      </c>
      <c r="F28" s="450" t="s">
        <v>159</v>
      </c>
      <c r="G28" s="450"/>
      <c r="H28" s="201" t="s">
        <v>21</v>
      </c>
      <c r="I28" s="202" t="s">
        <v>917</v>
      </c>
      <c r="J28" s="199" t="s">
        <v>2530</v>
      </c>
    </row>
    <row r="29" spans="2:11">
      <c r="B29" s="449" t="s">
        <v>24</v>
      </c>
      <c r="C29" s="449"/>
      <c r="D29" s="203" t="s">
        <v>2531</v>
      </c>
      <c r="E29" s="204" t="s">
        <v>25</v>
      </c>
      <c r="F29" s="450" t="s">
        <v>26</v>
      </c>
      <c r="G29" s="450"/>
      <c r="H29" s="199" t="s">
        <v>27</v>
      </c>
      <c r="I29" s="202" t="s">
        <v>2257</v>
      </c>
      <c r="J29" s="202" t="s">
        <v>2469</v>
      </c>
      <c r="K29" s="135">
        <v>90</v>
      </c>
    </row>
    <row r="30" spans="2:11">
      <c r="B30" s="449" t="s">
        <v>30</v>
      </c>
      <c r="C30" s="449"/>
      <c r="D30" s="199" t="s">
        <v>31</v>
      </c>
      <c r="E30" s="199" t="s">
        <v>32</v>
      </c>
      <c r="F30" s="450">
        <v>70</v>
      </c>
      <c r="G30" s="450"/>
      <c r="H30" s="201" t="s">
        <v>33</v>
      </c>
      <c r="I30" s="247" t="s">
        <v>2532</v>
      </c>
      <c r="J30" s="202"/>
      <c r="K30" s="135">
        <v>3</v>
      </c>
    </row>
    <row r="31" spans="2:11">
      <c r="B31" s="451" t="s">
        <v>35</v>
      </c>
      <c r="C31" s="451"/>
      <c r="D31" s="449" t="s">
        <v>2533</v>
      </c>
      <c r="E31" s="449"/>
      <c r="F31" s="449"/>
      <c r="G31" s="449"/>
      <c r="H31" s="449"/>
      <c r="I31" s="449"/>
      <c r="J31" s="449"/>
      <c r="K31" s="135">
        <v>270</v>
      </c>
    </row>
    <row r="32" spans="2:11">
      <c r="B32" s="452" t="s">
        <v>2534</v>
      </c>
      <c r="C32" s="453"/>
      <c r="D32" s="453"/>
      <c r="E32" s="453"/>
      <c r="F32" s="453"/>
      <c r="G32" s="453"/>
      <c r="H32" s="453"/>
      <c r="I32" s="453"/>
      <c r="J32" s="454"/>
      <c r="K32" s="135">
        <v>2700000</v>
      </c>
    </row>
    <row r="33" spans="2:10">
      <c r="B33" s="455"/>
      <c r="C33" s="456"/>
      <c r="D33" s="456"/>
      <c r="E33" s="456"/>
      <c r="F33" s="456"/>
      <c r="G33" s="456"/>
      <c r="H33" s="456"/>
      <c r="I33" s="456"/>
      <c r="J33" s="457"/>
    </row>
    <row r="34" spans="2:10">
      <c r="B34" s="455"/>
      <c r="C34" s="456"/>
      <c r="D34" s="456"/>
      <c r="E34" s="456"/>
      <c r="F34" s="456"/>
      <c r="G34" s="456"/>
      <c r="H34" s="456"/>
      <c r="I34" s="456"/>
      <c r="J34" s="457"/>
    </row>
    <row r="35" spans="2:10">
      <c r="B35" s="458"/>
      <c r="C35" s="459"/>
      <c r="D35" s="459"/>
      <c r="E35" s="459"/>
      <c r="F35" s="459"/>
      <c r="G35" s="459"/>
      <c r="H35" s="459"/>
      <c r="I35" s="459"/>
      <c r="J35" s="460"/>
    </row>
    <row r="36" spans="2:10" ht="18">
      <c r="B36" s="461" t="s">
        <v>38</v>
      </c>
      <c r="C36" s="462"/>
      <c r="D36" s="462"/>
      <c r="E36" s="462"/>
      <c r="F36" s="462"/>
      <c r="G36" s="462"/>
      <c r="H36" s="462"/>
      <c r="I36" s="463"/>
      <c r="J36" s="205" t="s">
        <v>39</v>
      </c>
    </row>
    <row r="37" spans="2:10">
      <c r="B37" s="200">
        <v>1</v>
      </c>
      <c r="C37" s="464" t="s">
        <v>2535</v>
      </c>
      <c r="D37" s="465"/>
      <c r="E37" s="465"/>
      <c r="F37" s="465"/>
      <c r="G37" s="465"/>
      <c r="H37" s="465"/>
      <c r="I37" s="466"/>
      <c r="J37" s="200" t="s">
        <v>26</v>
      </c>
    </row>
    <row r="38" spans="2:10">
      <c r="B38" s="200">
        <v>2</v>
      </c>
      <c r="C38" s="464" t="s">
        <v>2536</v>
      </c>
      <c r="D38" s="465"/>
      <c r="E38" s="465"/>
      <c r="F38" s="465"/>
      <c r="G38" s="465"/>
      <c r="H38" s="465"/>
      <c r="I38" s="466"/>
      <c r="J38" s="200" t="s">
        <v>26</v>
      </c>
    </row>
    <row r="39" spans="2:10">
      <c r="B39" s="254">
        <v>3</v>
      </c>
      <c r="C39" s="464"/>
      <c r="D39" s="465"/>
      <c r="E39" s="465"/>
      <c r="F39" s="465"/>
      <c r="G39" s="465"/>
      <c r="H39" s="465"/>
      <c r="I39" s="466"/>
      <c r="J39" s="200"/>
    </row>
    <row r="40" spans="2:10" ht="20.25" customHeight="1">
      <c r="B40" s="88"/>
      <c r="C40" s="465"/>
      <c r="D40" s="465"/>
      <c r="E40" s="465"/>
      <c r="F40" s="465"/>
      <c r="G40" s="465"/>
      <c r="H40" s="465"/>
      <c r="I40" s="466"/>
      <c r="J40" s="200"/>
    </row>
    <row r="41" spans="2:10" ht="18">
      <c r="B41" s="1115" t="s">
        <v>44</v>
      </c>
      <c r="C41" s="462"/>
      <c r="D41" s="462"/>
      <c r="E41" s="462"/>
      <c r="F41" s="462"/>
      <c r="G41" s="462"/>
      <c r="H41" s="462"/>
      <c r="I41" s="462"/>
      <c r="J41" s="463"/>
    </row>
    <row r="42" spans="2:10">
      <c r="B42" s="200" t="s">
        <v>45</v>
      </c>
      <c r="C42" s="1059" t="s">
        <v>2537</v>
      </c>
      <c r="D42" s="473"/>
      <c r="E42" s="473"/>
      <c r="F42" s="473"/>
      <c r="G42" s="473"/>
      <c r="H42" s="473"/>
      <c r="I42" s="473"/>
      <c r="J42" s="473"/>
    </row>
    <row r="43" spans="2:10">
      <c r="B43" s="206" t="s">
        <v>45</v>
      </c>
      <c r="C43" s="1059" t="s">
        <v>2538</v>
      </c>
      <c r="D43" s="473"/>
      <c r="E43" s="473"/>
      <c r="F43" s="473"/>
      <c r="G43" s="473"/>
      <c r="H43" s="473"/>
      <c r="I43" s="473"/>
      <c r="J43" s="473"/>
    </row>
    <row r="44" spans="2:10">
      <c r="B44" s="206" t="s">
        <v>45</v>
      </c>
      <c r="C44" s="1059" t="s">
        <v>2539</v>
      </c>
      <c r="D44" s="473"/>
      <c r="E44" s="473"/>
      <c r="F44" s="473"/>
      <c r="G44" s="473"/>
      <c r="H44" s="473"/>
      <c r="I44" s="473"/>
      <c r="J44" s="473"/>
    </row>
    <row r="45" spans="2:10">
      <c r="B45" s="206" t="s">
        <v>45</v>
      </c>
      <c r="C45" s="1101" t="s">
        <v>2540</v>
      </c>
      <c r="D45" s="475"/>
      <c r="E45" s="475"/>
      <c r="F45" s="475"/>
      <c r="G45" s="475"/>
      <c r="H45" s="475"/>
      <c r="I45" s="475"/>
      <c r="J45" s="476"/>
    </row>
    <row r="46" spans="2:10">
      <c r="B46" s="206" t="s">
        <v>45</v>
      </c>
      <c r="C46" s="464"/>
      <c r="D46" s="465"/>
      <c r="E46" s="465"/>
      <c r="F46" s="465"/>
      <c r="G46" s="465"/>
      <c r="H46" s="465"/>
      <c r="I46" s="465"/>
      <c r="J46" s="466"/>
    </row>
    <row r="47" spans="2:10">
      <c r="B47" s="206" t="s">
        <v>45</v>
      </c>
      <c r="C47" s="464"/>
      <c r="D47" s="465"/>
      <c r="E47" s="465"/>
      <c r="F47" s="465"/>
      <c r="G47" s="465"/>
      <c r="H47" s="465"/>
      <c r="I47" s="465"/>
      <c r="J47" s="466"/>
    </row>
    <row r="48" spans="2:10">
      <c r="B48" s="200" t="s">
        <v>45</v>
      </c>
      <c r="C48" s="464"/>
      <c r="D48" s="465"/>
      <c r="E48" s="465"/>
      <c r="F48" s="465"/>
      <c r="G48" s="465"/>
      <c r="H48" s="465"/>
      <c r="I48" s="465"/>
      <c r="J48" s="466"/>
    </row>
    <row r="49" spans="2:11">
      <c r="B49" s="200" t="s">
        <v>7</v>
      </c>
      <c r="C49" s="464" t="s">
        <v>2541</v>
      </c>
      <c r="D49" s="465"/>
      <c r="E49" s="465"/>
      <c r="F49" s="465"/>
      <c r="G49" s="465"/>
      <c r="H49" s="465"/>
      <c r="I49" s="465"/>
      <c r="J49" s="466"/>
    </row>
    <row r="50" spans="2:11" ht="18">
      <c r="B50" s="205" t="s">
        <v>52</v>
      </c>
      <c r="C50" s="477" t="s">
        <v>53</v>
      </c>
      <c r="D50" s="477"/>
      <c r="E50" s="477"/>
      <c r="F50" s="477"/>
      <c r="G50" s="477"/>
      <c r="H50" s="205" t="s">
        <v>54</v>
      </c>
      <c r="I50" s="205" t="s">
        <v>55</v>
      </c>
      <c r="J50" s="205" t="s">
        <v>56</v>
      </c>
    </row>
    <row r="51" spans="2:11" ht="33.75" customHeight="1">
      <c r="B51" s="200">
        <v>1</v>
      </c>
      <c r="C51" s="1102" t="s">
        <v>2542</v>
      </c>
      <c r="D51" s="451"/>
      <c r="E51" s="451"/>
      <c r="F51" s="451"/>
      <c r="G51" s="451"/>
      <c r="H51" s="200"/>
      <c r="I51" s="207" t="s">
        <v>1692</v>
      </c>
      <c r="J51" s="200" t="s">
        <v>1973</v>
      </c>
    </row>
    <row r="52" spans="2:11" ht="29.25" customHeight="1">
      <c r="B52" s="200">
        <v>1</v>
      </c>
      <c r="C52" s="1102" t="s">
        <v>2543</v>
      </c>
      <c r="D52" s="451"/>
      <c r="E52" s="451"/>
      <c r="F52" s="451"/>
      <c r="G52" s="451"/>
      <c r="H52" s="336" t="s">
        <v>2544</v>
      </c>
      <c r="I52" s="207" t="s">
        <v>1692</v>
      </c>
      <c r="J52" s="200"/>
    </row>
    <row r="53" spans="2:11" ht="27" customHeight="1">
      <c r="B53" s="200">
        <v>2</v>
      </c>
      <c r="C53" s="1102"/>
      <c r="D53" s="451"/>
      <c r="E53" s="451"/>
      <c r="F53" s="451"/>
      <c r="G53" s="451"/>
      <c r="H53" s="200"/>
      <c r="I53" s="207"/>
      <c r="J53" s="200"/>
    </row>
    <row r="54" spans="2:11">
      <c r="B54" s="450" t="s">
        <v>63</v>
      </c>
      <c r="C54" s="450"/>
      <c r="D54" s="199" t="s">
        <v>31</v>
      </c>
      <c r="E54" s="198" t="s">
        <v>64</v>
      </c>
      <c r="F54" s="467"/>
      <c r="G54" s="469"/>
      <c r="H54" s="199"/>
      <c r="I54" s="199"/>
      <c r="J54" s="199"/>
    </row>
    <row r="55" spans="2:11" ht="45">
      <c r="B55" s="201" t="s">
        <v>66</v>
      </c>
      <c r="C55" s="450"/>
      <c r="D55" s="450"/>
      <c r="E55" s="201" t="s">
        <v>67</v>
      </c>
      <c r="F55" s="450"/>
      <c r="G55" s="450"/>
      <c r="H55" s="201" t="s">
        <v>68</v>
      </c>
      <c r="I55" s="450"/>
      <c r="J55" s="450"/>
    </row>
    <row r="56" spans="2:11">
      <c r="E56" s="152"/>
      <c r="F56" s="152"/>
      <c r="G56" s="152"/>
      <c r="H56" s="152"/>
      <c r="I56" s="152"/>
      <c r="J56" s="152"/>
      <c r="K56" s="152"/>
    </row>
    <row r="57" spans="2:11" ht="26.25" customHeight="1">
      <c r="B57" s="446" t="s">
        <v>13</v>
      </c>
      <c r="C57" s="447"/>
      <c r="D57" s="446" t="s">
        <v>14</v>
      </c>
      <c r="E57" s="446"/>
      <c r="F57" s="446"/>
      <c r="G57" s="446"/>
      <c r="H57" s="446"/>
      <c r="I57" s="446"/>
      <c r="J57" s="197" t="s">
        <v>15</v>
      </c>
    </row>
    <row r="58" spans="2:11" ht="20.25" customHeight="1">
      <c r="B58" s="447"/>
      <c r="C58" s="447"/>
      <c r="D58" s="448" t="s">
        <v>16</v>
      </c>
      <c r="E58" s="448"/>
      <c r="F58" s="448"/>
      <c r="G58" s="448"/>
      <c r="H58" s="448"/>
      <c r="I58" s="448"/>
      <c r="J58" s="197" t="s">
        <v>17</v>
      </c>
    </row>
    <row r="59" spans="2:11">
      <c r="B59" s="449" t="s">
        <v>18</v>
      </c>
      <c r="C59" s="449"/>
      <c r="D59" s="174">
        <v>45968</v>
      </c>
      <c r="E59" s="199" t="s">
        <v>1460</v>
      </c>
      <c r="F59" s="450" t="s">
        <v>124</v>
      </c>
      <c r="G59" s="450"/>
      <c r="H59" s="201" t="s">
        <v>21</v>
      </c>
      <c r="I59" s="202" t="s">
        <v>917</v>
      </c>
      <c r="J59" s="199" t="s">
        <v>2545</v>
      </c>
    </row>
    <row r="60" spans="2:11">
      <c r="B60" s="449" t="s">
        <v>24</v>
      </c>
      <c r="C60" s="449"/>
      <c r="D60" s="203" t="s">
        <v>2546</v>
      </c>
      <c r="E60" s="204" t="s">
        <v>25</v>
      </c>
      <c r="F60" s="450" t="s">
        <v>26</v>
      </c>
      <c r="G60" s="450"/>
      <c r="H60" s="199" t="s">
        <v>27</v>
      </c>
      <c r="I60" s="202" t="s">
        <v>2547</v>
      </c>
      <c r="J60" s="202" t="s">
        <v>1653</v>
      </c>
      <c r="K60" s="135">
        <v>90</v>
      </c>
    </row>
    <row r="61" spans="2:11" ht="30">
      <c r="B61" s="449" t="s">
        <v>30</v>
      </c>
      <c r="C61" s="449"/>
      <c r="D61" s="199" t="s">
        <v>31</v>
      </c>
      <c r="E61" s="199" t="s">
        <v>32</v>
      </c>
      <c r="F61" s="450">
        <v>35</v>
      </c>
      <c r="G61" s="450"/>
      <c r="H61" s="201" t="s">
        <v>33</v>
      </c>
      <c r="I61" s="247" t="s">
        <v>2548</v>
      </c>
      <c r="J61" s="202"/>
      <c r="K61" s="135">
        <v>3</v>
      </c>
    </row>
    <row r="62" spans="2:11" ht="15" customHeight="1">
      <c r="B62" s="451" t="s">
        <v>35</v>
      </c>
      <c r="C62" s="451"/>
      <c r="D62" s="449" t="s">
        <v>2549</v>
      </c>
      <c r="E62" s="449"/>
      <c r="F62" s="449"/>
      <c r="G62" s="449"/>
      <c r="H62" s="449"/>
      <c r="I62" s="449"/>
      <c r="J62" s="449"/>
      <c r="K62" s="135">
        <v>270</v>
      </c>
    </row>
    <row r="63" spans="2:11" ht="15" customHeight="1">
      <c r="B63" s="452" t="s">
        <v>2550</v>
      </c>
      <c r="C63" s="453"/>
      <c r="D63" s="453"/>
      <c r="E63" s="453"/>
      <c r="F63" s="453"/>
      <c r="G63" s="453"/>
      <c r="H63" s="453"/>
      <c r="I63" s="453"/>
      <c r="J63" s="454"/>
      <c r="K63" s="135">
        <v>2700000</v>
      </c>
    </row>
    <row r="64" spans="2:11">
      <c r="B64" s="455"/>
      <c r="C64" s="456"/>
      <c r="D64" s="456"/>
      <c r="E64" s="456"/>
      <c r="F64" s="456"/>
      <c r="G64" s="456"/>
      <c r="H64" s="456"/>
      <c r="I64" s="456"/>
      <c r="J64" s="457"/>
    </row>
    <row r="65" spans="2:10">
      <c r="B65" s="455"/>
      <c r="C65" s="456"/>
      <c r="D65" s="456"/>
      <c r="E65" s="456"/>
      <c r="F65" s="456"/>
      <c r="G65" s="456"/>
      <c r="H65" s="456"/>
      <c r="I65" s="456"/>
      <c r="J65" s="457"/>
    </row>
    <row r="66" spans="2:10">
      <c r="B66" s="458"/>
      <c r="C66" s="459"/>
      <c r="D66" s="459"/>
      <c r="E66" s="459"/>
      <c r="F66" s="459"/>
      <c r="G66" s="459"/>
      <c r="H66" s="459"/>
      <c r="I66" s="459"/>
      <c r="J66" s="460"/>
    </row>
    <row r="67" spans="2:10" ht="18">
      <c r="B67" s="461" t="s">
        <v>38</v>
      </c>
      <c r="C67" s="462"/>
      <c r="D67" s="462"/>
      <c r="E67" s="462"/>
      <c r="F67" s="462"/>
      <c r="G67" s="462"/>
      <c r="H67" s="462"/>
      <c r="I67" s="463"/>
      <c r="J67" s="205" t="s">
        <v>39</v>
      </c>
    </row>
    <row r="68" spans="2:10">
      <c r="B68" s="200">
        <v>1</v>
      </c>
      <c r="C68" s="464" t="s">
        <v>2551</v>
      </c>
      <c r="D68" s="465"/>
      <c r="E68" s="465"/>
      <c r="F68" s="465"/>
      <c r="G68" s="465"/>
      <c r="H68" s="465"/>
      <c r="I68" s="466"/>
      <c r="J68" s="200" t="s">
        <v>26</v>
      </c>
    </row>
    <row r="69" spans="2:10">
      <c r="B69" s="200">
        <v>2</v>
      </c>
      <c r="C69" s="464" t="s">
        <v>2512</v>
      </c>
      <c r="D69" s="465"/>
      <c r="E69" s="465"/>
      <c r="F69" s="465"/>
      <c r="G69" s="465"/>
      <c r="H69" s="465"/>
      <c r="I69" s="466"/>
      <c r="J69" s="200" t="s">
        <v>26</v>
      </c>
    </row>
    <row r="70" spans="2:10">
      <c r="B70" s="254">
        <v>3</v>
      </c>
      <c r="C70" s="464" t="s">
        <v>2552</v>
      </c>
      <c r="D70" s="465"/>
      <c r="E70" s="465"/>
      <c r="F70" s="465"/>
      <c r="G70" s="465"/>
      <c r="H70" s="465"/>
      <c r="I70" s="466"/>
      <c r="J70" s="200" t="s">
        <v>26</v>
      </c>
    </row>
    <row r="71" spans="2:10" ht="20.25" customHeight="1">
      <c r="B71" s="254">
        <v>4</v>
      </c>
      <c r="C71" s="464" t="s">
        <v>2553</v>
      </c>
      <c r="D71" s="465"/>
      <c r="E71" s="465"/>
      <c r="F71" s="465"/>
      <c r="G71" s="465"/>
      <c r="H71" s="465"/>
      <c r="I71" s="466"/>
      <c r="J71" s="200" t="s">
        <v>26</v>
      </c>
    </row>
    <row r="72" spans="2:10" ht="18">
      <c r="B72" s="1115" t="s">
        <v>44</v>
      </c>
      <c r="C72" s="462"/>
      <c r="D72" s="462"/>
      <c r="E72" s="462"/>
      <c r="F72" s="462"/>
      <c r="G72" s="462"/>
      <c r="H72" s="462"/>
      <c r="I72" s="462"/>
      <c r="J72" s="463"/>
    </row>
    <row r="73" spans="2:10">
      <c r="B73" s="200" t="s">
        <v>45</v>
      </c>
      <c r="C73" s="1059" t="s">
        <v>1675</v>
      </c>
      <c r="D73" s="473"/>
      <c r="E73" s="473"/>
      <c r="F73" s="473"/>
      <c r="G73" s="473"/>
      <c r="H73" s="473"/>
      <c r="I73" s="473"/>
      <c r="J73" s="473"/>
    </row>
    <row r="74" spans="2:10">
      <c r="B74" s="206" t="s">
        <v>45</v>
      </c>
      <c r="C74" s="1059" t="s">
        <v>2554</v>
      </c>
      <c r="D74" s="473"/>
      <c r="E74" s="473"/>
      <c r="F74" s="473"/>
      <c r="G74" s="473"/>
      <c r="H74" s="473"/>
      <c r="I74" s="473"/>
      <c r="J74" s="473"/>
    </row>
    <row r="75" spans="2:10">
      <c r="B75" s="206" t="s">
        <v>45</v>
      </c>
      <c r="C75" s="1059" t="s">
        <v>2555</v>
      </c>
      <c r="D75" s="473"/>
      <c r="E75" s="473"/>
      <c r="F75" s="473"/>
      <c r="G75" s="473"/>
      <c r="H75" s="473"/>
      <c r="I75" s="473"/>
      <c r="J75" s="473"/>
    </row>
    <row r="76" spans="2:10">
      <c r="B76" s="206" t="s">
        <v>45</v>
      </c>
      <c r="C76" s="1101" t="s">
        <v>2511</v>
      </c>
      <c r="D76" s="475"/>
      <c r="E76" s="475"/>
      <c r="F76" s="475"/>
      <c r="G76" s="475"/>
      <c r="H76" s="475"/>
      <c r="I76" s="475"/>
      <c r="J76" s="476"/>
    </row>
    <row r="77" spans="2:10">
      <c r="B77" s="206" t="s">
        <v>45</v>
      </c>
      <c r="C77" s="464" t="s">
        <v>2556</v>
      </c>
      <c r="D77" s="465"/>
      <c r="E77" s="465"/>
      <c r="F77" s="465"/>
      <c r="G77" s="465"/>
      <c r="H77" s="465"/>
      <c r="I77" s="465"/>
      <c r="J77" s="466"/>
    </row>
    <row r="78" spans="2:10">
      <c r="B78" s="206" t="s">
        <v>45</v>
      </c>
      <c r="C78" s="464"/>
      <c r="D78" s="465"/>
      <c r="E78" s="465"/>
      <c r="F78" s="465"/>
      <c r="G78" s="465"/>
      <c r="H78" s="465"/>
      <c r="I78" s="465"/>
      <c r="J78" s="466"/>
    </row>
    <row r="79" spans="2:10">
      <c r="B79" s="200" t="s">
        <v>45</v>
      </c>
      <c r="C79" s="464"/>
      <c r="D79" s="465"/>
      <c r="E79" s="465"/>
      <c r="F79" s="465"/>
      <c r="G79" s="465"/>
      <c r="H79" s="465"/>
      <c r="I79" s="465"/>
      <c r="J79" s="466"/>
    </row>
    <row r="80" spans="2:10">
      <c r="B80" s="200" t="s">
        <v>7</v>
      </c>
      <c r="C80" s="1101" t="s">
        <v>2511</v>
      </c>
      <c r="D80" s="475"/>
      <c r="E80" s="475"/>
      <c r="F80" s="475"/>
      <c r="G80" s="475"/>
      <c r="H80" s="475"/>
      <c r="I80" s="475"/>
      <c r="J80" s="476"/>
    </row>
    <row r="81" spans="2:11" ht="18">
      <c r="B81" s="205" t="s">
        <v>52</v>
      </c>
      <c r="C81" s="477" t="s">
        <v>53</v>
      </c>
      <c r="D81" s="477"/>
      <c r="E81" s="477"/>
      <c r="F81" s="477"/>
      <c r="G81" s="477"/>
      <c r="H81" s="205" t="s">
        <v>54</v>
      </c>
      <c r="I81" s="205" t="s">
        <v>55</v>
      </c>
      <c r="J81" s="205" t="s">
        <v>56</v>
      </c>
    </row>
    <row r="82" spans="2:11" ht="15" customHeight="1">
      <c r="B82" s="200">
        <v>1</v>
      </c>
      <c r="C82" s="1102" t="s">
        <v>2557</v>
      </c>
      <c r="D82" s="451"/>
      <c r="E82" s="451"/>
      <c r="F82" s="451"/>
      <c r="G82" s="451"/>
      <c r="H82" s="200" t="s">
        <v>1556</v>
      </c>
      <c r="I82" s="207" t="s">
        <v>1692</v>
      </c>
      <c r="J82" s="200" t="s">
        <v>1796</v>
      </c>
    </row>
    <row r="83" spans="2:11" ht="15" customHeight="1">
      <c r="B83" s="200">
        <v>1</v>
      </c>
      <c r="C83" s="1102" t="s">
        <v>2558</v>
      </c>
      <c r="D83" s="451"/>
      <c r="E83" s="451"/>
      <c r="F83" s="451"/>
      <c r="G83" s="451"/>
      <c r="H83" s="334" t="s">
        <v>2559</v>
      </c>
      <c r="I83" s="207" t="s">
        <v>1692</v>
      </c>
      <c r="J83" s="200" t="s">
        <v>1796</v>
      </c>
    </row>
    <row r="84" spans="2:11" ht="27" customHeight="1">
      <c r="B84" s="200">
        <v>2</v>
      </c>
      <c r="C84" s="1102"/>
      <c r="D84" s="451"/>
      <c r="E84" s="451"/>
      <c r="F84" s="451"/>
      <c r="G84" s="451"/>
      <c r="H84" s="200"/>
      <c r="I84" s="207"/>
      <c r="J84" s="200"/>
    </row>
    <row r="85" spans="2:11">
      <c r="B85" s="450" t="s">
        <v>63</v>
      </c>
      <c r="C85" s="450"/>
      <c r="D85" s="199"/>
      <c r="E85" s="198" t="s">
        <v>64</v>
      </c>
      <c r="F85" s="467"/>
      <c r="G85" s="469"/>
      <c r="H85" s="199"/>
      <c r="I85" s="199"/>
      <c r="J85" s="199"/>
    </row>
    <row r="86" spans="2:11" ht="45">
      <c r="B86" s="201" t="s">
        <v>66</v>
      </c>
      <c r="C86" s="450"/>
      <c r="D86" s="450"/>
      <c r="E86" s="201" t="s">
        <v>67</v>
      </c>
      <c r="F86" s="450"/>
      <c r="G86" s="450"/>
      <c r="H86" s="201" t="s">
        <v>68</v>
      </c>
      <c r="I86" s="450"/>
      <c r="J86" s="450"/>
    </row>
    <row r="87" spans="2:11" ht="26.25" customHeight="1">
      <c r="B87" s="446" t="s">
        <v>13</v>
      </c>
      <c r="C87" s="447"/>
      <c r="D87" s="446" t="s">
        <v>14</v>
      </c>
      <c r="E87" s="446"/>
      <c r="F87" s="446"/>
      <c r="G87" s="446"/>
      <c r="H87" s="446"/>
      <c r="I87" s="446"/>
      <c r="J87" s="197" t="s">
        <v>15</v>
      </c>
    </row>
    <row r="88" spans="2:11" ht="20.25" customHeight="1">
      <c r="B88" s="447"/>
      <c r="C88" s="447"/>
      <c r="D88" s="448" t="s">
        <v>16</v>
      </c>
      <c r="E88" s="448"/>
      <c r="F88" s="448"/>
      <c r="G88" s="448"/>
      <c r="H88" s="448"/>
      <c r="I88" s="448"/>
      <c r="J88" s="197" t="s">
        <v>17</v>
      </c>
    </row>
    <row r="89" spans="2:11">
      <c r="B89" s="449" t="s">
        <v>18</v>
      </c>
      <c r="C89" s="449"/>
      <c r="D89" s="174">
        <v>45968</v>
      </c>
      <c r="E89" s="199" t="s">
        <v>1460</v>
      </c>
      <c r="F89" s="450" t="s">
        <v>124</v>
      </c>
      <c r="G89" s="450"/>
      <c r="H89" s="201" t="s">
        <v>21</v>
      </c>
      <c r="I89" s="202" t="s">
        <v>917</v>
      </c>
      <c r="J89" s="199" t="s">
        <v>2545</v>
      </c>
    </row>
    <row r="90" spans="2:11" ht="30">
      <c r="B90" s="449" t="s">
        <v>24</v>
      </c>
      <c r="C90" s="449"/>
      <c r="D90" s="203" t="s">
        <v>2560</v>
      </c>
      <c r="E90" s="204" t="s">
        <v>25</v>
      </c>
      <c r="F90" s="450" t="s">
        <v>26</v>
      </c>
      <c r="G90" s="450"/>
      <c r="H90" s="199" t="s">
        <v>27</v>
      </c>
      <c r="I90" s="202" t="s">
        <v>2561</v>
      </c>
      <c r="J90" s="202" t="s">
        <v>1653</v>
      </c>
      <c r="K90" s="135">
        <v>90</v>
      </c>
    </row>
    <row r="91" spans="2:11" ht="30">
      <c r="B91" s="449" t="s">
        <v>30</v>
      </c>
      <c r="C91" s="449"/>
      <c r="D91" s="199" t="s">
        <v>31</v>
      </c>
      <c r="E91" s="199" t="s">
        <v>32</v>
      </c>
      <c r="F91" s="450">
        <v>33</v>
      </c>
      <c r="G91" s="450"/>
      <c r="H91" s="201" t="s">
        <v>33</v>
      </c>
      <c r="I91" s="247" t="s">
        <v>2562</v>
      </c>
      <c r="J91" s="202"/>
      <c r="K91" s="135">
        <v>3</v>
      </c>
    </row>
    <row r="92" spans="2:11" ht="15" customHeight="1">
      <c r="B92" s="451" t="s">
        <v>35</v>
      </c>
      <c r="C92" s="451"/>
      <c r="D92" s="449" t="s">
        <v>2549</v>
      </c>
      <c r="E92" s="449"/>
      <c r="F92" s="449"/>
      <c r="G92" s="449"/>
      <c r="H92" s="449"/>
      <c r="I92" s="449"/>
      <c r="J92" s="449"/>
      <c r="K92" s="135">
        <v>270</v>
      </c>
    </row>
    <row r="93" spans="2:11" ht="15" customHeight="1">
      <c r="B93" s="452" t="s">
        <v>2563</v>
      </c>
      <c r="C93" s="453"/>
      <c r="D93" s="453"/>
      <c r="E93" s="453"/>
      <c r="F93" s="453"/>
      <c r="G93" s="453"/>
      <c r="H93" s="453"/>
      <c r="I93" s="453"/>
      <c r="J93" s="454"/>
      <c r="K93" s="135">
        <v>2700000</v>
      </c>
    </row>
    <row r="94" spans="2:11">
      <c r="B94" s="455"/>
      <c r="C94" s="456"/>
      <c r="D94" s="456"/>
      <c r="E94" s="456"/>
      <c r="F94" s="456"/>
      <c r="G94" s="456"/>
      <c r="H94" s="456"/>
      <c r="I94" s="456"/>
      <c r="J94" s="457"/>
    </row>
    <row r="95" spans="2:11">
      <c r="B95" s="455"/>
      <c r="C95" s="456"/>
      <c r="D95" s="456"/>
      <c r="E95" s="456"/>
      <c r="F95" s="456"/>
      <c r="G95" s="456"/>
      <c r="H95" s="456"/>
      <c r="I95" s="456"/>
      <c r="J95" s="457"/>
    </row>
    <row r="96" spans="2:11">
      <c r="B96" s="458"/>
      <c r="C96" s="459"/>
      <c r="D96" s="459"/>
      <c r="E96" s="459"/>
      <c r="F96" s="459"/>
      <c r="G96" s="459"/>
      <c r="H96" s="459"/>
      <c r="I96" s="459"/>
      <c r="J96" s="460"/>
    </row>
    <row r="97" spans="2:10" ht="18">
      <c r="B97" s="461" t="s">
        <v>38</v>
      </c>
      <c r="C97" s="462"/>
      <c r="D97" s="462"/>
      <c r="E97" s="462"/>
      <c r="F97" s="462"/>
      <c r="G97" s="462"/>
      <c r="H97" s="462"/>
      <c r="I97" s="463"/>
      <c r="J97" s="205" t="s">
        <v>39</v>
      </c>
    </row>
    <row r="98" spans="2:10">
      <c r="B98" s="200">
        <v>1</v>
      </c>
      <c r="C98" s="464" t="s">
        <v>2515</v>
      </c>
      <c r="D98" s="465"/>
      <c r="E98" s="465"/>
      <c r="F98" s="465"/>
      <c r="G98" s="465"/>
      <c r="H98" s="465"/>
      <c r="I98" s="466"/>
      <c r="J98" s="200" t="s">
        <v>26</v>
      </c>
    </row>
    <row r="99" spans="2:10">
      <c r="B99" s="200">
        <v>2</v>
      </c>
      <c r="C99" s="464" t="s">
        <v>2564</v>
      </c>
      <c r="D99" s="465"/>
      <c r="E99" s="465"/>
      <c r="F99" s="465"/>
      <c r="G99" s="465"/>
      <c r="H99" s="465"/>
      <c r="I99" s="466"/>
      <c r="J99" s="200" t="s">
        <v>26</v>
      </c>
    </row>
    <row r="100" spans="2:10">
      <c r="B100" s="254">
        <v>3</v>
      </c>
      <c r="C100" s="464"/>
      <c r="D100" s="465"/>
      <c r="E100" s="465"/>
      <c r="F100" s="465"/>
      <c r="G100" s="465"/>
      <c r="H100" s="465"/>
      <c r="I100" s="466"/>
      <c r="J100" s="200"/>
    </row>
    <row r="101" spans="2:10" ht="20.25" customHeight="1">
      <c r="B101" s="254">
        <v>4</v>
      </c>
      <c r="C101" s="464"/>
      <c r="D101" s="465"/>
      <c r="E101" s="465"/>
      <c r="F101" s="465"/>
      <c r="G101" s="465"/>
      <c r="H101" s="465"/>
      <c r="I101" s="466"/>
      <c r="J101" s="200"/>
    </row>
    <row r="102" spans="2:10" ht="18">
      <c r="B102" s="1115" t="s">
        <v>44</v>
      </c>
      <c r="C102" s="462"/>
      <c r="D102" s="462"/>
      <c r="E102" s="462"/>
      <c r="F102" s="462"/>
      <c r="G102" s="462"/>
      <c r="H102" s="462"/>
      <c r="I102" s="462"/>
      <c r="J102" s="463"/>
    </row>
    <row r="103" spans="2:10">
      <c r="B103" s="200" t="s">
        <v>45</v>
      </c>
      <c r="C103" s="1059" t="s">
        <v>1675</v>
      </c>
      <c r="D103" s="473"/>
      <c r="E103" s="473"/>
      <c r="F103" s="473"/>
      <c r="G103" s="473"/>
      <c r="H103" s="473"/>
      <c r="I103" s="473"/>
      <c r="J103" s="473"/>
    </row>
    <row r="104" spans="2:10">
      <c r="B104" s="206" t="s">
        <v>45</v>
      </c>
      <c r="C104" s="1059" t="s">
        <v>2565</v>
      </c>
      <c r="D104" s="473"/>
      <c r="E104" s="473"/>
      <c r="F104" s="473"/>
      <c r="G104" s="473"/>
      <c r="H104" s="473"/>
      <c r="I104" s="473"/>
      <c r="J104" s="473"/>
    </row>
    <row r="105" spans="2:10">
      <c r="B105" s="206" t="s">
        <v>45</v>
      </c>
      <c r="C105" s="1059" t="s">
        <v>2566</v>
      </c>
      <c r="D105" s="473"/>
      <c r="E105" s="473"/>
      <c r="F105" s="473"/>
      <c r="G105" s="473"/>
      <c r="H105" s="473"/>
      <c r="I105" s="473"/>
      <c r="J105" s="473"/>
    </row>
    <row r="106" spans="2:10">
      <c r="B106" s="206" t="s">
        <v>45</v>
      </c>
      <c r="C106" s="1059" t="s">
        <v>2567</v>
      </c>
      <c r="D106" s="473"/>
      <c r="E106" s="473"/>
      <c r="F106" s="473"/>
      <c r="G106" s="473"/>
      <c r="H106" s="473"/>
      <c r="I106" s="473"/>
      <c r="J106" s="473"/>
    </row>
    <row r="107" spans="2:10">
      <c r="B107" s="206" t="s">
        <v>45</v>
      </c>
      <c r="C107" s="464"/>
      <c r="D107" s="465"/>
      <c r="E107" s="465"/>
      <c r="F107" s="465"/>
      <c r="G107" s="465"/>
      <c r="H107" s="465"/>
      <c r="I107" s="465"/>
      <c r="J107" s="466"/>
    </row>
    <row r="108" spans="2:10">
      <c r="B108" s="206" t="s">
        <v>45</v>
      </c>
      <c r="C108" s="1059"/>
      <c r="D108" s="473"/>
      <c r="E108" s="473"/>
      <c r="F108" s="473"/>
      <c r="G108" s="473"/>
      <c r="H108" s="473"/>
      <c r="I108" s="473"/>
      <c r="J108" s="473"/>
    </row>
    <row r="109" spans="2:10">
      <c r="B109" s="200" t="s">
        <v>45</v>
      </c>
      <c r="C109" s="464"/>
      <c r="D109" s="465"/>
      <c r="E109" s="465"/>
      <c r="F109" s="465"/>
      <c r="G109" s="465"/>
      <c r="H109" s="465"/>
      <c r="I109" s="465"/>
      <c r="J109" s="466"/>
    </row>
    <row r="110" spans="2:10">
      <c r="B110" s="200" t="s">
        <v>7</v>
      </c>
      <c r="C110" s="1101" t="s">
        <v>2568</v>
      </c>
      <c r="D110" s="475"/>
      <c r="E110" s="475"/>
      <c r="F110" s="475"/>
      <c r="G110" s="475"/>
      <c r="H110" s="475"/>
      <c r="I110" s="475"/>
      <c r="J110" s="476"/>
    </row>
    <row r="111" spans="2:10" ht="18">
      <c r="B111" s="205" t="s">
        <v>52</v>
      </c>
      <c r="C111" s="477" t="s">
        <v>53</v>
      </c>
      <c r="D111" s="477"/>
      <c r="E111" s="477"/>
      <c r="F111" s="477"/>
      <c r="G111" s="477"/>
      <c r="H111" s="205" t="s">
        <v>54</v>
      </c>
      <c r="I111" s="205" t="s">
        <v>55</v>
      </c>
      <c r="J111" s="205" t="s">
        <v>56</v>
      </c>
    </row>
    <row r="112" spans="2:10" ht="15" customHeight="1">
      <c r="B112" s="200">
        <v>1</v>
      </c>
      <c r="C112" s="1102" t="s">
        <v>2569</v>
      </c>
      <c r="D112" s="451"/>
      <c r="E112" s="451"/>
      <c r="F112" s="451"/>
      <c r="G112" s="451"/>
      <c r="H112" s="200"/>
      <c r="I112" s="207" t="s">
        <v>1692</v>
      </c>
      <c r="J112" s="200" t="s">
        <v>1796</v>
      </c>
    </row>
    <row r="113" spans="2:11" ht="15" customHeight="1">
      <c r="B113" s="200">
        <v>2</v>
      </c>
      <c r="C113" s="1102" t="s">
        <v>2570</v>
      </c>
      <c r="D113" s="451"/>
      <c r="E113" s="451"/>
      <c r="F113" s="451"/>
      <c r="G113" s="451"/>
      <c r="H113" s="334"/>
      <c r="I113" s="207" t="s">
        <v>1692</v>
      </c>
      <c r="J113" s="200" t="s">
        <v>1796</v>
      </c>
    </row>
    <row r="114" spans="2:11" ht="27" customHeight="1">
      <c r="B114" s="200">
        <v>3</v>
      </c>
      <c r="C114" s="1102" t="s">
        <v>2571</v>
      </c>
      <c r="D114" s="451"/>
      <c r="E114" s="451"/>
      <c r="F114" s="451"/>
      <c r="G114" s="451"/>
      <c r="H114" s="200"/>
      <c r="I114" s="207" t="s">
        <v>1692</v>
      </c>
      <c r="J114" s="200"/>
    </row>
    <row r="115" spans="2:11">
      <c r="B115" s="450" t="s">
        <v>63</v>
      </c>
      <c r="C115" s="450"/>
      <c r="D115" s="199"/>
      <c r="E115" s="198" t="s">
        <v>64</v>
      </c>
      <c r="F115" s="467"/>
      <c r="G115" s="469"/>
      <c r="H115" s="199"/>
      <c r="I115" s="199"/>
      <c r="J115" s="199"/>
    </row>
    <row r="116" spans="2:11" ht="45">
      <c r="B116" s="201" t="s">
        <v>66</v>
      </c>
      <c r="C116" s="450"/>
      <c r="D116" s="450"/>
      <c r="E116" s="201" t="s">
        <v>67</v>
      </c>
      <c r="F116" s="450"/>
      <c r="G116" s="450"/>
      <c r="H116" s="201" t="s">
        <v>68</v>
      </c>
      <c r="I116" s="450"/>
      <c r="J116" s="450"/>
    </row>
    <row r="118" spans="2:11" ht="26.25" customHeight="1">
      <c r="B118" s="446" t="s">
        <v>13</v>
      </c>
      <c r="C118" s="447"/>
      <c r="D118" s="446" t="s">
        <v>14</v>
      </c>
      <c r="E118" s="446"/>
      <c r="F118" s="446"/>
      <c r="G118" s="446"/>
      <c r="H118" s="446"/>
      <c r="I118" s="446"/>
      <c r="J118" s="197" t="s">
        <v>15</v>
      </c>
    </row>
    <row r="119" spans="2:11" ht="20.25" customHeight="1">
      <c r="B119" s="447"/>
      <c r="C119" s="447"/>
      <c r="D119" s="448" t="s">
        <v>16</v>
      </c>
      <c r="E119" s="448"/>
      <c r="F119" s="448"/>
      <c r="G119" s="448"/>
      <c r="H119" s="448"/>
      <c r="I119" s="448"/>
      <c r="J119" s="197" t="s">
        <v>17</v>
      </c>
    </row>
    <row r="120" spans="2:11">
      <c r="B120" s="449" t="s">
        <v>18</v>
      </c>
      <c r="C120" s="449"/>
      <c r="D120" s="174">
        <v>45969</v>
      </c>
      <c r="E120" s="199" t="s">
        <v>1460</v>
      </c>
      <c r="F120" s="450" t="s">
        <v>131</v>
      </c>
      <c r="G120" s="450"/>
      <c r="H120" s="201" t="s">
        <v>21</v>
      </c>
      <c r="I120" s="202" t="s">
        <v>867</v>
      </c>
      <c r="J120" s="199" t="s">
        <v>2545</v>
      </c>
    </row>
    <row r="121" spans="2:11">
      <c r="B121" s="449" t="s">
        <v>24</v>
      </c>
      <c r="C121" s="449"/>
      <c r="D121" s="203">
        <v>0.66666666666666663</v>
      </c>
      <c r="E121" s="204" t="s">
        <v>25</v>
      </c>
      <c r="F121" s="450" t="s">
        <v>26</v>
      </c>
      <c r="G121" s="450"/>
      <c r="H121" s="199" t="s">
        <v>27</v>
      </c>
      <c r="I121" s="202" t="s">
        <v>2410</v>
      </c>
      <c r="J121" s="202" t="s">
        <v>31</v>
      </c>
      <c r="K121" s="135">
        <v>90</v>
      </c>
    </row>
    <row r="122" spans="2:11" ht="30">
      <c r="B122" s="449" t="s">
        <v>30</v>
      </c>
      <c r="C122" s="449"/>
      <c r="D122" s="199" t="s">
        <v>31</v>
      </c>
      <c r="E122" s="199" t="s">
        <v>32</v>
      </c>
      <c r="F122" s="450">
        <v>236</v>
      </c>
      <c r="G122" s="450"/>
      <c r="H122" s="201" t="s">
        <v>33</v>
      </c>
      <c r="I122" s="247" t="s">
        <v>2548</v>
      </c>
      <c r="J122" s="202"/>
      <c r="K122" s="135">
        <v>3</v>
      </c>
    </row>
    <row r="123" spans="2:11">
      <c r="B123" s="451" t="s">
        <v>35</v>
      </c>
      <c r="C123" s="451"/>
      <c r="D123" s="449" t="s">
        <v>2572</v>
      </c>
      <c r="E123" s="449"/>
      <c r="F123" s="449"/>
      <c r="G123" s="449"/>
      <c r="H123" s="449"/>
      <c r="I123" s="449"/>
      <c r="J123" s="449"/>
      <c r="K123" s="135">
        <v>270</v>
      </c>
    </row>
    <row r="124" spans="2:11">
      <c r="B124" s="452" t="s">
        <v>2573</v>
      </c>
      <c r="C124" s="453"/>
      <c r="D124" s="453"/>
      <c r="E124" s="453"/>
      <c r="F124" s="453"/>
      <c r="G124" s="453"/>
      <c r="H124" s="453"/>
      <c r="I124" s="453"/>
      <c r="J124" s="454"/>
      <c r="K124" s="135">
        <v>2700000</v>
      </c>
    </row>
    <row r="125" spans="2:11">
      <c r="B125" s="455"/>
      <c r="C125" s="456"/>
      <c r="D125" s="456"/>
      <c r="E125" s="456"/>
      <c r="F125" s="456"/>
      <c r="G125" s="456"/>
      <c r="H125" s="456"/>
      <c r="I125" s="456"/>
      <c r="J125" s="457"/>
    </row>
    <row r="126" spans="2:11">
      <c r="B126" s="455"/>
      <c r="C126" s="456"/>
      <c r="D126" s="456"/>
      <c r="E126" s="456"/>
      <c r="F126" s="456"/>
      <c r="G126" s="456"/>
      <c r="H126" s="456"/>
      <c r="I126" s="456"/>
      <c r="J126" s="457"/>
    </row>
    <row r="127" spans="2:11">
      <c r="B127" s="458"/>
      <c r="C127" s="459"/>
      <c r="D127" s="459"/>
      <c r="E127" s="459"/>
      <c r="F127" s="459"/>
      <c r="G127" s="459"/>
      <c r="H127" s="459"/>
      <c r="I127" s="459"/>
      <c r="J127" s="460"/>
    </row>
    <row r="128" spans="2:11" ht="18">
      <c r="B128" s="461" t="s">
        <v>38</v>
      </c>
      <c r="C128" s="462"/>
      <c r="D128" s="462"/>
      <c r="E128" s="462"/>
      <c r="F128" s="462"/>
      <c r="G128" s="462"/>
      <c r="H128" s="462"/>
      <c r="I128" s="463"/>
      <c r="J128" s="205" t="s">
        <v>39</v>
      </c>
    </row>
    <row r="129" spans="2:10">
      <c r="B129" s="200">
        <v>1</v>
      </c>
      <c r="C129" s="464" t="s">
        <v>2574</v>
      </c>
      <c r="D129" s="465"/>
      <c r="E129" s="465"/>
      <c r="F129" s="465"/>
      <c r="G129" s="465"/>
      <c r="H129" s="465"/>
      <c r="I129" s="466"/>
      <c r="J129" s="200" t="s">
        <v>26</v>
      </c>
    </row>
    <row r="130" spans="2:10">
      <c r="B130" s="200">
        <v>2</v>
      </c>
      <c r="C130" s="464" t="s">
        <v>2575</v>
      </c>
      <c r="D130" s="465"/>
      <c r="E130" s="465"/>
      <c r="F130" s="465"/>
      <c r="G130" s="465"/>
      <c r="H130" s="465"/>
      <c r="I130" s="466"/>
      <c r="J130" s="200" t="s">
        <v>26</v>
      </c>
    </row>
    <row r="131" spans="2:10">
      <c r="B131" s="254">
        <v>3</v>
      </c>
      <c r="C131" s="464" t="s">
        <v>2576</v>
      </c>
      <c r="D131" s="465"/>
      <c r="E131" s="465"/>
      <c r="F131" s="465"/>
      <c r="G131" s="465"/>
      <c r="H131" s="465"/>
      <c r="I131" s="466"/>
      <c r="J131" s="200" t="s">
        <v>26</v>
      </c>
    </row>
    <row r="132" spans="2:10">
      <c r="B132" s="254">
        <v>4</v>
      </c>
      <c r="C132" s="464" t="s">
        <v>2553</v>
      </c>
      <c r="D132" s="465"/>
      <c r="E132" s="465"/>
      <c r="F132" s="465"/>
      <c r="G132" s="465"/>
      <c r="H132" s="465"/>
      <c r="I132" s="466"/>
      <c r="J132" s="200" t="s">
        <v>26</v>
      </c>
    </row>
    <row r="133" spans="2:10" ht="18">
      <c r="B133" s="1115" t="s">
        <v>44</v>
      </c>
      <c r="C133" s="462"/>
      <c r="D133" s="462"/>
      <c r="E133" s="462"/>
      <c r="F133" s="462"/>
      <c r="G133" s="462"/>
      <c r="H133" s="462"/>
      <c r="I133" s="462"/>
      <c r="J133" s="463"/>
    </row>
    <row r="134" spans="2:10">
      <c r="B134" s="200" t="s">
        <v>45</v>
      </c>
      <c r="C134" s="1059" t="s">
        <v>1568</v>
      </c>
      <c r="D134" s="473"/>
      <c r="E134" s="473"/>
      <c r="F134" s="473"/>
      <c r="G134" s="473"/>
      <c r="H134" s="473"/>
      <c r="I134" s="473"/>
      <c r="J134" s="473"/>
    </row>
    <row r="135" spans="2:10">
      <c r="B135" s="206" t="s">
        <v>45</v>
      </c>
      <c r="C135" s="1059" t="s">
        <v>2577</v>
      </c>
      <c r="D135" s="473"/>
      <c r="E135" s="473"/>
      <c r="F135" s="473"/>
      <c r="G135" s="473"/>
      <c r="H135" s="473"/>
      <c r="I135" s="473"/>
      <c r="J135" s="473"/>
    </row>
    <row r="136" spans="2:10">
      <c r="B136" s="206" t="s">
        <v>45</v>
      </c>
      <c r="C136" s="1059" t="s">
        <v>2578</v>
      </c>
      <c r="D136" s="473"/>
      <c r="E136" s="473"/>
      <c r="F136" s="473"/>
      <c r="G136" s="473"/>
      <c r="H136" s="473"/>
      <c r="I136" s="473"/>
      <c r="J136" s="473"/>
    </row>
    <row r="137" spans="2:10">
      <c r="B137" s="206" t="s">
        <v>45</v>
      </c>
      <c r="C137" s="1101" t="s">
        <v>2579</v>
      </c>
      <c r="D137" s="475"/>
      <c r="E137" s="475"/>
      <c r="F137" s="475"/>
      <c r="G137" s="475"/>
      <c r="H137" s="475"/>
      <c r="I137" s="475"/>
      <c r="J137" s="476"/>
    </row>
    <row r="138" spans="2:10">
      <c r="B138" s="206" t="s">
        <v>45</v>
      </c>
      <c r="C138" s="464" t="s">
        <v>2580</v>
      </c>
      <c r="D138" s="465"/>
      <c r="E138" s="465"/>
      <c r="F138" s="465"/>
      <c r="G138" s="465"/>
      <c r="H138" s="465"/>
      <c r="I138" s="465"/>
      <c r="J138" s="466"/>
    </row>
    <row r="139" spans="2:10">
      <c r="B139" s="206" t="s">
        <v>45</v>
      </c>
      <c r="C139" s="464"/>
      <c r="D139" s="465"/>
      <c r="E139" s="465"/>
      <c r="F139" s="465"/>
      <c r="G139" s="465"/>
      <c r="H139" s="465"/>
      <c r="I139" s="465"/>
      <c r="J139" s="466"/>
    </row>
    <row r="140" spans="2:10">
      <c r="B140" s="200" t="s">
        <v>45</v>
      </c>
      <c r="C140" s="464"/>
      <c r="D140" s="465"/>
      <c r="E140" s="465"/>
      <c r="F140" s="465"/>
      <c r="G140" s="465"/>
      <c r="H140" s="465"/>
      <c r="I140" s="465"/>
      <c r="J140" s="466"/>
    </row>
    <row r="141" spans="2:10">
      <c r="B141" s="200" t="s">
        <v>7</v>
      </c>
      <c r="C141" s="464" t="s">
        <v>2581</v>
      </c>
      <c r="D141" s="465"/>
      <c r="E141" s="465"/>
      <c r="F141" s="465"/>
      <c r="G141" s="465"/>
      <c r="H141" s="465"/>
      <c r="I141" s="465"/>
      <c r="J141" s="466"/>
    </row>
    <row r="142" spans="2:10" ht="18">
      <c r="B142" s="205" t="s">
        <v>52</v>
      </c>
      <c r="C142" s="477" t="s">
        <v>53</v>
      </c>
      <c r="D142" s="477"/>
      <c r="E142" s="477"/>
      <c r="F142" s="477"/>
      <c r="G142" s="477"/>
      <c r="H142" s="205" t="s">
        <v>54</v>
      </c>
      <c r="I142" s="205" t="s">
        <v>55</v>
      </c>
      <c r="J142" s="205" t="s">
        <v>56</v>
      </c>
    </row>
    <row r="143" spans="2:10">
      <c r="B143" s="200">
        <v>1</v>
      </c>
      <c r="C143" s="1102" t="s">
        <v>2582</v>
      </c>
      <c r="D143" s="451"/>
      <c r="E143" s="451"/>
      <c r="F143" s="451"/>
      <c r="G143" s="451"/>
      <c r="H143" s="200" t="s">
        <v>2015</v>
      </c>
      <c r="I143" s="207" t="s">
        <v>1692</v>
      </c>
      <c r="J143" s="200" t="s">
        <v>1796</v>
      </c>
    </row>
    <row r="144" spans="2:10" ht="15" customHeight="1">
      <c r="B144" s="200">
        <v>1</v>
      </c>
      <c r="C144" s="1102"/>
      <c r="D144" s="451"/>
      <c r="E144" s="451"/>
      <c r="F144" s="451"/>
      <c r="G144" s="451"/>
      <c r="H144" s="334"/>
      <c r="I144" s="207" t="s">
        <v>1692</v>
      </c>
      <c r="J144" s="200" t="s">
        <v>1796</v>
      </c>
    </row>
    <row r="145" spans="2:10">
      <c r="B145" s="200">
        <v>2</v>
      </c>
      <c r="C145" s="1102"/>
      <c r="D145" s="451"/>
      <c r="E145" s="451"/>
      <c r="F145" s="451"/>
      <c r="G145" s="451"/>
      <c r="H145" s="200"/>
      <c r="I145" s="207"/>
      <c r="J145" s="200"/>
    </row>
    <row r="146" spans="2:10">
      <c r="B146" s="450" t="s">
        <v>63</v>
      </c>
      <c r="C146" s="450"/>
      <c r="D146" s="199"/>
      <c r="E146" s="198" t="s">
        <v>64</v>
      </c>
      <c r="F146" s="467"/>
      <c r="G146" s="469"/>
      <c r="H146" s="199"/>
      <c r="I146" s="199"/>
      <c r="J146" s="199"/>
    </row>
    <row r="147" spans="2:10" ht="45">
      <c r="B147" s="201" t="s">
        <v>66</v>
      </c>
      <c r="C147" s="450"/>
      <c r="D147" s="450"/>
      <c r="E147" s="201" t="s">
        <v>67</v>
      </c>
      <c r="F147" s="450"/>
      <c r="G147" s="450"/>
      <c r="H147" s="201" t="s">
        <v>68</v>
      </c>
      <c r="I147" s="450"/>
      <c r="J147" s="450"/>
    </row>
    <row r="149" spans="2:10" ht="26.25">
      <c r="B149" s="446" t="s">
        <v>13</v>
      </c>
      <c r="C149" s="447"/>
      <c r="D149" s="446" t="s">
        <v>14</v>
      </c>
      <c r="E149" s="446"/>
      <c r="F149" s="446"/>
      <c r="G149" s="446"/>
      <c r="H149" s="446"/>
      <c r="I149" s="446"/>
      <c r="J149" s="197" t="s">
        <v>15</v>
      </c>
    </row>
    <row r="150" spans="2:10" ht="20.25" customHeight="1">
      <c r="B150" s="447"/>
      <c r="C150" s="447"/>
      <c r="D150" s="448" t="s">
        <v>16</v>
      </c>
      <c r="E150" s="448"/>
      <c r="F150" s="448"/>
      <c r="G150" s="448"/>
      <c r="H150" s="448"/>
      <c r="I150" s="448"/>
      <c r="J150" s="197" t="s">
        <v>17</v>
      </c>
    </row>
    <row r="151" spans="2:10">
      <c r="B151" s="449" t="s">
        <v>18</v>
      </c>
      <c r="C151" s="449"/>
      <c r="D151" s="174">
        <v>45975</v>
      </c>
      <c r="E151" s="199" t="s">
        <v>1460</v>
      </c>
      <c r="F151" s="450" t="s">
        <v>124</v>
      </c>
      <c r="G151" s="450"/>
      <c r="H151" s="201" t="s">
        <v>21</v>
      </c>
      <c r="I151" s="202" t="s">
        <v>867</v>
      </c>
      <c r="J151" s="199" t="s">
        <v>2545</v>
      </c>
    </row>
    <row r="152" spans="2:10" ht="30">
      <c r="B152" s="449" t="s">
        <v>24</v>
      </c>
      <c r="C152" s="449"/>
      <c r="D152" s="203">
        <v>0.13194444444444445</v>
      </c>
      <c r="E152" s="204" t="s">
        <v>25</v>
      </c>
      <c r="F152" s="450" t="s">
        <v>26</v>
      </c>
      <c r="G152" s="450"/>
      <c r="H152" s="199" t="s">
        <v>27</v>
      </c>
      <c r="I152" s="202" t="s">
        <v>2583</v>
      </c>
      <c r="J152" s="202" t="s">
        <v>31</v>
      </c>
    </row>
    <row r="153" spans="2:10">
      <c r="B153" s="449" t="s">
        <v>30</v>
      </c>
      <c r="C153" s="449"/>
      <c r="D153" s="199" t="s">
        <v>31</v>
      </c>
      <c r="E153" s="199" t="s">
        <v>32</v>
      </c>
      <c r="F153" s="450">
        <v>75</v>
      </c>
      <c r="G153" s="450"/>
      <c r="H153" s="201" t="s">
        <v>33</v>
      </c>
      <c r="I153" s="247"/>
      <c r="J153" s="202"/>
    </row>
    <row r="154" spans="2:10">
      <c r="B154" s="451" t="s">
        <v>35</v>
      </c>
      <c r="C154" s="451"/>
      <c r="D154" s="449" t="s">
        <v>2584</v>
      </c>
      <c r="E154" s="449"/>
      <c r="F154" s="449"/>
      <c r="G154" s="449"/>
      <c r="H154" s="449"/>
      <c r="I154" s="449"/>
      <c r="J154" s="449"/>
    </row>
    <row r="155" spans="2:10">
      <c r="B155" s="452" t="s">
        <v>2585</v>
      </c>
      <c r="C155" s="453"/>
      <c r="D155" s="453"/>
      <c r="E155" s="453"/>
      <c r="F155" s="453"/>
      <c r="G155" s="453"/>
      <c r="H155" s="453"/>
      <c r="I155" s="453"/>
      <c r="J155" s="454"/>
    </row>
    <row r="156" spans="2:10">
      <c r="B156" s="455"/>
      <c r="C156" s="456"/>
      <c r="D156" s="456"/>
      <c r="E156" s="456"/>
      <c r="F156" s="456"/>
      <c r="G156" s="456"/>
      <c r="H156" s="456"/>
      <c r="I156" s="456"/>
      <c r="J156" s="457"/>
    </row>
    <row r="157" spans="2:10">
      <c r="B157" s="455"/>
      <c r="C157" s="456"/>
      <c r="D157" s="456"/>
      <c r="E157" s="456"/>
      <c r="F157" s="456"/>
      <c r="G157" s="456"/>
      <c r="H157" s="456"/>
      <c r="I157" s="456"/>
      <c r="J157" s="457"/>
    </row>
    <row r="158" spans="2:10">
      <c r="B158" s="458"/>
      <c r="C158" s="459"/>
      <c r="D158" s="459"/>
      <c r="E158" s="459"/>
      <c r="F158" s="459"/>
      <c r="G158" s="459"/>
      <c r="H158" s="459"/>
      <c r="I158" s="459"/>
      <c r="J158" s="460"/>
    </row>
    <row r="159" spans="2:10" ht="18">
      <c r="B159" s="461" t="s">
        <v>38</v>
      </c>
      <c r="C159" s="462"/>
      <c r="D159" s="462"/>
      <c r="E159" s="462"/>
      <c r="F159" s="462"/>
      <c r="G159" s="462"/>
      <c r="H159" s="462"/>
      <c r="I159" s="463"/>
      <c r="J159" s="205" t="s">
        <v>39</v>
      </c>
    </row>
    <row r="160" spans="2:10">
      <c r="B160" s="200">
        <v>1</v>
      </c>
      <c r="C160" s="464" t="s">
        <v>2586</v>
      </c>
      <c r="D160" s="465"/>
      <c r="E160" s="465"/>
      <c r="F160" s="465"/>
      <c r="G160" s="465"/>
      <c r="H160" s="465"/>
      <c r="I160" s="466"/>
      <c r="J160" s="200" t="s">
        <v>26</v>
      </c>
    </row>
    <row r="161" spans="2:10">
      <c r="B161" s="200">
        <v>2</v>
      </c>
      <c r="C161" s="1009" t="s">
        <v>2587</v>
      </c>
      <c r="D161" s="465"/>
      <c r="E161" s="465"/>
      <c r="F161" s="465"/>
      <c r="G161" s="465"/>
      <c r="H161" s="465"/>
      <c r="I161" s="466"/>
      <c r="J161" s="200" t="s">
        <v>26</v>
      </c>
    </row>
    <row r="162" spans="2:10">
      <c r="B162" s="254">
        <v>3</v>
      </c>
      <c r="C162" s="464" t="s">
        <v>2588</v>
      </c>
      <c r="D162" s="465"/>
      <c r="E162" s="465"/>
      <c r="F162" s="465"/>
      <c r="G162" s="465"/>
      <c r="H162" s="465"/>
      <c r="I162" s="466"/>
      <c r="J162" s="200" t="s">
        <v>26</v>
      </c>
    </row>
    <row r="163" spans="2:10">
      <c r="B163" s="254">
        <v>4</v>
      </c>
      <c r="C163" s="464"/>
      <c r="D163" s="465"/>
      <c r="E163" s="465"/>
      <c r="F163" s="465"/>
      <c r="G163" s="465"/>
      <c r="H163" s="465"/>
      <c r="I163" s="466"/>
      <c r="J163" s="200"/>
    </row>
    <row r="164" spans="2:10" ht="18">
      <c r="B164" s="1115" t="s">
        <v>44</v>
      </c>
      <c r="C164" s="462"/>
      <c r="D164" s="462"/>
      <c r="E164" s="462"/>
      <c r="F164" s="462"/>
      <c r="G164" s="462"/>
      <c r="H164" s="462"/>
      <c r="I164" s="462"/>
      <c r="J164" s="463"/>
    </row>
    <row r="165" spans="2:10">
      <c r="B165" s="200" t="s">
        <v>45</v>
      </c>
      <c r="C165" s="1059" t="s">
        <v>2589</v>
      </c>
      <c r="D165" s="473"/>
      <c r="E165" s="473"/>
      <c r="F165" s="473"/>
      <c r="G165" s="473"/>
      <c r="H165" s="473"/>
      <c r="I165" s="473"/>
      <c r="J165" s="473"/>
    </row>
    <row r="166" spans="2:10">
      <c r="B166" s="206" t="s">
        <v>45</v>
      </c>
      <c r="C166" s="1059" t="s">
        <v>2590</v>
      </c>
      <c r="D166" s="473"/>
      <c r="E166" s="473"/>
      <c r="F166" s="473"/>
      <c r="G166" s="473"/>
      <c r="H166" s="473"/>
      <c r="I166" s="473"/>
      <c r="J166" s="473"/>
    </row>
    <row r="167" spans="2:10">
      <c r="B167" s="206" t="s">
        <v>45</v>
      </c>
      <c r="C167" s="1101" t="s">
        <v>2591</v>
      </c>
      <c r="D167" s="475"/>
      <c r="E167" s="475"/>
      <c r="F167" s="475"/>
      <c r="G167" s="475"/>
      <c r="H167" s="475"/>
      <c r="I167" s="475"/>
      <c r="J167" s="476"/>
    </row>
    <row r="168" spans="2:10">
      <c r="B168" s="206" t="s">
        <v>45</v>
      </c>
      <c r="C168" s="1101" t="s">
        <v>2592</v>
      </c>
      <c r="D168" s="475"/>
      <c r="E168" s="475"/>
      <c r="F168" s="475"/>
      <c r="G168" s="475"/>
      <c r="H168" s="475"/>
      <c r="I168" s="475"/>
      <c r="J168" s="476"/>
    </row>
    <row r="169" spans="2:10">
      <c r="B169" s="206" t="s">
        <v>45</v>
      </c>
      <c r="C169" s="464"/>
      <c r="D169" s="465"/>
      <c r="E169" s="465"/>
      <c r="F169" s="465"/>
      <c r="G169" s="465"/>
      <c r="H169" s="465"/>
      <c r="I169" s="465"/>
      <c r="J169" s="466"/>
    </row>
    <row r="170" spans="2:10">
      <c r="B170" s="206" t="s">
        <v>45</v>
      </c>
      <c r="C170" s="464"/>
      <c r="D170" s="465"/>
      <c r="E170" s="465"/>
      <c r="F170" s="465"/>
      <c r="G170" s="465"/>
      <c r="H170" s="465"/>
      <c r="I170" s="465"/>
      <c r="J170" s="466"/>
    </row>
    <row r="171" spans="2:10">
      <c r="B171" s="200" t="s">
        <v>45</v>
      </c>
      <c r="C171" s="464"/>
      <c r="D171" s="465"/>
      <c r="E171" s="465"/>
      <c r="F171" s="465"/>
      <c r="G171" s="465"/>
      <c r="H171" s="465"/>
      <c r="I171" s="465"/>
      <c r="J171" s="466"/>
    </row>
    <row r="172" spans="2:10">
      <c r="B172" s="200" t="s">
        <v>7</v>
      </c>
      <c r="C172" s="464" t="s">
        <v>2593</v>
      </c>
      <c r="D172" s="465"/>
      <c r="E172" s="465"/>
      <c r="F172" s="465"/>
      <c r="G172" s="465"/>
      <c r="H172" s="465"/>
      <c r="I172" s="465"/>
      <c r="J172" s="466"/>
    </row>
    <row r="173" spans="2:10" ht="18">
      <c r="B173" s="205" t="s">
        <v>52</v>
      </c>
      <c r="C173" s="477" t="s">
        <v>53</v>
      </c>
      <c r="D173" s="477"/>
      <c r="E173" s="477"/>
      <c r="F173" s="477"/>
      <c r="G173" s="477"/>
      <c r="H173" s="205" t="s">
        <v>54</v>
      </c>
      <c r="I173" s="205" t="s">
        <v>55</v>
      </c>
      <c r="J173" s="205" t="s">
        <v>56</v>
      </c>
    </row>
    <row r="174" spans="2:10">
      <c r="B174" s="200">
        <v>1</v>
      </c>
      <c r="C174" s="1102"/>
      <c r="D174" s="451"/>
      <c r="E174" s="451"/>
      <c r="F174" s="451"/>
      <c r="G174" s="451"/>
      <c r="H174" s="200"/>
      <c r="I174" s="207"/>
      <c r="J174" s="200"/>
    </row>
    <row r="175" spans="2:10">
      <c r="B175" s="200">
        <v>1</v>
      </c>
      <c r="C175" s="1102"/>
      <c r="D175" s="451"/>
      <c r="E175" s="451"/>
      <c r="F175" s="451"/>
      <c r="G175" s="451"/>
      <c r="H175" s="334"/>
      <c r="I175" s="207"/>
      <c r="J175" s="200"/>
    </row>
    <row r="176" spans="2:10">
      <c r="B176" s="200">
        <v>2</v>
      </c>
      <c r="C176" s="1102"/>
      <c r="D176" s="451"/>
      <c r="E176" s="451"/>
      <c r="F176" s="451"/>
      <c r="G176" s="451"/>
      <c r="H176" s="200"/>
      <c r="I176" s="207"/>
      <c r="J176" s="200"/>
    </row>
    <row r="177" spans="2:10">
      <c r="B177" s="450" t="s">
        <v>63</v>
      </c>
      <c r="C177" s="450"/>
      <c r="D177" s="199"/>
      <c r="E177" s="198" t="s">
        <v>64</v>
      </c>
      <c r="F177" s="467"/>
      <c r="G177" s="469"/>
      <c r="H177" s="199"/>
      <c r="I177" s="199"/>
      <c r="J177" s="199"/>
    </row>
    <row r="178" spans="2:10" ht="45">
      <c r="B178" s="201" t="s">
        <v>66</v>
      </c>
      <c r="C178" s="450"/>
      <c r="D178" s="450"/>
      <c r="E178" s="201" t="s">
        <v>67</v>
      </c>
      <c r="F178" s="450"/>
      <c r="G178" s="450"/>
      <c r="H178" s="201" t="s">
        <v>68</v>
      </c>
      <c r="I178" s="450"/>
      <c r="J178" s="450"/>
    </row>
    <row r="181" spans="2:10" ht="26.25">
      <c r="B181" s="446" t="s">
        <v>13</v>
      </c>
      <c r="C181" s="447"/>
      <c r="D181" s="446" t="s">
        <v>14</v>
      </c>
      <c r="E181" s="446"/>
      <c r="F181" s="446"/>
      <c r="G181" s="446"/>
      <c r="H181" s="446"/>
      <c r="I181" s="446"/>
      <c r="J181" s="197" t="s">
        <v>15</v>
      </c>
    </row>
    <row r="182" spans="2:10" ht="20.25" customHeight="1">
      <c r="B182" s="447"/>
      <c r="C182" s="447"/>
      <c r="D182" s="448" t="s">
        <v>16</v>
      </c>
      <c r="E182" s="448"/>
      <c r="F182" s="448"/>
      <c r="G182" s="448"/>
      <c r="H182" s="448"/>
      <c r="I182" s="448"/>
      <c r="J182" s="197" t="s">
        <v>17</v>
      </c>
    </row>
    <row r="183" spans="2:10">
      <c r="B183" s="449" t="s">
        <v>18</v>
      </c>
      <c r="C183" s="449"/>
      <c r="D183" s="174">
        <v>45980</v>
      </c>
      <c r="E183" s="199" t="s">
        <v>1460</v>
      </c>
      <c r="F183" s="450" t="s">
        <v>124</v>
      </c>
      <c r="G183" s="450"/>
      <c r="H183" s="201" t="s">
        <v>21</v>
      </c>
      <c r="I183" s="202" t="s">
        <v>867</v>
      </c>
      <c r="J183" s="199" t="s">
        <v>2545</v>
      </c>
    </row>
    <row r="184" spans="2:10">
      <c r="B184" s="449" t="s">
        <v>24</v>
      </c>
      <c r="C184" s="449"/>
      <c r="D184" s="203">
        <v>0.17916666666666667</v>
      </c>
      <c r="E184" s="204" t="s">
        <v>25</v>
      </c>
      <c r="F184" s="450" t="s">
        <v>26</v>
      </c>
      <c r="G184" s="450"/>
      <c r="H184" s="199" t="s">
        <v>27</v>
      </c>
      <c r="I184" s="202" t="s">
        <v>1774</v>
      </c>
      <c r="J184" s="202" t="s">
        <v>29</v>
      </c>
    </row>
    <row r="185" spans="2:10">
      <c r="B185" s="449" t="s">
        <v>30</v>
      </c>
      <c r="C185" s="449"/>
      <c r="D185" s="199" t="s">
        <v>31</v>
      </c>
      <c r="E185" s="199" t="s">
        <v>32</v>
      </c>
      <c r="F185" s="450">
        <v>140</v>
      </c>
      <c r="G185" s="450"/>
      <c r="H185" s="201" t="s">
        <v>33</v>
      </c>
      <c r="I185" s="247"/>
      <c r="J185" s="202"/>
    </row>
    <row r="186" spans="2:10">
      <c r="B186" s="451" t="s">
        <v>35</v>
      </c>
      <c r="C186" s="451"/>
      <c r="D186" s="449" t="s">
        <v>2594</v>
      </c>
      <c r="E186" s="449"/>
      <c r="F186" s="449"/>
      <c r="G186" s="449"/>
      <c r="H186" s="449"/>
      <c r="I186" s="449"/>
      <c r="J186" s="449"/>
    </row>
    <row r="187" spans="2:10">
      <c r="B187" s="452" t="s">
        <v>2595</v>
      </c>
      <c r="C187" s="453"/>
      <c r="D187" s="453"/>
      <c r="E187" s="453"/>
      <c r="F187" s="453"/>
      <c r="G187" s="453"/>
      <c r="H187" s="453"/>
      <c r="I187" s="453"/>
      <c r="J187" s="454"/>
    </row>
    <row r="188" spans="2:10">
      <c r="B188" s="455"/>
      <c r="C188" s="456"/>
      <c r="D188" s="456"/>
      <c r="E188" s="456"/>
      <c r="F188" s="456"/>
      <c r="G188" s="456"/>
      <c r="H188" s="456"/>
      <c r="I188" s="456"/>
      <c r="J188" s="457"/>
    </row>
    <row r="189" spans="2:10">
      <c r="B189" s="455"/>
      <c r="C189" s="456"/>
      <c r="D189" s="456"/>
      <c r="E189" s="456"/>
      <c r="F189" s="456"/>
      <c r="G189" s="456"/>
      <c r="H189" s="456"/>
      <c r="I189" s="456"/>
      <c r="J189" s="457"/>
    </row>
    <row r="190" spans="2:10">
      <c r="B190" s="458"/>
      <c r="C190" s="459"/>
      <c r="D190" s="459"/>
      <c r="E190" s="459"/>
      <c r="F190" s="459"/>
      <c r="G190" s="459"/>
      <c r="H190" s="459"/>
      <c r="I190" s="459"/>
      <c r="J190" s="460"/>
    </row>
    <row r="191" spans="2:10" ht="18">
      <c r="B191" s="461" t="s">
        <v>38</v>
      </c>
      <c r="C191" s="462"/>
      <c r="D191" s="462"/>
      <c r="E191" s="462"/>
      <c r="F191" s="462"/>
      <c r="G191" s="462"/>
      <c r="H191" s="462"/>
      <c r="I191" s="463"/>
      <c r="J191" s="205" t="s">
        <v>39</v>
      </c>
    </row>
    <row r="192" spans="2:10">
      <c r="B192" s="200">
        <v>1</v>
      </c>
      <c r="C192" s="464" t="s">
        <v>2596</v>
      </c>
      <c r="D192" s="465"/>
      <c r="E192" s="465"/>
      <c r="F192" s="465"/>
      <c r="G192" s="465"/>
      <c r="H192" s="465"/>
      <c r="I192" s="466"/>
      <c r="J192" s="200" t="s">
        <v>26</v>
      </c>
    </row>
    <row r="193" spans="2:10">
      <c r="B193" s="200">
        <v>2</v>
      </c>
      <c r="C193" s="464" t="s">
        <v>2588</v>
      </c>
      <c r="D193" s="465"/>
      <c r="E193" s="465"/>
      <c r="F193" s="465"/>
      <c r="G193" s="465"/>
      <c r="H193" s="465"/>
      <c r="I193" s="466"/>
      <c r="J193" s="200" t="s">
        <v>26</v>
      </c>
    </row>
    <row r="194" spans="2:10">
      <c r="B194" s="254">
        <v>3</v>
      </c>
      <c r="C194" s="464"/>
      <c r="D194" s="465"/>
      <c r="E194" s="465"/>
      <c r="F194" s="465"/>
      <c r="G194" s="465"/>
      <c r="H194" s="465"/>
      <c r="I194" s="466"/>
      <c r="J194" s="200"/>
    </row>
    <row r="195" spans="2:10">
      <c r="B195" s="254">
        <v>4</v>
      </c>
      <c r="C195" s="464"/>
      <c r="D195" s="465"/>
      <c r="E195" s="465"/>
      <c r="F195" s="465"/>
      <c r="G195" s="465"/>
      <c r="H195" s="465"/>
      <c r="I195" s="466"/>
      <c r="J195" s="200"/>
    </row>
    <row r="196" spans="2:10" ht="18">
      <c r="B196" s="1115" t="s">
        <v>44</v>
      </c>
      <c r="C196" s="462"/>
      <c r="D196" s="462"/>
      <c r="E196" s="462"/>
      <c r="F196" s="462"/>
      <c r="G196" s="462"/>
      <c r="H196" s="462"/>
      <c r="I196" s="462"/>
      <c r="J196" s="463"/>
    </row>
    <row r="197" spans="2:10">
      <c r="B197" s="200" t="s">
        <v>45</v>
      </c>
      <c r="C197" s="1059" t="s">
        <v>1568</v>
      </c>
      <c r="D197" s="473"/>
      <c r="E197" s="473"/>
      <c r="F197" s="473"/>
      <c r="G197" s="473"/>
      <c r="H197" s="473"/>
      <c r="I197" s="473"/>
      <c r="J197" s="473"/>
    </row>
    <row r="198" spans="2:10">
      <c r="B198" s="206" t="s">
        <v>45</v>
      </c>
      <c r="C198" s="1059" t="s">
        <v>2597</v>
      </c>
      <c r="D198" s="473"/>
      <c r="E198" s="473"/>
      <c r="F198" s="473"/>
      <c r="G198" s="473"/>
      <c r="H198" s="473"/>
      <c r="I198" s="473"/>
      <c r="J198" s="473"/>
    </row>
    <row r="199" spans="2:10">
      <c r="B199" s="206" t="s">
        <v>45</v>
      </c>
      <c r="C199" s="1101" t="s">
        <v>2598</v>
      </c>
      <c r="D199" s="475"/>
      <c r="E199" s="475"/>
      <c r="F199" s="475"/>
      <c r="G199" s="475"/>
      <c r="H199" s="475"/>
      <c r="I199" s="475"/>
      <c r="J199" s="476"/>
    </row>
    <row r="200" spans="2:10">
      <c r="B200" s="206" t="s">
        <v>45</v>
      </c>
      <c r="C200" s="1101"/>
      <c r="D200" s="475"/>
      <c r="E200" s="475"/>
      <c r="F200" s="475"/>
      <c r="G200" s="475"/>
      <c r="H200" s="475"/>
      <c r="I200" s="475"/>
      <c r="J200" s="476"/>
    </row>
    <row r="201" spans="2:10">
      <c r="B201" s="206" t="s">
        <v>45</v>
      </c>
      <c r="C201" s="464"/>
      <c r="D201" s="465"/>
      <c r="E201" s="465"/>
      <c r="F201" s="465"/>
      <c r="G201" s="465"/>
      <c r="H201" s="465"/>
      <c r="I201" s="465"/>
      <c r="J201" s="466"/>
    </row>
    <row r="202" spans="2:10">
      <c r="B202" s="206" t="s">
        <v>45</v>
      </c>
      <c r="C202" s="464"/>
      <c r="D202" s="465"/>
      <c r="E202" s="465"/>
      <c r="F202" s="465"/>
      <c r="G202" s="465"/>
      <c r="H202" s="465"/>
      <c r="I202" s="465"/>
      <c r="J202" s="466"/>
    </row>
    <row r="203" spans="2:10">
      <c r="B203" s="200" t="s">
        <v>45</v>
      </c>
      <c r="C203" s="464"/>
      <c r="D203" s="465"/>
      <c r="E203" s="465"/>
      <c r="F203" s="465"/>
      <c r="G203" s="465"/>
      <c r="H203" s="465"/>
      <c r="I203" s="465"/>
      <c r="J203" s="466"/>
    </row>
    <row r="204" spans="2:10">
      <c r="B204" s="200" t="s">
        <v>7</v>
      </c>
      <c r="C204" s="464" t="s">
        <v>2599</v>
      </c>
      <c r="D204" s="465"/>
      <c r="E204" s="465"/>
      <c r="F204" s="465"/>
      <c r="G204" s="465"/>
      <c r="H204" s="465"/>
      <c r="I204" s="465"/>
      <c r="J204" s="466"/>
    </row>
    <row r="205" spans="2:10" ht="18">
      <c r="B205" s="205" t="s">
        <v>52</v>
      </c>
      <c r="C205" s="477" t="s">
        <v>53</v>
      </c>
      <c r="D205" s="477"/>
      <c r="E205" s="477"/>
      <c r="F205" s="477"/>
      <c r="G205" s="477"/>
      <c r="H205" s="205" t="s">
        <v>54</v>
      </c>
      <c r="I205" s="205" t="s">
        <v>55</v>
      </c>
      <c r="J205" s="205" t="s">
        <v>56</v>
      </c>
    </row>
    <row r="206" spans="2:10">
      <c r="B206" s="200">
        <v>1</v>
      </c>
      <c r="C206" s="1102" t="s">
        <v>2600</v>
      </c>
      <c r="D206" s="451"/>
      <c r="E206" s="451"/>
      <c r="F206" s="451"/>
      <c r="G206" s="451"/>
      <c r="H206" s="200"/>
      <c r="I206" s="207"/>
      <c r="J206" s="200"/>
    </row>
    <row r="207" spans="2:10">
      <c r="B207" s="200">
        <v>1</v>
      </c>
      <c r="C207" s="1102" t="s">
        <v>2601</v>
      </c>
      <c r="D207" s="451"/>
      <c r="E207" s="451"/>
      <c r="F207" s="451"/>
      <c r="G207" s="451"/>
      <c r="H207" s="334"/>
      <c r="I207" s="207"/>
      <c r="J207" s="200"/>
    </row>
    <row r="208" spans="2:10">
      <c r="B208" s="200">
        <v>2</v>
      </c>
      <c r="C208" s="1102"/>
      <c r="D208" s="451"/>
      <c r="E208" s="451"/>
      <c r="F208" s="451"/>
      <c r="G208" s="451"/>
      <c r="H208" s="200"/>
      <c r="I208" s="207"/>
      <c r="J208" s="200"/>
    </row>
    <row r="209" spans="2:10">
      <c r="B209" s="450" t="s">
        <v>63</v>
      </c>
      <c r="C209" s="450"/>
      <c r="D209" s="199"/>
      <c r="E209" s="198" t="s">
        <v>64</v>
      </c>
      <c r="F209" s="467"/>
      <c r="G209" s="469"/>
      <c r="H209" s="199"/>
      <c r="I209" s="199"/>
      <c r="J209" s="199"/>
    </row>
    <row r="210" spans="2:10" ht="45">
      <c r="B210" s="201" t="s">
        <v>66</v>
      </c>
      <c r="C210" s="450"/>
      <c r="D210" s="450"/>
      <c r="E210" s="201" t="s">
        <v>67</v>
      </c>
      <c r="F210" s="450"/>
      <c r="G210" s="450"/>
      <c r="H210" s="201" t="s">
        <v>68</v>
      </c>
      <c r="I210" s="450"/>
      <c r="J210" s="450"/>
    </row>
    <row r="213" spans="2:10" ht="26.25">
      <c r="B213" s="446" t="s">
        <v>13</v>
      </c>
      <c r="C213" s="447"/>
      <c r="D213" s="446" t="s">
        <v>14</v>
      </c>
      <c r="E213" s="446"/>
      <c r="F213" s="446"/>
      <c r="G213" s="446"/>
      <c r="H213" s="446"/>
      <c r="I213" s="446"/>
      <c r="J213" s="197" t="s">
        <v>15</v>
      </c>
    </row>
    <row r="214" spans="2:10" ht="20.25">
      <c r="B214" s="447"/>
      <c r="C214" s="447"/>
      <c r="D214" s="448" t="s">
        <v>16</v>
      </c>
      <c r="E214" s="448"/>
      <c r="F214" s="448"/>
      <c r="G214" s="448"/>
      <c r="H214" s="448"/>
      <c r="I214" s="448"/>
      <c r="J214" s="197" t="s">
        <v>2602</v>
      </c>
    </row>
    <row r="215" spans="2:10">
      <c r="B215" s="449" t="s">
        <v>18</v>
      </c>
      <c r="C215" s="449"/>
      <c r="D215" s="174">
        <v>45983</v>
      </c>
      <c r="E215" s="199" t="s">
        <v>1460</v>
      </c>
      <c r="F215" s="450" t="s">
        <v>159</v>
      </c>
      <c r="G215" s="450"/>
      <c r="H215" s="201" t="s">
        <v>21</v>
      </c>
      <c r="I215" s="202" t="s">
        <v>917</v>
      </c>
      <c r="J215" s="199" t="s">
        <v>2603</v>
      </c>
    </row>
    <row r="216" spans="2:10">
      <c r="B216" s="449" t="s">
        <v>24</v>
      </c>
      <c r="C216" s="449"/>
      <c r="D216" s="203">
        <v>0.4236111111111111</v>
      </c>
      <c r="E216" s="204" t="s">
        <v>25</v>
      </c>
      <c r="F216" s="450" t="s">
        <v>26</v>
      </c>
      <c r="G216" s="450"/>
      <c r="H216" s="199" t="s">
        <v>27</v>
      </c>
      <c r="I216" s="202" t="s">
        <v>1774</v>
      </c>
      <c r="J216" s="202"/>
    </row>
    <row r="217" spans="2:10">
      <c r="B217" s="449" t="s">
        <v>30</v>
      </c>
      <c r="C217" s="449"/>
      <c r="D217" s="199" t="s">
        <v>31</v>
      </c>
      <c r="E217" s="199" t="s">
        <v>32</v>
      </c>
      <c r="F217" s="450">
        <v>240</v>
      </c>
      <c r="G217" s="450"/>
      <c r="H217" s="201" t="s">
        <v>33</v>
      </c>
      <c r="I217" s="247" t="s">
        <v>2442</v>
      </c>
      <c r="J217" s="202"/>
    </row>
    <row r="218" spans="2:10">
      <c r="B218" s="451" t="s">
        <v>35</v>
      </c>
      <c r="C218" s="451"/>
      <c r="D218" s="449" t="s">
        <v>2604</v>
      </c>
      <c r="E218" s="449"/>
      <c r="F218" s="449"/>
      <c r="G218" s="449"/>
      <c r="H218" s="449"/>
      <c r="I218" s="449"/>
      <c r="J218" s="449"/>
    </row>
    <row r="219" spans="2:10">
      <c r="B219" s="452" t="s">
        <v>2605</v>
      </c>
      <c r="C219" s="453"/>
      <c r="D219" s="453"/>
      <c r="E219" s="453"/>
      <c r="F219" s="453"/>
      <c r="G219" s="453"/>
      <c r="H219" s="453"/>
      <c r="I219" s="453"/>
      <c r="J219" s="454"/>
    </row>
    <row r="220" spans="2:10">
      <c r="B220" s="455"/>
      <c r="C220" s="456"/>
      <c r="D220" s="456"/>
      <c r="E220" s="456"/>
      <c r="F220" s="456"/>
      <c r="G220" s="456"/>
      <c r="H220" s="456"/>
      <c r="I220" s="456"/>
      <c r="J220" s="457"/>
    </row>
    <row r="221" spans="2:10">
      <c r="B221" s="455"/>
      <c r="C221" s="456"/>
      <c r="D221" s="456"/>
      <c r="E221" s="456"/>
      <c r="F221" s="456"/>
      <c r="G221" s="456"/>
      <c r="H221" s="456"/>
      <c r="I221" s="456"/>
      <c r="J221" s="457"/>
    </row>
    <row r="222" spans="2:10">
      <c r="B222" s="458"/>
      <c r="C222" s="459"/>
      <c r="D222" s="459"/>
      <c r="E222" s="459"/>
      <c r="F222" s="459"/>
      <c r="G222" s="459"/>
      <c r="H222" s="459"/>
      <c r="I222" s="459"/>
      <c r="J222" s="460"/>
    </row>
    <row r="223" spans="2:10" ht="18">
      <c r="B223" s="461" t="s">
        <v>38</v>
      </c>
      <c r="C223" s="462"/>
      <c r="D223" s="462"/>
      <c r="E223" s="462"/>
      <c r="F223" s="462"/>
      <c r="G223" s="462"/>
      <c r="H223" s="462"/>
      <c r="I223" s="463"/>
      <c r="J223" s="205" t="s">
        <v>39</v>
      </c>
    </row>
    <row r="224" spans="2:10">
      <c r="B224" s="200">
        <v>1</v>
      </c>
      <c r="C224" s="464" t="s">
        <v>2606</v>
      </c>
      <c r="D224" s="465"/>
      <c r="E224" s="465"/>
      <c r="F224" s="465"/>
      <c r="G224" s="465"/>
      <c r="H224" s="465"/>
      <c r="I224" s="466"/>
      <c r="J224" s="200" t="s">
        <v>26</v>
      </c>
    </row>
    <row r="225" spans="2:10">
      <c r="B225" s="200">
        <v>2</v>
      </c>
      <c r="C225" s="464" t="s">
        <v>2607</v>
      </c>
      <c r="D225" s="465"/>
      <c r="E225" s="465"/>
      <c r="F225" s="465"/>
      <c r="G225" s="465"/>
      <c r="H225" s="465"/>
      <c r="I225" s="466"/>
      <c r="J225" s="200" t="s">
        <v>26</v>
      </c>
    </row>
    <row r="226" spans="2:10">
      <c r="B226" s="254">
        <v>3</v>
      </c>
      <c r="C226" s="464" t="s">
        <v>2608</v>
      </c>
      <c r="D226" s="465"/>
      <c r="E226" s="465"/>
      <c r="F226" s="465"/>
      <c r="G226" s="465"/>
      <c r="H226" s="465"/>
      <c r="I226" s="466"/>
      <c r="J226" s="200" t="s">
        <v>26</v>
      </c>
    </row>
    <row r="227" spans="2:10">
      <c r="B227" s="254">
        <v>4</v>
      </c>
      <c r="C227" s="464"/>
      <c r="D227" s="465"/>
      <c r="E227" s="465"/>
      <c r="F227" s="465"/>
      <c r="G227" s="465"/>
      <c r="H227" s="465"/>
      <c r="I227" s="466"/>
      <c r="J227" s="200"/>
    </row>
    <row r="228" spans="2:10" ht="18">
      <c r="B228" s="1115" t="s">
        <v>44</v>
      </c>
      <c r="C228" s="462"/>
      <c r="D228" s="462"/>
      <c r="E228" s="462"/>
      <c r="F228" s="462"/>
      <c r="G228" s="462"/>
      <c r="H228" s="462"/>
      <c r="I228" s="462"/>
      <c r="J228" s="463"/>
    </row>
    <row r="229" spans="2:10">
      <c r="B229" s="200" t="s">
        <v>45</v>
      </c>
      <c r="C229" s="1059" t="s">
        <v>1568</v>
      </c>
      <c r="D229" s="473"/>
      <c r="E229" s="473"/>
      <c r="F229" s="473"/>
      <c r="G229" s="473"/>
      <c r="H229" s="473"/>
      <c r="I229" s="473"/>
      <c r="J229" s="473"/>
    </row>
    <row r="230" spans="2:10">
      <c r="B230" s="206" t="s">
        <v>45</v>
      </c>
      <c r="C230" s="1059" t="s">
        <v>2609</v>
      </c>
      <c r="D230" s="473"/>
      <c r="E230" s="473"/>
      <c r="F230" s="473"/>
      <c r="G230" s="473"/>
      <c r="H230" s="473"/>
      <c r="I230" s="473"/>
      <c r="J230" s="473"/>
    </row>
    <row r="231" spans="2:10">
      <c r="B231" s="206" t="s">
        <v>45</v>
      </c>
      <c r="C231" s="1101" t="s">
        <v>2610</v>
      </c>
      <c r="D231" s="475"/>
      <c r="E231" s="475"/>
      <c r="F231" s="475"/>
      <c r="G231" s="475"/>
      <c r="H231" s="475"/>
      <c r="I231" s="475"/>
      <c r="J231" s="476"/>
    </row>
    <row r="232" spans="2:10">
      <c r="B232" s="206" t="s">
        <v>45</v>
      </c>
      <c r="C232" s="1101" t="s">
        <v>2611</v>
      </c>
      <c r="D232" s="475"/>
      <c r="E232" s="475"/>
      <c r="F232" s="475"/>
      <c r="G232" s="475"/>
      <c r="H232" s="475"/>
      <c r="I232" s="475"/>
      <c r="J232" s="476"/>
    </row>
    <row r="233" spans="2:10">
      <c r="B233" s="206" t="s">
        <v>45</v>
      </c>
      <c r="C233" s="464" t="s">
        <v>2612</v>
      </c>
      <c r="D233" s="465"/>
      <c r="E233" s="465"/>
      <c r="F233" s="465"/>
      <c r="G233" s="465"/>
      <c r="H233" s="465"/>
      <c r="I233" s="465"/>
      <c r="J233" s="466"/>
    </row>
    <row r="234" spans="2:10">
      <c r="B234" s="206" t="s">
        <v>45</v>
      </c>
      <c r="C234" s="464" t="s">
        <v>2613</v>
      </c>
      <c r="D234" s="465"/>
      <c r="E234" s="465"/>
      <c r="F234" s="465"/>
      <c r="G234" s="465"/>
      <c r="H234" s="465"/>
      <c r="I234" s="465"/>
      <c r="J234" s="466"/>
    </row>
    <row r="235" spans="2:10">
      <c r="B235" s="200" t="s">
        <v>45</v>
      </c>
      <c r="C235" s="464"/>
      <c r="D235" s="465"/>
      <c r="E235" s="465"/>
      <c r="F235" s="465"/>
      <c r="G235" s="465"/>
      <c r="H235" s="465"/>
      <c r="I235" s="465"/>
      <c r="J235" s="466"/>
    </row>
    <row r="236" spans="2:10">
      <c r="B236" s="200" t="s">
        <v>7</v>
      </c>
      <c r="C236" s="464" t="s">
        <v>2614</v>
      </c>
      <c r="D236" s="465"/>
      <c r="E236" s="465"/>
      <c r="F236" s="465"/>
      <c r="G236" s="465"/>
      <c r="H236" s="465"/>
      <c r="I236" s="465"/>
      <c r="J236" s="466"/>
    </row>
    <row r="237" spans="2:10" ht="18">
      <c r="B237" s="205" t="s">
        <v>52</v>
      </c>
      <c r="C237" s="477" t="s">
        <v>53</v>
      </c>
      <c r="D237" s="477"/>
      <c r="E237" s="477"/>
      <c r="F237" s="477"/>
      <c r="G237" s="477"/>
      <c r="H237" s="205" t="s">
        <v>54</v>
      </c>
      <c r="I237" s="205" t="s">
        <v>55</v>
      </c>
      <c r="J237" s="205" t="s">
        <v>56</v>
      </c>
    </row>
    <row r="238" spans="2:10">
      <c r="B238" s="200">
        <v>1</v>
      </c>
      <c r="C238" s="1102" t="s">
        <v>2615</v>
      </c>
      <c r="D238" s="451"/>
      <c r="E238" s="451"/>
      <c r="F238" s="451"/>
      <c r="G238" s="451"/>
      <c r="H238" s="200"/>
      <c r="I238" s="207"/>
      <c r="J238" s="200"/>
    </row>
    <row r="239" spans="2:10">
      <c r="B239" s="200">
        <v>1</v>
      </c>
      <c r="C239" s="1102"/>
      <c r="D239" s="451"/>
      <c r="E239" s="451"/>
      <c r="F239" s="451"/>
      <c r="G239" s="451"/>
      <c r="H239" s="334"/>
      <c r="I239" s="207"/>
      <c r="J239" s="200"/>
    </row>
    <row r="240" spans="2:10">
      <c r="B240" s="200">
        <v>2</v>
      </c>
      <c r="C240" s="1102"/>
      <c r="D240" s="451"/>
      <c r="E240" s="451"/>
      <c r="F240" s="451"/>
      <c r="G240" s="451"/>
      <c r="H240" s="200"/>
      <c r="I240" s="207"/>
      <c r="J240" s="200"/>
    </row>
    <row r="241" spans="2:10">
      <c r="B241" s="450" t="s">
        <v>63</v>
      </c>
      <c r="C241" s="450"/>
      <c r="D241" s="199"/>
      <c r="E241" s="198" t="s">
        <v>64</v>
      </c>
      <c r="F241" s="467"/>
      <c r="G241" s="469"/>
      <c r="H241" s="199"/>
      <c r="I241" s="199"/>
      <c r="J241" s="199"/>
    </row>
    <row r="242" spans="2:10" ht="45.75">
      <c r="B242" s="201" t="s">
        <v>66</v>
      </c>
      <c r="C242" s="450" t="s">
        <v>2616</v>
      </c>
      <c r="D242" s="450"/>
      <c r="E242" s="201" t="s">
        <v>67</v>
      </c>
      <c r="F242" s="450"/>
      <c r="G242" s="450"/>
      <c r="H242" s="201" t="s">
        <v>68</v>
      </c>
      <c r="I242" s="450"/>
      <c r="J242" s="450"/>
    </row>
  </sheetData>
  <autoFilter ref="B2:K20" xr:uid="{7E3221BD-3E6C-4BA8-BFAD-98351ACD7F09}">
    <filterColumn colId="1" showButton="0"/>
  </autoFilter>
  <mergeCells count="256">
    <mergeCell ref="B85:C85"/>
    <mergeCell ref="F85:G85"/>
    <mergeCell ref="C86:D86"/>
    <mergeCell ref="F86:G86"/>
    <mergeCell ref="I86:J86"/>
    <mergeCell ref="C132:I132"/>
    <mergeCell ref="B133:J133"/>
    <mergeCell ref="C141:J141"/>
    <mergeCell ref="C145:G145"/>
    <mergeCell ref="B121:C121"/>
    <mergeCell ref="F121:G121"/>
    <mergeCell ref="B122:C122"/>
    <mergeCell ref="F122:G122"/>
    <mergeCell ref="B123:C123"/>
    <mergeCell ref="D123:J123"/>
    <mergeCell ref="B118:C119"/>
    <mergeCell ref="D118:I118"/>
    <mergeCell ref="D119:I119"/>
    <mergeCell ref="B120:C120"/>
    <mergeCell ref="F120:G120"/>
    <mergeCell ref="B93:J96"/>
    <mergeCell ref="B97:I97"/>
    <mergeCell ref="C98:I98"/>
    <mergeCell ref="C139:J139"/>
    <mergeCell ref="C76:J76"/>
    <mergeCell ref="C77:J77"/>
    <mergeCell ref="C78:J78"/>
    <mergeCell ref="C79:J79"/>
    <mergeCell ref="C80:J80"/>
    <mergeCell ref="C81:G81"/>
    <mergeCell ref="C82:G82"/>
    <mergeCell ref="C83:G83"/>
    <mergeCell ref="C84:G84"/>
    <mergeCell ref="B67:I67"/>
    <mergeCell ref="C68:I68"/>
    <mergeCell ref="C69:I69"/>
    <mergeCell ref="C70:I70"/>
    <mergeCell ref="C71:I71"/>
    <mergeCell ref="B72:J72"/>
    <mergeCell ref="C73:J73"/>
    <mergeCell ref="C74:J74"/>
    <mergeCell ref="C75:J75"/>
    <mergeCell ref="B28:C28"/>
    <mergeCell ref="F28:G28"/>
    <mergeCell ref="B29:C29"/>
    <mergeCell ref="F29:G29"/>
    <mergeCell ref="B30:C30"/>
    <mergeCell ref="F30:G30"/>
    <mergeCell ref="I2:I3"/>
    <mergeCell ref="J2:J3"/>
    <mergeCell ref="K2:K3"/>
    <mergeCell ref="E20:K23"/>
    <mergeCell ref="C22:D22"/>
    <mergeCell ref="B26:C27"/>
    <mergeCell ref="D26:I26"/>
    <mergeCell ref="D27:I27"/>
    <mergeCell ref="B2:B3"/>
    <mergeCell ref="C2:D2"/>
    <mergeCell ref="E2:E3"/>
    <mergeCell ref="F2:F3"/>
    <mergeCell ref="G2:G3"/>
    <mergeCell ref="H2:H3"/>
    <mergeCell ref="C39:I39"/>
    <mergeCell ref="C40:I40"/>
    <mergeCell ref="B41:J41"/>
    <mergeCell ref="C43:J43"/>
    <mergeCell ref="C44:J44"/>
    <mergeCell ref="B31:C31"/>
    <mergeCell ref="D31:J31"/>
    <mergeCell ref="B32:J35"/>
    <mergeCell ref="B36:I36"/>
    <mergeCell ref="C37:I37"/>
    <mergeCell ref="C38:I38"/>
    <mergeCell ref="C42:J42"/>
    <mergeCell ref="C51:G51"/>
    <mergeCell ref="C52:G52"/>
    <mergeCell ref="C53:G53"/>
    <mergeCell ref="B54:C54"/>
    <mergeCell ref="F54:G54"/>
    <mergeCell ref="C55:D55"/>
    <mergeCell ref="F55:G55"/>
    <mergeCell ref="C45:J45"/>
    <mergeCell ref="C46:J46"/>
    <mergeCell ref="C47:J47"/>
    <mergeCell ref="C48:J48"/>
    <mergeCell ref="C49:J49"/>
    <mergeCell ref="C50:G50"/>
    <mergeCell ref="I55:J55"/>
    <mergeCell ref="B57:C58"/>
    <mergeCell ref="D57:I57"/>
    <mergeCell ref="D58:I58"/>
    <mergeCell ref="B59:C59"/>
    <mergeCell ref="F59:G59"/>
    <mergeCell ref="B60:C60"/>
    <mergeCell ref="F60:G60"/>
    <mergeCell ref="B61:C61"/>
    <mergeCell ref="F61:G61"/>
    <mergeCell ref="B62:C62"/>
    <mergeCell ref="D62:J62"/>
    <mergeCell ref="B63:J66"/>
    <mergeCell ref="C134:J134"/>
    <mergeCell ref="C135:J135"/>
    <mergeCell ref="C136:J136"/>
    <mergeCell ref="C137:J137"/>
    <mergeCell ref="C138:J138"/>
    <mergeCell ref="B124:J127"/>
    <mergeCell ref="B128:I128"/>
    <mergeCell ref="C129:I129"/>
    <mergeCell ref="C130:I130"/>
    <mergeCell ref="C131:I131"/>
    <mergeCell ref="B87:C88"/>
    <mergeCell ref="D87:I87"/>
    <mergeCell ref="D88:I88"/>
    <mergeCell ref="B89:C89"/>
    <mergeCell ref="F89:G89"/>
    <mergeCell ref="B90:C90"/>
    <mergeCell ref="F90:G90"/>
    <mergeCell ref="B91:C91"/>
    <mergeCell ref="F91:G91"/>
    <mergeCell ref="B92:C92"/>
    <mergeCell ref="D92:J92"/>
    <mergeCell ref="C140:J140"/>
    <mergeCell ref="C142:G142"/>
    <mergeCell ref="C143:G143"/>
    <mergeCell ref="C144:G144"/>
    <mergeCell ref="B146:C146"/>
    <mergeCell ref="C147:D147"/>
    <mergeCell ref="F147:G147"/>
    <mergeCell ref="I147:J147"/>
    <mergeCell ref="B151:C151"/>
    <mergeCell ref="F151:G151"/>
    <mergeCell ref="B152:C152"/>
    <mergeCell ref="F152:G152"/>
    <mergeCell ref="B153:C153"/>
    <mergeCell ref="F153:G153"/>
    <mergeCell ref="F146:G146"/>
    <mergeCell ref="C162:I162"/>
    <mergeCell ref="B149:C150"/>
    <mergeCell ref="D149:I149"/>
    <mergeCell ref="D150:I150"/>
    <mergeCell ref="B177:C177"/>
    <mergeCell ref="C178:D178"/>
    <mergeCell ref="F178:G178"/>
    <mergeCell ref="I178:J178"/>
    <mergeCell ref="C174:G174"/>
    <mergeCell ref="C175:G175"/>
    <mergeCell ref="F177:G177"/>
    <mergeCell ref="C168:J168"/>
    <mergeCell ref="C169:J169"/>
    <mergeCell ref="C170:J170"/>
    <mergeCell ref="C171:J171"/>
    <mergeCell ref="C173:G173"/>
    <mergeCell ref="C172:J172"/>
    <mergeCell ref="C176:G176"/>
    <mergeCell ref="C165:J165"/>
    <mergeCell ref="C166:J166"/>
    <mergeCell ref="C167:J167"/>
    <mergeCell ref="B154:C154"/>
    <mergeCell ref="D154:J154"/>
    <mergeCell ref="B155:J158"/>
    <mergeCell ref="B159:I159"/>
    <mergeCell ref="C160:I160"/>
    <mergeCell ref="C161:I161"/>
    <mergeCell ref="C163:I163"/>
    <mergeCell ref="B164:J164"/>
    <mergeCell ref="C116:D116"/>
    <mergeCell ref="F116:G116"/>
    <mergeCell ref="I116:J116"/>
    <mergeCell ref="C100:I100"/>
    <mergeCell ref="C101:I101"/>
    <mergeCell ref="B102:J102"/>
    <mergeCell ref="C103:J103"/>
    <mergeCell ref="C104:J104"/>
    <mergeCell ref="C105:J105"/>
    <mergeCell ref="C106:J106"/>
    <mergeCell ref="C107:J107"/>
    <mergeCell ref="C108:J108"/>
    <mergeCell ref="C99:I99"/>
    <mergeCell ref="C109:J109"/>
    <mergeCell ref="C110:J110"/>
    <mergeCell ref="C111:G111"/>
    <mergeCell ref="C112:G112"/>
    <mergeCell ref="C113:G113"/>
    <mergeCell ref="C114:G114"/>
    <mergeCell ref="B115:C115"/>
    <mergeCell ref="F115:G115"/>
    <mergeCell ref="B181:C182"/>
    <mergeCell ref="D181:I181"/>
    <mergeCell ref="D182:I182"/>
    <mergeCell ref="B183:C183"/>
    <mergeCell ref="F183:G183"/>
    <mergeCell ref="B184:C184"/>
    <mergeCell ref="F184:G184"/>
    <mergeCell ref="B185:C185"/>
    <mergeCell ref="F185:G185"/>
    <mergeCell ref="B186:C186"/>
    <mergeCell ref="D186:J186"/>
    <mergeCell ref="B187:J190"/>
    <mergeCell ref="B191:I191"/>
    <mergeCell ref="C192:I192"/>
    <mergeCell ref="C193:I193"/>
    <mergeCell ref="C194:I194"/>
    <mergeCell ref="C195:I195"/>
    <mergeCell ref="B196:J196"/>
    <mergeCell ref="C206:G206"/>
    <mergeCell ref="C207:G207"/>
    <mergeCell ref="C208:G208"/>
    <mergeCell ref="B209:C209"/>
    <mergeCell ref="F209:G209"/>
    <mergeCell ref="C210:D210"/>
    <mergeCell ref="F210:G210"/>
    <mergeCell ref="I210:J210"/>
    <mergeCell ref="C197:J197"/>
    <mergeCell ref="C198:J198"/>
    <mergeCell ref="C199:J199"/>
    <mergeCell ref="C200:J200"/>
    <mergeCell ref="C201:J201"/>
    <mergeCell ref="C202:J202"/>
    <mergeCell ref="C203:J203"/>
    <mergeCell ref="C204:J204"/>
    <mergeCell ref="C205:G205"/>
    <mergeCell ref="B213:C214"/>
    <mergeCell ref="D213:I213"/>
    <mergeCell ref="D214:I214"/>
    <mergeCell ref="B215:C215"/>
    <mergeCell ref="F215:G215"/>
    <mergeCell ref="B216:C216"/>
    <mergeCell ref="F216:G216"/>
    <mergeCell ref="B217:C217"/>
    <mergeCell ref="F217:G217"/>
    <mergeCell ref="B218:C218"/>
    <mergeCell ref="D218:J218"/>
    <mergeCell ref="B219:J222"/>
    <mergeCell ref="B223:I223"/>
    <mergeCell ref="C224:I224"/>
    <mergeCell ref="C225:I225"/>
    <mergeCell ref="C226:I226"/>
    <mergeCell ref="C227:I227"/>
    <mergeCell ref="B228:J228"/>
    <mergeCell ref="C238:G238"/>
    <mergeCell ref="C239:G239"/>
    <mergeCell ref="C240:G240"/>
    <mergeCell ref="B241:C241"/>
    <mergeCell ref="F241:G241"/>
    <mergeCell ref="C242:D242"/>
    <mergeCell ref="F242:G242"/>
    <mergeCell ref="I242:J242"/>
    <mergeCell ref="C229:J229"/>
    <mergeCell ref="C230:J230"/>
    <mergeCell ref="C231:J231"/>
    <mergeCell ref="C232:J232"/>
    <mergeCell ref="C233:J233"/>
    <mergeCell ref="C234:J234"/>
    <mergeCell ref="C235:J235"/>
    <mergeCell ref="C236:J236"/>
    <mergeCell ref="C237:G237"/>
  </mergeCells>
  <phoneticPr fontId="0" type="noConversion"/>
  <dataValidations count="1">
    <dataValidation type="list" allowBlank="1" showInputMessage="1" showErrorMessage="1" sqref="H13" xr:uid="{B87242A8-C81F-4FCF-B6C0-2D4BD0708C2C}">
      <formula1>INDIRECT($K13)</formula1>
    </dataValidation>
  </dataValidations>
  <printOptions horizontalCentered="1" verticalCentered="1"/>
  <pageMargins left="0.7" right="0.7" top="0.75" bottom="0.75" header="0.3" footer="0.3"/>
  <pageSetup paperSize="9"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367A-1B27-4644-B7AA-DA3584350D7B}">
  <sheetPr>
    <pageSetUpPr fitToPage="1"/>
  </sheetPr>
  <dimension ref="B2:Q124"/>
  <sheetViews>
    <sheetView topLeftCell="A61" workbookViewId="0">
      <selection activeCell="K5" sqref="K5"/>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20.28515625" customWidth="1"/>
    <col min="10" max="10" width="36.28515625" customWidth="1"/>
    <col min="11" max="11" width="60.5703125" customWidth="1"/>
    <col min="13" max="13" width="11.28515625" customWidth="1"/>
  </cols>
  <sheetData>
    <row r="2" spans="2:17">
      <c r="B2" s="1110" t="s">
        <v>0</v>
      </c>
      <c r="C2" s="1112" t="s">
        <v>1</v>
      </c>
      <c r="D2" s="1109"/>
      <c r="E2" s="1109" t="s">
        <v>2</v>
      </c>
      <c r="F2" s="1109" t="s">
        <v>3</v>
      </c>
      <c r="G2" s="1109" t="s">
        <v>4</v>
      </c>
      <c r="H2" s="1109" t="s">
        <v>5</v>
      </c>
      <c r="I2" s="1109" t="s">
        <v>6</v>
      </c>
      <c r="J2" s="1109" t="s">
        <v>7</v>
      </c>
      <c r="K2" s="1113" t="s">
        <v>8</v>
      </c>
    </row>
    <row r="3" spans="2:17">
      <c r="B3" s="1111"/>
      <c r="C3" s="276" t="s">
        <v>9</v>
      </c>
      <c r="D3" s="277" t="s">
        <v>10</v>
      </c>
      <c r="E3" s="745"/>
      <c r="F3" s="745"/>
      <c r="G3" s="745"/>
      <c r="H3" s="745"/>
      <c r="I3" s="745"/>
      <c r="J3" s="745"/>
      <c r="K3" s="1114"/>
    </row>
    <row r="4" spans="2:17" ht="28.5">
      <c r="B4" s="353"/>
      <c r="C4" s="276"/>
      <c r="D4" s="354">
        <v>110</v>
      </c>
      <c r="E4" s="355"/>
      <c r="F4" s="354"/>
      <c r="G4" s="354" t="s">
        <v>1048</v>
      </c>
      <c r="H4" s="331" t="s">
        <v>2617</v>
      </c>
      <c r="I4" s="354" t="s">
        <v>31</v>
      </c>
      <c r="J4" s="354"/>
      <c r="K4" s="354"/>
    </row>
    <row r="5" spans="2:17" s="58" customFormat="1" ht="29.25">
      <c r="B5" s="326">
        <v>1</v>
      </c>
      <c r="C5" s="163">
        <v>128</v>
      </c>
      <c r="D5" s="68"/>
      <c r="E5" s="335">
        <v>46002</v>
      </c>
      <c r="F5" s="68"/>
      <c r="G5" s="68" t="s">
        <v>2618</v>
      </c>
      <c r="H5" s="331" t="s">
        <v>2619</v>
      </c>
      <c r="I5" s="41" t="s">
        <v>31</v>
      </c>
      <c r="J5" s="328" t="s">
        <v>2620</v>
      </c>
      <c r="K5" s="328" t="s">
        <v>2621</v>
      </c>
      <c r="L5"/>
      <c r="M5"/>
      <c r="N5"/>
      <c r="O5"/>
      <c r="P5"/>
      <c r="Q5"/>
    </row>
    <row r="6" spans="2:17" s="58" customFormat="1" ht="48" customHeight="1">
      <c r="B6" s="326">
        <v>2</v>
      </c>
      <c r="C6" s="68">
        <v>70</v>
      </c>
      <c r="D6" s="68"/>
      <c r="E6" s="340">
        <v>46009</v>
      </c>
      <c r="F6" s="68" t="s">
        <v>124</v>
      </c>
      <c r="G6" s="68" t="s">
        <v>140</v>
      </c>
      <c r="H6" s="352" t="s">
        <v>2622</v>
      </c>
      <c r="I6" s="41" t="s">
        <v>31</v>
      </c>
      <c r="J6" s="328" t="s">
        <v>2623</v>
      </c>
      <c r="K6" s="328" t="s">
        <v>2624</v>
      </c>
      <c r="L6"/>
      <c r="M6"/>
      <c r="N6"/>
      <c r="O6"/>
      <c r="P6"/>
      <c r="Q6"/>
    </row>
    <row r="7" spans="2:17" s="58" customFormat="1" ht="48" customHeight="1">
      <c r="B7" s="326">
        <v>3</v>
      </c>
      <c r="C7" s="68">
        <v>44</v>
      </c>
      <c r="D7" s="68"/>
      <c r="E7" s="340">
        <v>46022</v>
      </c>
      <c r="F7" s="68" t="s">
        <v>131</v>
      </c>
      <c r="G7" s="68" t="s">
        <v>140</v>
      </c>
      <c r="H7" s="341" t="s">
        <v>2625</v>
      </c>
      <c r="I7" s="68" t="s">
        <v>31</v>
      </c>
      <c r="J7" s="328" t="s">
        <v>2626</v>
      </c>
      <c r="K7" s="328" t="s">
        <v>2627</v>
      </c>
      <c r="L7"/>
      <c r="M7"/>
      <c r="N7"/>
      <c r="O7"/>
      <c r="P7"/>
      <c r="Q7"/>
    </row>
    <row r="8" spans="2:17" s="66" customFormat="1">
      <c r="B8" s="326">
        <v>4</v>
      </c>
      <c r="C8" s="68">
        <v>5</v>
      </c>
      <c r="D8" s="68"/>
      <c r="E8" s="340"/>
      <c r="F8" s="68"/>
      <c r="G8" s="68"/>
      <c r="H8" s="341"/>
      <c r="I8" s="68"/>
      <c r="J8" s="62"/>
      <c r="K8" s="62"/>
    </row>
    <row r="9" spans="2:17" s="3" customFormat="1">
      <c r="B9" s="326">
        <v>5</v>
      </c>
      <c r="C9" s="342">
        <v>5</v>
      </c>
      <c r="D9" s="68"/>
      <c r="E9" s="340"/>
      <c r="F9" s="68"/>
      <c r="G9" s="68"/>
      <c r="H9" s="341"/>
      <c r="I9" s="327"/>
      <c r="J9" s="62"/>
      <c r="K9" s="62"/>
    </row>
    <row r="10" spans="2:17" s="3" customFormat="1">
      <c r="B10" s="326">
        <v>6</v>
      </c>
      <c r="C10" s="342"/>
      <c r="D10" s="68"/>
      <c r="E10" s="340"/>
      <c r="F10" s="68"/>
      <c r="G10" s="68"/>
      <c r="H10" s="341"/>
      <c r="I10" s="327"/>
      <c r="J10" s="62"/>
      <c r="K10" s="343"/>
    </row>
    <row r="11" spans="2:17" s="3" customFormat="1">
      <c r="B11" s="326">
        <v>7</v>
      </c>
      <c r="C11" s="342"/>
      <c r="D11" s="195"/>
      <c r="E11" s="340"/>
      <c r="F11" s="68"/>
      <c r="G11" s="68"/>
      <c r="H11" s="344"/>
      <c r="I11" s="68"/>
      <c r="J11" s="68"/>
      <c r="K11" s="345"/>
    </row>
    <row r="12" spans="2:17" s="3" customFormat="1">
      <c r="B12" s="326">
        <v>8</v>
      </c>
      <c r="C12" s="342"/>
      <c r="D12" s="195"/>
      <c r="E12" s="340"/>
      <c r="F12" s="68"/>
      <c r="G12" s="68"/>
      <c r="H12" s="346"/>
      <c r="I12" s="68"/>
      <c r="J12" s="68"/>
      <c r="K12" s="345"/>
    </row>
    <row r="13" spans="2:17" s="3" customFormat="1">
      <c r="B13" s="326">
        <v>9</v>
      </c>
      <c r="C13" s="342"/>
      <c r="D13" s="195"/>
      <c r="E13" s="340"/>
      <c r="F13" s="68"/>
      <c r="G13" s="68"/>
      <c r="H13" s="346"/>
      <c r="I13" s="68"/>
      <c r="J13" s="68"/>
      <c r="K13" s="345"/>
    </row>
    <row r="14" spans="2:17" s="3" customFormat="1">
      <c r="B14" s="326">
        <v>10</v>
      </c>
      <c r="C14" s="342"/>
      <c r="D14" s="195"/>
      <c r="E14" s="340"/>
      <c r="F14" s="68"/>
      <c r="G14" s="68"/>
      <c r="H14" s="346"/>
      <c r="I14" s="68"/>
      <c r="J14" s="68"/>
      <c r="K14" s="345"/>
    </row>
    <row r="15" spans="2:17" s="3" customFormat="1">
      <c r="B15" s="326">
        <v>11</v>
      </c>
      <c r="C15" s="342"/>
      <c r="D15" s="195"/>
      <c r="E15" s="340"/>
      <c r="F15" s="68"/>
      <c r="G15" s="68"/>
      <c r="H15" s="346"/>
      <c r="I15" s="68"/>
      <c r="J15" s="68"/>
      <c r="K15" s="345"/>
    </row>
    <row r="16" spans="2:17" s="3" customFormat="1">
      <c r="B16" s="311"/>
      <c r="C16" s="342"/>
      <c r="D16" s="68"/>
      <c r="E16" s="275"/>
      <c r="F16" s="68"/>
      <c r="G16" s="68"/>
      <c r="H16" s="344"/>
      <c r="I16" s="68"/>
      <c r="J16" s="347"/>
      <c r="K16" s="345"/>
    </row>
    <row r="17" spans="2:11">
      <c r="B17" s="311"/>
      <c r="C17" s="342"/>
      <c r="D17" s="68"/>
      <c r="E17" s="275"/>
      <c r="F17" s="68"/>
      <c r="G17" s="68"/>
      <c r="H17" s="344"/>
      <c r="I17" s="68"/>
      <c r="J17" s="68"/>
      <c r="K17" s="345"/>
    </row>
    <row r="18" spans="2:11">
      <c r="B18" s="311"/>
      <c r="C18" s="348"/>
      <c r="D18" s="68"/>
      <c r="E18" s="275"/>
      <c r="F18" s="175"/>
      <c r="G18" s="175"/>
      <c r="H18" s="175"/>
      <c r="I18" s="175"/>
      <c r="J18" s="175"/>
      <c r="K18" s="349"/>
    </row>
    <row r="19" spans="2:11">
      <c r="B19" s="311"/>
      <c r="C19" s="348"/>
      <c r="D19" s="68"/>
      <c r="E19" s="275"/>
      <c r="F19" s="175"/>
      <c r="G19" s="175"/>
      <c r="H19" s="175"/>
      <c r="I19" s="175"/>
      <c r="J19" s="175"/>
      <c r="K19" s="349"/>
    </row>
    <row r="20" spans="2:11">
      <c r="B20" s="311"/>
      <c r="C20" s="350"/>
      <c r="D20" s="68"/>
      <c r="E20" s="350"/>
      <c r="F20" s="350"/>
      <c r="G20" s="350"/>
      <c r="H20" s="350"/>
      <c r="I20" s="350"/>
      <c r="J20" s="350"/>
      <c r="K20" s="351"/>
    </row>
    <row r="21" spans="2:11">
      <c r="B21" s="124" t="s">
        <v>11</v>
      </c>
      <c r="C21" s="94">
        <f>SUM(C5:C20)</f>
        <v>252</v>
      </c>
      <c r="D21" s="94">
        <f>SUM(D5:D20)</f>
        <v>0</v>
      </c>
      <c r="E21" s="434"/>
      <c r="F21" s="435"/>
      <c r="G21" s="435"/>
      <c r="H21" s="435"/>
      <c r="I21" s="435"/>
      <c r="J21" s="435"/>
      <c r="K21" s="435"/>
    </row>
    <row r="22" spans="2:11">
      <c r="B22" s="9"/>
      <c r="C22" s="10"/>
      <c r="D22" s="11"/>
      <c r="E22" s="434"/>
      <c r="F22" s="435"/>
      <c r="G22" s="435"/>
      <c r="H22" s="435"/>
      <c r="I22" s="435"/>
      <c r="J22" s="435"/>
      <c r="K22" s="435"/>
    </row>
    <row r="23" spans="2:11">
      <c r="B23" s="6" t="s">
        <v>12</v>
      </c>
      <c r="C23" s="432">
        <f>SUM(C21,D21)</f>
        <v>252</v>
      </c>
      <c r="D23" s="433"/>
      <c r="E23" s="434"/>
      <c r="F23" s="435"/>
      <c r="G23" s="435"/>
      <c r="H23" s="435"/>
      <c r="I23" s="435"/>
      <c r="J23" s="435"/>
      <c r="K23" s="435"/>
    </row>
    <row r="24" spans="2:11">
      <c r="B24" s="12"/>
      <c r="C24" s="13"/>
      <c r="D24" s="14"/>
      <c r="E24" s="436"/>
      <c r="F24" s="437"/>
      <c r="G24" s="437"/>
      <c r="H24" s="437"/>
      <c r="I24" s="437"/>
      <c r="J24" s="437"/>
      <c r="K24" s="437"/>
    </row>
    <row r="25" spans="2:11">
      <c r="E25" s="152"/>
      <c r="F25" s="152"/>
      <c r="G25" s="152"/>
      <c r="H25" s="152"/>
      <c r="I25" s="152"/>
      <c r="J25" s="152"/>
      <c r="K25" s="152"/>
    </row>
    <row r="26" spans="2:11" ht="26.25">
      <c r="B26" s="446" t="s">
        <v>13</v>
      </c>
      <c r="C26" s="447"/>
      <c r="D26" s="446" t="s">
        <v>14</v>
      </c>
      <c r="E26" s="446"/>
      <c r="F26" s="446"/>
      <c r="G26" s="446"/>
      <c r="H26" s="446"/>
      <c r="I26" s="446"/>
      <c r="J26" s="197" t="s">
        <v>15</v>
      </c>
      <c r="K26" s="152"/>
    </row>
    <row r="27" spans="2:11" ht="20.25">
      <c r="B27" s="447"/>
      <c r="C27" s="447"/>
      <c r="D27" s="448" t="s">
        <v>16</v>
      </c>
      <c r="E27" s="448"/>
      <c r="F27" s="448"/>
      <c r="G27" s="448"/>
      <c r="H27" s="448"/>
      <c r="I27" s="448"/>
      <c r="J27" s="197" t="s">
        <v>17</v>
      </c>
    </row>
    <row r="28" spans="2:11">
      <c r="B28" s="449" t="s">
        <v>18</v>
      </c>
      <c r="C28" s="449"/>
      <c r="D28" s="174">
        <v>45999</v>
      </c>
      <c r="E28" s="199" t="s">
        <v>1460</v>
      </c>
      <c r="F28" s="450" t="s">
        <v>159</v>
      </c>
      <c r="G28" s="450"/>
      <c r="H28" s="201" t="s">
        <v>21</v>
      </c>
      <c r="I28" s="202" t="s">
        <v>917</v>
      </c>
      <c r="J28" s="199" t="s">
        <v>2545</v>
      </c>
    </row>
    <row r="29" spans="2:11">
      <c r="B29" s="449" t="s">
        <v>24</v>
      </c>
      <c r="C29" s="449"/>
      <c r="D29" s="203"/>
      <c r="E29" s="204" t="s">
        <v>25</v>
      </c>
      <c r="F29" s="450" t="s">
        <v>26</v>
      </c>
      <c r="G29" s="450"/>
      <c r="H29" s="199" t="s">
        <v>27</v>
      </c>
      <c r="I29" s="202"/>
      <c r="J29" s="202"/>
    </row>
    <row r="30" spans="2:11">
      <c r="B30" s="449" t="s">
        <v>30</v>
      </c>
      <c r="C30" s="449"/>
      <c r="D30" s="199" t="s">
        <v>31</v>
      </c>
      <c r="E30" s="199" t="s">
        <v>32</v>
      </c>
      <c r="F30" s="450">
        <v>110</v>
      </c>
      <c r="G30" s="450"/>
      <c r="H30" s="201" t="s">
        <v>33</v>
      </c>
      <c r="I30" s="247"/>
      <c r="J30" s="202"/>
    </row>
    <row r="31" spans="2:11">
      <c r="B31" s="451" t="s">
        <v>35</v>
      </c>
      <c r="C31" s="451"/>
      <c r="D31" s="449" t="s">
        <v>2628</v>
      </c>
      <c r="E31" s="449"/>
      <c r="F31" s="449"/>
      <c r="G31" s="449"/>
      <c r="H31" s="449"/>
      <c r="I31" s="449"/>
      <c r="J31" s="449"/>
    </row>
    <row r="32" spans="2:11">
      <c r="B32" s="452" t="s">
        <v>2629</v>
      </c>
      <c r="C32" s="453"/>
      <c r="D32" s="453"/>
      <c r="E32" s="453"/>
      <c r="F32" s="453"/>
      <c r="G32" s="453"/>
      <c r="H32" s="453"/>
      <c r="I32" s="453"/>
      <c r="J32" s="454"/>
    </row>
    <row r="33" spans="2:10">
      <c r="B33" s="455"/>
      <c r="C33" s="456"/>
      <c r="D33" s="456"/>
      <c r="E33" s="456"/>
      <c r="F33" s="456"/>
      <c r="G33" s="456"/>
      <c r="H33" s="456"/>
      <c r="I33" s="456"/>
      <c r="J33" s="457"/>
    </row>
    <row r="34" spans="2:10">
      <c r="B34" s="455"/>
      <c r="C34" s="456"/>
      <c r="D34" s="456"/>
      <c r="E34" s="456"/>
      <c r="F34" s="456"/>
      <c r="G34" s="456"/>
      <c r="H34" s="456"/>
      <c r="I34" s="456"/>
      <c r="J34" s="457"/>
    </row>
    <row r="35" spans="2:10">
      <c r="B35" s="458"/>
      <c r="C35" s="459"/>
      <c r="D35" s="459"/>
      <c r="E35" s="459"/>
      <c r="F35" s="459"/>
      <c r="G35" s="459"/>
      <c r="H35" s="459"/>
      <c r="I35" s="459"/>
      <c r="J35" s="460"/>
    </row>
    <row r="36" spans="2:10" ht="18">
      <c r="B36" s="461" t="s">
        <v>38</v>
      </c>
      <c r="C36" s="462"/>
      <c r="D36" s="462"/>
      <c r="E36" s="462"/>
      <c r="F36" s="462"/>
      <c r="G36" s="462"/>
      <c r="H36" s="462"/>
      <c r="I36" s="463"/>
      <c r="J36" s="205" t="s">
        <v>39</v>
      </c>
    </row>
    <row r="37" spans="2:10">
      <c r="B37" s="200">
        <v>1</v>
      </c>
      <c r="C37" s="464" t="s">
        <v>2630</v>
      </c>
      <c r="D37" s="465"/>
      <c r="E37" s="465"/>
      <c r="F37" s="465"/>
      <c r="G37" s="465"/>
      <c r="H37" s="465"/>
      <c r="I37" s="466"/>
      <c r="J37" s="200" t="s">
        <v>26</v>
      </c>
    </row>
    <row r="38" spans="2:10">
      <c r="B38" s="200">
        <v>2</v>
      </c>
      <c r="C38" s="464"/>
      <c r="D38" s="465"/>
      <c r="E38" s="465"/>
      <c r="F38" s="465"/>
      <c r="G38" s="465"/>
      <c r="H38" s="465"/>
      <c r="I38" s="466"/>
      <c r="J38" s="200" t="s">
        <v>26</v>
      </c>
    </row>
    <row r="39" spans="2:10">
      <c r="B39" s="254">
        <v>3</v>
      </c>
      <c r="C39" s="464"/>
      <c r="D39" s="465"/>
      <c r="E39" s="465"/>
      <c r="F39" s="465"/>
      <c r="G39" s="465"/>
      <c r="H39" s="465"/>
      <c r="I39" s="466"/>
      <c r="J39" s="200"/>
    </row>
    <row r="40" spans="2:10">
      <c r="B40" s="254">
        <v>4</v>
      </c>
      <c r="C40" s="464"/>
      <c r="D40" s="465"/>
      <c r="E40" s="465"/>
      <c r="F40" s="465"/>
      <c r="G40" s="465"/>
      <c r="H40" s="465"/>
      <c r="I40" s="466"/>
      <c r="J40" s="200"/>
    </row>
    <row r="41" spans="2:10" ht="18">
      <c r="B41" s="1115" t="s">
        <v>44</v>
      </c>
      <c r="C41" s="462"/>
      <c r="D41" s="462"/>
      <c r="E41" s="462"/>
      <c r="F41" s="462"/>
      <c r="G41" s="462"/>
      <c r="H41" s="462"/>
      <c r="I41" s="462"/>
      <c r="J41" s="463"/>
    </row>
    <row r="42" spans="2:10">
      <c r="B42" s="200" t="s">
        <v>45</v>
      </c>
      <c r="C42" s="1059" t="s">
        <v>2631</v>
      </c>
      <c r="D42" s="473"/>
      <c r="E42" s="473"/>
      <c r="F42" s="473"/>
      <c r="G42" s="473"/>
      <c r="H42" s="473"/>
      <c r="I42" s="473"/>
      <c r="J42" s="473"/>
    </row>
    <row r="43" spans="2:10">
      <c r="B43" s="206" t="s">
        <v>45</v>
      </c>
      <c r="C43" s="1059" t="s">
        <v>2632</v>
      </c>
      <c r="D43" s="473"/>
      <c r="E43" s="473"/>
      <c r="F43" s="473"/>
      <c r="G43" s="473"/>
      <c r="H43" s="473"/>
      <c r="I43" s="473"/>
      <c r="J43" s="473"/>
    </row>
    <row r="44" spans="2:10">
      <c r="B44" s="206" t="s">
        <v>45</v>
      </c>
      <c r="C44" s="1101" t="s">
        <v>2633</v>
      </c>
      <c r="D44" s="475"/>
      <c r="E44" s="475"/>
      <c r="F44" s="475"/>
      <c r="G44" s="475"/>
      <c r="H44" s="475"/>
      <c r="I44" s="475"/>
      <c r="J44" s="476"/>
    </row>
    <row r="45" spans="2:10">
      <c r="B45" s="206" t="s">
        <v>45</v>
      </c>
      <c r="C45" s="1101" t="s">
        <v>2634</v>
      </c>
      <c r="D45" s="475"/>
      <c r="E45" s="475"/>
      <c r="F45" s="475"/>
      <c r="G45" s="475"/>
      <c r="H45" s="475"/>
      <c r="I45" s="475"/>
      <c r="J45" s="476"/>
    </row>
    <row r="46" spans="2:10">
      <c r="B46" s="206" t="s">
        <v>45</v>
      </c>
      <c r="C46" s="464"/>
      <c r="D46" s="465"/>
      <c r="E46" s="465"/>
      <c r="F46" s="465"/>
      <c r="G46" s="465"/>
      <c r="H46" s="465"/>
      <c r="I46" s="465"/>
      <c r="J46" s="466"/>
    </row>
    <row r="47" spans="2:10">
      <c r="B47" s="206" t="s">
        <v>45</v>
      </c>
      <c r="C47" s="464"/>
      <c r="D47" s="465"/>
      <c r="E47" s="465"/>
      <c r="F47" s="465"/>
      <c r="G47" s="465"/>
      <c r="H47" s="465"/>
      <c r="I47" s="465"/>
      <c r="J47" s="466"/>
    </row>
    <row r="48" spans="2:10">
      <c r="B48" s="200" t="s">
        <v>45</v>
      </c>
      <c r="C48" s="464"/>
      <c r="D48" s="465"/>
      <c r="E48" s="465"/>
      <c r="F48" s="465"/>
      <c r="G48" s="465"/>
      <c r="H48" s="465"/>
      <c r="I48" s="465"/>
      <c r="J48" s="466"/>
    </row>
    <row r="49" spans="2:10">
      <c r="B49" s="200" t="s">
        <v>7</v>
      </c>
      <c r="C49" s="464" t="s">
        <v>2635</v>
      </c>
      <c r="D49" s="465"/>
      <c r="E49" s="465"/>
      <c r="F49" s="465"/>
      <c r="G49" s="465"/>
      <c r="H49" s="465"/>
      <c r="I49" s="465"/>
      <c r="J49" s="466"/>
    </row>
    <row r="50" spans="2:10" ht="18">
      <c r="B50" s="205" t="s">
        <v>52</v>
      </c>
      <c r="C50" s="477" t="s">
        <v>53</v>
      </c>
      <c r="D50" s="477"/>
      <c r="E50" s="477"/>
      <c r="F50" s="477"/>
      <c r="G50" s="477"/>
      <c r="H50" s="205" t="s">
        <v>54</v>
      </c>
      <c r="I50" s="205" t="s">
        <v>55</v>
      </c>
      <c r="J50" s="205" t="s">
        <v>56</v>
      </c>
    </row>
    <row r="51" spans="2:10">
      <c r="B51" s="200">
        <v>1</v>
      </c>
      <c r="C51" s="1102"/>
      <c r="D51" s="451"/>
      <c r="E51" s="451"/>
      <c r="F51" s="451"/>
      <c r="G51" s="451"/>
      <c r="H51" s="334"/>
      <c r="I51" s="207"/>
      <c r="J51" s="200"/>
    </row>
    <row r="52" spans="2:10">
      <c r="B52" s="200">
        <v>1</v>
      </c>
      <c r="C52" s="1102"/>
      <c r="D52" s="451"/>
      <c r="E52" s="451"/>
      <c r="F52" s="451"/>
      <c r="G52" s="451"/>
      <c r="H52" s="334"/>
      <c r="I52" s="207"/>
      <c r="J52" s="200"/>
    </row>
    <row r="53" spans="2:10">
      <c r="B53" s="200">
        <v>2</v>
      </c>
      <c r="C53" s="1102"/>
      <c r="D53" s="451"/>
      <c r="E53" s="451"/>
      <c r="F53" s="451"/>
      <c r="G53" s="451"/>
      <c r="H53" s="200"/>
      <c r="I53" s="207"/>
      <c r="J53" s="200"/>
    </row>
    <row r="54" spans="2:10">
      <c r="B54" s="450" t="s">
        <v>63</v>
      </c>
      <c r="C54" s="450"/>
      <c r="D54" s="199"/>
      <c r="E54" s="198" t="s">
        <v>64</v>
      </c>
      <c r="F54" s="467"/>
      <c r="G54" s="469"/>
      <c r="H54" s="199"/>
      <c r="I54" s="199"/>
      <c r="J54" s="199"/>
    </row>
    <row r="55" spans="2:10" ht="45.75">
      <c r="B55" s="201" t="s">
        <v>66</v>
      </c>
      <c r="C55" s="450"/>
      <c r="D55" s="450"/>
      <c r="E55" s="201" t="s">
        <v>67</v>
      </c>
      <c r="F55" s="450"/>
      <c r="G55" s="450"/>
      <c r="H55" s="201" t="s">
        <v>68</v>
      </c>
      <c r="I55" s="450"/>
      <c r="J55" s="450"/>
    </row>
    <row r="62" spans="2:10" ht="26.25">
      <c r="B62" s="446" t="s">
        <v>13</v>
      </c>
      <c r="C62" s="447"/>
      <c r="D62" s="446" t="s">
        <v>14</v>
      </c>
      <c r="E62" s="446"/>
      <c r="F62" s="446"/>
      <c r="G62" s="446"/>
      <c r="H62" s="446"/>
      <c r="I62" s="446"/>
      <c r="J62" s="197" t="s">
        <v>15</v>
      </c>
    </row>
    <row r="63" spans="2:10" ht="20.25">
      <c r="B63" s="447"/>
      <c r="C63" s="447"/>
      <c r="D63" s="448" t="s">
        <v>16</v>
      </c>
      <c r="E63" s="448"/>
      <c r="F63" s="448"/>
      <c r="G63" s="448"/>
      <c r="H63" s="448"/>
      <c r="I63" s="448"/>
      <c r="J63" s="197" t="s">
        <v>17</v>
      </c>
    </row>
    <row r="64" spans="2:10">
      <c r="B64" s="449" t="s">
        <v>18</v>
      </c>
      <c r="C64" s="449"/>
      <c r="D64" s="174">
        <v>46009</v>
      </c>
      <c r="E64" s="199" t="s">
        <v>1460</v>
      </c>
      <c r="F64" s="450" t="s">
        <v>159</v>
      </c>
      <c r="G64" s="450"/>
      <c r="H64" s="201" t="s">
        <v>21</v>
      </c>
      <c r="I64" s="202" t="s">
        <v>867</v>
      </c>
      <c r="J64" s="199" t="s">
        <v>2545</v>
      </c>
    </row>
    <row r="65" spans="2:10" ht="30.75">
      <c r="B65" s="449" t="s">
        <v>24</v>
      </c>
      <c r="C65" s="449"/>
      <c r="D65" s="203">
        <v>0.23958333333333334</v>
      </c>
      <c r="E65" s="204" t="s">
        <v>25</v>
      </c>
      <c r="F65" s="450" t="s">
        <v>26</v>
      </c>
      <c r="G65" s="450"/>
      <c r="H65" s="199" t="s">
        <v>27</v>
      </c>
      <c r="I65" s="202" t="s">
        <v>2636</v>
      </c>
      <c r="J65" s="202" t="s">
        <v>29</v>
      </c>
    </row>
    <row r="66" spans="2:10">
      <c r="B66" s="449" t="s">
        <v>30</v>
      </c>
      <c r="C66" s="449"/>
      <c r="D66" s="199" t="s">
        <v>31</v>
      </c>
      <c r="E66" s="199" t="s">
        <v>32</v>
      </c>
      <c r="F66" s="450">
        <v>70</v>
      </c>
      <c r="G66" s="450"/>
      <c r="H66" s="201" t="s">
        <v>33</v>
      </c>
      <c r="I66" s="247"/>
      <c r="J66" s="202"/>
    </row>
    <row r="67" spans="2:10" ht="15.75">
      <c r="B67" s="451" t="s">
        <v>35</v>
      </c>
      <c r="C67" s="451"/>
      <c r="D67" s="1119" t="s">
        <v>2637</v>
      </c>
      <c r="E67" s="1119"/>
      <c r="F67" s="1119"/>
      <c r="G67" s="1119"/>
      <c r="H67" s="1119"/>
      <c r="I67" s="1119"/>
      <c r="J67" s="1119"/>
    </row>
    <row r="68" spans="2:10">
      <c r="B68" s="452" t="s">
        <v>2638</v>
      </c>
      <c r="C68" s="453"/>
      <c r="D68" s="453"/>
      <c r="E68" s="453"/>
      <c r="F68" s="453"/>
      <c r="G68" s="453"/>
      <c r="H68" s="453"/>
      <c r="I68" s="453"/>
      <c r="J68" s="454"/>
    </row>
    <row r="69" spans="2:10">
      <c r="B69" s="455"/>
      <c r="C69" s="456"/>
      <c r="D69" s="456"/>
      <c r="E69" s="456"/>
      <c r="F69" s="456"/>
      <c r="G69" s="456"/>
      <c r="H69" s="456"/>
      <c r="I69" s="456"/>
      <c r="J69" s="457"/>
    </row>
    <row r="70" spans="2:10">
      <c r="B70" s="455"/>
      <c r="C70" s="456"/>
      <c r="D70" s="456"/>
      <c r="E70" s="456"/>
      <c r="F70" s="456"/>
      <c r="G70" s="456"/>
      <c r="H70" s="456"/>
      <c r="I70" s="456"/>
      <c r="J70" s="457"/>
    </row>
    <row r="71" spans="2:10">
      <c r="B71" s="458"/>
      <c r="C71" s="459"/>
      <c r="D71" s="459"/>
      <c r="E71" s="459"/>
      <c r="F71" s="459"/>
      <c r="G71" s="459"/>
      <c r="H71" s="459"/>
      <c r="I71" s="459"/>
      <c r="J71" s="460"/>
    </row>
    <row r="72" spans="2:10" ht="18">
      <c r="B72" s="461" t="s">
        <v>38</v>
      </c>
      <c r="C72" s="462"/>
      <c r="D72" s="462"/>
      <c r="E72" s="462"/>
      <c r="F72" s="462"/>
      <c r="G72" s="462"/>
      <c r="H72" s="462"/>
      <c r="I72" s="463"/>
      <c r="J72" s="205" t="s">
        <v>39</v>
      </c>
    </row>
    <row r="73" spans="2:10">
      <c r="B73" s="200">
        <v>1</v>
      </c>
      <c r="C73" s="464" t="s">
        <v>2624</v>
      </c>
      <c r="D73" s="465"/>
      <c r="E73" s="465"/>
      <c r="F73" s="465"/>
      <c r="G73" s="465"/>
      <c r="H73" s="465"/>
      <c r="I73" s="466"/>
      <c r="J73" s="200" t="s">
        <v>26</v>
      </c>
    </row>
    <row r="74" spans="2:10">
      <c r="B74" s="200">
        <v>2</v>
      </c>
      <c r="C74" s="464" t="s">
        <v>2639</v>
      </c>
      <c r="D74" s="465"/>
      <c r="E74" s="465"/>
      <c r="F74" s="465"/>
      <c r="G74" s="465"/>
      <c r="H74" s="465"/>
      <c r="I74" s="466"/>
      <c r="J74" s="200" t="s">
        <v>26</v>
      </c>
    </row>
    <row r="75" spans="2:10">
      <c r="B75" s="254">
        <v>3</v>
      </c>
      <c r="C75" s="464"/>
      <c r="D75" s="465"/>
      <c r="E75" s="465"/>
      <c r="F75" s="465"/>
      <c r="G75" s="465"/>
      <c r="H75" s="465"/>
      <c r="I75" s="466"/>
      <c r="J75" s="200"/>
    </row>
    <row r="76" spans="2:10">
      <c r="B76" s="254">
        <v>4</v>
      </c>
      <c r="C76" s="464"/>
      <c r="D76" s="465"/>
      <c r="E76" s="465"/>
      <c r="F76" s="465"/>
      <c r="G76" s="465"/>
      <c r="H76" s="465"/>
      <c r="I76" s="466"/>
      <c r="J76" s="200"/>
    </row>
    <row r="77" spans="2:10" ht="18">
      <c r="B77" s="1115" t="s">
        <v>44</v>
      </c>
      <c r="C77" s="462"/>
      <c r="D77" s="462"/>
      <c r="E77" s="462"/>
      <c r="F77" s="462"/>
      <c r="G77" s="462"/>
      <c r="H77" s="462"/>
      <c r="I77" s="462"/>
      <c r="J77" s="463"/>
    </row>
    <row r="78" spans="2:10">
      <c r="B78" s="200" t="s">
        <v>45</v>
      </c>
      <c r="C78" s="1059" t="s">
        <v>1568</v>
      </c>
      <c r="D78" s="473"/>
      <c r="E78" s="473"/>
      <c r="F78" s="473"/>
      <c r="G78" s="473"/>
      <c r="H78" s="473"/>
      <c r="I78" s="473"/>
      <c r="J78" s="473"/>
    </row>
    <row r="79" spans="2:10">
      <c r="B79" s="206" t="s">
        <v>45</v>
      </c>
      <c r="C79" s="1059" t="s">
        <v>2640</v>
      </c>
      <c r="D79" s="473"/>
      <c r="E79" s="473"/>
      <c r="F79" s="473"/>
      <c r="G79" s="473"/>
      <c r="H79" s="473"/>
      <c r="I79" s="473"/>
      <c r="J79" s="473"/>
    </row>
    <row r="80" spans="2:10">
      <c r="B80" s="206" t="s">
        <v>45</v>
      </c>
      <c r="C80" s="1101" t="s">
        <v>2641</v>
      </c>
      <c r="D80" s="475"/>
      <c r="E80" s="475"/>
      <c r="F80" s="475"/>
      <c r="G80" s="475"/>
      <c r="H80" s="475"/>
      <c r="I80" s="475"/>
      <c r="J80" s="476"/>
    </row>
    <row r="81" spans="2:10">
      <c r="B81" s="206" t="s">
        <v>45</v>
      </c>
      <c r="C81" s="1101" t="s">
        <v>2642</v>
      </c>
      <c r="D81" s="475"/>
      <c r="E81" s="475"/>
      <c r="F81" s="475"/>
      <c r="G81" s="475"/>
      <c r="H81" s="475"/>
      <c r="I81" s="475"/>
      <c r="J81" s="476"/>
    </row>
    <row r="82" spans="2:10">
      <c r="B82" s="206" t="s">
        <v>45</v>
      </c>
      <c r="C82" s="1101" t="s">
        <v>2643</v>
      </c>
      <c r="D82" s="475"/>
      <c r="E82" s="475"/>
      <c r="F82" s="475"/>
      <c r="G82" s="475"/>
      <c r="H82" s="475"/>
      <c r="I82" s="475"/>
      <c r="J82" s="476"/>
    </row>
    <row r="83" spans="2:10">
      <c r="B83" s="206" t="s">
        <v>45</v>
      </c>
      <c r="C83" s="1009" t="s">
        <v>2644</v>
      </c>
      <c r="D83" s="465"/>
      <c r="E83" s="465"/>
      <c r="F83" s="465"/>
      <c r="G83" s="465"/>
      <c r="H83" s="465"/>
      <c r="I83" s="465"/>
      <c r="J83" s="466"/>
    </row>
    <row r="84" spans="2:10">
      <c r="B84" s="200" t="s">
        <v>45</v>
      </c>
      <c r="C84" s="464"/>
      <c r="D84" s="465"/>
      <c r="E84" s="465"/>
      <c r="F84" s="465"/>
      <c r="G84" s="465"/>
      <c r="H84" s="465"/>
      <c r="I84" s="465"/>
      <c r="J84" s="466"/>
    </row>
    <row r="85" spans="2:10">
      <c r="B85" s="200" t="s">
        <v>7</v>
      </c>
      <c r="C85" s="1009" t="s">
        <v>2645</v>
      </c>
      <c r="D85" s="465"/>
      <c r="E85" s="465"/>
      <c r="F85" s="465"/>
      <c r="G85" s="465"/>
      <c r="H85" s="465"/>
      <c r="I85" s="465"/>
      <c r="J85" s="466"/>
    </row>
    <row r="86" spans="2:10" ht="18">
      <c r="B86" s="205" t="s">
        <v>52</v>
      </c>
      <c r="C86" s="477" t="s">
        <v>53</v>
      </c>
      <c r="D86" s="477"/>
      <c r="E86" s="477"/>
      <c r="F86" s="477"/>
      <c r="G86" s="477"/>
      <c r="H86" s="205" t="s">
        <v>54</v>
      </c>
      <c r="I86" s="205" t="s">
        <v>55</v>
      </c>
      <c r="J86" s="205" t="s">
        <v>56</v>
      </c>
    </row>
    <row r="87" spans="2:10" ht="15" customHeight="1">
      <c r="B87" s="200">
        <v>1</v>
      </c>
      <c r="C87" s="1101" t="s">
        <v>2624</v>
      </c>
      <c r="D87" s="475"/>
      <c r="E87" s="475"/>
      <c r="F87" s="475"/>
      <c r="G87" s="475"/>
      <c r="H87" s="334"/>
      <c r="I87" s="207"/>
      <c r="J87" s="200"/>
    </row>
    <row r="88" spans="2:10">
      <c r="B88" s="200">
        <v>1</v>
      </c>
      <c r="C88" s="1102" t="s">
        <v>2646</v>
      </c>
      <c r="D88" s="451"/>
      <c r="E88" s="451"/>
      <c r="F88" s="451"/>
      <c r="G88" s="451"/>
      <c r="H88" s="334" t="s">
        <v>2647</v>
      </c>
      <c r="I88" s="207" t="s">
        <v>1692</v>
      </c>
      <c r="J88" s="200"/>
    </row>
    <row r="89" spans="2:10">
      <c r="B89" s="200">
        <v>2</v>
      </c>
      <c r="C89" s="1102"/>
      <c r="D89" s="451"/>
      <c r="E89" s="451"/>
      <c r="F89" s="451"/>
      <c r="G89" s="451"/>
      <c r="H89" s="200"/>
      <c r="I89" s="207"/>
      <c r="J89" s="200"/>
    </row>
    <row r="90" spans="2:10" ht="30.75">
      <c r="B90" s="450" t="s">
        <v>63</v>
      </c>
      <c r="C90" s="450"/>
      <c r="D90" s="199"/>
      <c r="E90" s="269" t="s">
        <v>64</v>
      </c>
      <c r="F90" s="1117"/>
      <c r="G90" s="1118"/>
      <c r="H90" s="199"/>
      <c r="I90" s="199"/>
      <c r="J90" s="199"/>
    </row>
    <row r="91" spans="2:10" ht="45.75">
      <c r="B91" s="201" t="s">
        <v>66</v>
      </c>
      <c r="C91" s="450"/>
      <c r="D91" s="450"/>
      <c r="E91" s="201" t="s">
        <v>67</v>
      </c>
      <c r="F91" s="450"/>
      <c r="G91" s="450"/>
      <c r="H91" s="201" t="s">
        <v>68</v>
      </c>
      <c r="I91" s="450"/>
      <c r="J91" s="450"/>
    </row>
    <row r="95" spans="2:10" ht="26.25">
      <c r="B95" s="446" t="s">
        <v>13</v>
      </c>
      <c r="C95" s="447"/>
      <c r="D95" s="446" t="s">
        <v>14</v>
      </c>
      <c r="E95" s="446"/>
      <c r="F95" s="446"/>
      <c r="G95" s="446"/>
      <c r="H95" s="446"/>
      <c r="I95" s="446"/>
      <c r="J95" s="197" t="s">
        <v>15</v>
      </c>
    </row>
    <row r="96" spans="2:10" ht="28.5" customHeight="1">
      <c r="B96" s="447"/>
      <c r="C96" s="447"/>
      <c r="D96" s="448" t="s">
        <v>16</v>
      </c>
      <c r="E96" s="448"/>
      <c r="F96" s="448"/>
      <c r="G96" s="448"/>
      <c r="H96" s="448"/>
      <c r="I96" s="448"/>
      <c r="J96" s="197" t="s">
        <v>17</v>
      </c>
    </row>
    <row r="97" spans="2:10">
      <c r="B97" s="449" t="s">
        <v>18</v>
      </c>
      <c r="C97" s="449"/>
      <c r="D97" s="174">
        <v>46022</v>
      </c>
      <c r="E97" s="199" t="s">
        <v>1460</v>
      </c>
      <c r="F97" s="450" t="s">
        <v>159</v>
      </c>
      <c r="G97" s="450"/>
      <c r="H97" s="201" t="s">
        <v>21</v>
      </c>
      <c r="I97" s="202" t="s">
        <v>867</v>
      </c>
      <c r="J97" s="199" t="s">
        <v>2603</v>
      </c>
    </row>
    <row r="98" spans="2:10" ht="30.75">
      <c r="B98" s="449" t="s">
        <v>24</v>
      </c>
      <c r="C98" s="449"/>
      <c r="D98" s="203" t="s">
        <v>2648</v>
      </c>
      <c r="E98" s="204" t="s">
        <v>25</v>
      </c>
      <c r="F98" s="450" t="s">
        <v>26</v>
      </c>
      <c r="G98" s="450"/>
      <c r="H98" s="199" t="s">
        <v>27</v>
      </c>
      <c r="I98" s="202" t="s">
        <v>2649</v>
      </c>
      <c r="J98" s="202" t="s">
        <v>29</v>
      </c>
    </row>
    <row r="99" spans="2:10">
      <c r="B99" s="449" t="s">
        <v>30</v>
      </c>
      <c r="C99" s="449"/>
      <c r="D99" s="199" t="s">
        <v>31</v>
      </c>
      <c r="E99" s="199" t="s">
        <v>32</v>
      </c>
      <c r="F99" s="450">
        <v>70</v>
      </c>
      <c r="G99" s="450"/>
      <c r="H99" s="201" t="s">
        <v>33</v>
      </c>
      <c r="I99" s="247"/>
      <c r="J99" s="202"/>
    </row>
    <row r="100" spans="2:10" ht="15.75">
      <c r="B100" s="451" t="s">
        <v>35</v>
      </c>
      <c r="C100" s="451"/>
      <c r="D100" s="1119" t="s">
        <v>2650</v>
      </c>
      <c r="E100" s="1119"/>
      <c r="F100" s="1119"/>
      <c r="G100" s="1119"/>
      <c r="H100" s="1119"/>
      <c r="I100" s="1119"/>
      <c r="J100" s="1119"/>
    </row>
    <row r="101" spans="2:10">
      <c r="B101" s="452" t="s">
        <v>2651</v>
      </c>
      <c r="C101" s="453"/>
      <c r="D101" s="453"/>
      <c r="E101" s="453"/>
      <c r="F101" s="453"/>
      <c r="G101" s="453"/>
      <c r="H101" s="453"/>
      <c r="I101" s="453"/>
      <c r="J101" s="454"/>
    </row>
    <row r="102" spans="2:10">
      <c r="B102" s="455"/>
      <c r="C102" s="456"/>
      <c r="D102" s="456"/>
      <c r="E102" s="456"/>
      <c r="F102" s="456"/>
      <c r="G102" s="456"/>
      <c r="H102" s="456"/>
      <c r="I102" s="456"/>
      <c r="J102" s="457"/>
    </row>
    <row r="103" spans="2:10">
      <c r="B103" s="455"/>
      <c r="C103" s="456"/>
      <c r="D103" s="456"/>
      <c r="E103" s="456"/>
      <c r="F103" s="456"/>
      <c r="G103" s="456"/>
      <c r="H103" s="456"/>
      <c r="I103" s="456"/>
      <c r="J103" s="457"/>
    </row>
    <row r="104" spans="2:10">
      <c r="B104" s="458"/>
      <c r="C104" s="459"/>
      <c r="D104" s="459"/>
      <c r="E104" s="459"/>
      <c r="F104" s="459"/>
      <c r="G104" s="459"/>
      <c r="H104" s="459"/>
      <c r="I104" s="459"/>
      <c r="J104" s="460"/>
    </row>
    <row r="105" spans="2:10" ht="18">
      <c r="B105" s="461" t="s">
        <v>38</v>
      </c>
      <c r="C105" s="462"/>
      <c r="D105" s="462"/>
      <c r="E105" s="462"/>
      <c r="F105" s="462"/>
      <c r="G105" s="462"/>
      <c r="H105" s="462"/>
      <c r="I105" s="463"/>
      <c r="J105" s="205" t="s">
        <v>39</v>
      </c>
    </row>
    <row r="106" spans="2:10">
      <c r="B106" s="200">
        <v>1</v>
      </c>
      <c r="C106" s="464" t="s">
        <v>2652</v>
      </c>
      <c r="D106" s="465"/>
      <c r="E106" s="465"/>
      <c r="F106" s="465"/>
      <c r="G106" s="465"/>
      <c r="H106" s="465"/>
      <c r="I106" s="466"/>
      <c r="J106" s="200" t="s">
        <v>26</v>
      </c>
    </row>
    <row r="107" spans="2:10">
      <c r="B107" s="200">
        <v>2</v>
      </c>
      <c r="C107" s="464"/>
      <c r="D107" s="465"/>
      <c r="E107" s="465"/>
      <c r="F107" s="465"/>
      <c r="G107" s="465"/>
      <c r="H107" s="465"/>
      <c r="I107" s="466"/>
      <c r="J107" s="200" t="s">
        <v>26</v>
      </c>
    </row>
    <row r="108" spans="2:10">
      <c r="B108" s="254">
        <v>3</v>
      </c>
      <c r="C108" s="464"/>
      <c r="D108" s="465"/>
      <c r="E108" s="465"/>
      <c r="F108" s="465"/>
      <c r="G108" s="465"/>
      <c r="H108" s="465"/>
      <c r="I108" s="466"/>
      <c r="J108" s="200"/>
    </row>
    <row r="109" spans="2:10">
      <c r="B109" s="254">
        <v>4</v>
      </c>
      <c r="C109" s="464"/>
      <c r="D109" s="465"/>
      <c r="E109" s="465"/>
      <c r="F109" s="465"/>
      <c r="G109" s="465"/>
      <c r="H109" s="465"/>
      <c r="I109" s="466"/>
      <c r="J109" s="200"/>
    </row>
    <row r="110" spans="2:10" ht="18">
      <c r="B110" s="1115" t="s">
        <v>44</v>
      </c>
      <c r="C110" s="462"/>
      <c r="D110" s="462"/>
      <c r="E110" s="462"/>
      <c r="F110" s="462"/>
      <c r="G110" s="462"/>
      <c r="H110" s="462"/>
      <c r="I110" s="462"/>
      <c r="J110" s="463"/>
    </row>
    <row r="111" spans="2:10">
      <c r="B111" s="200" t="s">
        <v>45</v>
      </c>
      <c r="C111" s="1059" t="s">
        <v>2653</v>
      </c>
      <c r="D111" s="473"/>
      <c r="E111" s="473"/>
      <c r="F111" s="473"/>
      <c r="G111" s="473"/>
      <c r="H111" s="473"/>
      <c r="I111" s="473"/>
      <c r="J111" s="473"/>
    </row>
    <row r="112" spans="2:10">
      <c r="B112" s="206" t="s">
        <v>45</v>
      </c>
      <c r="C112" s="1059" t="s">
        <v>2654</v>
      </c>
      <c r="D112" s="473"/>
      <c r="E112" s="473"/>
      <c r="F112" s="473"/>
      <c r="G112" s="473"/>
      <c r="H112" s="473"/>
      <c r="I112" s="473"/>
      <c r="J112" s="473"/>
    </row>
    <row r="113" spans="2:10">
      <c r="B113" s="206" t="s">
        <v>45</v>
      </c>
      <c r="C113" s="1101" t="s">
        <v>2655</v>
      </c>
      <c r="D113" s="475"/>
      <c r="E113" s="475"/>
      <c r="F113" s="475"/>
      <c r="G113" s="475"/>
      <c r="H113" s="475"/>
      <c r="I113" s="475"/>
      <c r="J113" s="476"/>
    </row>
    <row r="114" spans="2:10">
      <c r="B114" s="206" t="s">
        <v>45</v>
      </c>
      <c r="C114" s="1101"/>
      <c r="D114" s="475"/>
      <c r="E114" s="475"/>
      <c r="F114" s="475"/>
      <c r="G114" s="475"/>
      <c r="H114" s="475"/>
      <c r="I114" s="475"/>
      <c r="J114" s="476"/>
    </row>
    <row r="115" spans="2:10">
      <c r="B115" s="206" t="s">
        <v>45</v>
      </c>
      <c r="C115" s="1101"/>
      <c r="D115" s="475"/>
      <c r="E115" s="475"/>
      <c r="F115" s="475"/>
      <c r="G115" s="475"/>
      <c r="H115" s="475"/>
      <c r="I115" s="475"/>
      <c r="J115" s="476"/>
    </row>
    <row r="116" spans="2:10">
      <c r="B116" s="206" t="s">
        <v>45</v>
      </c>
      <c r="C116" s="1009"/>
      <c r="D116" s="465"/>
      <c r="E116" s="465"/>
      <c r="F116" s="465"/>
      <c r="G116" s="465"/>
      <c r="H116" s="465"/>
      <c r="I116" s="465"/>
      <c r="J116" s="466"/>
    </row>
    <row r="117" spans="2:10">
      <c r="B117" s="200" t="s">
        <v>45</v>
      </c>
      <c r="C117" s="464"/>
      <c r="D117" s="465"/>
      <c r="E117" s="465"/>
      <c r="F117" s="465"/>
      <c r="G117" s="465"/>
      <c r="H117" s="465"/>
      <c r="I117" s="465"/>
      <c r="J117" s="466"/>
    </row>
    <row r="118" spans="2:10">
      <c r="B118" s="200" t="s">
        <v>7</v>
      </c>
      <c r="C118" s="1009" t="s">
        <v>2656</v>
      </c>
      <c r="D118" s="465"/>
      <c r="E118" s="465"/>
      <c r="F118" s="465"/>
      <c r="G118" s="465"/>
      <c r="H118" s="465"/>
      <c r="I118" s="465"/>
      <c r="J118" s="466"/>
    </row>
    <row r="119" spans="2:10" ht="18">
      <c r="B119" s="205" t="s">
        <v>52</v>
      </c>
      <c r="C119" s="477" t="s">
        <v>53</v>
      </c>
      <c r="D119" s="477"/>
      <c r="E119" s="477"/>
      <c r="F119" s="477"/>
      <c r="G119" s="477"/>
      <c r="H119" s="205" t="s">
        <v>54</v>
      </c>
      <c r="I119" s="205" t="s">
        <v>55</v>
      </c>
      <c r="J119" s="205" t="s">
        <v>56</v>
      </c>
    </row>
    <row r="120" spans="2:10">
      <c r="B120" s="200">
        <v>1</v>
      </c>
      <c r="C120" s="1101" t="s">
        <v>2657</v>
      </c>
      <c r="D120" s="475"/>
      <c r="E120" s="475"/>
      <c r="F120" s="475"/>
      <c r="G120" s="475"/>
      <c r="H120" s="334" t="s">
        <v>2658</v>
      </c>
      <c r="I120" s="207" t="s">
        <v>1692</v>
      </c>
      <c r="J120" s="200" t="s">
        <v>1796</v>
      </c>
    </row>
    <row r="121" spans="2:10">
      <c r="B121" s="200">
        <v>1</v>
      </c>
      <c r="C121" s="1102" t="s">
        <v>2659</v>
      </c>
      <c r="D121" s="451"/>
      <c r="E121" s="451"/>
      <c r="F121" s="451"/>
      <c r="G121" s="451"/>
      <c r="H121" s="334" t="s">
        <v>2658</v>
      </c>
      <c r="I121" s="207" t="s">
        <v>1692</v>
      </c>
      <c r="J121" s="200"/>
    </row>
    <row r="122" spans="2:10">
      <c r="B122" s="200">
        <v>2</v>
      </c>
      <c r="C122" s="1102"/>
      <c r="D122" s="451"/>
      <c r="E122" s="451"/>
      <c r="F122" s="451"/>
      <c r="G122" s="451"/>
      <c r="H122" s="200"/>
      <c r="I122" s="207"/>
      <c r="J122" s="200"/>
    </row>
    <row r="123" spans="2:10" ht="30.75">
      <c r="B123" s="450" t="s">
        <v>63</v>
      </c>
      <c r="C123" s="450"/>
      <c r="D123" s="199"/>
      <c r="E123" s="269" t="s">
        <v>64</v>
      </c>
      <c r="F123" s="1117"/>
      <c r="G123" s="1118"/>
      <c r="H123" s="199"/>
      <c r="I123" s="199"/>
      <c r="J123" s="199"/>
    </row>
    <row r="124" spans="2:10" ht="45.75">
      <c r="B124" s="201" t="s">
        <v>66</v>
      </c>
      <c r="C124" s="450"/>
      <c r="D124" s="450"/>
      <c r="E124" s="201" t="s">
        <v>67</v>
      </c>
      <c r="F124" s="450"/>
      <c r="G124" s="450"/>
      <c r="H124" s="201" t="s">
        <v>68</v>
      </c>
      <c r="I124" s="450"/>
      <c r="J124" s="450"/>
    </row>
  </sheetData>
  <autoFilter ref="B2:K21" xr:uid="{7E3221BD-3E6C-4BA8-BFAD-98351ACD7F09}">
    <filterColumn colId="1" showButton="0"/>
  </autoFilter>
  <mergeCells count="116">
    <mergeCell ref="C124:D124"/>
    <mergeCell ref="F124:G124"/>
    <mergeCell ref="I124:J124"/>
    <mergeCell ref="C119:G119"/>
    <mergeCell ref="C120:G120"/>
    <mergeCell ref="C121:G121"/>
    <mergeCell ref="C122:G122"/>
    <mergeCell ref="B123:C123"/>
    <mergeCell ref="F123:G123"/>
    <mergeCell ref="C114:J114"/>
    <mergeCell ref="C115:J115"/>
    <mergeCell ref="C116:J116"/>
    <mergeCell ref="C117:J117"/>
    <mergeCell ref="C118:J118"/>
    <mergeCell ref="C109:I109"/>
    <mergeCell ref="B110:J110"/>
    <mergeCell ref="C111:J111"/>
    <mergeCell ref="C112:J112"/>
    <mergeCell ref="C113:J113"/>
    <mergeCell ref="B101:J104"/>
    <mergeCell ref="B105:I105"/>
    <mergeCell ref="C106:I106"/>
    <mergeCell ref="C107:I107"/>
    <mergeCell ref="C108:I108"/>
    <mergeCell ref="B98:C98"/>
    <mergeCell ref="F98:G98"/>
    <mergeCell ref="B99:C99"/>
    <mergeCell ref="F99:G99"/>
    <mergeCell ref="B100:C100"/>
    <mergeCell ref="D100:J100"/>
    <mergeCell ref="B95:C96"/>
    <mergeCell ref="D95:I95"/>
    <mergeCell ref="D96:I96"/>
    <mergeCell ref="B97:C97"/>
    <mergeCell ref="F97:G97"/>
    <mergeCell ref="C55:D55"/>
    <mergeCell ref="F55:G55"/>
    <mergeCell ref="I55:J55"/>
    <mergeCell ref="C50:G50"/>
    <mergeCell ref="C51:G51"/>
    <mergeCell ref="C52:G52"/>
    <mergeCell ref="C53:G53"/>
    <mergeCell ref="B54:C54"/>
    <mergeCell ref="F54:G54"/>
    <mergeCell ref="B68:J71"/>
    <mergeCell ref="B65:C65"/>
    <mergeCell ref="F65:G65"/>
    <mergeCell ref="B66:C66"/>
    <mergeCell ref="F66:G66"/>
    <mergeCell ref="B67:C67"/>
    <mergeCell ref="D67:J67"/>
    <mergeCell ref="B62:C63"/>
    <mergeCell ref="D62:I62"/>
    <mergeCell ref="D63:I63"/>
    <mergeCell ref="C49:J49"/>
    <mergeCell ref="C39:I39"/>
    <mergeCell ref="B29:C29"/>
    <mergeCell ref="F29:G29"/>
    <mergeCell ref="B30:C30"/>
    <mergeCell ref="F30:G30"/>
    <mergeCell ref="B31:C31"/>
    <mergeCell ref="D31:J31"/>
    <mergeCell ref="G2:G3"/>
    <mergeCell ref="B32:J35"/>
    <mergeCell ref="B36:I36"/>
    <mergeCell ref="C37:I37"/>
    <mergeCell ref="C38:I38"/>
    <mergeCell ref="J2:J3"/>
    <mergeCell ref="C40:I40"/>
    <mergeCell ref="B41:J41"/>
    <mergeCell ref="C42:J42"/>
    <mergeCell ref="C43:J43"/>
    <mergeCell ref="C44:J44"/>
    <mergeCell ref="C45:J45"/>
    <mergeCell ref="C46:J46"/>
    <mergeCell ref="C47:J47"/>
    <mergeCell ref="C48:J48"/>
    <mergeCell ref="K2:K3"/>
    <mergeCell ref="E21:K24"/>
    <mergeCell ref="C23:D23"/>
    <mergeCell ref="H2:H3"/>
    <mergeCell ref="I2:I3"/>
    <mergeCell ref="B26:C27"/>
    <mergeCell ref="D26:I26"/>
    <mergeCell ref="D27:I27"/>
    <mergeCell ref="B28:C28"/>
    <mergeCell ref="F28:G28"/>
    <mergeCell ref="B2:B3"/>
    <mergeCell ref="C2:D2"/>
    <mergeCell ref="E2:E3"/>
    <mergeCell ref="F2:F3"/>
    <mergeCell ref="B64:C64"/>
    <mergeCell ref="F64:G64"/>
    <mergeCell ref="B72:I72"/>
    <mergeCell ref="C73:I73"/>
    <mergeCell ref="C83:J83"/>
    <mergeCell ref="C84:J84"/>
    <mergeCell ref="C85:J85"/>
    <mergeCell ref="C78:J78"/>
    <mergeCell ref="C79:J79"/>
    <mergeCell ref="C80:J80"/>
    <mergeCell ref="C81:J81"/>
    <mergeCell ref="C82:J82"/>
    <mergeCell ref="C74:I74"/>
    <mergeCell ref="C75:I75"/>
    <mergeCell ref="C76:I76"/>
    <mergeCell ref="B77:J77"/>
    <mergeCell ref="C91:D91"/>
    <mergeCell ref="F91:G91"/>
    <mergeCell ref="I91:J91"/>
    <mergeCell ref="C86:G86"/>
    <mergeCell ref="C87:G87"/>
    <mergeCell ref="C88:G88"/>
    <mergeCell ref="C89:G89"/>
    <mergeCell ref="B90:C90"/>
    <mergeCell ref="F90:G90"/>
  </mergeCells>
  <phoneticPr fontId="0" type="noConversion"/>
  <dataValidations count="1">
    <dataValidation type="list" allowBlank="1" showInputMessage="1" showErrorMessage="1" sqref="H14" xr:uid="{CB58077D-AD7A-4B59-93DD-780CD9DD2501}">
      <formula1>INDIRECT($K14)</formula1>
    </dataValidation>
  </dataValidations>
  <printOptions horizontalCentered="1" verticalCentered="1"/>
  <pageMargins left="0.7" right="0.7" top="0.75" bottom="0.75" header="0.3" footer="0.3"/>
  <pageSetup paperSize="9"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68AB4-4524-428D-AC94-5622B415477C}">
  <sheetPr>
    <pageSetUpPr fitToPage="1"/>
  </sheetPr>
  <dimension ref="B2:Q165"/>
  <sheetViews>
    <sheetView workbookViewId="0">
      <selection activeCell="J15" sqref="J15"/>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20.28515625" customWidth="1"/>
    <col min="10" max="10" width="43.140625" customWidth="1"/>
    <col min="11" max="11" width="60.5703125" customWidth="1"/>
    <col min="13" max="13" width="11.28515625" customWidth="1"/>
  </cols>
  <sheetData>
    <row r="2" spans="2:17" ht="38.25" customHeight="1">
      <c r="B2" s="1133" t="s">
        <v>0</v>
      </c>
      <c r="C2" s="1133" t="s">
        <v>1</v>
      </c>
      <c r="D2" s="1133"/>
      <c r="E2" s="1133" t="s">
        <v>2</v>
      </c>
      <c r="F2" s="1133" t="s">
        <v>3</v>
      </c>
      <c r="G2" s="1133" t="s">
        <v>4</v>
      </c>
      <c r="H2" s="1133" t="s">
        <v>5</v>
      </c>
      <c r="I2" s="1133" t="s">
        <v>6</v>
      </c>
      <c r="J2" s="1133" t="s">
        <v>7</v>
      </c>
      <c r="K2" s="1133" t="s">
        <v>8</v>
      </c>
    </row>
    <row r="3" spans="2:17">
      <c r="B3" s="1134"/>
      <c r="C3" s="276" t="s">
        <v>9</v>
      </c>
      <c r="D3" s="276" t="s">
        <v>10</v>
      </c>
      <c r="E3" s="1134"/>
      <c r="F3" s="1134"/>
      <c r="G3" s="1134"/>
      <c r="H3" s="1134"/>
      <c r="I3" s="1134"/>
      <c r="J3" s="1134"/>
      <c r="K3" s="1134"/>
    </row>
    <row r="4" spans="2:17">
      <c r="B4" s="37">
        <v>1</v>
      </c>
      <c r="C4" s="367"/>
      <c r="D4" s="367">
        <v>4.9999999999999822</v>
      </c>
      <c r="E4" s="368" t="s">
        <v>2660</v>
      </c>
      <c r="F4" s="37" t="s">
        <v>159</v>
      </c>
      <c r="G4" s="246" t="s">
        <v>1077</v>
      </c>
      <c r="H4" s="337" t="s">
        <v>637</v>
      </c>
      <c r="I4" s="374" t="s">
        <v>29</v>
      </c>
      <c r="J4" s="88"/>
      <c r="K4" s="366"/>
    </row>
    <row r="5" spans="2:17" ht="22.5">
      <c r="B5" s="37">
        <v>2</v>
      </c>
      <c r="C5" s="367"/>
      <c r="D5" s="382">
        <v>155.99999999999991</v>
      </c>
      <c r="E5" s="368" t="s">
        <v>2661</v>
      </c>
      <c r="F5" s="37" t="s">
        <v>131</v>
      </c>
      <c r="G5" s="375" t="s">
        <v>1048</v>
      </c>
      <c r="H5" s="337" t="s">
        <v>2662</v>
      </c>
      <c r="I5" s="376" t="s">
        <v>31</v>
      </c>
      <c r="J5" s="381" t="s">
        <v>2663</v>
      </c>
      <c r="K5" s="381"/>
      <c r="L5" s="381"/>
      <c r="M5" s="381"/>
      <c r="N5" s="381"/>
      <c r="O5" s="381"/>
      <c r="P5" s="381"/>
      <c r="Q5" s="381"/>
    </row>
    <row r="6" spans="2:17" ht="22.5">
      <c r="B6" s="37">
        <v>3</v>
      </c>
      <c r="C6" s="367"/>
      <c r="D6" s="382">
        <v>116.00000000000007</v>
      </c>
      <c r="E6" s="368" t="s">
        <v>2664</v>
      </c>
      <c r="F6" s="37" t="s">
        <v>124</v>
      </c>
      <c r="G6" s="246" t="s">
        <v>1071</v>
      </c>
      <c r="H6" s="337" t="s">
        <v>2662</v>
      </c>
      <c r="I6" s="376" t="s">
        <v>31</v>
      </c>
      <c r="J6" s="381" t="s">
        <v>2663</v>
      </c>
      <c r="K6" s="381"/>
      <c r="L6" s="381"/>
      <c r="M6" s="381"/>
      <c r="N6" s="381"/>
      <c r="O6" s="381"/>
      <c r="P6" s="381"/>
      <c r="Q6" s="381"/>
    </row>
    <row r="7" spans="2:17">
      <c r="B7" s="37">
        <v>4</v>
      </c>
      <c r="C7" s="37">
        <v>15</v>
      </c>
      <c r="D7" s="37"/>
      <c r="E7" s="369" t="s">
        <v>2665</v>
      </c>
      <c r="F7" s="37" t="s">
        <v>124</v>
      </c>
      <c r="G7" s="246" t="s">
        <v>1071</v>
      </c>
      <c r="H7" s="373" t="s">
        <v>2094</v>
      </c>
      <c r="I7" s="374" t="s">
        <v>29</v>
      </c>
      <c r="J7" s="377" t="s">
        <v>2666</v>
      </c>
      <c r="K7" s="364" t="s">
        <v>2667</v>
      </c>
    </row>
    <row r="8" spans="2:17">
      <c r="B8" s="37">
        <v>5</v>
      </c>
      <c r="C8" s="75"/>
      <c r="D8" s="383">
        <v>60</v>
      </c>
      <c r="E8" s="370" t="s">
        <v>2668</v>
      </c>
      <c r="F8" s="37" t="s">
        <v>124</v>
      </c>
      <c r="G8" s="246" t="s">
        <v>1071</v>
      </c>
      <c r="H8" s="373" t="s">
        <v>2669</v>
      </c>
      <c r="I8" s="376" t="s">
        <v>31</v>
      </c>
      <c r="J8" s="377" t="s">
        <v>2670</v>
      </c>
      <c r="K8" s="365" t="s">
        <v>2671</v>
      </c>
    </row>
    <row r="9" spans="2:17" s="58" customFormat="1">
      <c r="B9" s="37">
        <v>6</v>
      </c>
      <c r="C9" s="75"/>
      <c r="D9" s="166">
        <v>5.0000000000000222</v>
      </c>
      <c r="E9" s="371" t="s">
        <v>2672</v>
      </c>
      <c r="F9" s="37" t="s">
        <v>124</v>
      </c>
      <c r="G9" s="375"/>
      <c r="H9" s="337" t="s">
        <v>2673</v>
      </c>
      <c r="I9" s="374" t="s">
        <v>29</v>
      </c>
      <c r="J9" s="378"/>
      <c r="K9" s="363"/>
      <c r="L9"/>
      <c r="M9"/>
      <c r="N9"/>
      <c r="O9"/>
      <c r="P9"/>
      <c r="Q9"/>
    </row>
    <row r="10" spans="2:17" s="58" customFormat="1" ht="48" customHeight="1">
      <c r="B10" s="37">
        <v>7</v>
      </c>
      <c r="C10" s="68">
        <v>9.9999999999999645</v>
      </c>
      <c r="D10" s="213"/>
      <c r="E10" s="370" t="s">
        <v>2674</v>
      </c>
      <c r="F10" s="68" t="s">
        <v>159</v>
      </c>
      <c r="G10" s="375" t="s">
        <v>1048</v>
      </c>
      <c r="H10" s="337" t="s">
        <v>2675</v>
      </c>
      <c r="I10" s="374" t="s">
        <v>29</v>
      </c>
      <c r="J10" s="378"/>
      <c r="K10" s="379"/>
      <c r="L10"/>
      <c r="M10"/>
      <c r="N10"/>
      <c r="O10"/>
      <c r="P10"/>
      <c r="Q10"/>
    </row>
    <row r="11" spans="2:17" s="58" customFormat="1" ht="48" customHeight="1">
      <c r="B11" s="37">
        <v>8</v>
      </c>
      <c r="C11" s="68"/>
      <c r="D11" s="68">
        <v>3.9999999999999858</v>
      </c>
      <c r="E11" s="372" t="s">
        <v>2676</v>
      </c>
      <c r="F11" s="68" t="s">
        <v>159</v>
      </c>
      <c r="G11" s="375" t="s">
        <v>1048</v>
      </c>
      <c r="H11" s="337" t="s">
        <v>2677</v>
      </c>
      <c r="I11" s="374" t="s">
        <v>29</v>
      </c>
      <c r="J11" s="378"/>
      <c r="K11" s="379"/>
      <c r="L11"/>
      <c r="M11"/>
      <c r="N11"/>
      <c r="O11"/>
      <c r="P11"/>
      <c r="Q11"/>
    </row>
    <row r="12" spans="2:17" s="66" customFormat="1">
      <c r="B12" s="37">
        <v>9</v>
      </c>
      <c r="C12" s="68"/>
      <c r="D12" s="384">
        <v>49.999999999999986</v>
      </c>
      <c r="E12" s="372" t="s">
        <v>2678</v>
      </c>
      <c r="F12" s="37" t="s">
        <v>131</v>
      </c>
      <c r="G12" s="246" t="s">
        <v>1071</v>
      </c>
      <c r="H12" s="337" t="s">
        <v>645</v>
      </c>
      <c r="I12" s="376" t="s">
        <v>31</v>
      </c>
      <c r="J12" s="377" t="s">
        <v>2679</v>
      </c>
      <c r="K12" s="377"/>
      <c r="L12" s="377"/>
      <c r="M12" s="377"/>
      <c r="N12" s="377"/>
      <c r="O12" s="377"/>
      <c r="P12" s="377"/>
      <c r="Q12" s="377"/>
    </row>
    <row r="13" spans="2:17" s="3" customFormat="1">
      <c r="B13" s="37">
        <v>10</v>
      </c>
      <c r="C13" s="384">
        <v>39.000000000000021</v>
      </c>
      <c r="D13" s="68"/>
      <c r="E13" s="372" t="s">
        <v>2680</v>
      </c>
      <c r="F13" s="37" t="s">
        <v>131</v>
      </c>
      <c r="G13" s="342" t="s">
        <v>1058</v>
      </c>
      <c r="H13" s="337" t="s">
        <v>2681</v>
      </c>
      <c r="I13" s="376" t="s">
        <v>31</v>
      </c>
      <c r="J13" s="377" t="s">
        <v>2682</v>
      </c>
      <c r="K13" s="377"/>
      <c r="L13" s="377"/>
      <c r="M13" s="377"/>
      <c r="N13" s="377"/>
      <c r="O13" s="377"/>
      <c r="P13" s="377"/>
      <c r="Q13" s="377"/>
    </row>
    <row r="14" spans="2:17" s="3" customFormat="1">
      <c r="B14" s="37">
        <v>11</v>
      </c>
      <c r="C14" s="384">
        <v>50.999999999999979</v>
      </c>
      <c r="D14" s="68"/>
      <c r="E14" s="372" t="s">
        <v>2683</v>
      </c>
      <c r="F14" s="37" t="s">
        <v>124</v>
      </c>
      <c r="G14" s="246" t="s">
        <v>1071</v>
      </c>
      <c r="H14" s="337" t="s">
        <v>2681</v>
      </c>
      <c r="I14" s="376" t="s">
        <v>31</v>
      </c>
      <c r="J14" s="377" t="s">
        <v>2682</v>
      </c>
      <c r="K14" s="380"/>
    </row>
    <row r="15" spans="2:17" s="3" customFormat="1">
      <c r="B15" s="326"/>
      <c r="C15" s="342"/>
      <c r="D15" s="195"/>
      <c r="E15" s="340"/>
      <c r="F15" s="166"/>
      <c r="G15" s="68"/>
      <c r="H15" s="344"/>
      <c r="I15" s="68"/>
      <c r="J15" s="166"/>
      <c r="K15" s="345"/>
    </row>
    <row r="16" spans="2:17" s="3" customFormat="1">
      <c r="B16" s="326"/>
      <c r="C16" s="342"/>
      <c r="D16" s="195"/>
      <c r="E16" s="340"/>
      <c r="F16" s="68"/>
      <c r="G16" s="68"/>
      <c r="H16" s="346"/>
      <c r="I16" s="68"/>
      <c r="J16" s="68"/>
      <c r="K16" s="345"/>
    </row>
    <row r="17" spans="2:11" s="3" customFormat="1">
      <c r="B17" s="326"/>
      <c r="C17" s="342"/>
      <c r="D17" s="195"/>
      <c r="E17" s="340"/>
      <c r="F17" s="68"/>
      <c r="G17" s="68"/>
      <c r="H17" s="346"/>
      <c r="I17" s="68"/>
      <c r="J17" s="68"/>
      <c r="K17" s="345"/>
    </row>
    <row r="18" spans="2:11" s="3" customFormat="1">
      <c r="B18" s="326"/>
      <c r="C18" s="342"/>
      <c r="D18" s="195"/>
      <c r="E18" s="340"/>
      <c r="F18" s="68"/>
      <c r="G18" s="68"/>
      <c r="H18" s="346"/>
      <c r="I18" s="68"/>
      <c r="J18" s="68"/>
      <c r="K18" s="345"/>
    </row>
    <row r="19" spans="2:11" s="3" customFormat="1">
      <c r="B19" s="326"/>
      <c r="C19" s="342"/>
      <c r="D19" s="195"/>
      <c r="E19" s="340"/>
      <c r="F19" s="68"/>
      <c r="G19" s="68"/>
      <c r="H19" s="346"/>
      <c r="I19" s="68"/>
      <c r="J19" s="68"/>
      <c r="K19" s="345"/>
    </row>
    <row r="20" spans="2:11" s="3" customFormat="1">
      <c r="B20" s="311"/>
      <c r="C20" s="342"/>
      <c r="D20" s="68"/>
      <c r="E20" s="275"/>
      <c r="F20" s="68"/>
      <c r="G20" s="68"/>
      <c r="H20" s="344"/>
      <c r="I20" s="68"/>
      <c r="J20" s="347"/>
      <c r="K20" s="345"/>
    </row>
    <row r="21" spans="2:11">
      <c r="B21" s="311"/>
      <c r="C21" s="342"/>
      <c r="D21" s="68"/>
      <c r="E21" s="275"/>
      <c r="F21" s="68"/>
      <c r="G21" s="68"/>
      <c r="H21" s="344"/>
      <c r="I21" s="68"/>
      <c r="J21" s="68"/>
      <c r="K21" s="345"/>
    </row>
    <row r="22" spans="2:11">
      <c r="B22" s="311"/>
      <c r="C22" s="348"/>
      <c r="D22" s="68"/>
      <c r="E22" s="275"/>
      <c r="F22" s="175"/>
      <c r="G22" s="175"/>
      <c r="H22" s="175"/>
      <c r="I22" s="175"/>
      <c r="J22" s="175"/>
      <c r="K22" s="349"/>
    </row>
    <row r="23" spans="2:11">
      <c r="B23" s="311"/>
      <c r="C23" s="348"/>
      <c r="D23" s="68"/>
      <c r="E23" s="275"/>
      <c r="F23" s="175"/>
      <c r="G23" s="175"/>
      <c r="H23" s="175"/>
      <c r="I23" s="175"/>
      <c r="J23" s="175"/>
      <c r="K23" s="349"/>
    </row>
    <row r="24" spans="2:11">
      <c r="B24" s="311"/>
      <c r="C24" s="350"/>
      <c r="D24" s="68"/>
      <c r="E24" s="350"/>
      <c r="F24" s="350"/>
      <c r="G24" s="350"/>
      <c r="H24" s="350"/>
      <c r="I24" s="350"/>
      <c r="J24" s="350"/>
      <c r="K24" s="351"/>
    </row>
    <row r="25" spans="2:11">
      <c r="B25" s="124" t="s">
        <v>11</v>
      </c>
      <c r="C25" s="94">
        <f>SUM(C7:C24)</f>
        <v>114.99999999999997</v>
      </c>
      <c r="D25" s="94">
        <f>SUM(D7:D24)</f>
        <v>119</v>
      </c>
      <c r="E25" s="434"/>
      <c r="F25" s="435"/>
      <c r="G25" s="435"/>
      <c r="H25" s="435"/>
      <c r="I25" s="435"/>
      <c r="J25" s="435"/>
      <c r="K25" s="435"/>
    </row>
    <row r="26" spans="2:11">
      <c r="B26" s="9"/>
      <c r="C26" s="10"/>
      <c r="D26" s="11"/>
      <c r="E26" s="434"/>
      <c r="F26" s="435"/>
      <c r="G26" s="435"/>
      <c r="H26" s="435"/>
      <c r="I26" s="435"/>
      <c r="J26" s="435"/>
      <c r="K26" s="435"/>
    </row>
    <row r="27" spans="2:11">
      <c r="B27" s="6" t="s">
        <v>12</v>
      </c>
      <c r="C27" s="432">
        <f>SUM(C25,D25)</f>
        <v>233.99999999999997</v>
      </c>
      <c r="D27" s="433"/>
      <c r="E27" s="434"/>
      <c r="F27" s="435"/>
      <c r="G27" s="435"/>
      <c r="H27" s="435"/>
      <c r="I27" s="435"/>
      <c r="J27" s="435"/>
      <c r="K27" s="435"/>
    </row>
    <row r="28" spans="2:11">
      <c r="B28" s="247"/>
      <c r="C28" s="253"/>
      <c r="D28" s="253"/>
      <c r="E28" s="434"/>
      <c r="F28" s="435"/>
      <c r="G28" s="435"/>
      <c r="H28" s="435"/>
      <c r="I28" s="435"/>
      <c r="J28" s="435"/>
      <c r="K28" s="435"/>
    </row>
    <row r="29" spans="2:11">
      <c r="B29" s="247"/>
      <c r="C29" s="253"/>
      <c r="D29" s="253"/>
      <c r="E29" s="434"/>
      <c r="F29" s="435"/>
      <c r="G29" s="435"/>
      <c r="H29" s="435"/>
      <c r="I29" s="435"/>
      <c r="J29" s="435"/>
      <c r="K29" s="435"/>
    </row>
    <row r="30" spans="2:11">
      <c r="B30" s="247"/>
      <c r="C30" s="253"/>
      <c r="D30" s="253"/>
      <c r="E30" s="434"/>
      <c r="F30" s="435"/>
      <c r="G30" s="435"/>
      <c r="H30" s="435"/>
      <c r="I30" s="435"/>
      <c r="J30" s="435"/>
      <c r="K30" s="435"/>
    </row>
    <row r="31" spans="2:11">
      <c r="E31" s="434"/>
      <c r="F31" s="435"/>
      <c r="G31" s="435"/>
      <c r="H31" s="435"/>
      <c r="I31" s="435"/>
      <c r="J31" s="435"/>
      <c r="K31" s="435"/>
    </row>
    <row r="32" spans="2:11">
      <c r="B32" s="12"/>
      <c r="C32" s="13"/>
      <c r="D32" s="14"/>
      <c r="E32" s="436"/>
      <c r="F32" s="437"/>
      <c r="G32" s="437"/>
      <c r="H32" s="437"/>
      <c r="I32" s="437"/>
      <c r="J32" s="437"/>
      <c r="K32" s="437"/>
    </row>
    <row r="33" spans="2:11" ht="26.25">
      <c r="B33" s="446" t="s">
        <v>13</v>
      </c>
      <c r="C33" s="447"/>
      <c r="D33" s="446" t="s">
        <v>14</v>
      </c>
      <c r="E33" s="446"/>
      <c r="F33" s="446"/>
      <c r="G33" s="446"/>
      <c r="H33" s="446"/>
      <c r="I33" s="446"/>
      <c r="J33" s="197" t="s">
        <v>15</v>
      </c>
      <c r="K33" s="152"/>
    </row>
    <row r="34" spans="2:11" ht="20.25">
      <c r="B34" s="447"/>
      <c r="C34" s="447"/>
      <c r="D34" s="448" t="s">
        <v>16</v>
      </c>
      <c r="E34" s="448"/>
      <c r="F34" s="448"/>
      <c r="G34" s="448"/>
      <c r="H34" s="448"/>
      <c r="I34" s="448"/>
      <c r="J34" s="197" t="s">
        <v>17</v>
      </c>
    </row>
    <row r="35" spans="2:11">
      <c r="B35" s="449" t="s">
        <v>18</v>
      </c>
      <c r="C35" s="449"/>
      <c r="D35" s="174">
        <v>46025</v>
      </c>
      <c r="E35" s="199" t="s">
        <v>1460</v>
      </c>
      <c r="F35" s="450" t="s">
        <v>131</v>
      </c>
      <c r="G35" s="450"/>
      <c r="H35" s="201" t="s">
        <v>21</v>
      </c>
      <c r="I35" s="202" t="s">
        <v>917</v>
      </c>
      <c r="J35" s="199" t="s">
        <v>2545</v>
      </c>
    </row>
    <row r="36" spans="2:11">
      <c r="B36" s="449" t="s">
        <v>24</v>
      </c>
      <c r="C36" s="449"/>
      <c r="D36" s="203"/>
      <c r="E36" s="204" t="s">
        <v>25</v>
      </c>
      <c r="F36" s="450" t="s">
        <v>26</v>
      </c>
      <c r="G36" s="450"/>
      <c r="H36" s="199" t="s">
        <v>27</v>
      </c>
      <c r="I36" s="202"/>
      <c r="J36" s="202"/>
    </row>
    <row r="37" spans="2:11">
      <c r="B37" s="449" t="s">
        <v>30</v>
      </c>
      <c r="C37" s="449"/>
      <c r="D37" s="199" t="s">
        <v>31</v>
      </c>
      <c r="E37" s="199" t="s">
        <v>32</v>
      </c>
      <c r="F37" s="450">
        <v>272</v>
      </c>
      <c r="G37" s="450"/>
      <c r="H37" s="201" t="s">
        <v>33</v>
      </c>
      <c r="I37" s="247"/>
      <c r="J37" s="202"/>
    </row>
    <row r="38" spans="2:11">
      <c r="B38" s="451" t="s">
        <v>35</v>
      </c>
      <c r="C38" s="451"/>
      <c r="D38" s="449" t="s">
        <v>2684</v>
      </c>
      <c r="E38" s="449"/>
      <c r="F38" s="449"/>
      <c r="G38" s="449"/>
      <c r="H38" s="449"/>
      <c r="I38" s="449"/>
      <c r="J38" s="449"/>
    </row>
    <row r="39" spans="2:11">
      <c r="B39" s="452" t="s">
        <v>2685</v>
      </c>
      <c r="C39" s="453"/>
      <c r="D39" s="453"/>
      <c r="E39" s="453"/>
      <c r="F39" s="453"/>
      <c r="G39" s="453"/>
      <c r="H39" s="453"/>
      <c r="I39" s="453"/>
      <c r="J39" s="454"/>
    </row>
    <row r="40" spans="2:11">
      <c r="B40" s="455"/>
      <c r="C40" s="456"/>
      <c r="D40" s="456"/>
      <c r="E40" s="456"/>
      <c r="F40" s="456"/>
      <c r="G40" s="456"/>
      <c r="H40" s="456"/>
      <c r="I40" s="456"/>
      <c r="J40" s="457"/>
    </row>
    <row r="41" spans="2:11">
      <c r="B41" s="455"/>
      <c r="C41" s="456"/>
      <c r="D41" s="456"/>
      <c r="E41" s="456"/>
      <c r="F41" s="456"/>
      <c r="G41" s="456"/>
      <c r="H41" s="456"/>
      <c r="I41" s="456"/>
      <c r="J41" s="457"/>
    </row>
    <row r="42" spans="2:11">
      <c r="B42" s="458"/>
      <c r="C42" s="459"/>
      <c r="D42" s="459"/>
      <c r="E42" s="459"/>
      <c r="F42" s="459"/>
      <c r="G42" s="459"/>
      <c r="H42" s="459"/>
      <c r="I42" s="459"/>
      <c r="J42" s="460"/>
    </row>
    <row r="43" spans="2:11" ht="18">
      <c r="B43" s="461" t="s">
        <v>38</v>
      </c>
      <c r="C43" s="462"/>
      <c r="D43" s="462"/>
      <c r="E43" s="462"/>
      <c r="F43" s="462"/>
      <c r="G43" s="462"/>
      <c r="H43" s="462"/>
      <c r="I43" s="463"/>
      <c r="J43" s="205" t="s">
        <v>39</v>
      </c>
    </row>
    <row r="44" spans="2:11">
      <c r="B44" s="200">
        <v>1</v>
      </c>
      <c r="C44" s="464" t="s">
        <v>2686</v>
      </c>
      <c r="D44" s="465"/>
      <c r="E44" s="465"/>
      <c r="F44" s="465"/>
      <c r="G44" s="465"/>
      <c r="H44" s="465"/>
      <c r="I44" s="466"/>
      <c r="J44" s="200" t="s">
        <v>26</v>
      </c>
    </row>
    <row r="45" spans="2:11">
      <c r="B45" s="200">
        <v>2</v>
      </c>
      <c r="C45" s="464" t="s">
        <v>2687</v>
      </c>
      <c r="D45" s="465"/>
      <c r="E45" s="465"/>
      <c r="F45" s="465"/>
      <c r="G45" s="465"/>
      <c r="H45" s="465"/>
      <c r="I45" s="466"/>
      <c r="J45" s="200"/>
    </row>
    <row r="46" spans="2:11">
      <c r="B46" s="254">
        <v>3</v>
      </c>
      <c r="C46" s="464" t="s">
        <v>2688</v>
      </c>
      <c r="D46" s="465"/>
      <c r="E46" s="465"/>
      <c r="F46" s="465"/>
      <c r="G46" s="465"/>
      <c r="H46" s="465"/>
      <c r="I46" s="466"/>
      <c r="J46" s="200"/>
    </row>
    <row r="47" spans="2:11">
      <c r="B47" s="254">
        <v>4</v>
      </c>
      <c r="C47" s="464"/>
      <c r="D47" s="465"/>
      <c r="E47" s="465"/>
      <c r="F47" s="465"/>
      <c r="G47" s="465"/>
      <c r="H47" s="465"/>
      <c r="I47" s="466"/>
      <c r="J47" s="200"/>
    </row>
    <row r="48" spans="2:11" ht="18">
      <c r="B48" s="1115" t="s">
        <v>44</v>
      </c>
      <c r="C48" s="462"/>
      <c r="D48" s="462"/>
      <c r="E48" s="462"/>
      <c r="F48" s="462"/>
      <c r="G48" s="462"/>
      <c r="H48" s="462"/>
      <c r="I48" s="462"/>
      <c r="J48" s="463"/>
    </row>
    <row r="49" spans="2:10">
      <c r="B49" s="200" t="s">
        <v>45</v>
      </c>
      <c r="C49" s="1059" t="s">
        <v>2589</v>
      </c>
      <c r="D49" s="473"/>
      <c r="E49" s="473"/>
      <c r="F49" s="473"/>
      <c r="G49" s="473"/>
      <c r="H49" s="473"/>
      <c r="I49" s="473"/>
      <c r="J49" s="473"/>
    </row>
    <row r="50" spans="2:10">
      <c r="B50" s="206" t="s">
        <v>45</v>
      </c>
      <c r="C50" s="1059" t="s">
        <v>2689</v>
      </c>
      <c r="D50" s="473"/>
      <c r="E50" s="473"/>
      <c r="F50" s="473"/>
      <c r="G50" s="473"/>
      <c r="H50" s="473"/>
      <c r="I50" s="473"/>
      <c r="J50" s="473"/>
    </row>
    <row r="51" spans="2:10">
      <c r="B51" s="206" t="s">
        <v>45</v>
      </c>
      <c r="C51" s="1101" t="s">
        <v>2690</v>
      </c>
      <c r="D51" s="475"/>
      <c r="E51" s="475"/>
      <c r="F51" s="475"/>
      <c r="G51" s="475"/>
      <c r="H51" s="475"/>
      <c r="I51" s="475"/>
      <c r="J51" s="476"/>
    </row>
    <row r="52" spans="2:10">
      <c r="B52" s="206" t="s">
        <v>45</v>
      </c>
      <c r="C52" s="1101"/>
      <c r="D52" s="475"/>
      <c r="E52" s="475"/>
      <c r="F52" s="475"/>
      <c r="G52" s="475"/>
      <c r="H52" s="475"/>
      <c r="I52" s="475"/>
      <c r="J52" s="476"/>
    </row>
    <row r="53" spans="2:10">
      <c r="B53" s="206" t="s">
        <v>45</v>
      </c>
      <c r="C53" s="464"/>
      <c r="D53" s="465"/>
      <c r="E53" s="465"/>
      <c r="F53" s="465"/>
      <c r="G53" s="465"/>
      <c r="H53" s="465"/>
      <c r="I53" s="465"/>
      <c r="J53" s="466"/>
    </row>
    <row r="54" spans="2:10">
      <c r="B54" s="200" t="s">
        <v>45</v>
      </c>
      <c r="C54" s="464"/>
      <c r="D54" s="465"/>
      <c r="E54" s="465"/>
      <c r="F54" s="465"/>
      <c r="G54" s="465"/>
      <c r="H54" s="465"/>
      <c r="I54" s="465"/>
      <c r="J54" s="466"/>
    </row>
    <row r="55" spans="2:10">
      <c r="B55" s="200" t="s">
        <v>7</v>
      </c>
      <c r="C55" s="1101" t="s">
        <v>2663</v>
      </c>
      <c r="D55" s="475"/>
      <c r="E55" s="475"/>
      <c r="F55" s="475"/>
      <c r="G55" s="475"/>
      <c r="H55" s="475"/>
      <c r="I55" s="475"/>
      <c r="J55" s="476"/>
    </row>
    <row r="56" spans="2:10" ht="18">
      <c r="B56" s="205" t="s">
        <v>52</v>
      </c>
      <c r="C56" s="477" t="s">
        <v>53</v>
      </c>
      <c r="D56" s="477"/>
      <c r="E56" s="477"/>
      <c r="F56" s="477"/>
      <c r="G56" s="477"/>
      <c r="H56" s="205" t="s">
        <v>54</v>
      </c>
      <c r="I56" s="205" t="s">
        <v>55</v>
      </c>
      <c r="J56" s="205" t="s">
        <v>56</v>
      </c>
    </row>
    <row r="57" spans="2:10" ht="31.5" customHeight="1">
      <c r="B57" s="200">
        <v>1</v>
      </c>
      <c r="C57" s="1102" t="s">
        <v>2691</v>
      </c>
      <c r="D57" s="451"/>
      <c r="E57" s="451"/>
      <c r="F57" s="451"/>
      <c r="G57" s="451"/>
      <c r="H57" s="200" t="s">
        <v>1556</v>
      </c>
      <c r="I57" s="207" t="s">
        <v>1692</v>
      </c>
      <c r="J57" s="200"/>
    </row>
    <row r="58" spans="2:10" ht="31.5" customHeight="1">
      <c r="B58" s="200">
        <v>1</v>
      </c>
      <c r="C58" s="1102" t="s">
        <v>2692</v>
      </c>
      <c r="D58" s="451"/>
      <c r="E58" s="451"/>
      <c r="F58" s="451"/>
      <c r="G58" s="451"/>
      <c r="H58" s="200" t="s">
        <v>1556</v>
      </c>
      <c r="I58" s="207" t="s">
        <v>1692</v>
      </c>
      <c r="J58" s="200"/>
    </row>
    <row r="59" spans="2:10" ht="31.5" customHeight="1">
      <c r="B59" s="200">
        <v>2</v>
      </c>
      <c r="C59" s="1102" t="s">
        <v>2693</v>
      </c>
      <c r="D59" s="451"/>
      <c r="E59" s="451"/>
      <c r="F59" s="451"/>
      <c r="G59" s="451"/>
      <c r="H59" s="200" t="s">
        <v>2694</v>
      </c>
      <c r="I59" s="207" t="s">
        <v>1692</v>
      </c>
      <c r="J59" s="200" t="s">
        <v>1796</v>
      </c>
    </row>
    <row r="60" spans="2:10">
      <c r="B60" s="450" t="s">
        <v>63</v>
      </c>
      <c r="C60" s="450"/>
      <c r="D60" s="199"/>
      <c r="E60" s="198" t="s">
        <v>64</v>
      </c>
      <c r="F60" s="467"/>
      <c r="G60" s="469"/>
      <c r="H60" s="199"/>
      <c r="I60" s="199"/>
      <c r="J60" s="199"/>
    </row>
    <row r="61" spans="2:10" ht="45.75">
      <c r="B61" s="201" t="s">
        <v>66</v>
      </c>
      <c r="C61" s="450"/>
      <c r="D61" s="450"/>
      <c r="E61" s="201" t="s">
        <v>67</v>
      </c>
      <c r="F61" s="450"/>
      <c r="G61" s="450"/>
      <c r="H61" s="201" t="s">
        <v>68</v>
      </c>
      <c r="I61" s="450"/>
      <c r="J61" s="450"/>
    </row>
    <row r="62" spans="2:10">
      <c r="B62" s="247"/>
      <c r="C62" s="253"/>
      <c r="D62" s="253"/>
      <c r="E62" s="247"/>
      <c r="F62" s="253"/>
      <c r="G62" s="253"/>
      <c r="H62" s="247"/>
      <c r="I62" s="253"/>
      <c r="J62" s="253"/>
    </row>
    <row r="63" spans="2:10">
      <c r="B63" s="247"/>
      <c r="C63" s="253"/>
      <c r="D63" s="253"/>
      <c r="E63" s="247"/>
      <c r="F63" s="253"/>
      <c r="G63" s="253"/>
      <c r="H63" s="247"/>
      <c r="I63" s="253"/>
      <c r="J63" s="253"/>
    </row>
    <row r="68" spans="2:10" ht="26.25">
      <c r="B68" s="446" t="s">
        <v>13</v>
      </c>
      <c r="C68" s="447"/>
      <c r="D68" s="446" t="s">
        <v>14</v>
      </c>
      <c r="E68" s="446"/>
      <c r="F68" s="446"/>
      <c r="G68" s="446"/>
      <c r="H68" s="446"/>
      <c r="I68" s="446"/>
      <c r="J68" s="197" t="s">
        <v>15</v>
      </c>
    </row>
    <row r="69" spans="2:10" ht="20.25">
      <c r="B69" s="447"/>
      <c r="C69" s="447"/>
      <c r="D69" s="448" t="s">
        <v>16</v>
      </c>
      <c r="E69" s="448"/>
      <c r="F69" s="448"/>
      <c r="G69" s="448"/>
      <c r="H69" s="448"/>
      <c r="I69" s="448"/>
      <c r="J69" s="197" t="s">
        <v>17</v>
      </c>
    </row>
    <row r="70" spans="2:10">
      <c r="B70" s="449" t="s">
        <v>18</v>
      </c>
      <c r="C70" s="449"/>
      <c r="D70" s="174">
        <v>46030</v>
      </c>
      <c r="E70" s="199" t="s">
        <v>1460</v>
      </c>
      <c r="F70" s="450" t="s">
        <v>124</v>
      </c>
      <c r="G70" s="450"/>
      <c r="H70" s="201" t="s">
        <v>21</v>
      </c>
      <c r="I70" s="202" t="s">
        <v>917</v>
      </c>
      <c r="J70" s="199" t="s">
        <v>2603</v>
      </c>
    </row>
    <row r="71" spans="2:10" ht="20.25" customHeight="1">
      <c r="B71" s="449" t="s">
        <v>24</v>
      </c>
      <c r="C71" s="449"/>
      <c r="D71" s="203"/>
      <c r="E71" s="204" t="s">
        <v>25</v>
      </c>
      <c r="F71" s="450" t="s">
        <v>26</v>
      </c>
      <c r="G71" s="450"/>
      <c r="H71" s="199" t="s">
        <v>27</v>
      </c>
      <c r="I71" s="202"/>
      <c r="J71" s="202"/>
    </row>
    <row r="72" spans="2:10">
      <c r="B72" s="449" t="s">
        <v>30</v>
      </c>
      <c r="C72" s="449"/>
      <c r="D72" s="199" t="s">
        <v>31</v>
      </c>
      <c r="E72" s="199" t="s">
        <v>32</v>
      </c>
      <c r="F72" s="450">
        <v>60</v>
      </c>
      <c r="G72" s="450"/>
      <c r="H72" s="201" t="s">
        <v>33</v>
      </c>
      <c r="I72" s="247"/>
      <c r="J72" s="202"/>
    </row>
    <row r="73" spans="2:10">
      <c r="B73" s="451" t="s">
        <v>35</v>
      </c>
      <c r="C73" s="451"/>
      <c r="D73" s="449" t="s">
        <v>2637</v>
      </c>
      <c r="E73" s="449"/>
      <c r="F73" s="449"/>
      <c r="G73" s="449"/>
      <c r="H73" s="449"/>
      <c r="I73" s="449"/>
      <c r="J73" s="449"/>
    </row>
    <row r="74" spans="2:10">
      <c r="B74" s="452" t="s">
        <v>2695</v>
      </c>
      <c r="C74" s="453"/>
      <c r="D74" s="453"/>
      <c r="E74" s="453"/>
      <c r="F74" s="453"/>
      <c r="G74" s="453"/>
      <c r="H74" s="453"/>
      <c r="I74" s="453"/>
      <c r="J74" s="454"/>
    </row>
    <row r="75" spans="2:10">
      <c r="B75" s="455"/>
      <c r="C75" s="456"/>
      <c r="D75" s="456"/>
      <c r="E75" s="456"/>
      <c r="F75" s="456"/>
      <c r="G75" s="456"/>
      <c r="H75" s="456"/>
      <c r="I75" s="456"/>
      <c r="J75" s="457"/>
    </row>
    <row r="76" spans="2:10" ht="15" customHeight="1">
      <c r="B76" s="458"/>
      <c r="C76" s="459"/>
      <c r="D76" s="459"/>
      <c r="E76" s="459"/>
      <c r="F76" s="459"/>
      <c r="G76" s="459"/>
      <c r="H76" s="459"/>
      <c r="I76" s="459"/>
      <c r="J76" s="460"/>
    </row>
    <row r="77" spans="2:10" ht="18">
      <c r="B77" s="461" t="s">
        <v>38</v>
      </c>
      <c r="C77" s="462"/>
      <c r="D77" s="462"/>
      <c r="E77" s="462"/>
      <c r="F77" s="462"/>
      <c r="G77" s="462"/>
      <c r="H77" s="462"/>
      <c r="I77" s="463"/>
      <c r="J77" s="205" t="s">
        <v>39</v>
      </c>
    </row>
    <row r="78" spans="2:10">
      <c r="B78" s="200">
        <v>1</v>
      </c>
      <c r="C78" s="464" t="s">
        <v>2696</v>
      </c>
      <c r="D78" s="465"/>
      <c r="E78" s="465"/>
      <c r="F78" s="465"/>
      <c r="G78" s="465"/>
      <c r="H78" s="465"/>
      <c r="I78" s="466"/>
      <c r="J78" s="200" t="s">
        <v>26</v>
      </c>
    </row>
    <row r="79" spans="2:10">
      <c r="B79" s="200">
        <v>2</v>
      </c>
      <c r="C79" s="464"/>
      <c r="D79" s="465"/>
      <c r="E79" s="465"/>
      <c r="F79" s="465"/>
      <c r="G79" s="465"/>
      <c r="H79" s="465"/>
      <c r="I79" s="466"/>
      <c r="J79" s="200"/>
    </row>
    <row r="80" spans="2:10">
      <c r="B80" s="254">
        <v>3</v>
      </c>
      <c r="C80" s="464"/>
      <c r="D80" s="465"/>
      <c r="E80" s="465"/>
      <c r="F80" s="465"/>
      <c r="G80" s="465"/>
      <c r="H80" s="465"/>
      <c r="I80" s="466"/>
      <c r="J80" s="200"/>
    </row>
    <row r="81" spans="2:10">
      <c r="B81" s="254">
        <v>4</v>
      </c>
      <c r="C81" s="464"/>
      <c r="D81" s="465"/>
      <c r="E81" s="465"/>
      <c r="F81" s="465"/>
      <c r="G81" s="465"/>
      <c r="H81" s="465"/>
      <c r="I81" s="466"/>
      <c r="J81" s="200"/>
    </row>
    <row r="82" spans="2:10" ht="18">
      <c r="B82" s="1115" t="s">
        <v>44</v>
      </c>
      <c r="C82" s="462"/>
      <c r="D82" s="462"/>
      <c r="E82" s="462"/>
      <c r="F82" s="462"/>
      <c r="G82" s="462"/>
      <c r="H82" s="462"/>
      <c r="I82" s="462"/>
      <c r="J82" s="463"/>
    </row>
    <row r="83" spans="2:10">
      <c r="B83" s="200" t="s">
        <v>45</v>
      </c>
      <c r="C83" s="1129" t="s">
        <v>2697</v>
      </c>
      <c r="D83" s="1130"/>
      <c r="E83" s="1130"/>
      <c r="F83" s="1130"/>
      <c r="G83" s="1130"/>
      <c r="H83" s="1130"/>
      <c r="I83" s="1130"/>
      <c r="J83" s="1130"/>
    </row>
    <row r="84" spans="2:10">
      <c r="B84" s="200" t="s">
        <v>45</v>
      </c>
      <c r="C84" s="986" t="s">
        <v>2698</v>
      </c>
      <c r="D84" s="1090"/>
      <c r="E84" s="1090"/>
      <c r="F84" s="1090"/>
      <c r="G84" s="1090"/>
      <c r="H84" s="1090"/>
      <c r="I84" s="1090"/>
      <c r="J84" s="1091"/>
    </row>
    <row r="85" spans="2:10">
      <c r="B85" s="206" t="s">
        <v>45</v>
      </c>
      <c r="C85" s="1131" t="s">
        <v>2699</v>
      </c>
      <c r="D85" s="1132"/>
      <c r="E85" s="1132"/>
      <c r="F85" s="1132"/>
      <c r="G85" s="1132"/>
      <c r="H85" s="1132"/>
      <c r="I85" s="1132"/>
      <c r="J85" s="1132"/>
    </row>
    <row r="86" spans="2:10">
      <c r="B86" s="206" t="s">
        <v>45</v>
      </c>
      <c r="C86" s="1101" t="s">
        <v>2700</v>
      </c>
      <c r="D86" s="475"/>
      <c r="E86" s="475"/>
      <c r="F86" s="475"/>
      <c r="G86" s="475"/>
      <c r="H86" s="475"/>
      <c r="I86" s="475"/>
      <c r="J86" s="476"/>
    </row>
    <row r="87" spans="2:10">
      <c r="B87" s="206" t="s">
        <v>45</v>
      </c>
      <c r="C87" s="1101" t="s">
        <v>2701</v>
      </c>
      <c r="D87" s="475"/>
      <c r="E87" s="475"/>
      <c r="F87" s="475"/>
      <c r="G87" s="475"/>
      <c r="H87" s="475"/>
      <c r="I87" s="475"/>
      <c r="J87" s="476"/>
    </row>
    <row r="88" spans="2:10">
      <c r="B88" s="206" t="s">
        <v>45</v>
      </c>
      <c r="C88" s="464"/>
      <c r="D88" s="465"/>
      <c r="E88" s="465"/>
      <c r="F88" s="465"/>
      <c r="G88" s="465"/>
      <c r="H88" s="465"/>
      <c r="I88" s="465"/>
      <c r="J88" s="466"/>
    </row>
    <row r="89" spans="2:10">
      <c r="B89" s="200" t="s">
        <v>45</v>
      </c>
      <c r="C89" s="464"/>
      <c r="D89" s="465"/>
      <c r="E89" s="465"/>
      <c r="F89" s="465"/>
      <c r="G89" s="465"/>
      <c r="H89" s="465"/>
      <c r="I89" s="465"/>
      <c r="J89" s="466"/>
    </row>
    <row r="90" spans="2:10">
      <c r="B90" s="200" t="s">
        <v>7</v>
      </c>
      <c r="C90" s="464" t="s">
        <v>2702</v>
      </c>
      <c r="D90" s="465"/>
      <c r="E90" s="465"/>
      <c r="F90" s="465"/>
      <c r="G90" s="465"/>
      <c r="H90" s="465"/>
      <c r="I90" s="465"/>
      <c r="J90" s="466"/>
    </row>
    <row r="91" spans="2:10" ht="18">
      <c r="B91" s="205" t="s">
        <v>52</v>
      </c>
      <c r="C91" s="477" t="s">
        <v>53</v>
      </c>
      <c r="D91" s="477"/>
      <c r="E91" s="477"/>
      <c r="F91" s="477"/>
      <c r="G91" s="477"/>
      <c r="H91" s="205" t="s">
        <v>54</v>
      </c>
      <c r="I91" s="205" t="s">
        <v>55</v>
      </c>
      <c r="J91" s="205" t="s">
        <v>56</v>
      </c>
    </row>
    <row r="92" spans="2:10" ht="26.25" customHeight="1">
      <c r="B92" s="200">
        <v>1</v>
      </c>
      <c r="C92" s="1102" t="s">
        <v>2703</v>
      </c>
      <c r="D92" s="451"/>
      <c r="E92" s="451"/>
      <c r="F92" s="451"/>
      <c r="G92" s="451"/>
      <c r="H92" s="334" t="s">
        <v>2704</v>
      </c>
      <c r="I92" s="207" t="s">
        <v>1692</v>
      </c>
      <c r="J92" s="200"/>
    </row>
    <row r="93" spans="2:10" ht="26.25" customHeight="1">
      <c r="B93" s="200">
        <v>1</v>
      </c>
      <c r="C93" s="1102"/>
      <c r="D93" s="451"/>
      <c r="E93" s="451"/>
      <c r="F93" s="451"/>
      <c r="G93" s="451"/>
      <c r="H93" s="334"/>
      <c r="I93" s="207"/>
      <c r="J93" s="200"/>
    </row>
    <row r="94" spans="2:10" ht="26.25" customHeight="1">
      <c r="B94" s="200">
        <v>2</v>
      </c>
      <c r="C94" s="1102"/>
      <c r="D94" s="451"/>
      <c r="E94" s="451"/>
      <c r="F94" s="451"/>
      <c r="G94" s="451"/>
      <c r="H94" s="200"/>
      <c r="I94" s="207"/>
      <c r="J94" s="200"/>
    </row>
    <row r="95" spans="2:10">
      <c r="B95" s="450" t="s">
        <v>63</v>
      </c>
      <c r="C95" s="450"/>
      <c r="D95" s="199"/>
      <c r="E95" s="198" t="s">
        <v>64</v>
      </c>
      <c r="F95" s="467"/>
      <c r="G95" s="469"/>
      <c r="H95" s="199"/>
      <c r="I95" s="199"/>
      <c r="J95" s="199"/>
    </row>
    <row r="96" spans="2:10" ht="45.75">
      <c r="B96" s="201" t="s">
        <v>66</v>
      </c>
      <c r="C96" s="450"/>
      <c r="D96" s="450"/>
      <c r="E96" s="201" t="s">
        <v>67</v>
      </c>
      <c r="F96" s="450"/>
      <c r="G96" s="450"/>
      <c r="H96" s="201" t="s">
        <v>68</v>
      </c>
      <c r="I96" s="450"/>
      <c r="J96" s="450"/>
    </row>
    <row r="97" spans="2:10">
      <c r="B97" s="1127"/>
      <c r="C97" s="1127"/>
      <c r="D97" s="361"/>
      <c r="E97" s="360"/>
      <c r="F97" s="1128"/>
      <c r="G97" s="1128"/>
      <c r="H97" s="361"/>
      <c r="I97" s="361"/>
      <c r="J97" s="361"/>
    </row>
    <row r="98" spans="2:10">
      <c r="B98" s="362"/>
      <c r="C98" s="1127"/>
      <c r="D98" s="1127"/>
      <c r="E98" s="362"/>
      <c r="F98" s="1127"/>
      <c r="G98" s="1127"/>
      <c r="H98" s="362"/>
      <c r="I98" s="1127"/>
      <c r="J98" s="1127"/>
    </row>
    <row r="99" spans="2:10">
      <c r="B99" s="58"/>
      <c r="C99" s="58"/>
      <c r="D99" s="58"/>
      <c r="E99" s="58"/>
      <c r="F99" s="58"/>
      <c r="G99" s="58"/>
      <c r="H99" s="58"/>
      <c r="I99" s="58"/>
      <c r="J99" s="58"/>
    </row>
    <row r="100" spans="2:10" ht="26.25">
      <c r="B100" s="446" t="s">
        <v>13</v>
      </c>
      <c r="C100" s="447"/>
      <c r="D100" s="446" t="s">
        <v>14</v>
      </c>
      <c r="E100" s="446"/>
      <c r="F100" s="446"/>
      <c r="G100" s="446"/>
      <c r="H100" s="446"/>
      <c r="I100" s="446"/>
      <c r="J100" s="197" t="s">
        <v>15</v>
      </c>
    </row>
    <row r="101" spans="2:10" ht="20.25">
      <c r="B101" s="447"/>
      <c r="C101" s="447"/>
      <c r="D101" s="448" t="s">
        <v>16</v>
      </c>
      <c r="E101" s="448"/>
      <c r="F101" s="448"/>
      <c r="G101" s="448"/>
      <c r="H101" s="448"/>
      <c r="I101" s="448"/>
      <c r="J101" s="197" t="s">
        <v>17</v>
      </c>
    </row>
    <row r="102" spans="2:10">
      <c r="B102" s="449" t="s">
        <v>18</v>
      </c>
      <c r="C102" s="449"/>
      <c r="D102" s="174">
        <v>46036</v>
      </c>
      <c r="E102" s="199" t="s">
        <v>1460</v>
      </c>
      <c r="F102" s="450" t="s">
        <v>131</v>
      </c>
      <c r="G102" s="450"/>
      <c r="H102" s="201" t="s">
        <v>21</v>
      </c>
      <c r="I102" s="202" t="s">
        <v>917</v>
      </c>
      <c r="J102" s="199" t="s">
        <v>2545</v>
      </c>
    </row>
    <row r="103" spans="2:10" ht="28.5" customHeight="1">
      <c r="B103" s="449" t="s">
        <v>24</v>
      </c>
      <c r="C103" s="449"/>
      <c r="D103" s="203"/>
      <c r="E103" s="204" t="s">
        <v>25</v>
      </c>
      <c r="F103" s="450" t="s">
        <v>26</v>
      </c>
      <c r="G103" s="450"/>
      <c r="H103" s="199" t="s">
        <v>27</v>
      </c>
      <c r="I103" s="202"/>
      <c r="J103" s="202"/>
    </row>
    <row r="104" spans="2:10">
      <c r="B104" s="449" t="s">
        <v>30</v>
      </c>
      <c r="C104" s="449"/>
      <c r="D104" s="199" t="s">
        <v>31</v>
      </c>
      <c r="E104" s="199" t="s">
        <v>32</v>
      </c>
      <c r="F104" s="450">
        <v>50</v>
      </c>
      <c r="G104" s="450"/>
      <c r="H104" s="201" t="s">
        <v>33</v>
      </c>
      <c r="I104" s="247"/>
      <c r="J104" s="202"/>
    </row>
    <row r="105" spans="2:10">
      <c r="B105" s="451" t="s">
        <v>35</v>
      </c>
      <c r="C105" s="451"/>
      <c r="D105" s="449" t="s">
        <v>2637</v>
      </c>
      <c r="E105" s="449"/>
      <c r="F105" s="449"/>
      <c r="G105" s="449"/>
      <c r="H105" s="449"/>
      <c r="I105" s="449"/>
      <c r="J105" s="449"/>
    </row>
    <row r="106" spans="2:10">
      <c r="B106" s="452" t="s">
        <v>2705</v>
      </c>
      <c r="C106" s="453"/>
      <c r="D106" s="453"/>
      <c r="E106" s="453"/>
      <c r="F106" s="453"/>
      <c r="G106" s="453"/>
      <c r="H106" s="453"/>
      <c r="I106" s="453"/>
      <c r="J106" s="454"/>
    </row>
    <row r="107" spans="2:10">
      <c r="B107" s="455"/>
      <c r="C107" s="456"/>
      <c r="D107" s="456"/>
      <c r="E107" s="456"/>
      <c r="F107" s="456"/>
      <c r="G107" s="456"/>
      <c r="H107" s="456"/>
      <c r="I107" s="456"/>
      <c r="J107" s="457"/>
    </row>
    <row r="108" spans="2:10">
      <c r="B108" s="458"/>
      <c r="C108" s="459"/>
      <c r="D108" s="459"/>
      <c r="E108" s="459"/>
      <c r="F108" s="459"/>
      <c r="G108" s="459"/>
      <c r="H108" s="459"/>
      <c r="I108" s="459"/>
      <c r="J108" s="460"/>
    </row>
    <row r="109" spans="2:10" ht="18">
      <c r="B109" s="461" t="s">
        <v>38</v>
      </c>
      <c r="C109" s="462"/>
      <c r="D109" s="462"/>
      <c r="E109" s="462"/>
      <c r="F109" s="462"/>
      <c r="G109" s="462"/>
      <c r="H109" s="462"/>
      <c r="I109" s="463"/>
      <c r="J109" s="205" t="s">
        <v>39</v>
      </c>
    </row>
    <row r="110" spans="2:10">
      <c r="B110" s="200">
        <v>1</v>
      </c>
      <c r="C110" s="464" t="s">
        <v>2706</v>
      </c>
      <c r="D110" s="465"/>
      <c r="E110" s="465"/>
      <c r="F110" s="465"/>
      <c r="G110" s="465"/>
      <c r="H110" s="465"/>
      <c r="I110" s="466"/>
      <c r="J110" s="200" t="s">
        <v>26</v>
      </c>
    </row>
    <row r="111" spans="2:10">
      <c r="B111" s="200">
        <v>2</v>
      </c>
      <c r="C111" s="464" t="s">
        <v>2707</v>
      </c>
      <c r="D111" s="465"/>
      <c r="E111" s="465"/>
      <c r="F111" s="465"/>
      <c r="G111" s="465"/>
      <c r="H111" s="465"/>
      <c r="I111" s="466"/>
      <c r="J111" s="200" t="s">
        <v>26</v>
      </c>
    </row>
    <row r="112" spans="2:10">
      <c r="B112" s="254">
        <v>3</v>
      </c>
      <c r="C112" s="464"/>
      <c r="D112" s="465"/>
      <c r="E112" s="465"/>
      <c r="F112" s="465"/>
      <c r="G112" s="465"/>
      <c r="H112" s="465"/>
      <c r="I112" s="466"/>
      <c r="J112" s="200"/>
    </row>
    <row r="113" spans="2:10">
      <c r="B113" s="254">
        <v>4</v>
      </c>
      <c r="C113" s="464"/>
      <c r="D113" s="465"/>
      <c r="E113" s="465"/>
      <c r="F113" s="465"/>
      <c r="G113" s="465"/>
      <c r="H113" s="465"/>
      <c r="I113" s="466"/>
      <c r="J113" s="200"/>
    </row>
    <row r="114" spans="2:10" ht="18">
      <c r="B114" s="1115" t="s">
        <v>44</v>
      </c>
      <c r="C114" s="462"/>
      <c r="D114" s="462"/>
      <c r="E114" s="462"/>
      <c r="F114" s="462"/>
      <c r="G114" s="462"/>
      <c r="H114" s="462"/>
      <c r="I114" s="462"/>
      <c r="J114" s="463"/>
    </row>
    <row r="115" spans="2:10">
      <c r="B115" s="200" t="s">
        <v>45</v>
      </c>
      <c r="C115" s="1129" t="s">
        <v>2708</v>
      </c>
      <c r="D115" s="1130"/>
      <c r="E115" s="1130"/>
      <c r="F115" s="1130"/>
      <c r="G115" s="1130"/>
      <c r="H115" s="1130"/>
      <c r="I115" s="1130"/>
      <c r="J115" s="1130"/>
    </row>
    <row r="116" spans="2:10">
      <c r="B116" s="200" t="s">
        <v>45</v>
      </c>
      <c r="C116" s="986" t="s">
        <v>2709</v>
      </c>
      <c r="D116" s="1090"/>
      <c r="E116" s="1090"/>
      <c r="F116" s="1090"/>
      <c r="G116" s="1090"/>
      <c r="H116" s="1090"/>
      <c r="I116" s="1090"/>
      <c r="J116" s="1091"/>
    </row>
    <row r="117" spans="2:10">
      <c r="B117" s="206" t="s">
        <v>45</v>
      </c>
      <c r="C117" s="1131" t="s">
        <v>2710</v>
      </c>
      <c r="D117" s="1132"/>
      <c r="E117" s="1132"/>
      <c r="F117" s="1132"/>
      <c r="G117" s="1132"/>
      <c r="H117" s="1132"/>
      <c r="I117" s="1132"/>
      <c r="J117" s="1132"/>
    </row>
    <row r="118" spans="2:10">
      <c r="B118" s="206" t="s">
        <v>45</v>
      </c>
      <c r="C118" s="1101" t="s">
        <v>2711</v>
      </c>
      <c r="D118" s="475"/>
      <c r="E118" s="475"/>
      <c r="F118" s="475"/>
      <c r="G118" s="475"/>
      <c r="H118" s="475"/>
      <c r="I118" s="475"/>
      <c r="J118" s="476"/>
    </row>
    <row r="119" spans="2:10">
      <c r="B119" s="206" t="s">
        <v>45</v>
      </c>
      <c r="C119" s="1101" t="s">
        <v>2707</v>
      </c>
      <c r="D119" s="475"/>
      <c r="E119" s="475"/>
      <c r="F119" s="475"/>
      <c r="G119" s="475"/>
      <c r="H119" s="475"/>
      <c r="I119" s="475"/>
      <c r="J119" s="476"/>
    </row>
    <row r="120" spans="2:10">
      <c r="B120" s="206" t="s">
        <v>45</v>
      </c>
      <c r="C120" s="464"/>
      <c r="D120" s="465"/>
      <c r="E120" s="465"/>
      <c r="F120" s="465"/>
      <c r="G120" s="465"/>
      <c r="H120" s="465"/>
      <c r="I120" s="465"/>
      <c r="J120" s="466"/>
    </row>
    <row r="121" spans="2:10">
      <c r="B121" s="206" t="s">
        <v>45</v>
      </c>
      <c r="C121" s="464"/>
      <c r="D121" s="465"/>
      <c r="E121" s="465"/>
      <c r="F121" s="465"/>
      <c r="G121" s="465"/>
      <c r="H121" s="465"/>
      <c r="I121" s="465"/>
      <c r="J121" s="466"/>
    </row>
    <row r="122" spans="2:10">
      <c r="B122" s="200" t="s">
        <v>45</v>
      </c>
      <c r="C122" s="464"/>
      <c r="D122" s="465"/>
      <c r="E122" s="465"/>
      <c r="F122" s="465"/>
      <c r="G122" s="465"/>
      <c r="H122" s="465"/>
      <c r="I122" s="465"/>
      <c r="J122" s="466"/>
    </row>
    <row r="123" spans="2:10">
      <c r="B123" s="200" t="s">
        <v>7</v>
      </c>
      <c r="C123" s="1101" t="s">
        <v>2679</v>
      </c>
      <c r="D123" s="475"/>
      <c r="E123" s="475"/>
      <c r="F123" s="475"/>
      <c r="G123" s="475"/>
      <c r="H123" s="475"/>
      <c r="I123" s="475"/>
      <c r="J123" s="476"/>
    </row>
    <row r="124" spans="2:10" ht="18">
      <c r="B124" s="205" t="s">
        <v>52</v>
      </c>
      <c r="C124" s="477" t="s">
        <v>53</v>
      </c>
      <c r="D124" s="477"/>
      <c r="E124" s="477"/>
      <c r="F124" s="477"/>
      <c r="G124" s="477"/>
      <c r="H124" s="205" t="s">
        <v>54</v>
      </c>
      <c r="I124" s="205" t="s">
        <v>55</v>
      </c>
      <c r="J124" s="205" t="s">
        <v>56</v>
      </c>
    </row>
    <row r="125" spans="2:10" ht="30" customHeight="1">
      <c r="B125" s="200">
        <v>1</v>
      </c>
      <c r="C125" s="1102" t="s">
        <v>2712</v>
      </c>
      <c r="D125" s="451"/>
      <c r="E125" s="451"/>
      <c r="F125" s="451"/>
      <c r="G125" s="451"/>
      <c r="H125" s="334" t="s">
        <v>2713</v>
      </c>
      <c r="I125" s="207" t="s">
        <v>1692</v>
      </c>
      <c r="J125" s="200" t="s">
        <v>2714</v>
      </c>
    </row>
    <row r="126" spans="2:10" ht="30" customHeight="1">
      <c r="B126" s="200">
        <v>2</v>
      </c>
      <c r="C126" s="1102" t="s">
        <v>2715</v>
      </c>
      <c r="D126" s="451"/>
      <c r="E126" s="451"/>
      <c r="F126" s="451"/>
      <c r="G126" s="451"/>
      <c r="H126" s="334" t="s">
        <v>2713</v>
      </c>
      <c r="I126" s="207" t="s">
        <v>1692</v>
      </c>
      <c r="J126" s="200" t="s">
        <v>2714</v>
      </c>
    </row>
    <row r="127" spans="2:10" ht="30" customHeight="1">
      <c r="B127" s="200">
        <v>3</v>
      </c>
      <c r="C127" s="1102" t="s">
        <v>2716</v>
      </c>
      <c r="D127" s="451"/>
      <c r="E127" s="451"/>
      <c r="F127" s="451"/>
      <c r="G127" s="451"/>
      <c r="H127" s="200"/>
      <c r="I127" s="207"/>
      <c r="J127" s="200"/>
    </row>
    <row r="128" spans="2:10" ht="30" customHeight="1">
      <c r="B128" s="200">
        <v>4</v>
      </c>
      <c r="C128" s="1102" t="s">
        <v>2717</v>
      </c>
      <c r="D128" s="451"/>
      <c r="E128" s="451"/>
      <c r="F128" s="451"/>
      <c r="G128" s="451"/>
      <c r="H128" s="200"/>
      <c r="I128" s="207"/>
      <c r="J128" s="200"/>
    </row>
    <row r="129" spans="2:10">
      <c r="B129" s="450" t="s">
        <v>63</v>
      </c>
      <c r="C129" s="450"/>
      <c r="D129" s="199"/>
      <c r="E129" s="198" t="s">
        <v>64</v>
      </c>
      <c r="F129" s="467"/>
      <c r="G129" s="469"/>
      <c r="H129" s="199"/>
      <c r="I129" s="199"/>
      <c r="J129" s="199"/>
    </row>
    <row r="130" spans="2:10" ht="45.75">
      <c r="B130" s="201" t="s">
        <v>66</v>
      </c>
      <c r="C130" s="450"/>
      <c r="D130" s="450"/>
      <c r="E130" s="201" t="s">
        <v>67</v>
      </c>
      <c r="F130" s="450"/>
      <c r="G130" s="450"/>
      <c r="H130" s="201" t="s">
        <v>68</v>
      </c>
      <c r="I130" s="450"/>
      <c r="J130" s="450"/>
    </row>
    <row r="131" spans="2:10">
      <c r="B131" s="1127"/>
      <c r="C131" s="1127"/>
      <c r="D131" s="361"/>
      <c r="E131" s="360"/>
      <c r="F131" s="1128"/>
      <c r="G131" s="1128"/>
      <c r="H131" s="361"/>
      <c r="I131" s="361"/>
      <c r="J131" s="361"/>
    </row>
    <row r="132" spans="2:10">
      <c r="B132" s="362"/>
      <c r="C132" s="1127"/>
      <c r="D132" s="1127"/>
      <c r="E132" s="362"/>
      <c r="F132" s="1127"/>
      <c r="G132" s="1127"/>
      <c r="H132" s="362"/>
      <c r="I132" s="1127"/>
      <c r="J132" s="1127"/>
    </row>
    <row r="135" spans="2:10" ht="26.25">
      <c r="B135" s="446" t="s">
        <v>13</v>
      </c>
      <c r="C135" s="447"/>
      <c r="D135" s="446" t="s">
        <v>14</v>
      </c>
      <c r="E135" s="446"/>
      <c r="F135" s="446"/>
      <c r="G135" s="446"/>
      <c r="H135" s="446"/>
      <c r="I135" s="446"/>
      <c r="J135" s="197" t="s">
        <v>15</v>
      </c>
    </row>
    <row r="136" spans="2:10" ht="20.25">
      <c r="B136" s="447"/>
      <c r="C136" s="447"/>
      <c r="D136" s="448" t="s">
        <v>16</v>
      </c>
      <c r="E136" s="448"/>
      <c r="F136" s="448"/>
      <c r="G136" s="448"/>
      <c r="H136" s="448"/>
      <c r="I136" s="448"/>
      <c r="J136" s="197" t="s">
        <v>17</v>
      </c>
    </row>
    <row r="137" spans="2:10">
      <c r="B137" s="449" t="s">
        <v>18</v>
      </c>
      <c r="C137" s="449"/>
      <c r="D137" s="174">
        <v>46041</v>
      </c>
      <c r="E137" s="199" t="s">
        <v>1460</v>
      </c>
      <c r="F137" s="450" t="s">
        <v>131</v>
      </c>
      <c r="G137" s="450"/>
      <c r="H137" s="201" t="s">
        <v>21</v>
      </c>
      <c r="I137" s="202" t="s">
        <v>867</v>
      </c>
      <c r="J137" s="199" t="s">
        <v>2545</v>
      </c>
    </row>
    <row r="138" spans="2:10">
      <c r="B138" s="449" t="s">
        <v>24</v>
      </c>
      <c r="C138" s="449"/>
      <c r="D138" s="203"/>
      <c r="E138" s="204" t="s">
        <v>25</v>
      </c>
      <c r="F138" s="450" t="s">
        <v>26</v>
      </c>
      <c r="G138" s="450"/>
      <c r="H138" s="199" t="s">
        <v>27</v>
      </c>
      <c r="I138" s="202"/>
      <c r="J138" s="202"/>
    </row>
    <row r="139" spans="2:10">
      <c r="B139" s="449" t="s">
        <v>30</v>
      </c>
      <c r="C139" s="449"/>
      <c r="D139" s="199" t="s">
        <v>31</v>
      </c>
      <c r="E139" s="199" t="s">
        <v>32</v>
      </c>
      <c r="F139" s="450">
        <v>90</v>
      </c>
      <c r="G139" s="450"/>
      <c r="H139" s="201" t="s">
        <v>33</v>
      </c>
      <c r="I139" s="247"/>
      <c r="J139" s="202"/>
    </row>
    <row r="140" spans="2:10">
      <c r="B140" s="451" t="s">
        <v>35</v>
      </c>
      <c r="C140" s="451"/>
      <c r="D140" s="449" t="s">
        <v>2718</v>
      </c>
      <c r="E140" s="449"/>
      <c r="F140" s="449"/>
      <c r="G140" s="449"/>
      <c r="H140" s="449"/>
      <c r="I140" s="449"/>
      <c r="J140" s="449"/>
    </row>
    <row r="141" spans="2:10">
      <c r="B141" s="452" t="s">
        <v>2719</v>
      </c>
      <c r="C141" s="453"/>
      <c r="D141" s="453"/>
      <c r="E141" s="453"/>
      <c r="F141" s="453"/>
      <c r="G141" s="453"/>
      <c r="H141" s="453"/>
      <c r="I141" s="453"/>
      <c r="J141" s="454"/>
    </row>
    <row r="142" spans="2:10">
      <c r="B142" s="455"/>
      <c r="C142" s="456"/>
      <c r="D142" s="456"/>
      <c r="E142" s="456"/>
      <c r="F142" s="456"/>
      <c r="G142" s="456"/>
      <c r="H142" s="456"/>
      <c r="I142" s="456"/>
      <c r="J142" s="457"/>
    </row>
    <row r="143" spans="2:10">
      <c r="B143" s="458"/>
      <c r="C143" s="459"/>
      <c r="D143" s="459"/>
      <c r="E143" s="459"/>
      <c r="F143" s="459"/>
      <c r="G143" s="459"/>
      <c r="H143" s="459"/>
      <c r="I143" s="459"/>
      <c r="J143" s="460"/>
    </row>
    <row r="144" spans="2:10" ht="18">
      <c r="B144" s="461" t="s">
        <v>38</v>
      </c>
      <c r="C144" s="462"/>
      <c r="D144" s="462"/>
      <c r="E144" s="462"/>
      <c r="F144" s="462"/>
      <c r="G144" s="462"/>
      <c r="H144" s="462"/>
      <c r="I144" s="463"/>
      <c r="J144" s="205" t="s">
        <v>39</v>
      </c>
    </row>
    <row r="145" spans="2:10">
      <c r="B145" s="200">
        <v>1</v>
      </c>
      <c r="C145" s="464" t="s">
        <v>2720</v>
      </c>
      <c r="D145" s="465"/>
      <c r="E145" s="465"/>
      <c r="F145" s="465"/>
      <c r="G145" s="465"/>
      <c r="H145" s="465"/>
      <c r="I145" s="466"/>
      <c r="J145" s="200" t="s">
        <v>26</v>
      </c>
    </row>
    <row r="146" spans="2:10">
      <c r="B146" s="200">
        <v>2</v>
      </c>
      <c r="C146" s="464" t="s">
        <v>2721</v>
      </c>
      <c r="D146" s="465"/>
      <c r="E146" s="465"/>
      <c r="F146" s="465"/>
      <c r="G146" s="465"/>
      <c r="H146" s="465"/>
      <c r="I146" s="466"/>
      <c r="J146" s="200" t="s">
        <v>26</v>
      </c>
    </row>
    <row r="147" spans="2:10">
      <c r="B147" s="254">
        <v>3</v>
      </c>
      <c r="C147" s="464" t="s">
        <v>2722</v>
      </c>
      <c r="D147" s="465"/>
      <c r="E147" s="465"/>
      <c r="F147" s="465"/>
      <c r="G147" s="465"/>
      <c r="H147" s="465"/>
      <c r="I147" s="466"/>
      <c r="J147" s="200"/>
    </row>
    <row r="148" spans="2:10">
      <c r="B148" s="254">
        <v>4</v>
      </c>
      <c r="C148" s="464"/>
      <c r="D148" s="465"/>
      <c r="E148" s="465"/>
      <c r="F148" s="465"/>
      <c r="G148" s="465"/>
      <c r="H148" s="465"/>
      <c r="I148" s="466"/>
      <c r="J148" s="200"/>
    </row>
    <row r="149" spans="2:10" ht="18">
      <c r="B149" s="1115" t="s">
        <v>44</v>
      </c>
      <c r="C149" s="462"/>
      <c r="D149" s="462"/>
      <c r="E149" s="462"/>
      <c r="F149" s="462"/>
      <c r="G149" s="462"/>
      <c r="H149" s="462"/>
      <c r="I149" s="462"/>
      <c r="J149" s="463"/>
    </row>
    <row r="150" spans="2:10" ht="24" customHeight="1">
      <c r="B150" s="200" t="s">
        <v>45</v>
      </c>
      <c r="C150" s="1121" t="s">
        <v>2723</v>
      </c>
      <c r="D150" s="1122"/>
      <c r="E150" s="1122"/>
      <c r="F150" s="1122"/>
      <c r="G150" s="1122"/>
      <c r="H150" s="1122"/>
      <c r="I150" s="1122"/>
      <c r="J150" s="1123"/>
    </row>
    <row r="151" spans="2:10">
      <c r="B151" s="200" t="s">
        <v>45</v>
      </c>
      <c r="C151" s="1121" t="s">
        <v>2724</v>
      </c>
      <c r="D151" s="1122"/>
      <c r="E151" s="1122"/>
      <c r="F151" s="1122"/>
      <c r="G151" s="1122"/>
      <c r="H151" s="1122"/>
      <c r="I151" s="1122"/>
      <c r="J151" s="1123"/>
    </row>
    <row r="152" spans="2:10">
      <c r="B152" s="206" t="s">
        <v>45</v>
      </c>
      <c r="C152" s="1124" t="s">
        <v>2725</v>
      </c>
      <c r="D152" s="1125"/>
      <c r="E152" s="1125"/>
      <c r="F152" s="1125"/>
      <c r="G152" s="1125"/>
      <c r="H152" s="1125"/>
      <c r="I152" s="1125"/>
      <c r="J152" s="1125"/>
    </row>
    <row r="153" spans="2:10">
      <c r="B153" s="206" t="s">
        <v>45</v>
      </c>
      <c r="C153" s="1126" t="s">
        <v>2726</v>
      </c>
      <c r="D153" s="1093"/>
      <c r="E153" s="1093"/>
      <c r="F153" s="1093"/>
      <c r="G153" s="1093"/>
      <c r="H153" s="1093"/>
      <c r="I153" s="1093"/>
      <c r="J153" s="1094"/>
    </row>
    <row r="154" spans="2:10">
      <c r="B154" s="206" t="s">
        <v>45</v>
      </c>
      <c r="C154" s="1126" t="s">
        <v>2727</v>
      </c>
      <c r="D154" s="1093"/>
      <c r="E154" s="1093"/>
      <c r="F154" s="1093"/>
      <c r="G154" s="1093"/>
      <c r="H154" s="1093"/>
      <c r="I154" s="1093"/>
      <c r="J154" s="1094"/>
    </row>
    <row r="155" spans="2:10">
      <c r="B155" s="206" t="s">
        <v>45</v>
      </c>
      <c r="C155" s="973" t="s">
        <v>2728</v>
      </c>
      <c r="D155" s="974"/>
      <c r="E155" s="974"/>
      <c r="F155" s="974"/>
      <c r="G155" s="974"/>
      <c r="H155" s="974"/>
      <c r="I155" s="974"/>
      <c r="J155" s="982"/>
    </row>
    <row r="156" spans="2:10">
      <c r="B156" s="206" t="s">
        <v>45</v>
      </c>
      <c r="C156" s="464"/>
      <c r="D156" s="465"/>
      <c r="E156" s="465"/>
      <c r="F156" s="465"/>
      <c r="G156" s="465"/>
      <c r="H156" s="465"/>
      <c r="I156" s="465"/>
      <c r="J156" s="466"/>
    </row>
    <row r="157" spans="2:10">
      <c r="B157" s="200" t="s">
        <v>45</v>
      </c>
      <c r="C157" s="464"/>
      <c r="D157" s="465"/>
      <c r="E157" s="465"/>
      <c r="F157" s="465"/>
      <c r="G157" s="465"/>
      <c r="H157" s="465"/>
      <c r="I157" s="465"/>
      <c r="J157" s="466"/>
    </row>
    <row r="158" spans="2:10">
      <c r="B158" s="200" t="s">
        <v>7</v>
      </c>
      <c r="C158" s="973" t="s">
        <v>2728</v>
      </c>
      <c r="D158" s="974"/>
      <c r="E158" s="974"/>
      <c r="F158" s="974"/>
      <c r="G158" s="974"/>
      <c r="H158" s="974"/>
      <c r="I158" s="974"/>
      <c r="J158" s="982"/>
    </row>
    <row r="159" spans="2:10" ht="18">
      <c r="B159" s="205" t="s">
        <v>52</v>
      </c>
      <c r="C159" s="477" t="s">
        <v>53</v>
      </c>
      <c r="D159" s="477"/>
      <c r="E159" s="477"/>
      <c r="F159" s="477"/>
      <c r="G159" s="477"/>
      <c r="H159" s="205" t="s">
        <v>54</v>
      </c>
      <c r="I159" s="205" t="s">
        <v>55</v>
      </c>
      <c r="J159" s="205" t="s">
        <v>56</v>
      </c>
    </row>
    <row r="160" spans="2:10" ht="28.5" customHeight="1">
      <c r="B160" s="200">
        <v>1</v>
      </c>
      <c r="C160" s="1102" t="s">
        <v>2729</v>
      </c>
      <c r="D160" s="451"/>
      <c r="E160" s="451"/>
      <c r="F160" s="451"/>
      <c r="G160" s="451"/>
      <c r="H160" s="334"/>
      <c r="I160" s="207" t="s">
        <v>1692</v>
      </c>
      <c r="J160" s="200"/>
    </row>
    <row r="161" spans="2:10" ht="26.25" customHeight="1">
      <c r="B161" s="200">
        <v>2</v>
      </c>
      <c r="C161" s="1102" t="s">
        <v>2730</v>
      </c>
      <c r="D161" s="451"/>
      <c r="E161" s="451"/>
      <c r="F161" s="451"/>
      <c r="G161" s="451"/>
      <c r="H161" s="334"/>
      <c r="I161" s="207" t="s">
        <v>1692</v>
      </c>
      <c r="J161" s="200"/>
    </row>
    <row r="162" spans="2:10" ht="31.5" customHeight="1">
      <c r="B162" s="200">
        <v>3</v>
      </c>
      <c r="C162" s="1102" t="s">
        <v>2731</v>
      </c>
      <c r="D162" s="451"/>
      <c r="E162" s="451"/>
      <c r="F162" s="451"/>
      <c r="G162" s="451"/>
      <c r="H162" s="200"/>
      <c r="I162" s="207" t="s">
        <v>1692</v>
      </c>
      <c r="J162" s="200"/>
    </row>
    <row r="163" spans="2:10" ht="39" customHeight="1">
      <c r="B163" s="200">
        <v>4</v>
      </c>
      <c r="C163" s="1120" t="s">
        <v>2732</v>
      </c>
      <c r="D163" s="1062"/>
      <c r="E163" s="1062"/>
      <c r="F163" s="1062"/>
      <c r="G163" s="1062"/>
      <c r="H163" s="200"/>
      <c r="I163" s="207" t="s">
        <v>1692</v>
      </c>
      <c r="J163" s="200"/>
    </row>
    <row r="164" spans="2:10" ht="29.25" customHeight="1">
      <c r="B164" s="450" t="s">
        <v>63</v>
      </c>
      <c r="C164" s="450"/>
      <c r="D164" s="199"/>
      <c r="E164" s="198" t="s">
        <v>64</v>
      </c>
      <c r="F164" s="467"/>
      <c r="G164" s="469"/>
      <c r="H164" s="199"/>
      <c r="I164" s="199"/>
      <c r="J164" s="199"/>
    </row>
    <row r="165" spans="2:10" ht="45.75">
      <c r="B165" s="201" t="s">
        <v>66</v>
      </c>
      <c r="C165" s="450"/>
      <c r="D165" s="450"/>
      <c r="E165" s="201" t="s">
        <v>67</v>
      </c>
      <c r="F165" s="450"/>
      <c r="G165" s="450"/>
      <c r="H165" s="201" t="s">
        <v>68</v>
      </c>
      <c r="I165" s="450"/>
      <c r="J165" s="450"/>
    </row>
  </sheetData>
  <autoFilter ref="B2:K25" xr:uid="{7E3221BD-3E6C-4BA8-BFAD-98351ACD7F09}">
    <filterColumn colId="1" showButton="0"/>
  </autoFilter>
  <mergeCells count="164">
    <mergeCell ref="C49:J49"/>
    <mergeCell ref="C50:J50"/>
    <mergeCell ref="C51:J51"/>
    <mergeCell ref="C52:J52"/>
    <mergeCell ref="C61:D61"/>
    <mergeCell ref="F61:G61"/>
    <mergeCell ref="I61:J61"/>
    <mergeCell ref="C53:J53"/>
    <mergeCell ref="C54:J54"/>
    <mergeCell ref="C55:J55"/>
    <mergeCell ref="C56:G56"/>
    <mergeCell ref="C57:G57"/>
    <mergeCell ref="C58:G58"/>
    <mergeCell ref="C59:G59"/>
    <mergeCell ref="B60:C60"/>
    <mergeCell ref="F60:G60"/>
    <mergeCell ref="B38:C38"/>
    <mergeCell ref="D38:J38"/>
    <mergeCell ref="B39:J42"/>
    <mergeCell ref="B43:I43"/>
    <mergeCell ref="C44:I44"/>
    <mergeCell ref="C45:I45"/>
    <mergeCell ref="C46:I46"/>
    <mergeCell ref="C47:I47"/>
    <mergeCell ref="B48:J48"/>
    <mergeCell ref="B33:C34"/>
    <mergeCell ref="D33:I33"/>
    <mergeCell ref="D34:I34"/>
    <mergeCell ref="B35:C35"/>
    <mergeCell ref="F35:G35"/>
    <mergeCell ref="B36:C36"/>
    <mergeCell ref="F36:G36"/>
    <mergeCell ref="B37:C37"/>
    <mergeCell ref="F37:G37"/>
    <mergeCell ref="I2:I3"/>
    <mergeCell ref="J2:J3"/>
    <mergeCell ref="K2:K3"/>
    <mergeCell ref="E25:K32"/>
    <mergeCell ref="C27:D27"/>
    <mergeCell ref="B2:B3"/>
    <mergeCell ref="C2:D2"/>
    <mergeCell ref="E2:E3"/>
    <mergeCell ref="F2:F3"/>
    <mergeCell ref="G2:G3"/>
    <mergeCell ref="H2:H3"/>
    <mergeCell ref="B73:C73"/>
    <mergeCell ref="B72:C72"/>
    <mergeCell ref="F72:G72"/>
    <mergeCell ref="B68:C69"/>
    <mergeCell ref="D68:I68"/>
    <mergeCell ref="D69:I69"/>
    <mergeCell ref="B70:C70"/>
    <mergeCell ref="F70:G70"/>
    <mergeCell ref="B71:C71"/>
    <mergeCell ref="F71:G71"/>
    <mergeCell ref="D73:J73"/>
    <mergeCell ref="B74:J76"/>
    <mergeCell ref="C86:J86"/>
    <mergeCell ref="C87:J87"/>
    <mergeCell ref="C88:J88"/>
    <mergeCell ref="C89:J89"/>
    <mergeCell ref="C80:I80"/>
    <mergeCell ref="C81:I81"/>
    <mergeCell ref="B77:I77"/>
    <mergeCell ref="C78:I78"/>
    <mergeCell ref="C79:I79"/>
    <mergeCell ref="B82:J82"/>
    <mergeCell ref="C83:J83"/>
    <mergeCell ref="C85:J85"/>
    <mergeCell ref="C84:J84"/>
    <mergeCell ref="B97:C97"/>
    <mergeCell ref="F97:G97"/>
    <mergeCell ref="C98:D98"/>
    <mergeCell ref="F98:G98"/>
    <mergeCell ref="I98:J98"/>
    <mergeCell ref="C90:J90"/>
    <mergeCell ref="C93:G93"/>
    <mergeCell ref="C94:G94"/>
    <mergeCell ref="C91:G91"/>
    <mergeCell ref="C92:G92"/>
    <mergeCell ref="B95:C95"/>
    <mergeCell ref="F95:G95"/>
    <mergeCell ref="C96:D96"/>
    <mergeCell ref="F96:G96"/>
    <mergeCell ref="I96:J96"/>
    <mergeCell ref="B104:C104"/>
    <mergeCell ref="F104:G104"/>
    <mergeCell ref="B105:C105"/>
    <mergeCell ref="D105:J105"/>
    <mergeCell ref="B106:J108"/>
    <mergeCell ref="B109:I109"/>
    <mergeCell ref="C110:I110"/>
    <mergeCell ref="C111:I111"/>
    <mergeCell ref="C112:I112"/>
    <mergeCell ref="C122:J122"/>
    <mergeCell ref="C123:J123"/>
    <mergeCell ref="C113:I113"/>
    <mergeCell ref="C118:J118"/>
    <mergeCell ref="B114:J114"/>
    <mergeCell ref="C115:J115"/>
    <mergeCell ref="C116:J116"/>
    <mergeCell ref="C117:J117"/>
    <mergeCell ref="C124:G124"/>
    <mergeCell ref="B100:C101"/>
    <mergeCell ref="D100:I100"/>
    <mergeCell ref="D101:I101"/>
    <mergeCell ref="B102:C102"/>
    <mergeCell ref="F102:G102"/>
    <mergeCell ref="B103:C103"/>
    <mergeCell ref="F103:G103"/>
    <mergeCell ref="C132:D132"/>
    <mergeCell ref="F132:G132"/>
    <mergeCell ref="I132:J132"/>
    <mergeCell ref="C126:G126"/>
    <mergeCell ref="C127:G127"/>
    <mergeCell ref="C128:G128"/>
    <mergeCell ref="B131:C131"/>
    <mergeCell ref="F131:G131"/>
    <mergeCell ref="C125:G125"/>
    <mergeCell ref="B129:C129"/>
    <mergeCell ref="F129:G129"/>
    <mergeCell ref="C130:D130"/>
    <mergeCell ref="F130:G130"/>
    <mergeCell ref="I130:J130"/>
    <mergeCell ref="C119:J119"/>
    <mergeCell ref="C120:J120"/>
    <mergeCell ref="C121:J121"/>
    <mergeCell ref="B135:C136"/>
    <mergeCell ref="D135:I135"/>
    <mergeCell ref="D136:I136"/>
    <mergeCell ref="B137:C137"/>
    <mergeCell ref="F137:G137"/>
    <mergeCell ref="B138:C138"/>
    <mergeCell ref="F138:G138"/>
    <mergeCell ref="B139:C139"/>
    <mergeCell ref="F139:G139"/>
    <mergeCell ref="B140:C140"/>
    <mergeCell ref="D140:J140"/>
    <mergeCell ref="B141:J143"/>
    <mergeCell ref="B144:I144"/>
    <mergeCell ref="C145:I145"/>
    <mergeCell ref="C146:I146"/>
    <mergeCell ref="C147:I147"/>
    <mergeCell ref="C148:I148"/>
    <mergeCell ref="B149:J149"/>
    <mergeCell ref="C150:J150"/>
    <mergeCell ref="C151:J151"/>
    <mergeCell ref="C152:J152"/>
    <mergeCell ref="C153:J153"/>
    <mergeCell ref="C154:J154"/>
    <mergeCell ref="C155:J155"/>
    <mergeCell ref="C156:J156"/>
    <mergeCell ref="C157:J157"/>
    <mergeCell ref="C158:J158"/>
    <mergeCell ref="I165:J165"/>
    <mergeCell ref="C159:G159"/>
    <mergeCell ref="C160:G160"/>
    <mergeCell ref="C161:G161"/>
    <mergeCell ref="C162:G162"/>
    <mergeCell ref="C163:G163"/>
    <mergeCell ref="B164:C164"/>
    <mergeCell ref="F164:G164"/>
    <mergeCell ref="C165:D165"/>
    <mergeCell ref="F165:G165"/>
  </mergeCells>
  <phoneticPr fontId="0" type="noConversion"/>
  <dataValidations count="1">
    <dataValidation type="list" allowBlank="1" showInputMessage="1" showErrorMessage="1" sqref="H18" xr:uid="{A5471DC3-6D2C-477A-8B46-4930805AC13A}">
      <formula1>INDIRECT($K18)</formula1>
    </dataValidation>
  </dataValidations>
  <printOptions horizontalCentered="1" verticalCentered="1"/>
  <pageMargins left="0.7" right="0.7" top="0.75" bottom="0.75" header="0.3" footer="0.3"/>
  <pageSetup paperSize="9"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B1147-FE3C-4ACC-9B85-AED6040B931F}">
  <sheetPr>
    <pageSetUpPr fitToPage="1"/>
  </sheetPr>
  <dimension ref="B2:Q92"/>
  <sheetViews>
    <sheetView topLeftCell="A19" workbookViewId="0">
      <selection activeCell="D69" sqref="D69:J69"/>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20.28515625" customWidth="1"/>
    <col min="10" max="10" width="46.42578125" customWidth="1"/>
    <col min="11" max="11" width="60.5703125" customWidth="1"/>
    <col min="13" max="13" width="11.28515625" customWidth="1"/>
  </cols>
  <sheetData>
    <row r="2" spans="2:17" ht="38.25" customHeight="1">
      <c r="B2" s="1133" t="s">
        <v>0</v>
      </c>
      <c r="C2" s="1133" t="s">
        <v>1</v>
      </c>
      <c r="D2" s="1133"/>
      <c r="E2" s="1133" t="s">
        <v>2</v>
      </c>
      <c r="F2" s="1133" t="s">
        <v>3</v>
      </c>
      <c r="G2" s="1133" t="s">
        <v>4</v>
      </c>
      <c r="H2" s="1133" t="s">
        <v>5</v>
      </c>
      <c r="I2" s="1133" t="s">
        <v>6</v>
      </c>
      <c r="J2" s="1133" t="s">
        <v>7</v>
      </c>
      <c r="K2" s="1133" t="s">
        <v>8</v>
      </c>
    </row>
    <row r="3" spans="2:17">
      <c r="B3" s="1134"/>
      <c r="C3" s="276" t="s">
        <v>9</v>
      </c>
      <c r="D3" s="276" t="s">
        <v>10</v>
      </c>
      <c r="E3" s="1134"/>
      <c r="F3" s="1134"/>
      <c r="G3" s="1134"/>
      <c r="H3" s="1134"/>
      <c r="I3" s="1134"/>
      <c r="J3" s="1134"/>
      <c r="K3" s="1134"/>
    </row>
    <row r="4" spans="2:17">
      <c r="B4" s="37">
        <v>1</v>
      </c>
      <c r="C4" s="385">
        <v>88</v>
      </c>
      <c r="D4" s="385"/>
      <c r="E4" s="386" t="s">
        <v>2733</v>
      </c>
      <c r="F4" s="68" t="s">
        <v>131</v>
      </c>
      <c r="G4" s="246" t="s">
        <v>174</v>
      </c>
      <c r="H4" s="393" t="s">
        <v>2734</v>
      </c>
      <c r="I4" s="374"/>
      <c r="J4" s="88"/>
      <c r="K4" s="392"/>
    </row>
    <row r="5" spans="2:17">
      <c r="B5" s="37">
        <v>2</v>
      </c>
      <c r="C5" s="385"/>
      <c r="D5" s="385">
        <v>34</v>
      </c>
      <c r="E5" s="386" t="s">
        <v>2735</v>
      </c>
      <c r="F5" s="68" t="s">
        <v>131</v>
      </c>
      <c r="G5" s="375" t="s">
        <v>174</v>
      </c>
      <c r="H5" s="393" t="s">
        <v>2736</v>
      </c>
      <c r="I5" s="376"/>
      <c r="J5" s="381"/>
      <c r="K5" s="381"/>
      <c r="L5" s="381"/>
      <c r="M5" s="381"/>
      <c r="N5" s="381"/>
      <c r="O5" s="381"/>
      <c r="P5" s="381"/>
      <c r="Q5" s="381"/>
    </row>
    <row r="6" spans="2:17">
      <c r="B6" s="37">
        <v>3</v>
      </c>
      <c r="C6" s="385">
        <v>70</v>
      </c>
      <c r="D6" s="387"/>
      <c r="E6" s="386" t="s">
        <v>2737</v>
      </c>
      <c r="F6" s="68" t="s">
        <v>124</v>
      </c>
      <c r="G6" s="246" t="s">
        <v>152</v>
      </c>
      <c r="H6" s="393" t="s">
        <v>658</v>
      </c>
      <c r="I6" s="376"/>
      <c r="J6" s="381"/>
      <c r="K6" s="381"/>
      <c r="L6" s="381"/>
      <c r="M6" s="381"/>
      <c r="N6" s="381"/>
      <c r="O6" s="381"/>
      <c r="P6" s="381"/>
      <c r="Q6" s="381"/>
    </row>
    <row r="7" spans="2:17">
      <c r="B7" s="37">
        <v>4</v>
      </c>
      <c r="C7" s="68">
        <v>70</v>
      </c>
      <c r="D7" s="68"/>
      <c r="E7" s="388" t="s">
        <v>2738</v>
      </c>
      <c r="F7" s="68" t="s">
        <v>124</v>
      </c>
      <c r="G7" s="246" t="s">
        <v>162</v>
      </c>
      <c r="H7" s="393" t="s">
        <v>658</v>
      </c>
      <c r="I7" s="374"/>
      <c r="J7" s="377"/>
      <c r="K7" s="364"/>
    </row>
    <row r="8" spans="2:17">
      <c r="B8" s="37">
        <v>5</v>
      </c>
      <c r="C8" s="166"/>
      <c r="D8" s="394">
        <v>24</v>
      </c>
      <c r="E8" s="389" t="s">
        <v>2738</v>
      </c>
      <c r="F8" s="68" t="s">
        <v>131</v>
      </c>
      <c r="G8" s="246" t="s">
        <v>174</v>
      </c>
      <c r="H8" s="393" t="s">
        <v>2739</v>
      </c>
      <c r="I8" s="376"/>
      <c r="J8" s="377"/>
      <c r="K8" s="365"/>
    </row>
    <row r="9" spans="2:17" s="58" customFormat="1">
      <c r="B9" s="37">
        <v>6</v>
      </c>
      <c r="C9" s="166"/>
      <c r="D9" s="166"/>
      <c r="E9" s="390"/>
      <c r="F9" s="68"/>
      <c r="G9" s="375"/>
      <c r="H9" s="337"/>
      <c r="I9" s="374"/>
      <c r="J9" s="378"/>
      <c r="K9" s="363"/>
      <c r="L9"/>
      <c r="M9"/>
      <c r="N9"/>
      <c r="O9"/>
      <c r="P9"/>
      <c r="Q9"/>
    </row>
    <row r="10" spans="2:17" s="58" customFormat="1">
      <c r="B10" s="37">
        <v>7</v>
      </c>
      <c r="C10" s="68"/>
      <c r="D10" s="213"/>
      <c r="E10" s="389"/>
      <c r="F10" s="68"/>
      <c r="G10" s="375"/>
      <c r="H10" s="337"/>
      <c r="I10" s="374"/>
      <c r="J10" s="378"/>
      <c r="K10" s="379"/>
      <c r="L10"/>
      <c r="M10"/>
      <c r="N10"/>
      <c r="O10"/>
      <c r="P10"/>
      <c r="Q10"/>
    </row>
    <row r="11" spans="2:17" s="58" customFormat="1">
      <c r="B11" s="37">
        <v>8</v>
      </c>
      <c r="C11" s="68"/>
      <c r="D11" s="68">
        <v>80</v>
      </c>
      <c r="E11" s="389" t="s">
        <v>2740</v>
      </c>
      <c r="F11" s="68" t="s">
        <v>124</v>
      </c>
      <c r="G11" s="375" t="s">
        <v>174</v>
      </c>
      <c r="H11" s="393" t="s">
        <v>658</v>
      </c>
      <c r="I11" s="374"/>
      <c r="J11" s="378"/>
      <c r="K11" s="379"/>
      <c r="L11"/>
      <c r="M11"/>
      <c r="N11"/>
      <c r="O11"/>
      <c r="P11"/>
      <c r="Q11"/>
    </row>
    <row r="12" spans="2:17" s="66" customFormat="1">
      <c r="B12" s="37"/>
      <c r="C12" s="68"/>
      <c r="D12" s="391"/>
      <c r="E12" s="372"/>
      <c r="F12" s="68"/>
      <c r="G12" s="246"/>
      <c r="H12" s="337"/>
      <c r="I12" s="376"/>
      <c r="J12" s="377"/>
      <c r="K12" s="377"/>
      <c r="L12" s="377"/>
      <c r="M12" s="377"/>
      <c r="N12" s="377"/>
      <c r="O12" s="377"/>
      <c r="P12" s="377"/>
      <c r="Q12" s="377"/>
    </row>
    <row r="13" spans="2:17" s="3" customFormat="1">
      <c r="B13" s="37"/>
      <c r="C13" s="391"/>
      <c r="D13" s="68"/>
      <c r="E13" s="372"/>
      <c r="F13" s="68"/>
      <c r="G13" s="342"/>
      <c r="H13" s="337"/>
      <c r="I13" s="376"/>
      <c r="J13" s="377"/>
      <c r="K13" s="377"/>
      <c r="L13" s="377"/>
      <c r="M13" s="377"/>
      <c r="N13" s="377"/>
      <c r="O13" s="377"/>
      <c r="P13" s="377"/>
      <c r="Q13" s="377"/>
    </row>
    <row r="14" spans="2:17" s="3" customFormat="1">
      <c r="B14" s="37"/>
      <c r="C14" s="391"/>
      <c r="D14" s="68"/>
      <c r="E14" s="372"/>
      <c r="F14" s="68"/>
      <c r="G14" s="246"/>
      <c r="H14" s="337"/>
      <c r="I14" s="376"/>
      <c r="J14" s="377"/>
      <c r="K14" s="380"/>
    </row>
    <row r="15" spans="2:17" s="3" customFormat="1">
      <c r="B15" s="326"/>
      <c r="C15" s="342"/>
      <c r="D15" s="195"/>
      <c r="E15" s="340"/>
      <c r="F15" s="166"/>
      <c r="G15" s="68"/>
      <c r="H15" s="344"/>
      <c r="I15" s="68"/>
      <c r="J15" s="166"/>
      <c r="K15" s="345"/>
    </row>
    <row r="16" spans="2:17" s="3" customFormat="1">
      <c r="B16" s="326"/>
      <c r="C16" s="342"/>
      <c r="D16" s="195"/>
      <c r="E16" s="340"/>
      <c r="F16" s="68"/>
      <c r="G16" s="68"/>
      <c r="H16" s="346"/>
      <c r="I16" s="68"/>
      <c r="J16" s="68"/>
      <c r="K16" s="345"/>
    </row>
    <row r="17" spans="2:11" s="3" customFormat="1">
      <c r="B17" s="326"/>
      <c r="C17" s="342"/>
      <c r="D17" s="195"/>
      <c r="E17" s="340"/>
      <c r="F17" s="68"/>
      <c r="G17" s="68"/>
      <c r="H17" s="346"/>
      <c r="I17" s="68"/>
      <c r="J17" s="68"/>
      <c r="K17" s="345"/>
    </row>
    <row r="18" spans="2:11" s="3" customFormat="1">
      <c r="B18" s="326"/>
      <c r="C18" s="342"/>
      <c r="D18" s="195"/>
      <c r="E18" s="340"/>
      <c r="F18" s="68"/>
      <c r="G18" s="68"/>
      <c r="H18" s="346"/>
      <c r="I18" s="68"/>
      <c r="J18" s="68"/>
      <c r="K18" s="345"/>
    </row>
    <row r="19" spans="2:11" s="3" customFormat="1">
      <c r="B19" s="326"/>
      <c r="C19" s="342"/>
      <c r="D19" s="195"/>
      <c r="E19" s="340"/>
      <c r="F19" s="68"/>
      <c r="G19" s="68"/>
      <c r="H19" s="346"/>
      <c r="I19" s="68"/>
      <c r="J19" s="68"/>
      <c r="K19" s="345"/>
    </row>
    <row r="20" spans="2:11" s="3" customFormat="1">
      <c r="B20" s="311"/>
      <c r="C20" s="342"/>
      <c r="D20" s="68"/>
      <c r="E20" s="275"/>
      <c r="F20" s="68"/>
      <c r="G20" s="68"/>
      <c r="H20" s="344"/>
      <c r="I20" s="68"/>
      <c r="J20" s="347"/>
      <c r="K20" s="345"/>
    </row>
    <row r="21" spans="2:11">
      <c r="B21" s="311"/>
      <c r="C21" s="342"/>
      <c r="D21" s="68"/>
      <c r="E21" s="275"/>
      <c r="F21" s="68"/>
      <c r="G21" s="68"/>
      <c r="H21" s="344"/>
      <c r="I21" s="68"/>
      <c r="J21" s="68"/>
      <c r="K21" s="345"/>
    </row>
    <row r="22" spans="2:11">
      <c r="B22" s="311"/>
      <c r="C22" s="348"/>
      <c r="D22" s="68"/>
      <c r="E22" s="275"/>
      <c r="F22" s="175"/>
      <c r="G22" s="175"/>
      <c r="H22" s="175"/>
      <c r="I22" s="175"/>
      <c r="J22" s="175"/>
      <c r="K22" s="349"/>
    </row>
    <row r="23" spans="2:11">
      <c r="B23" s="311"/>
      <c r="C23" s="348"/>
      <c r="D23" s="68"/>
      <c r="E23" s="275"/>
      <c r="F23" s="175"/>
      <c r="G23" s="175"/>
      <c r="H23" s="175"/>
      <c r="I23" s="175"/>
      <c r="J23" s="175"/>
      <c r="K23" s="349"/>
    </row>
    <row r="24" spans="2:11">
      <c r="B24" s="401"/>
      <c r="C24" s="175"/>
      <c r="D24" s="175"/>
      <c r="E24" s="350"/>
      <c r="F24" s="350"/>
      <c r="G24" s="350"/>
      <c r="H24" s="350"/>
      <c r="I24" s="350"/>
      <c r="J24" s="350"/>
      <c r="K24" s="351"/>
    </row>
    <row r="25" spans="2:11">
      <c r="B25" s="395" t="s">
        <v>11</v>
      </c>
      <c r="C25" s="396">
        <f>SUM(C4:C24)</f>
        <v>228</v>
      </c>
      <c r="D25" s="397">
        <f>SUM(D4:D24)</f>
        <v>138</v>
      </c>
      <c r="E25" s="435"/>
      <c r="F25" s="435"/>
      <c r="G25" s="435"/>
      <c r="H25" s="435"/>
      <c r="I25" s="435"/>
      <c r="J25" s="435"/>
      <c r="K25" s="435"/>
    </row>
    <row r="26" spans="2:11">
      <c r="B26" s="398"/>
      <c r="C26" s="10"/>
      <c r="D26" s="399"/>
      <c r="E26" s="435"/>
      <c r="F26" s="435"/>
      <c r="G26" s="435"/>
      <c r="H26" s="435"/>
      <c r="I26" s="435"/>
      <c r="J26" s="435"/>
      <c r="K26" s="435"/>
    </row>
    <row r="27" spans="2:11">
      <c r="B27" s="400" t="s">
        <v>12</v>
      </c>
      <c r="C27" s="1136">
        <f>SUM(C25,D25)</f>
        <v>366</v>
      </c>
      <c r="D27" s="1137"/>
      <c r="E27" s="435"/>
      <c r="F27" s="435"/>
      <c r="G27" s="435"/>
      <c r="H27" s="435"/>
      <c r="I27" s="435"/>
      <c r="J27" s="435"/>
      <c r="K27" s="435"/>
    </row>
    <row r="28" spans="2:11">
      <c r="B28" s="247"/>
      <c r="C28" s="253"/>
      <c r="D28" s="253"/>
      <c r="E28" s="435"/>
      <c r="F28" s="435"/>
      <c r="G28" s="435"/>
      <c r="H28" s="435"/>
      <c r="I28" s="435"/>
      <c r="J28" s="435"/>
      <c r="K28" s="435"/>
    </row>
    <row r="29" spans="2:11">
      <c r="B29" s="247"/>
      <c r="C29" s="253"/>
      <c r="D29" s="253"/>
      <c r="E29" s="435"/>
      <c r="F29" s="435"/>
      <c r="G29" s="435"/>
      <c r="H29" s="435"/>
      <c r="I29" s="435"/>
      <c r="J29" s="435"/>
      <c r="K29" s="435"/>
    </row>
    <row r="30" spans="2:11">
      <c r="B30" s="247"/>
      <c r="C30" s="253"/>
      <c r="D30" s="253"/>
      <c r="E30" s="435"/>
      <c r="F30" s="435"/>
      <c r="G30" s="435"/>
      <c r="H30" s="435"/>
      <c r="I30" s="435"/>
      <c r="J30" s="435"/>
      <c r="K30" s="435"/>
    </row>
    <row r="31" spans="2:11">
      <c r="E31" s="435"/>
      <c r="F31" s="435"/>
      <c r="G31" s="435"/>
      <c r="H31" s="435"/>
      <c r="I31" s="435"/>
      <c r="J31" s="435"/>
      <c r="K31" s="435"/>
    </row>
    <row r="32" spans="2:11">
      <c r="E32" s="435"/>
      <c r="F32" s="435"/>
      <c r="G32" s="435"/>
      <c r="H32" s="435"/>
      <c r="I32" s="435"/>
      <c r="J32" s="437"/>
      <c r="K32" s="437"/>
    </row>
    <row r="33" spans="2:11" ht="26.25">
      <c r="B33" s="1140" t="s">
        <v>13</v>
      </c>
      <c r="C33" s="1141"/>
      <c r="D33" s="1144" t="s">
        <v>14</v>
      </c>
      <c r="E33" s="1144"/>
      <c r="F33" s="1144"/>
      <c r="G33" s="1144"/>
      <c r="H33" s="1144"/>
      <c r="I33" s="1145"/>
      <c r="J33" s="402" t="s">
        <v>15</v>
      </c>
      <c r="K33" s="152"/>
    </row>
    <row r="34" spans="2:11" ht="20.25">
      <c r="B34" s="1142"/>
      <c r="C34" s="1143"/>
      <c r="D34" s="1146" t="s">
        <v>16</v>
      </c>
      <c r="E34" s="1146"/>
      <c r="F34" s="1146"/>
      <c r="G34" s="1146"/>
      <c r="H34" s="1146"/>
      <c r="I34" s="1147"/>
      <c r="J34" s="402" t="s">
        <v>17</v>
      </c>
    </row>
    <row r="35" spans="2:11">
      <c r="B35" s="1138" t="s">
        <v>18</v>
      </c>
      <c r="C35" s="1138"/>
      <c r="D35" s="304">
        <v>46072</v>
      </c>
      <c r="E35" s="403" t="s">
        <v>1460</v>
      </c>
      <c r="F35" s="1139" t="s">
        <v>124</v>
      </c>
      <c r="G35" s="1139"/>
      <c r="H35" s="404" t="s">
        <v>21</v>
      </c>
      <c r="I35" s="405" t="s">
        <v>867</v>
      </c>
      <c r="J35" s="199" t="s">
        <v>2603</v>
      </c>
    </row>
    <row r="36" spans="2:11">
      <c r="B36" s="449" t="s">
        <v>24</v>
      </c>
      <c r="C36" s="449"/>
      <c r="D36" s="203">
        <v>0.18402777777777779</v>
      </c>
      <c r="E36" s="204" t="s">
        <v>25</v>
      </c>
      <c r="F36" s="450" t="s">
        <v>26</v>
      </c>
      <c r="G36" s="450"/>
      <c r="H36" s="199" t="s">
        <v>27</v>
      </c>
      <c r="J36" s="202"/>
    </row>
    <row r="37" spans="2:11">
      <c r="B37" s="449" t="s">
        <v>30</v>
      </c>
      <c r="C37" s="449"/>
      <c r="D37" s="199" t="s">
        <v>31</v>
      </c>
      <c r="E37" s="199" t="s">
        <v>32</v>
      </c>
      <c r="F37" s="450">
        <v>74</v>
      </c>
      <c r="G37" s="450"/>
      <c r="H37" s="201" t="s">
        <v>33</v>
      </c>
      <c r="I37" s="202" t="s">
        <v>2741</v>
      </c>
      <c r="J37" s="202"/>
    </row>
    <row r="38" spans="2:11">
      <c r="B38" s="451" t="s">
        <v>35</v>
      </c>
      <c r="C38" s="451"/>
      <c r="D38" s="449" t="s">
        <v>2742</v>
      </c>
      <c r="E38" s="449"/>
      <c r="F38" s="449"/>
      <c r="G38" s="449"/>
      <c r="H38" s="449"/>
      <c r="I38" s="449"/>
      <c r="J38" s="449"/>
    </row>
    <row r="39" spans="2:11">
      <c r="B39" s="452" t="s">
        <v>2743</v>
      </c>
      <c r="C39" s="453"/>
      <c r="D39" s="453"/>
      <c r="E39" s="453"/>
      <c r="F39" s="453"/>
      <c r="G39" s="453"/>
      <c r="H39" s="453"/>
      <c r="I39" s="453"/>
      <c r="J39" s="454"/>
    </row>
    <row r="40" spans="2:11">
      <c r="B40" s="455"/>
      <c r="C40" s="456"/>
      <c r="D40" s="456"/>
      <c r="E40" s="456"/>
      <c r="F40" s="456"/>
      <c r="G40" s="456"/>
      <c r="H40" s="456"/>
      <c r="I40" s="456"/>
      <c r="J40" s="457"/>
    </row>
    <row r="41" spans="2:11">
      <c r="B41" s="455"/>
      <c r="C41" s="456"/>
      <c r="D41" s="456"/>
      <c r="E41" s="456"/>
      <c r="F41" s="456"/>
      <c r="G41" s="456"/>
      <c r="H41" s="456"/>
      <c r="I41" s="456"/>
      <c r="J41" s="457"/>
    </row>
    <row r="42" spans="2:11">
      <c r="B42" s="458"/>
      <c r="C42" s="459"/>
      <c r="D42" s="459"/>
      <c r="E42" s="459"/>
      <c r="F42" s="459"/>
      <c r="G42" s="459"/>
      <c r="H42" s="459"/>
      <c r="I42" s="459"/>
      <c r="J42" s="460"/>
    </row>
    <row r="43" spans="2:11" ht="18">
      <c r="B43" s="461" t="s">
        <v>38</v>
      </c>
      <c r="C43" s="462"/>
      <c r="D43" s="462"/>
      <c r="E43" s="462"/>
      <c r="F43" s="462"/>
      <c r="G43" s="462"/>
      <c r="H43" s="462"/>
      <c r="I43" s="463"/>
      <c r="J43" s="205" t="s">
        <v>39</v>
      </c>
    </row>
    <row r="44" spans="2:11">
      <c r="B44" s="200">
        <v>1</v>
      </c>
      <c r="C44" s="464" t="s">
        <v>2744</v>
      </c>
      <c r="D44" s="465"/>
      <c r="E44" s="465"/>
      <c r="F44" s="465"/>
      <c r="G44" s="465"/>
      <c r="H44" s="465"/>
      <c r="I44" s="466"/>
      <c r="J44" s="200" t="s">
        <v>26</v>
      </c>
    </row>
    <row r="45" spans="2:11">
      <c r="B45" s="200">
        <v>2</v>
      </c>
      <c r="C45" s="464" t="s">
        <v>2745</v>
      </c>
      <c r="D45" s="465"/>
      <c r="E45" s="465"/>
      <c r="F45" s="465"/>
      <c r="G45" s="465"/>
      <c r="H45" s="465"/>
      <c r="I45" s="466"/>
      <c r="J45" s="200" t="s">
        <v>26</v>
      </c>
    </row>
    <row r="46" spans="2:11">
      <c r="B46" s="254">
        <v>3</v>
      </c>
      <c r="C46" s="464" t="s">
        <v>2746</v>
      </c>
      <c r="D46" s="465"/>
      <c r="E46" s="465"/>
      <c r="F46" s="465"/>
      <c r="G46" s="465"/>
      <c r="H46" s="465"/>
      <c r="I46" s="466"/>
      <c r="J46" s="200" t="s">
        <v>26</v>
      </c>
    </row>
    <row r="47" spans="2:11">
      <c r="B47" s="254">
        <v>4</v>
      </c>
      <c r="C47" s="464"/>
      <c r="D47" s="465"/>
      <c r="E47" s="465"/>
      <c r="F47" s="465"/>
      <c r="G47" s="465"/>
      <c r="H47" s="465"/>
      <c r="I47" s="466"/>
      <c r="J47" s="200"/>
    </row>
    <row r="48" spans="2:11" ht="18">
      <c r="B48" s="1115" t="s">
        <v>44</v>
      </c>
      <c r="C48" s="462"/>
      <c r="D48" s="462"/>
      <c r="E48" s="462"/>
      <c r="F48" s="462"/>
      <c r="G48" s="462"/>
      <c r="H48" s="462"/>
      <c r="I48" s="462"/>
      <c r="J48" s="463"/>
    </row>
    <row r="49" spans="2:10">
      <c r="B49" s="200" t="s">
        <v>45</v>
      </c>
      <c r="C49" s="1059" t="s">
        <v>2747</v>
      </c>
      <c r="D49" s="473"/>
      <c r="E49" s="473"/>
      <c r="F49" s="473"/>
      <c r="G49" s="473"/>
      <c r="H49" s="473"/>
      <c r="I49" s="473"/>
      <c r="J49" s="473"/>
    </row>
    <row r="50" spans="2:10">
      <c r="B50" s="206" t="s">
        <v>45</v>
      </c>
      <c r="C50" s="1059" t="s">
        <v>2748</v>
      </c>
      <c r="D50" s="473"/>
      <c r="E50" s="473"/>
      <c r="F50" s="473"/>
      <c r="G50" s="473"/>
      <c r="H50" s="473"/>
      <c r="I50" s="473"/>
      <c r="J50" s="473"/>
    </row>
    <row r="51" spans="2:10">
      <c r="B51" s="206" t="s">
        <v>45</v>
      </c>
      <c r="C51" s="1101" t="s">
        <v>2749</v>
      </c>
      <c r="D51" s="475"/>
      <c r="E51" s="475"/>
      <c r="F51" s="475"/>
      <c r="G51" s="475"/>
      <c r="H51" s="475"/>
      <c r="I51" s="475"/>
      <c r="J51" s="476"/>
    </row>
    <row r="52" spans="2:10">
      <c r="B52" s="206" t="s">
        <v>45</v>
      </c>
      <c r="C52" s="1101" t="s">
        <v>2750</v>
      </c>
      <c r="D52" s="475"/>
      <c r="E52" s="475"/>
      <c r="F52" s="475"/>
      <c r="G52" s="475"/>
      <c r="H52" s="475"/>
      <c r="I52" s="475"/>
      <c r="J52" s="476"/>
    </row>
    <row r="53" spans="2:10">
      <c r="B53" s="206" t="s">
        <v>45</v>
      </c>
      <c r="C53" s="464" t="s">
        <v>2751</v>
      </c>
      <c r="D53" s="465"/>
      <c r="E53" s="465"/>
      <c r="F53" s="465"/>
      <c r="G53" s="465"/>
      <c r="H53" s="465"/>
      <c r="I53" s="465"/>
      <c r="J53" s="466"/>
    </row>
    <row r="54" spans="2:10">
      <c r="B54" s="200" t="s">
        <v>45</v>
      </c>
      <c r="C54" s="464"/>
      <c r="D54" s="465"/>
      <c r="E54" s="465"/>
      <c r="F54" s="465"/>
      <c r="G54" s="465"/>
      <c r="H54" s="465"/>
      <c r="I54" s="465"/>
      <c r="J54" s="466"/>
    </row>
    <row r="55" spans="2:10">
      <c r="B55" s="200" t="s">
        <v>7</v>
      </c>
      <c r="C55" s="1135" t="s">
        <v>2752</v>
      </c>
      <c r="D55" s="475"/>
      <c r="E55" s="475"/>
      <c r="F55" s="475"/>
      <c r="G55" s="475"/>
      <c r="H55" s="475"/>
      <c r="I55" s="475"/>
      <c r="J55" s="476"/>
    </row>
    <row r="56" spans="2:10" ht="18">
      <c r="B56" s="205" t="s">
        <v>52</v>
      </c>
      <c r="C56" s="477" t="s">
        <v>53</v>
      </c>
      <c r="D56" s="477"/>
      <c r="E56" s="477"/>
      <c r="F56" s="477"/>
      <c r="G56" s="477"/>
      <c r="H56" s="205" t="s">
        <v>54</v>
      </c>
      <c r="I56" s="205" t="s">
        <v>55</v>
      </c>
      <c r="J56" s="205" t="s">
        <v>56</v>
      </c>
    </row>
    <row r="57" spans="2:10" ht="31.5" customHeight="1">
      <c r="B57" s="200">
        <v>1</v>
      </c>
      <c r="C57" s="1102" t="s">
        <v>2753</v>
      </c>
      <c r="D57" s="451"/>
      <c r="E57" s="451"/>
      <c r="F57" s="451"/>
      <c r="G57" s="451"/>
      <c r="H57" s="200" t="s">
        <v>2754</v>
      </c>
      <c r="I57" s="207" t="s">
        <v>1692</v>
      </c>
      <c r="J57" s="200"/>
    </row>
    <row r="58" spans="2:10" ht="31.5" customHeight="1">
      <c r="B58" s="200">
        <v>1</v>
      </c>
      <c r="C58" s="1102" t="s">
        <v>2755</v>
      </c>
      <c r="D58" s="451"/>
      <c r="E58" s="451"/>
      <c r="F58" s="451"/>
      <c r="G58" s="451"/>
      <c r="H58" s="200" t="s">
        <v>2754</v>
      </c>
      <c r="I58" s="207" t="s">
        <v>1692</v>
      </c>
      <c r="J58" s="200"/>
    </row>
    <row r="59" spans="2:10" ht="31.5" customHeight="1">
      <c r="B59" s="200">
        <v>2</v>
      </c>
      <c r="C59" s="1102"/>
      <c r="D59" s="451"/>
      <c r="E59" s="451"/>
      <c r="F59" s="451"/>
      <c r="G59" s="451"/>
      <c r="H59" s="200"/>
      <c r="I59" s="207"/>
      <c r="J59" s="200"/>
    </row>
    <row r="60" spans="2:10">
      <c r="B60" s="450" t="s">
        <v>63</v>
      </c>
      <c r="C60" s="450"/>
      <c r="D60" s="199" t="s">
        <v>31</v>
      </c>
      <c r="E60" s="198" t="s">
        <v>64</v>
      </c>
      <c r="F60" s="467"/>
      <c r="G60" s="469"/>
      <c r="H60" s="199"/>
      <c r="I60" s="199"/>
      <c r="J60" s="199"/>
    </row>
    <row r="61" spans="2:10" ht="45.75">
      <c r="B61" s="201" t="s">
        <v>66</v>
      </c>
      <c r="C61" s="450"/>
      <c r="D61" s="450"/>
      <c r="E61" s="201" t="s">
        <v>67</v>
      </c>
      <c r="F61" s="450"/>
      <c r="G61" s="450"/>
      <c r="H61" s="201" t="s">
        <v>68</v>
      </c>
      <c r="I61" s="450"/>
      <c r="J61" s="450"/>
    </row>
    <row r="62" spans="2:10">
      <c r="B62" s="247"/>
      <c r="C62" s="253"/>
      <c r="D62" s="253"/>
      <c r="E62" s="247"/>
      <c r="F62" s="253"/>
      <c r="G62" s="253"/>
      <c r="H62" s="247"/>
      <c r="I62" s="253"/>
      <c r="J62" s="253"/>
    </row>
    <row r="63" spans="2:10">
      <c r="B63" s="247"/>
      <c r="C63" s="253"/>
      <c r="D63" s="253"/>
      <c r="E63" s="247"/>
      <c r="F63" s="253"/>
      <c r="G63" s="253"/>
      <c r="H63" s="247"/>
      <c r="I63" s="253"/>
      <c r="J63" s="253"/>
    </row>
    <row r="64" spans="2:10" ht="26.25">
      <c r="B64" s="1140" t="s">
        <v>13</v>
      </c>
      <c r="C64" s="1141"/>
      <c r="D64" s="1144" t="s">
        <v>14</v>
      </c>
      <c r="E64" s="1144"/>
      <c r="F64" s="1144"/>
      <c r="G64" s="1144"/>
      <c r="H64" s="1144"/>
      <c r="I64" s="1145"/>
      <c r="J64" s="402" t="s">
        <v>15</v>
      </c>
    </row>
    <row r="65" spans="2:10" ht="20.25">
      <c r="B65" s="1142"/>
      <c r="C65" s="1143"/>
      <c r="D65" s="1146" t="s">
        <v>16</v>
      </c>
      <c r="E65" s="1146"/>
      <c r="F65" s="1146"/>
      <c r="G65" s="1146"/>
      <c r="H65" s="1146"/>
      <c r="I65" s="1147"/>
      <c r="J65" s="402" t="s">
        <v>17</v>
      </c>
    </row>
    <row r="66" spans="2:10">
      <c r="B66" s="1138" t="s">
        <v>18</v>
      </c>
      <c r="C66" s="1138"/>
      <c r="D66" s="304">
        <v>46079</v>
      </c>
      <c r="E66" s="403" t="s">
        <v>1460</v>
      </c>
      <c r="F66" s="1139" t="s">
        <v>124</v>
      </c>
      <c r="G66" s="1139"/>
      <c r="H66" s="404" t="s">
        <v>21</v>
      </c>
      <c r="I66" s="405" t="s">
        <v>867</v>
      </c>
      <c r="J66" s="199" t="s">
        <v>2603</v>
      </c>
    </row>
    <row r="67" spans="2:10">
      <c r="B67" s="449" t="s">
        <v>24</v>
      </c>
      <c r="C67" s="449"/>
      <c r="D67" s="203">
        <v>0.91805555555555551</v>
      </c>
      <c r="E67" s="204" t="s">
        <v>25</v>
      </c>
      <c r="F67" s="450" t="s">
        <v>26</v>
      </c>
      <c r="G67" s="450"/>
      <c r="H67" s="199" t="s">
        <v>27</v>
      </c>
      <c r="J67" s="202"/>
    </row>
    <row r="68" spans="2:10">
      <c r="B68" s="449" t="s">
        <v>30</v>
      </c>
      <c r="C68" s="449"/>
      <c r="D68" s="199" t="s">
        <v>31</v>
      </c>
      <c r="E68" s="199" t="s">
        <v>32</v>
      </c>
      <c r="F68" s="450">
        <v>80</v>
      </c>
      <c r="G68" s="450"/>
      <c r="H68" s="201" t="s">
        <v>33</v>
      </c>
      <c r="I68" s="202" t="s">
        <v>2741</v>
      </c>
      <c r="J68" s="202"/>
    </row>
    <row r="69" spans="2:10">
      <c r="B69" s="451" t="s">
        <v>35</v>
      </c>
      <c r="C69" s="451"/>
      <c r="D69" s="449" t="s">
        <v>2756</v>
      </c>
      <c r="E69" s="449"/>
      <c r="F69" s="449"/>
      <c r="G69" s="449"/>
      <c r="H69" s="449"/>
      <c r="I69" s="449"/>
      <c r="J69" s="449"/>
    </row>
    <row r="70" spans="2:10">
      <c r="B70" s="452" t="s">
        <v>2743</v>
      </c>
      <c r="C70" s="453"/>
      <c r="D70" s="453"/>
      <c r="E70" s="453"/>
      <c r="F70" s="453"/>
      <c r="G70" s="453"/>
      <c r="H70" s="453"/>
      <c r="I70" s="453"/>
      <c r="J70" s="454"/>
    </row>
    <row r="71" spans="2:10">
      <c r="B71" s="455"/>
      <c r="C71" s="456"/>
      <c r="D71" s="456"/>
      <c r="E71" s="456"/>
      <c r="F71" s="456"/>
      <c r="G71" s="456"/>
      <c r="H71" s="456"/>
      <c r="I71" s="456"/>
      <c r="J71" s="457"/>
    </row>
    <row r="72" spans="2:10">
      <c r="B72" s="455"/>
      <c r="C72" s="456"/>
      <c r="D72" s="456"/>
      <c r="E72" s="456"/>
      <c r="F72" s="456"/>
      <c r="G72" s="456"/>
      <c r="H72" s="456"/>
      <c r="I72" s="456"/>
      <c r="J72" s="457"/>
    </row>
    <row r="73" spans="2:10">
      <c r="B73" s="458"/>
      <c r="C73" s="459"/>
      <c r="D73" s="459"/>
      <c r="E73" s="459"/>
      <c r="F73" s="459"/>
      <c r="G73" s="459"/>
      <c r="H73" s="459"/>
      <c r="I73" s="459"/>
      <c r="J73" s="460"/>
    </row>
    <row r="74" spans="2:10" ht="18">
      <c r="B74" s="461" t="s">
        <v>38</v>
      </c>
      <c r="C74" s="462"/>
      <c r="D74" s="462"/>
      <c r="E74" s="462"/>
      <c r="F74" s="462"/>
      <c r="G74" s="462"/>
      <c r="H74" s="462"/>
      <c r="I74" s="463"/>
      <c r="J74" s="205" t="s">
        <v>39</v>
      </c>
    </row>
    <row r="75" spans="2:10">
      <c r="B75" s="200">
        <v>1</v>
      </c>
      <c r="C75" s="464" t="s">
        <v>2744</v>
      </c>
      <c r="D75" s="465"/>
      <c r="E75" s="465"/>
      <c r="F75" s="465"/>
      <c r="G75" s="465"/>
      <c r="H75" s="465"/>
      <c r="I75" s="466"/>
      <c r="J75" s="200" t="s">
        <v>26</v>
      </c>
    </row>
    <row r="76" spans="2:10">
      <c r="B76" s="200">
        <v>2</v>
      </c>
      <c r="C76" s="464" t="s">
        <v>2757</v>
      </c>
      <c r="D76" s="465"/>
      <c r="E76" s="465"/>
      <c r="F76" s="465"/>
      <c r="G76" s="465"/>
      <c r="H76" s="465"/>
      <c r="I76" s="466"/>
      <c r="J76" s="200" t="s">
        <v>26</v>
      </c>
    </row>
    <row r="77" spans="2:10">
      <c r="B77" s="254">
        <v>3</v>
      </c>
      <c r="C77" s="464" t="s">
        <v>2746</v>
      </c>
      <c r="D77" s="465"/>
      <c r="E77" s="465"/>
      <c r="F77" s="465"/>
      <c r="G77" s="465"/>
      <c r="H77" s="465"/>
      <c r="I77" s="466"/>
      <c r="J77" s="200" t="s">
        <v>26</v>
      </c>
    </row>
    <row r="78" spans="2:10">
      <c r="B78" s="254">
        <v>4</v>
      </c>
      <c r="C78" s="464"/>
      <c r="D78" s="465"/>
      <c r="E78" s="465"/>
      <c r="F78" s="465"/>
      <c r="G78" s="465"/>
      <c r="H78" s="465"/>
      <c r="I78" s="466"/>
      <c r="J78" s="200"/>
    </row>
    <row r="79" spans="2:10" ht="18">
      <c r="B79" s="1115" t="s">
        <v>44</v>
      </c>
      <c r="C79" s="462"/>
      <c r="D79" s="462"/>
      <c r="E79" s="462"/>
      <c r="F79" s="462"/>
      <c r="G79" s="462"/>
      <c r="H79" s="462"/>
      <c r="I79" s="462"/>
      <c r="J79" s="463"/>
    </row>
    <row r="80" spans="2:10">
      <c r="B80" s="200" t="s">
        <v>45</v>
      </c>
      <c r="C80" s="1059" t="s">
        <v>2747</v>
      </c>
      <c r="D80" s="473"/>
      <c r="E80" s="473"/>
      <c r="F80" s="473"/>
      <c r="G80" s="473"/>
      <c r="H80" s="473"/>
      <c r="I80" s="473"/>
      <c r="J80" s="473"/>
    </row>
    <row r="81" spans="2:10">
      <c r="B81" s="206" t="s">
        <v>45</v>
      </c>
      <c r="C81" s="1059" t="s">
        <v>2748</v>
      </c>
      <c r="D81" s="473"/>
      <c r="E81" s="473"/>
      <c r="F81" s="473"/>
      <c r="G81" s="473"/>
      <c r="H81" s="473"/>
      <c r="I81" s="473"/>
      <c r="J81" s="473"/>
    </row>
    <row r="82" spans="2:10">
      <c r="B82" s="206" t="s">
        <v>45</v>
      </c>
      <c r="C82" s="1101" t="s">
        <v>2749</v>
      </c>
      <c r="D82" s="475"/>
      <c r="E82" s="475"/>
      <c r="F82" s="475"/>
      <c r="G82" s="475"/>
      <c r="H82" s="475"/>
      <c r="I82" s="475"/>
      <c r="J82" s="476"/>
    </row>
    <row r="83" spans="2:10">
      <c r="B83" s="206" t="s">
        <v>45</v>
      </c>
      <c r="C83" s="1101" t="s">
        <v>2750</v>
      </c>
      <c r="D83" s="475"/>
      <c r="E83" s="475"/>
      <c r="F83" s="475"/>
      <c r="G83" s="475"/>
      <c r="H83" s="475"/>
      <c r="I83" s="475"/>
      <c r="J83" s="476"/>
    </row>
    <row r="84" spans="2:10">
      <c r="B84" s="206" t="s">
        <v>45</v>
      </c>
      <c r="C84" s="464" t="s">
        <v>2758</v>
      </c>
      <c r="D84" s="465"/>
      <c r="E84" s="465"/>
      <c r="F84" s="465"/>
      <c r="G84" s="465"/>
      <c r="H84" s="465"/>
      <c r="I84" s="465"/>
      <c r="J84" s="466"/>
    </row>
    <row r="85" spans="2:10">
      <c r="B85" s="200" t="s">
        <v>45</v>
      </c>
      <c r="C85" s="464"/>
      <c r="D85" s="465"/>
      <c r="E85" s="465"/>
      <c r="F85" s="465"/>
      <c r="G85" s="465"/>
      <c r="H85" s="465"/>
      <c r="I85" s="465"/>
      <c r="J85" s="466"/>
    </row>
    <row r="86" spans="2:10">
      <c r="B86" s="200" t="s">
        <v>7</v>
      </c>
      <c r="C86" s="1135" t="s">
        <v>2752</v>
      </c>
      <c r="D86" s="475"/>
      <c r="E86" s="475"/>
      <c r="F86" s="475"/>
      <c r="G86" s="475"/>
      <c r="H86" s="475"/>
      <c r="I86" s="475"/>
      <c r="J86" s="476"/>
    </row>
    <row r="87" spans="2:10" ht="18">
      <c r="B87" s="205" t="s">
        <v>52</v>
      </c>
      <c r="C87" s="477" t="s">
        <v>53</v>
      </c>
      <c r="D87" s="477"/>
      <c r="E87" s="477"/>
      <c r="F87" s="477"/>
      <c r="G87" s="477"/>
      <c r="H87" s="205" t="s">
        <v>54</v>
      </c>
      <c r="I87" s="205" t="s">
        <v>55</v>
      </c>
      <c r="J87" s="205" t="s">
        <v>56</v>
      </c>
    </row>
    <row r="88" spans="2:10" ht="15" customHeight="1">
      <c r="B88" s="200">
        <v>1</v>
      </c>
      <c r="C88" s="1102" t="s">
        <v>2759</v>
      </c>
      <c r="D88" s="451"/>
      <c r="E88" s="451"/>
      <c r="F88" s="451"/>
      <c r="G88" s="451"/>
      <c r="H88" s="200" t="s">
        <v>2754</v>
      </c>
      <c r="I88" s="207" t="s">
        <v>1692</v>
      </c>
      <c r="J88" s="200"/>
    </row>
    <row r="89" spans="2:10">
      <c r="B89" s="200">
        <v>1</v>
      </c>
      <c r="C89" s="1102"/>
      <c r="D89" s="451"/>
      <c r="E89" s="451"/>
      <c r="F89" s="451"/>
      <c r="G89" s="451"/>
      <c r="H89" s="200"/>
      <c r="I89" s="207"/>
      <c r="J89" s="200"/>
    </row>
    <row r="90" spans="2:10">
      <c r="B90" s="200">
        <v>2</v>
      </c>
      <c r="C90" s="1102"/>
      <c r="D90" s="451"/>
      <c r="E90" s="451"/>
      <c r="F90" s="451"/>
      <c r="G90" s="451"/>
      <c r="H90" s="200"/>
      <c r="I90" s="207"/>
      <c r="J90" s="200"/>
    </row>
    <row r="91" spans="2:10">
      <c r="B91" s="450" t="s">
        <v>63</v>
      </c>
      <c r="C91" s="450"/>
      <c r="D91" s="199" t="s">
        <v>31</v>
      </c>
      <c r="E91" s="198" t="s">
        <v>64</v>
      </c>
      <c r="F91" s="467"/>
      <c r="G91" s="469"/>
      <c r="H91" s="199"/>
      <c r="I91" s="199"/>
      <c r="J91" s="199"/>
    </row>
    <row r="92" spans="2:10" ht="45.75">
      <c r="B92" s="201" t="s">
        <v>66</v>
      </c>
      <c r="C92" s="450"/>
      <c r="D92" s="450"/>
      <c r="E92" s="201" t="s">
        <v>67</v>
      </c>
      <c r="F92" s="450"/>
      <c r="G92" s="450"/>
      <c r="H92" s="201" t="s">
        <v>68</v>
      </c>
      <c r="I92" s="450"/>
      <c r="J92" s="450"/>
    </row>
  </sheetData>
  <autoFilter ref="B2:K25" xr:uid="{7E3221BD-3E6C-4BA8-BFAD-98351ACD7F09}">
    <filterColumn colId="1" showButton="0"/>
  </autoFilter>
  <mergeCells count="79">
    <mergeCell ref="C92:D92"/>
    <mergeCell ref="F92:G92"/>
    <mergeCell ref="I92:J92"/>
    <mergeCell ref="C88:G88"/>
    <mergeCell ref="C89:G89"/>
    <mergeCell ref="C90:G90"/>
    <mergeCell ref="B91:C91"/>
    <mergeCell ref="F91:G91"/>
    <mergeCell ref="C83:J83"/>
    <mergeCell ref="C84:J84"/>
    <mergeCell ref="C85:J85"/>
    <mergeCell ref="C86:J86"/>
    <mergeCell ref="C87:G87"/>
    <mergeCell ref="C78:I78"/>
    <mergeCell ref="B79:J79"/>
    <mergeCell ref="C80:J80"/>
    <mergeCell ref="C81:J81"/>
    <mergeCell ref="C82:J82"/>
    <mergeCell ref="B70:J73"/>
    <mergeCell ref="B74:I74"/>
    <mergeCell ref="C75:I75"/>
    <mergeCell ref="C76:I76"/>
    <mergeCell ref="C77:I77"/>
    <mergeCell ref="B67:C67"/>
    <mergeCell ref="F67:G67"/>
    <mergeCell ref="B68:C68"/>
    <mergeCell ref="F68:G68"/>
    <mergeCell ref="B69:C69"/>
    <mergeCell ref="D69:J69"/>
    <mergeCell ref="B64:C65"/>
    <mergeCell ref="D64:I64"/>
    <mergeCell ref="D65:I65"/>
    <mergeCell ref="B66:C66"/>
    <mergeCell ref="F66:G66"/>
    <mergeCell ref="B33:C34"/>
    <mergeCell ref="D33:I33"/>
    <mergeCell ref="D34:I34"/>
    <mergeCell ref="B2:B3"/>
    <mergeCell ref="C2:D2"/>
    <mergeCell ref="E2:E3"/>
    <mergeCell ref="F2:F3"/>
    <mergeCell ref="G2:G3"/>
    <mergeCell ref="H2:H3"/>
    <mergeCell ref="I2:I3"/>
    <mergeCell ref="J2:J3"/>
    <mergeCell ref="K2:K3"/>
    <mergeCell ref="E25:K32"/>
    <mergeCell ref="C27:D27"/>
    <mergeCell ref="C45:I45"/>
    <mergeCell ref="B35:C35"/>
    <mergeCell ref="F35:G35"/>
    <mergeCell ref="B36:C36"/>
    <mergeCell ref="F36:G36"/>
    <mergeCell ref="B37:C37"/>
    <mergeCell ref="F37:G37"/>
    <mergeCell ref="B38:C38"/>
    <mergeCell ref="D38:J38"/>
    <mergeCell ref="B39:J42"/>
    <mergeCell ref="B43:I43"/>
    <mergeCell ref="C44:I44"/>
    <mergeCell ref="C57:G57"/>
    <mergeCell ref="C46:I46"/>
    <mergeCell ref="C47:I47"/>
    <mergeCell ref="B48:J48"/>
    <mergeCell ref="C49:J49"/>
    <mergeCell ref="C50:J50"/>
    <mergeCell ref="C51:J51"/>
    <mergeCell ref="C52:J52"/>
    <mergeCell ref="C53:J53"/>
    <mergeCell ref="C54:J54"/>
    <mergeCell ref="C55:J55"/>
    <mergeCell ref="C56:G56"/>
    <mergeCell ref="I61:J61"/>
    <mergeCell ref="C58:G58"/>
    <mergeCell ref="C59:G59"/>
    <mergeCell ref="B60:C60"/>
    <mergeCell ref="F60:G60"/>
    <mergeCell ref="C61:D61"/>
    <mergeCell ref="F61:G61"/>
  </mergeCells>
  <phoneticPr fontId="0" type="noConversion"/>
  <dataValidations count="1">
    <dataValidation type="list" allowBlank="1" showInputMessage="1" showErrorMessage="1" sqref="H18" xr:uid="{34C5764C-B131-4DC8-B36A-9F106E921D26}">
      <formula1>INDIRECT($K18)</formula1>
    </dataValidation>
  </dataValidations>
  <printOptions horizontalCentered="1" verticalCentered="1"/>
  <pageMargins left="0.7" right="0.7" top="0.75" bottom="0.75" header="0.3" footer="0.3"/>
  <pageSetup paperSize="9"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7ADA-CE8E-4DC4-9ED7-C5F41983BE22}">
  <sheetPr>
    <pageSetUpPr fitToPage="1"/>
  </sheetPr>
  <dimension ref="B2:Q260"/>
  <sheetViews>
    <sheetView tabSelected="1" workbookViewId="0">
      <selection activeCell="D1" sqref="D1:H1048576"/>
    </sheetView>
  </sheetViews>
  <sheetFormatPr defaultRowHeight="15"/>
  <cols>
    <col min="2" max="2" width="15" customWidth="1"/>
    <col min="3" max="3" width="27" customWidth="1"/>
    <col min="4" max="4" width="24.42578125" customWidth="1"/>
    <col min="5" max="5" width="21.42578125" customWidth="1"/>
    <col min="6" max="6" width="13.85546875" customWidth="1"/>
    <col min="7" max="7" width="31.85546875" customWidth="1"/>
    <col min="8" max="8" width="49.140625" customWidth="1"/>
    <col min="9" max="9" width="28.5703125" customWidth="1"/>
    <col min="10" max="10" width="46.42578125" customWidth="1"/>
    <col min="11" max="11" width="60.5703125" customWidth="1"/>
    <col min="13" max="13" width="11.28515625" customWidth="1"/>
  </cols>
  <sheetData>
    <row r="2" spans="2:17" ht="38.25" customHeight="1">
      <c r="B2" s="1133" t="s">
        <v>0</v>
      </c>
      <c r="C2" s="1133" t="s">
        <v>1</v>
      </c>
      <c r="D2" s="1133"/>
      <c r="E2" s="1133" t="s">
        <v>2</v>
      </c>
      <c r="F2" s="1133" t="s">
        <v>3</v>
      </c>
      <c r="G2" s="1133" t="s">
        <v>4</v>
      </c>
      <c r="H2" s="1133" t="s">
        <v>5</v>
      </c>
      <c r="I2" s="1133" t="s">
        <v>6</v>
      </c>
      <c r="J2" s="1133" t="s">
        <v>7</v>
      </c>
      <c r="K2" s="1133" t="s">
        <v>8</v>
      </c>
    </row>
    <row r="3" spans="2:17">
      <c r="B3" s="1134"/>
      <c r="C3" s="276" t="s">
        <v>9</v>
      </c>
      <c r="D3" s="276" t="s">
        <v>10</v>
      </c>
      <c r="E3" s="1134"/>
      <c r="F3" s="1134"/>
      <c r="G3" s="1134"/>
      <c r="H3" s="1134"/>
      <c r="I3" s="1134"/>
      <c r="J3" s="1134"/>
      <c r="K3" s="1134"/>
    </row>
    <row r="4" spans="2:17">
      <c r="B4" s="37">
        <v>1</v>
      </c>
      <c r="C4" s="385">
        <v>73</v>
      </c>
      <c r="D4" s="385"/>
      <c r="E4" s="386" t="s">
        <v>2760</v>
      </c>
      <c r="F4" s="68" t="s">
        <v>124</v>
      </c>
      <c r="G4" s="246" t="s">
        <v>2365</v>
      </c>
      <c r="H4" s="409" t="s">
        <v>2761</v>
      </c>
      <c r="I4" s="41" t="s">
        <v>127</v>
      </c>
      <c r="J4" s="88" t="s">
        <v>2762</v>
      </c>
      <c r="K4" s="408" t="s">
        <v>2763</v>
      </c>
    </row>
    <row r="5" spans="2:17" ht="29.25">
      <c r="B5" s="37">
        <v>2</v>
      </c>
      <c r="C5" s="385"/>
      <c r="D5" s="385">
        <v>38</v>
      </c>
      <c r="E5" s="386" t="s">
        <v>2764</v>
      </c>
      <c r="F5" s="68" t="s">
        <v>124</v>
      </c>
      <c r="G5" s="246" t="s">
        <v>140</v>
      </c>
      <c r="H5" s="409" t="s">
        <v>2765</v>
      </c>
      <c r="I5" s="41" t="s">
        <v>127</v>
      </c>
      <c r="J5" s="88" t="s">
        <v>2766</v>
      </c>
      <c r="K5" s="146" t="s">
        <v>2767</v>
      </c>
    </row>
    <row r="6" spans="2:17" ht="60.75" customHeight="1">
      <c r="B6" s="37">
        <v>2</v>
      </c>
      <c r="C6" s="385">
        <v>41</v>
      </c>
      <c r="D6" s="385"/>
      <c r="E6" s="386" t="s">
        <v>2768</v>
      </c>
      <c r="F6" s="68" t="s">
        <v>124</v>
      </c>
      <c r="G6" s="246" t="s">
        <v>140</v>
      </c>
      <c r="H6" s="410" t="s">
        <v>2769</v>
      </c>
      <c r="I6" s="41" t="s">
        <v>127</v>
      </c>
      <c r="J6" s="419" t="s">
        <v>2770</v>
      </c>
      <c r="K6" s="419" t="s">
        <v>2771</v>
      </c>
    </row>
    <row r="7" spans="2:17" ht="26.25" customHeight="1">
      <c r="B7" s="37">
        <v>3</v>
      </c>
      <c r="C7" s="385">
        <v>107</v>
      </c>
      <c r="D7" s="385"/>
      <c r="E7" s="386" t="s">
        <v>2772</v>
      </c>
      <c r="F7" s="68" t="s">
        <v>124</v>
      </c>
      <c r="G7" s="246" t="s">
        <v>140</v>
      </c>
      <c r="H7" s="409" t="s">
        <v>2773</v>
      </c>
      <c r="I7" s="41" t="s">
        <v>127</v>
      </c>
      <c r="J7" s="419" t="s">
        <v>2774</v>
      </c>
      <c r="K7" s="419" t="s">
        <v>2775</v>
      </c>
    </row>
    <row r="8" spans="2:17">
      <c r="B8" s="37">
        <v>4</v>
      </c>
      <c r="C8" s="385"/>
      <c r="D8" s="385">
        <v>207</v>
      </c>
      <c r="E8" s="386" t="s">
        <v>2776</v>
      </c>
      <c r="F8" s="68" t="s">
        <v>124</v>
      </c>
      <c r="G8" s="375" t="s">
        <v>152</v>
      </c>
      <c r="H8" s="409" t="s">
        <v>175</v>
      </c>
      <c r="I8" s="41" t="s">
        <v>127</v>
      </c>
      <c r="J8" s="416" t="s">
        <v>2777</v>
      </c>
      <c r="K8" s="416" t="s">
        <v>2778</v>
      </c>
      <c r="L8" s="411"/>
      <c r="M8" s="411"/>
      <c r="N8" s="411"/>
      <c r="O8" s="411"/>
      <c r="P8" s="411"/>
      <c r="Q8" s="411"/>
    </row>
    <row r="9" spans="2:17" ht="22.5">
      <c r="B9" s="37">
        <v>5</v>
      </c>
      <c r="C9" s="385">
        <v>40</v>
      </c>
      <c r="D9" s="385"/>
      <c r="E9" s="386" t="s">
        <v>2776</v>
      </c>
      <c r="F9" s="68" t="s">
        <v>159</v>
      </c>
      <c r="G9" s="407" t="s">
        <v>2779</v>
      </c>
      <c r="H9" s="393" t="s">
        <v>2780</v>
      </c>
      <c r="I9" s="41" t="s">
        <v>127</v>
      </c>
      <c r="J9" s="412" t="s">
        <v>2781</v>
      </c>
      <c r="K9" s="420" t="s">
        <v>2782</v>
      </c>
      <c r="L9" s="411"/>
      <c r="M9" s="411"/>
      <c r="N9" s="411"/>
      <c r="O9" s="411"/>
      <c r="P9" s="411"/>
      <c r="Q9" s="411"/>
    </row>
    <row r="10" spans="2:17" ht="22.5">
      <c r="B10" s="37">
        <v>6</v>
      </c>
      <c r="C10" s="385">
        <v>80</v>
      </c>
      <c r="D10" s="387"/>
      <c r="E10" s="386" t="s">
        <v>2783</v>
      </c>
      <c r="F10" s="68" t="s">
        <v>159</v>
      </c>
      <c r="G10" s="246" t="s">
        <v>174</v>
      </c>
      <c r="H10" s="393" t="s">
        <v>2784</v>
      </c>
      <c r="I10" s="41" t="s">
        <v>127</v>
      </c>
      <c r="J10" s="413" t="s">
        <v>2785</v>
      </c>
      <c r="K10" s="416" t="s">
        <v>2786</v>
      </c>
      <c r="L10" s="411"/>
      <c r="M10" s="411"/>
      <c r="N10" s="411"/>
      <c r="O10" s="411"/>
      <c r="P10" s="411"/>
      <c r="Q10" s="411"/>
    </row>
    <row r="11" spans="2:17">
      <c r="B11" s="37">
        <v>7</v>
      </c>
      <c r="C11" s="68"/>
      <c r="D11" s="68"/>
      <c r="E11" s="388"/>
      <c r="F11" s="68"/>
      <c r="G11" s="246"/>
      <c r="H11" s="393"/>
      <c r="I11" s="374"/>
      <c r="J11" s="415"/>
      <c r="K11" s="62"/>
    </row>
    <row r="12" spans="2:17">
      <c r="B12" s="37">
        <v>8</v>
      </c>
      <c r="C12" s="166"/>
      <c r="D12" s="394"/>
      <c r="E12" s="389"/>
      <c r="F12" s="68"/>
      <c r="G12" s="246"/>
      <c r="H12" s="393"/>
      <c r="I12" s="376"/>
      <c r="J12" s="415"/>
      <c r="K12" s="408"/>
    </row>
    <row r="13" spans="2:17" s="58" customFormat="1">
      <c r="B13" s="37">
        <v>9</v>
      </c>
      <c r="C13" s="166"/>
      <c r="D13" s="166"/>
      <c r="E13" s="390"/>
      <c r="F13" s="68"/>
      <c r="G13" s="375"/>
      <c r="H13" s="337"/>
      <c r="I13" s="374"/>
      <c r="J13" s="417"/>
      <c r="K13" s="62"/>
      <c r="L13"/>
      <c r="M13"/>
      <c r="N13"/>
      <c r="O13"/>
      <c r="P13"/>
      <c r="Q13"/>
    </row>
    <row r="14" spans="2:17" s="58" customFormat="1">
      <c r="B14" s="37">
        <v>10</v>
      </c>
      <c r="C14" s="68"/>
      <c r="D14" s="213"/>
      <c r="E14" s="389"/>
      <c r="F14" s="68"/>
      <c r="G14" s="375"/>
      <c r="H14" s="337"/>
      <c r="I14" s="374"/>
      <c r="J14" s="417"/>
      <c r="K14" s="62"/>
      <c r="L14"/>
      <c r="M14"/>
      <c r="N14"/>
      <c r="O14"/>
      <c r="P14"/>
      <c r="Q14"/>
    </row>
    <row r="15" spans="2:17" s="58" customFormat="1">
      <c r="B15" s="37">
        <v>11</v>
      </c>
      <c r="C15" s="68"/>
      <c r="D15" s="68"/>
      <c r="E15" s="389"/>
      <c r="F15" s="68"/>
      <c r="G15" s="375"/>
      <c r="H15" s="393"/>
      <c r="I15" s="374"/>
      <c r="J15" s="417"/>
      <c r="K15" s="62"/>
      <c r="L15"/>
      <c r="M15"/>
      <c r="N15"/>
      <c r="O15"/>
      <c r="P15"/>
      <c r="Q15"/>
    </row>
    <row r="16" spans="2:17" s="66" customFormat="1">
      <c r="B16" s="37"/>
      <c r="C16" s="68"/>
      <c r="D16" s="391"/>
      <c r="E16" s="372"/>
      <c r="F16" s="68"/>
      <c r="G16" s="246"/>
      <c r="H16" s="337"/>
      <c r="I16" s="376"/>
      <c r="J16" s="415"/>
      <c r="K16" s="377"/>
      <c r="L16" s="414"/>
      <c r="M16" s="414"/>
      <c r="N16" s="414"/>
      <c r="O16" s="414"/>
      <c r="P16" s="414"/>
      <c r="Q16" s="414"/>
    </row>
    <row r="17" spans="2:17" s="3" customFormat="1">
      <c r="B17" s="37"/>
      <c r="C17" s="391"/>
      <c r="D17" s="68"/>
      <c r="E17" s="372"/>
      <c r="F17" s="68"/>
      <c r="G17" s="342"/>
      <c r="H17" s="337"/>
      <c r="I17" s="376"/>
      <c r="J17" s="415"/>
      <c r="K17" s="377"/>
      <c r="L17" s="414"/>
      <c r="M17" s="414"/>
      <c r="N17" s="414"/>
      <c r="O17" s="414"/>
      <c r="P17" s="414"/>
      <c r="Q17" s="414"/>
    </row>
    <row r="18" spans="2:17" s="3" customFormat="1">
      <c r="B18" s="37"/>
      <c r="C18" s="391"/>
      <c r="D18" s="68"/>
      <c r="E18" s="372"/>
      <c r="F18" s="68"/>
      <c r="G18" s="246"/>
      <c r="H18" s="337"/>
      <c r="I18" s="376"/>
      <c r="J18" s="415"/>
      <c r="K18" s="62"/>
    </row>
    <row r="19" spans="2:17" s="3" customFormat="1">
      <c r="B19" s="326"/>
      <c r="C19" s="342"/>
      <c r="D19" s="195"/>
      <c r="E19" s="340"/>
      <c r="F19" s="166"/>
      <c r="G19" s="68"/>
      <c r="H19" s="344"/>
      <c r="I19" s="68"/>
      <c r="J19" s="166"/>
      <c r="K19" s="418"/>
    </row>
    <row r="20" spans="2:17" s="3" customFormat="1">
      <c r="B20" s="326"/>
      <c r="C20" s="342"/>
      <c r="D20" s="195"/>
      <c r="E20" s="340"/>
      <c r="F20" s="68"/>
      <c r="G20" s="68"/>
      <c r="H20" s="346"/>
      <c r="I20" s="68"/>
      <c r="J20" s="68"/>
      <c r="K20" s="345"/>
    </row>
    <row r="21" spans="2:17" s="3" customFormat="1">
      <c r="B21" s="326"/>
      <c r="C21" s="342"/>
      <c r="D21" s="195"/>
      <c r="E21" s="340"/>
      <c r="F21" s="68"/>
      <c r="G21" s="68"/>
      <c r="H21" s="346"/>
      <c r="I21" s="68"/>
      <c r="J21" s="68"/>
      <c r="K21" s="345"/>
    </row>
    <row r="22" spans="2:17" s="3" customFormat="1">
      <c r="B22" s="326"/>
      <c r="C22" s="342"/>
      <c r="D22" s="195"/>
      <c r="E22" s="340"/>
      <c r="F22" s="68"/>
      <c r="G22" s="68"/>
      <c r="H22" s="346"/>
      <c r="I22" s="68"/>
      <c r="J22" s="68"/>
      <c r="K22" s="345"/>
    </row>
    <row r="23" spans="2:17" s="3" customFormat="1">
      <c r="B23" s="326"/>
      <c r="C23" s="342"/>
      <c r="D23" s="195"/>
      <c r="E23" s="340"/>
      <c r="F23" s="68"/>
      <c r="G23" s="68"/>
      <c r="H23" s="346"/>
      <c r="I23" s="68"/>
      <c r="J23" s="68"/>
      <c r="K23" s="345"/>
    </row>
    <row r="24" spans="2:17" s="3" customFormat="1">
      <c r="B24" s="311"/>
      <c r="C24" s="342"/>
      <c r="D24" s="68"/>
      <c r="E24" s="275"/>
      <c r="F24" s="68"/>
      <c r="G24" s="68"/>
      <c r="H24" s="344"/>
      <c r="I24" s="68"/>
      <c r="J24" s="347"/>
      <c r="K24" s="345"/>
    </row>
    <row r="25" spans="2:17">
      <c r="B25" s="311"/>
      <c r="C25" s="342"/>
      <c r="D25" s="68"/>
      <c r="E25" s="275"/>
      <c r="F25" s="68"/>
      <c r="G25" s="68"/>
      <c r="H25" s="344"/>
      <c r="I25" s="68"/>
      <c r="J25" s="68"/>
      <c r="K25" s="345"/>
    </row>
    <row r="26" spans="2:17">
      <c r="B26" s="311"/>
      <c r="C26" s="348"/>
      <c r="D26" s="68"/>
      <c r="E26" s="275"/>
      <c r="F26" s="175"/>
      <c r="G26" s="175"/>
      <c r="H26" s="175"/>
      <c r="I26" s="175"/>
      <c r="J26" s="175"/>
      <c r="K26" s="349"/>
    </row>
    <row r="27" spans="2:17">
      <c r="B27" s="311"/>
      <c r="C27" s="348"/>
      <c r="D27" s="68"/>
      <c r="E27" s="275"/>
      <c r="F27" s="175"/>
      <c r="G27" s="175"/>
      <c r="H27" s="175"/>
      <c r="I27" s="175"/>
      <c r="J27" s="175"/>
      <c r="K27" s="349"/>
    </row>
    <row r="28" spans="2:17">
      <c r="B28" s="401"/>
      <c r="C28" s="175"/>
      <c r="D28" s="175"/>
      <c r="E28" s="350"/>
      <c r="F28" s="350"/>
      <c r="G28" s="350"/>
      <c r="H28" s="350"/>
      <c r="I28" s="350"/>
      <c r="J28" s="350"/>
      <c r="K28" s="351"/>
    </row>
    <row r="29" spans="2:17">
      <c r="B29" s="395" t="s">
        <v>11</v>
      </c>
      <c r="C29" s="396">
        <f>SUM(C4:C28)</f>
        <v>341</v>
      </c>
      <c r="D29" s="397">
        <f>SUM(D4:D28)</f>
        <v>245</v>
      </c>
      <c r="E29" s="435"/>
      <c r="F29" s="435"/>
      <c r="G29" s="435"/>
      <c r="H29" s="435"/>
      <c r="I29" s="435"/>
      <c r="J29" s="435"/>
      <c r="K29" s="435"/>
    </row>
    <row r="30" spans="2:17">
      <c r="B30" s="398"/>
      <c r="C30" s="10"/>
      <c r="D30" s="399"/>
      <c r="E30" s="435"/>
      <c r="F30" s="435"/>
      <c r="G30" s="435"/>
      <c r="H30" s="435"/>
      <c r="I30" s="435"/>
      <c r="J30" s="435"/>
      <c r="K30" s="435"/>
    </row>
    <row r="31" spans="2:17">
      <c r="B31" s="400" t="s">
        <v>12</v>
      </c>
      <c r="C31" s="1136">
        <f>SUM(C29,D29)</f>
        <v>586</v>
      </c>
      <c r="D31" s="1137"/>
      <c r="E31" s="435"/>
      <c r="F31" s="435"/>
      <c r="G31" s="435"/>
      <c r="H31" s="435"/>
      <c r="I31" s="435"/>
      <c r="J31" s="435"/>
      <c r="K31" s="435"/>
    </row>
    <row r="32" spans="2:17">
      <c r="B32" s="247"/>
      <c r="C32" s="253"/>
      <c r="D32" s="253"/>
      <c r="E32" s="435"/>
      <c r="F32" s="435"/>
      <c r="G32" s="435"/>
      <c r="H32" s="435"/>
      <c r="I32" s="435"/>
      <c r="J32" s="435"/>
      <c r="K32" s="435"/>
    </row>
    <row r="33" spans="2:11">
      <c r="B33" s="247"/>
      <c r="C33" s="253"/>
      <c r="D33" s="253"/>
      <c r="E33" s="435"/>
      <c r="F33" s="435"/>
      <c r="G33" s="435"/>
      <c r="H33" s="435"/>
      <c r="I33" s="435"/>
      <c r="J33" s="435"/>
      <c r="K33" s="435"/>
    </row>
    <row r="34" spans="2:11">
      <c r="B34" s="247"/>
      <c r="C34" s="253"/>
      <c r="D34" s="253"/>
      <c r="E34" s="435"/>
      <c r="F34" s="435"/>
      <c r="G34" s="435"/>
      <c r="H34" s="435"/>
      <c r="I34" s="435"/>
      <c r="J34" s="435"/>
      <c r="K34" s="435"/>
    </row>
    <row r="35" spans="2:11">
      <c r="E35" s="435"/>
      <c r="F35" s="435"/>
      <c r="G35" s="435"/>
      <c r="H35" s="435"/>
      <c r="I35" s="435"/>
      <c r="J35" s="435"/>
      <c r="K35" s="435"/>
    </row>
    <row r="36" spans="2:11">
      <c r="E36" s="435"/>
      <c r="F36" s="435"/>
      <c r="G36" s="435"/>
      <c r="H36" s="435"/>
      <c r="I36" s="435"/>
      <c r="J36" s="437"/>
      <c r="K36" s="437"/>
    </row>
    <row r="37" spans="2:11" ht="26.25" customHeight="1">
      <c r="B37" s="1140" t="s">
        <v>13</v>
      </c>
      <c r="C37" s="1141"/>
      <c r="D37" s="1144" t="s">
        <v>14</v>
      </c>
      <c r="E37" s="1144"/>
      <c r="F37" s="1144"/>
      <c r="G37" s="1144"/>
      <c r="H37" s="1144"/>
      <c r="I37" s="1145"/>
      <c r="J37" s="402" t="s">
        <v>15</v>
      </c>
      <c r="K37" s="152"/>
    </row>
    <row r="38" spans="2:11" ht="20.25" customHeight="1">
      <c r="B38" s="1142"/>
      <c r="C38" s="1143"/>
      <c r="D38" s="1146" t="s">
        <v>16</v>
      </c>
      <c r="E38" s="1146"/>
      <c r="F38" s="1146"/>
      <c r="G38" s="1146"/>
      <c r="H38" s="1146"/>
      <c r="I38" s="1147"/>
      <c r="J38" s="402" t="s">
        <v>17</v>
      </c>
    </row>
    <row r="39" spans="2:11">
      <c r="B39" s="1138" t="s">
        <v>18</v>
      </c>
      <c r="C39" s="1138"/>
      <c r="D39" s="304">
        <v>46084</v>
      </c>
      <c r="E39" s="403" t="s">
        <v>1460</v>
      </c>
      <c r="F39" s="1139" t="s">
        <v>124</v>
      </c>
      <c r="G39" s="1139"/>
      <c r="H39" s="404" t="s">
        <v>21</v>
      </c>
      <c r="I39" s="405" t="s">
        <v>867</v>
      </c>
      <c r="J39" s="199" t="s">
        <v>2603</v>
      </c>
    </row>
    <row r="40" spans="2:11">
      <c r="B40" s="449" t="s">
        <v>24</v>
      </c>
      <c r="C40" s="449"/>
      <c r="D40" s="203">
        <v>0.9145833333333333</v>
      </c>
      <c r="E40" s="204" t="s">
        <v>25</v>
      </c>
      <c r="F40" s="450" t="s">
        <v>26</v>
      </c>
      <c r="G40" s="450"/>
      <c r="H40" s="199" t="s">
        <v>27</v>
      </c>
      <c r="J40" s="202"/>
    </row>
    <row r="41" spans="2:11">
      <c r="B41" s="449" t="s">
        <v>30</v>
      </c>
      <c r="C41" s="449"/>
      <c r="D41" s="199" t="s">
        <v>31</v>
      </c>
      <c r="E41" s="199" t="s">
        <v>32</v>
      </c>
      <c r="F41" s="450">
        <v>73</v>
      </c>
      <c r="G41" s="450"/>
      <c r="H41" s="201" t="s">
        <v>33</v>
      </c>
      <c r="I41" s="202" t="s">
        <v>2787</v>
      </c>
      <c r="J41" s="202"/>
    </row>
    <row r="42" spans="2:11" ht="15" customHeight="1">
      <c r="B42" s="451" t="s">
        <v>35</v>
      </c>
      <c r="C42" s="451"/>
      <c r="D42" s="449" t="s">
        <v>2788</v>
      </c>
      <c r="E42" s="449"/>
      <c r="F42" s="449"/>
      <c r="G42" s="449"/>
      <c r="H42" s="449"/>
      <c r="I42" s="449"/>
      <c r="J42" s="449"/>
    </row>
    <row r="43" spans="2:11" ht="15" customHeight="1">
      <c r="B43" s="452" t="s">
        <v>2789</v>
      </c>
      <c r="C43" s="453"/>
      <c r="D43" s="453"/>
      <c r="E43" s="453"/>
      <c r="F43" s="453"/>
      <c r="G43" s="453"/>
      <c r="H43" s="453"/>
      <c r="I43" s="453"/>
      <c r="J43" s="454"/>
    </row>
    <row r="44" spans="2:11">
      <c r="B44" s="455"/>
      <c r="C44" s="456"/>
      <c r="D44" s="456"/>
      <c r="E44" s="456"/>
      <c r="F44" s="456"/>
      <c r="G44" s="456"/>
      <c r="H44" s="456"/>
      <c r="I44" s="456"/>
      <c r="J44" s="457"/>
    </row>
    <row r="45" spans="2:11">
      <c r="B45" s="455"/>
      <c r="C45" s="456"/>
      <c r="D45" s="456"/>
      <c r="E45" s="456"/>
      <c r="F45" s="456"/>
      <c r="G45" s="456"/>
      <c r="H45" s="456"/>
      <c r="I45" s="456"/>
      <c r="J45" s="457"/>
    </row>
    <row r="46" spans="2:11">
      <c r="B46" s="458"/>
      <c r="C46" s="459"/>
      <c r="D46" s="459"/>
      <c r="E46" s="459"/>
      <c r="F46" s="459"/>
      <c r="G46" s="459"/>
      <c r="H46" s="459"/>
      <c r="I46" s="459"/>
      <c r="J46" s="460"/>
    </row>
    <row r="47" spans="2:11" ht="18">
      <c r="B47" s="461" t="s">
        <v>38</v>
      </c>
      <c r="C47" s="462"/>
      <c r="D47" s="462"/>
      <c r="E47" s="462"/>
      <c r="F47" s="462"/>
      <c r="G47" s="462"/>
      <c r="H47" s="462"/>
      <c r="I47" s="463"/>
      <c r="J47" s="205" t="s">
        <v>39</v>
      </c>
    </row>
    <row r="48" spans="2:11">
      <c r="B48" s="200">
        <v>1</v>
      </c>
      <c r="C48" s="464" t="s">
        <v>2790</v>
      </c>
      <c r="D48" s="465"/>
      <c r="E48" s="465"/>
      <c r="F48" s="465"/>
      <c r="G48" s="465"/>
      <c r="H48" s="465"/>
      <c r="I48" s="466"/>
      <c r="J48" s="200" t="s">
        <v>26</v>
      </c>
    </row>
    <row r="49" spans="2:10">
      <c r="B49" s="200">
        <v>2</v>
      </c>
      <c r="C49" s="464" t="s">
        <v>2791</v>
      </c>
      <c r="D49" s="465"/>
      <c r="E49" s="465"/>
      <c r="F49" s="465"/>
      <c r="G49" s="465"/>
      <c r="H49" s="465"/>
      <c r="I49" s="466"/>
      <c r="J49" s="200" t="s">
        <v>26</v>
      </c>
    </row>
    <row r="50" spans="2:10">
      <c r="B50" s="254">
        <v>3</v>
      </c>
      <c r="C50" s="464" t="s">
        <v>2792</v>
      </c>
      <c r="D50" s="465"/>
      <c r="E50" s="465"/>
      <c r="F50" s="465"/>
      <c r="G50" s="465"/>
      <c r="H50" s="465"/>
      <c r="I50" s="466"/>
      <c r="J50" s="200" t="s">
        <v>26</v>
      </c>
    </row>
    <row r="51" spans="2:10">
      <c r="B51" s="254">
        <v>4</v>
      </c>
      <c r="C51" s="464" t="s">
        <v>2793</v>
      </c>
      <c r="D51" s="465"/>
      <c r="E51" s="465"/>
      <c r="F51" s="465"/>
      <c r="G51" s="465"/>
      <c r="H51" s="465"/>
      <c r="I51" s="466"/>
      <c r="J51" s="200" t="s">
        <v>26</v>
      </c>
    </row>
    <row r="52" spans="2:10" ht="18">
      <c r="B52" s="1115" t="s">
        <v>44</v>
      </c>
      <c r="C52" s="462"/>
      <c r="D52" s="462"/>
      <c r="E52" s="462"/>
      <c r="F52" s="462"/>
      <c r="G52" s="462"/>
      <c r="H52" s="462"/>
      <c r="I52" s="462"/>
      <c r="J52" s="463"/>
    </row>
    <row r="53" spans="2:10">
      <c r="B53" s="200" t="s">
        <v>45</v>
      </c>
      <c r="C53" s="1059" t="s">
        <v>2794</v>
      </c>
      <c r="D53" s="473"/>
      <c r="E53" s="473"/>
      <c r="F53" s="473"/>
      <c r="G53" s="473"/>
      <c r="H53" s="473"/>
      <c r="I53" s="473"/>
      <c r="J53" s="473"/>
    </row>
    <row r="54" spans="2:10">
      <c r="B54" s="206" t="s">
        <v>45</v>
      </c>
      <c r="C54" s="1059" t="s">
        <v>2795</v>
      </c>
      <c r="D54" s="473"/>
      <c r="E54" s="473"/>
      <c r="F54" s="473"/>
      <c r="G54" s="473"/>
      <c r="H54" s="473"/>
      <c r="I54" s="473"/>
      <c r="J54" s="473"/>
    </row>
    <row r="55" spans="2:10">
      <c r="B55" s="206" t="s">
        <v>45</v>
      </c>
      <c r="C55" s="1101" t="s">
        <v>2796</v>
      </c>
      <c r="D55" s="475"/>
      <c r="E55" s="475"/>
      <c r="F55" s="475"/>
      <c r="G55" s="475"/>
      <c r="H55" s="475"/>
      <c r="I55" s="475"/>
      <c r="J55" s="476"/>
    </row>
    <row r="56" spans="2:10">
      <c r="B56" s="206" t="s">
        <v>45</v>
      </c>
      <c r="C56" s="1101" t="s">
        <v>2797</v>
      </c>
      <c r="D56" s="475"/>
      <c r="E56" s="475"/>
      <c r="F56" s="475"/>
      <c r="G56" s="475"/>
      <c r="H56" s="475"/>
      <c r="I56" s="475"/>
      <c r="J56" s="476"/>
    </row>
    <row r="57" spans="2:10">
      <c r="B57" s="206" t="s">
        <v>45</v>
      </c>
      <c r="C57" s="464"/>
      <c r="D57" s="465"/>
      <c r="E57" s="465"/>
      <c r="F57" s="465"/>
      <c r="G57" s="465"/>
      <c r="H57" s="465"/>
      <c r="I57" s="465"/>
      <c r="J57" s="466"/>
    </row>
    <row r="58" spans="2:10">
      <c r="B58" s="200" t="s">
        <v>45</v>
      </c>
      <c r="C58" s="464"/>
      <c r="D58" s="465"/>
      <c r="E58" s="465"/>
      <c r="F58" s="465"/>
      <c r="G58" s="465"/>
      <c r="H58" s="465"/>
      <c r="I58" s="465"/>
      <c r="J58" s="466"/>
    </row>
    <row r="59" spans="2:10">
      <c r="B59" s="200" t="s">
        <v>7</v>
      </c>
      <c r="C59" s="1135" t="s">
        <v>2798</v>
      </c>
      <c r="D59" s="475"/>
      <c r="E59" s="475"/>
      <c r="F59" s="475"/>
      <c r="G59" s="475"/>
      <c r="H59" s="475"/>
      <c r="I59" s="475"/>
      <c r="J59" s="476"/>
    </row>
    <row r="60" spans="2:10" ht="18">
      <c r="B60" s="205" t="s">
        <v>52</v>
      </c>
      <c r="C60" s="477" t="s">
        <v>53</v>
      </c>
      <c r="D60" s="477"/>
      <c r="E60" s="477"/>
      <c r="F60" s="477"/>
      <c r="G60" s="477"/>
      <c r="H60" s="205" t="s">
        <v>54</v>
      </c>
      <c r="I60" s="205" t="s">
        <v>55</v>
      </c>
      <c r="J60" s="205" t="s">
        <v>56</v>
      </c>
    </row>
    <row r="61" spans="2:10" ht="31.5" customHeight="1">
      <c r="B61" s="200">
        <v>1</v>
      </c>
      <c r="C61" s="1102" t="s">
        <v>2799</v>
      </c>
      <c r="D61" s="451"/>
      <c r="E61" s="451"/>
      <c r="F61" s="451"/>
      <c r="G61" s="451"/>
      <c r="H61" s="200" t="s">
        <v>2800</v>
      </c>
      <c r="I61" s="207" t="s">
        <v>1692</v>
      </c>
      <c r="J61" s="200"/>
    </row>
    <row r="62" spans="2:10" ht="31.5" customHeight="1">
      <c r="B62" s="200">
        <v>1</v>
      </c>
      <c r="C62" s="1102" t="s">
        <v>2801</v>
      </c>
      <c r="D62" s="451"/>
      <c r="E62" s="451"/>
      <c r="F62" s="451"/>
      <c r="G62" s="451"/>
      <c r="H62" s="200" t="s">
        <v>2191</v>
      </c>
      <c r="I62" s="207" t="s">
        <v>1692</v>
      </c>
      <c r="J62" s="200"/>
    </row>
    <row r="63" spans="2:10" ht="31.5" customHeight="1">
      <c r="B63" s="200">
        <v>2</v>
      </c>
      <c r="C63" s="1102"/>
      <c r="D63" s="451"/>
      <c r="E63" s="451"/>
      <c r="F63" s="451"/>
      <c r="G63" s="451"/>
      <c r="H63" s="200"/>
      <c r="I63" s="207"/>
      <c r="J63" s="200"/>
    </row>
    <row r="64" spans="2:10">
      <c r="B64" s="450" t="s">
        <v>63</v>
      </c>
      <c r="C64" s="450"/>
      <c r="D64" s="199" t="s">
        <v>31</v>
      </c>
      <c r="E64" s="198" t="s">
        <v>64</v>
      </c>
      <c r="F64" s="467"/>
      <c r="G64" s="469"/>
      <c r="H64" s="199"/>
      <c r="I64" s="199"/>
      <c r="J64" s="199"/>
    </row>
    <row r="65" spans="2:11" ht="45.75">
      <c r="B65" s="201" t="s">
        <v>66</v>
      </c>
      <c r="C65" s="450"/>
      <c r="D65" s="450"/>
      <c r="E65" s="201" t="s">
        <v>67</v>
      </c>
      <c r="F65" s="450"/>
      <c r="G65" s="450"/>
      <c r="H65" s="201" t="s">
        <v>68</v>
      </c>
      <c r="I65" s="450"/>
      <c r="J65" s="450"/>
    </row>
    <row r="66" spans="2:11">
      <c r="B66" s="247"/>
      <c r="C66" s="253"/>
      <c r="D66" s="253"/>
      <c r="E66" s="247"/>
      <c r="F66" s="253"/>
      <c r="G66" s="253"/>
      <c r="H66" s="247"/>
      <c r="I66" s="253"/>
      <c r="J66" s="253"/>
    </row>
    <row r="67" spans="2:11">
      <c r="B67" s="247"/>
      <c r="C67" s="253"/>
      <c r="D67" s="253"/>
      <c r="E67" s="247"/>
      <c r="F67" s="253"/>
      <c r="G67" s="253"/>
      <c r="H67" s="247"/>
      <c r="I67" s="253"/>
      <c r="J67" s="253"/>
    </row>
    <row r="68" spans="2:11">
      <c r="B68" s="247"/>
      <c r="C68" s="253"/>
      <c r="D68" s="253"/>
      <c r="E68" s="247"/>
      <c r="F68" s="253"/>
      <c r="G68" s="253"/>
      <c r="H68" s="247"/>
      <c r="I68" s="253"/>
      <c r="J68" s="253"/>
    </row>
    <row r="69" spans="2:11">
      <c r="B69" s="247"/>
      <c r="C69" s="253"/>
      <c r="D69" s="253"/>
      <c r="E69" s="247"/>
      <c r="F69" s="253"/>
      <c r="G69" s="253"/>
      <c r="H69" s="247"/>
      <c r="I69" s="253"/>
      <c r="J69" s="253"/>
    </row>
    <row r="70" spans="2:11" ht="26.25" customHeight="1">
      <c r="B70" s="1140" t="s">
        <v>13</v>
      </c>
      <c r="C70" s="1141"/>
      <c r="D70" s="1144" t="s">
        <v>14</v>
      </c>
      <c r="E70" s="1144"/>
      <c r="F70" s="1144"/>
      <c r="G70" s="1144"/>
      <c r="H70" s="1144"/>
      <c r="I70" s="1145"/>
      <c r="J70" s="402" t="s">
        <v>15</v>
      </c>
      <c r="K70" s="152"/>
    </row>
    <row r="71" spans="2:11" ht="20.25" customHeight="1">
      <c r="B71" s="1142"/>
      <c r="C71" s="1143"/>
      <c r="D71" s="1146" t="s">
        <v>16</v>
      </c>
      <c r="E71" s="1146"/>
      <c r="F71" s="1146"/>
      <c r="G71" s="1146"/>
      <c r="H71" s="1146"/>
      <c r="I71" s="1147"/>
      <c r="J71" s="402" t="s">
        <v>17</v>
      </c>
    </row>
    <row r="72" spans="2:11">
      <c r="B72" s="1138" t="s">
        <v>18</v>
      </c>
      <c r="C72" s="1138"/>
      <c r="D72" s="304">
        <v>46089</v>
      </c>
      <c r="E72" s="403" t="s">
        <v>1460</v>
      </c>
      <c r="F72" s="1139" t="s">
        <v>124</v>
      </c>
      <c r="G72" s="1139"/>
      <c r="H72" s="404" t="s">
        <v>21</v>
      </c>
      <c r="I72" s="405" t="s">
        <v>917</v>
      </c>
      <c r="J72" s="199" t="s">
        <v>2603</v>
      </c>
    </row>
    <row r="73" spans="2:11">
      <c r="B73" s="449" t="s">
        <v>24</v>
      </c>
      <c r="C73" s="449"/>
      <c r="D73" s="203">
        <v>5.347222222222222E-2</v>
      </c>
      <c r="E73" s="204" t="s">
        <v>25</v>
      </c>
      <c r="F73" s="450" t="s">
        <v>26</v>
      </c>
      <c r="G73" s="450"/>
      <c r="H73" s="199" t="s">
        <v>27</v>
      </c>
      <c r="J73" s="202"/>
    </row>
    <row r="74" spans="2:11">
      <c r="B74" s="449" t="s">
        <v>30</v>
      </c>
      <c r="C74" s="449"/>
      <c r="D74" s="199" t="s">
        <v>31</v>
      </c>
      <c r="E74" s="199" t="s">
        <v>32</v>
      </c>
      <c r="F74" s="450">
        <v>38</v>
      </c>
      <c r="G74" s="450"/>
      <c r="H74" s="201" t="s">
        <v>33</v>
      </c>
      <c r="I74" s="202" t="s">
        <v>1484</v>
      </c>
      <c r="J74" s="202"/>
    </row>
    <row r="75" spans="2:11" ht="15" customHeight="1">
      <c r="B75" s="451" t="s">
        <v>35</v>
      </c>
      <c r="C75" s="451"/>
      <c r="D75" s="449" t="s">
        <v>2802</v>
      </c>
      <c r="E75" s="449"/>
      <c r="F75" s="449"/>
      <c r="G75" s="449"/>
      <c r="H75" s="449"/>
      <c r="I75" s="449"/>
      <c r="J75" s="449"/>
    </row>
    <row r="76" spans="2:11" ht="15" customHeight="1">
      <c r="B76" s="452" t="s">
        <v>2803</v>
      </c>
      <c r="C76" s="453"/>
      <c r="D76" s="453"/>
      <c r="E76" s="453"/>
      <c r="F76" s="453"/>
      <c r="G76" s="453"/>
      <c r="H76" s="453"/>
      <c r="I76" s="453"/>
      <c r="J76" s="454"/>
    </row>
    <row r="77" spans="2:11">
      <c r="B77" s="455"/>
      <c r="C77" s="456"/>
      <c r="D77" s="456"/>
      <c r="E77" s="456"/>
      <c r="F77" s="456"/>
      <c r="G77" s="456"/>
      <c r="H77" s="456"/>
      <c r="I77" s="456"/>
      <c r="J77" s="457"/>
    </row>
    <row r="78" spans="2:11">
      <c r="B78" s="455"/>
      <c r="C78" s="456"/>
      <c r="D78" s="456"/>
      <c r="E78" s="456"/>
      <c r="F78" s="456"/>
      <c r="G78" s="456"/>
      <c r="H78" s="456"/>
      <c r="I78" s="456"/>
      <c r="J78" s="457"/>
    </row>
    <row r="79" spans="2:11">
      <c r="B79" s="458"/>
      <c r="C79" s="459"/>
      <c r="D79" s="459"/>
      <c r="E79" s="459"/>
      <c r="F79" s="459"/>
      <c r="G79" s="459"/>
      <c r="H79" s="459"/>
      <c r="I79" s="459"/>
      <c r="J79" s="460"/>
    </row>
    <row r="80" spans="2:11" ht="18">
      <c r="B80" s="461" t="s">
        <v>38</v>
      </c>
      <c r="C80" s="462"/>
      <c r="D80" s="462"/>
      <c r="E80" s="462"/>
      <c r="F80" s="462"/>
      <c r="G80" s="462"/>
      <c r="H80" s="462"/>
      <c r="I80" s="463"/>
      <c r="J80" s="205" t="s">
        <v>39</v>
      </c>
    </row>
    <row r="81" spans="2:10">
      <c r="B81" s="200">
        <v>1</v>
      </c>
      <c r="C81" s="464" t="s">
        <v>2804</v>
      </c>
      <c r="D81" s="465"/>
      <c r="E81" s="465"/>
      <c r="F81" s="465"/>
      <c r="G81" s="465"/>
      <c r="H81" s="465"/>
      <c r="I81" s="466"/>
      <c r="J81" s="200" t="s">
        <v>26</v>
      </c>
    </row>
    <row r="82" spans="2:10">
      <c r="B82" s="200">
        <v>2</v>
      </c>
      <c r="C82" s="464" t="s">
        <v>2805</v>
      </c>
      <c r="D82" s="465"/>
      <c r="E82" s="465"/>
      <c r="F82" s="465"/>
      <c r="G82" s="465"/>
      <c r="H82" s="465"/>
      <c r="I82" s="466"/>
      <c r="J82" s="200" t="s">
        <v>26</v>
      </c>
    </row>
    <row r="83" spans="2:10">
      <c r="B83" s="254">
        <v>3</v>
      </c>
      <c r="C83" s="464" t="s">
        <v>2806</v>
      </c>
      <c r="D83" s="465"/>
      <c r="E83" s="465"/>
      <c r="F83" s="465"/>
      <c r="G83" s="465"/>
      <c r="H83" s="465"/>
      <c r="I83" s="466"/>
      <c r="J83" s="200" t="s">
        <v>26</v>
      </c>
    </row>
    <row r="84" spans="2:10">
      <c r="B84" s="254">
        <v>4</v>
      </c>
      <c r="C84" s="464" t="s">
        <v>2807</v>
      </c>
      <c r="D84" s="465"/>
      <c r="E84" s="465"/>
      <c r="F84" s="465"/>
      <c r="G84" s="465"/>
      <c r="H84" s="465"/>
      <c r="I84" s="466"/>
      <c r="J84" s="200" t="s">
        <v>26</v>
      </c>
    </row>
    <row r="85" spans="2:10" ht="18">
      <c r="B85" s="1115" t="s">
        <v>44</v>
      </c>
      <c r="C85" s="462"/>
      <c r="D85" s="462"/>
      <c r="E85" s="462"/>
      <c r="F85" s="462"/>
      <c r="G85" s="462"/>
      <c r="H85" s="462"/>
      <c r="I85" s="462"/>
      <c r="J85" s="463"/>
    </row>
    <row r="86" spans="2:10">
      <c r="B86" s="200" t="s">
        <v>45</v>
      </c>
      <c r="C86" s="1059" t="s">
        <v>2794</v>
      </c>
      <c r="D86" s="473"/>
      <c r="E86" s="473"/>
      <c r="F86" s="473"/>
      <c r="G86" s="473"/>
      <c r="H86" s="473"/>
      <c r="I86" s="473"/>
      <c r="J86" s="473"/>
    </row>
    <row r="87" spans="2:10">
      <c r="B87" s="206" t="s">
        <v>45</v>
      </c>
      <c r="C87" s="1059" t="s">
        <v>2808</v>
      </c>
      <c r="D87" s="473"/>
      <c r="E87" s="473"/>
      <c r="F87" s="473"/>
      <c r="G87" s="473"/>
      <c r="H87" s="473"/>
      <c r="I87" s="473"/>
      <c r="J87" s="473"/>
    </row>
    <row r="88" spans="2:10">
      <c r="B88" s="206" t="s">
        <v>45</v>
      </c>
      <c r="C88" s="1101" t="s">
        <v>2809</v>
      </c>
      <c r="D88" s="475"/>
      <c r="E88" s="475"/>
      <c r="F88" s="475"/>
      <c r="G88" s="475"/>
      <c r="H88" s="475"/>
      <c r="I88" s="475"/>
      <c r="J88" s="476"/>
    </row>
    <row r="89" spans="2:10">
      <c r="B89" s="206" t="s">
        <v>45</v>
      </c>
      <c r="C89" s="1101" t="s">
        <v>2810</v>
      </c>
      <c r="D89" s="475"/>
      <c r="E89" s="475"/>
      <c r="F89" s="475"/>
      <c r="G89" s="475"/>
      <c r="H89" s="475"/>
      <c r="I89" s="475"/>
      <c r="J89" s="476"/>
    </row>
    <row r="90" spans="2:10">
      <c r="B90" s="206" t="s">
        <v>45</v>
      </c>
      <c r="C90" s="464"/>
      <c r="D90" s="465"/>
      <c r="E90" s="465"/>
      <c r="F90" s="465"/>
      <c r="G90" s="465"/>
      <c r="H90" s="465"/>
      <c r="I90" s="465"/>
      <c r="J90" s="466"/>
    </row>
    <row r="91" spans="2:10">
      <c r="B91" s="200" t="s">
        <v>45</v>
      </c>
      <c r="C91" s="464"/>
      <c r="D91" s="465"/>
      <c r="E91" s="465"/>
      <c r="F91" s="465"/>
      <c r="G91" s="465"/>
      <c r="H91" s="465"/>
      <c r="I91" s="465"/>
      <c r="J91" s="466"/>
    </row>
    <row r="92" spans="2:10" ht="15.75">
      <c r="B92" s="200" t="s">
        <v>7</v>
      </c>
      <c r="C92" s="1148" t="s">
        <v>2765</v>
      </c>
      <c r="D92" s="1149"/>
      <c r="E92" s="1149"/>
      <c r="F92" s="1149"/>
      <c r="G92" s="1149"/>
      <c r="H92" s="1149"/>
      <c r="I92" s="1149"/>
      <c r="J92" s="1150"/>
    </row>
    <row r="93" spans="2:10" ht="18">
      <c r="B93" s="205" t="s">
        <v>52</v>
      </c>
      <c r="C93" s="477" t="s">
        <v>53</v>
      </c>
      <c r="D93" s="477"/>
      <c r="E93" s="477"/>
      <c r="F93" s="477"/>
      <c r="G93" s="477"/>
      <c r="H93" s="205" t="s">
        <v>54</v>
      </c>
      <c r="I93" s="205" t="s">
        <v>55</v>
      </c>
      <c r="J93" s="205" t="s">
        <v>56</v>
      </c>
    </row>
    <row r="94" spans="2:10" ht="31.5" customHeight="1">
      <c r="B94" s="200">
        <v>1</v>
      </c>
      <c r="C94" s="1102" t="s">
        <v>2811</v>
      </c>
      <c r="D94" s="451"/>
      <c r="E94" s="451"/>
      <c r="F94" s="451"/>
      <c r="G94" s="451"/>
      <c r="H94" s="200" t="s">
        <v>2800</v>
      </c>
      <c r="I94" s="207" t="s">
        <v>1692</v>
      </c>
      <c r="J94" s="200"/>
    </row>
    <row r="95" spans="2:10" ht="31.5" customHeight="1">
      <c r="B95" s="200">
        <v>1</v>
      </c>
      <c r="C95" s="1102" t="s">
        <v>2812</v>
      </c>
      <c r="D95" s="451"/>
      <c r="E95" s="451"/>
      <c r="F95" s="451"/>
      <c r="G95" s="451"/>
      <c r="H95" s="200" t="s">
        <v>2813</v>
      </c>
      <c r="I95" s="207" t="s">
        <v>1692</v>
      </c>
      <c r="J95" s="200"/>
    </row>
    <row r="96" spans="2:10" ht="31.5" customHeight="1">
      <c r="B96" s="200">
        <v>2</v>
      </c>
      <c r="C96" s="1102"/>
      <c r="D96" s="451"/>
      <c r="E96" s="451"/>
      <c r="F96" s="451"/>
      <c r="G96" s="451"/>
      <c r="H96" s="200"/>
      <c r="I96" s="207"/>
      <c r="J96" s="200"/>
    </row>
    <row r="97" spans="2:10">
      <c r="B97" s="450" t="s">
        <v>63</v>
      </c>
      <c r="C97" s="450"/>
      <c r="D97" s="199" t="s">
        <v>31</v>
      </c>
      <c r="E97" s="198" t="s">
        <v>64</v>
      </c>
      <c r="F97" s="467"/>
      <c r="G97" s="469"/>
      <c r="H97" s="199"/>
      <c r="I97" s="199"/>
      <c r="J97" s="199"/>
    </row>
    <row r="98" spans="2:10" ht="45.75">
      <c r="B98" s="201" t="s">
        <v>66</v>
      </c>
      <c r="C98" s="450"/>
      <c r="D98" s="450"/>
      <c r="E98" s="201" t="s">
        <v>67</v>
      </c>
      <c r="F98" s="450"/>
      <c r="G98" s="450"/>
      <c r="H98" s="201" t="s">
        <v>68</v>
      </c>
      <c r="I98" s="450"/>
      <c r="J98" s="450"/>
    </row>
    <row r="99" spans="2:10">
      <c r="B99" s="247"/>
      <c r="C99" s="253"/>
      <c r="D99" s="253"/>
      <c r="E99" s="247"/>
      <c r="F99" s="253"/>
      <c r="G99" s="253"/>
      <c r="H99" s="247"/>
      <c r="I99" s="253"/>
      <c r="J99" s="253"/>
    </row>
    <row r="100" spans="2:10" ht="26.25">
      <c r="B100" s="1140" t="s">
        <v>13</v>
      </c>
      <c r="C100" s="1141"/>
      <c r="D100" s="1144" t="s">
        <v>14</v>
      </c>
      <c r="E100" s="1144"/>
      <c r="F100" s="1144"/>
      <c r="G100" s="1144"/>
      <c r="H100" s="1144"/>
      <c r="I100" s="1145"/>
      <c r="J100" s="402" t="s">
        <v>15</v>
      </c>
    </row>
    <row r="101" spans="2:10" ht="20.25">
      <c r="B101" s="1142"/>
      <c r="C101" s="1143"/>
      <c r="D101" s="1146" t="s">
        <v>16</v>
      </c>
      <c r="E101" s="1146"/>
      <c r="F101" s="1146"/>
      <c r="G101" s="1146"/>
      <c r="H101" s="1146"/>
      <c r="I101" s="1147"/>
      <c r="J101" s="402" t="s">
        <v>17</v>
      </c>
    </row>
    <row r="102" spans="2:10">
      <c r="B102" s="1138" t="s">
        <v>18</v>
      </c>
      <c r="C102" s="1138"/>
      <c r="D102" s="304">
        <v>46091</v>
      </c>
      <c r="E102" s="403" t="s">
        <v>1460</v>
      </c>
      <c r="F102" s="1139" t="s">
        <v>124</v>
      </c>
      <c r="G102" s="1139"/>
      <c r="H102" s="404" t="s">
        <v>21</v>
      </c>
      <c r="I102" s="405" t="s">
        <v>867</v>
      </c>
      <c r="J102" s="199" t="s">
        <v>2603</v>
      </c>
    </row>
    <row r="103" spans="2:10">
      <c r="B103" s="449" t="s">
        <v>24</v>
      </c>
      <c r="C103" s="449"/>
      <c r="D103" s="203">
        <v>0.12013888888888889</v>
      </c>
      <c r="E103" s="204" t="s">
        <v>25</v>
      </c>
      <c r="F103" s="450" t="s">
        <v>26</v>
      </c>
      <c r="G103" s="450"/>
      <c r="H103" s="199" t="s">
        <v>27</v>
      </c>
      <c r="J103" s="202"/>
    </row>
    <row r="104" spans="2:10" ht="30.75">
      <c r="B104" s="449" t="s">
        <v>30</v>
      </c>
      <c r="C104" s="449"/>
      <c r="D104" s="199" t="s">
        <v>31</v>
      </c>
      <c r="E104" s="199" t="s">
        <v>32</v>
      </c>
      <c r="F104" s="450">
        <v>41</v>
      </c>
      <c r="G104" s="450"/>
      <c r="H104" s="201" t="s">
        <v>33</v>
      </c>
      <c r="I104" s="202" t="s">
        <v>2814</v>
      </c>
      <c r="J104" s="202"/>
    </row>
    <row r="105" spans="2:10">
      <c r="B105" s="451" t="s">
        <v>35</v>
      </c>
      <c r="C105" s="451"/>
      <c r="D105" s="449" t="s">
        <v>2802</v>
      </c>
      <c r="E105" s="449"/>
      <c r="F105" s="449"/>
      <c r="G105" s="449"/>
      <c r="H105" s="449"/>
      <c r="I105" s="449"/>
      <c r="J105" s="449"/>
    </row>
    <row r="106" spans="2:10">
      <c r="B106" s="452" t="s">
        <v>2815</v>
      </c>
      <c r="C106" s="453"/>
      <c r="D106" s="453"/>
      <c r="E106" s="453"/>
      <c r="F106" s="453"/>
      <c r="G106" s="453"/>
      <c r="H106" s="453"/>
      <c r="I106" s="453"/>
      <c r="J106" s="454"/>
    </row>
    <row r="107" spans="2:10">
      <c r="B107" s="455"/>
      <c r="C107" s="456"/>
      <c r="D107" s="456"/>
      <c r="E107" s="456"/>
      <c r="F107" s="456"/>
      <c r="G107" s="456"/>
      <c r="H107" s="456"/>
      <c r="I107" s="456"/>
      <c r="J107" s="457"/>
    </row>
    <row r="108" spans="2:10">
      <c r="B108" s="455"/>
      <c r="C108" s="456"/>
      <c r="D108" s="456"/>
      <c r="E108" s="456"/>
      <c r="F108" s="456"/>
      <c r="G108" s="456"/>
      <c r="H108" s="456"/>
      <c r="I108" s="456"/>
      <c r="J108" s="457"/>
    </row>
    <row r="109" spans="2:10">
      <c r="B109" s="458"/>
      <c r="C109" s="459"/>
      <c r="D109" s="459"/>
      <c r="E109" s="459"/>
      <c r="F109" s="459"/>
      <c r="G109" s="459"/>
      <c r="H109" s="459"/>
      <c r="I109" s="459"/>
      <c r="J109" s="460"/>
    </row>
    <row r="110" spans="2:10" ht="18">
      <c r="B110" s="461" t="s">
        <v>38</v>
      </c>
      <c r="C110" s="462"/>
      <c r="D110" s="462"/>
      <c r="E110" s="462"/>
      <c r="F110" s="462"/>
      <c r="G110" s="462"/>
      <c r="H110" s="462"/>
      <c r="I110" s="463"/>
      <c r="J110" s="205" t="s">
        <v>39</v>
      </c>
    </row>
    <row r="111" spans="2:10">
      <c r="B111" s="200">
        <v>1</v>
      </c>
      <c r="C111" s="464"/>
      <c r="D111" s="465"/>
      <c r="E111" s="465"/>
      <c r="F111" s="465"/>
      <c r="G111" s="465"/>
      <c r="H111" s="465"/>
      <c r="I111" s="466"/>
      <c r="J111" s="200"/>
    </row>
    <row r="112" spans="2:10">
      <c r="B112" s="200">
        <v>2</v>
      </c>
      <c r="C112" s="464"/>
      <c r="D112" s="465"/>
      <c r="E112" s="465"/>
      <c r="F112" s="465"/>
      <c r="G112" s="465"/>
      <c r="H112" s="465"/>
      <c r="I112" s="466"/>
      <c r="J112" s="200"/>
    </row>
    <row r="113" spans="2:10">
      <c r="B113" s="254">
        <v>3</v>
      </c>
      <c r="C113" s="464"/>
      <c r="D113" s="465"/>
      <c r="E113" s="465"/>
      <c r="F113" s="465"/>
      <c r="G113" s="465"/>
      <c r="H113" s="465"/>
      <c r="I113" s="466"/>
      <c r="J113" s="200"/>
    </row>
    <row r="114" spans="2:10">
      <c r="B114" s="254">
        <v>4</v>
      </c>
      <c r="C114" s="464"/>
      <c r="D114" s="465"/>
      <c r="E114" s="465"/>
      <c r="F114" s="465"/>
      <c r="G114" s="465"/>
      <c r="H114" s="465"/>
      <c r="I114" s="466"/>
      <c r="J114" s="200"/>
    </row>
    <row r="115" spans="2:10" ht="18">
      <c r="B115" s="1115" t="s">
        <v>44</v>
      </c>
      <c r="C115" s="462"/>
      <c r="D115" s="462"/>
      <c r="E115" s="462"/>
      <c r="F115" s="462"/>
      <c r="G115" s="462"/>
      <c r="H115" s="462"/>
      <c r="I115" s="462"/>
      <c r="J115" s="463"/>
    </row>
    <row r="116" spans="2:10">
      <c r="B116" s="200" t="s">
        <v>45</v>
      </c>
      <c r="C116" s="1059" t="s">
        <v>2794</v>
      </c>
      <c r="D116" s="473"/>
      <c r="E116" s="473"/>
      <c r="F116" s="473"/>
      <c r="G116" s="473"/>
      <c r="H116" s="473"/>
      <c r="I116" s="473"/>
      <c r="J116" s="473"/>
    </row>
    <row r="117" spans="2:10">
      <c r="B117" s="206" t="s">
        <v>45</v>
      </c>
      <c r="C117" s="1059" t="s">
        <v>2816</v>
      </c>
      <c r="D117" s="473"/>
      <c r="E117" s="473"/>
      <c r="F117" s="473"/>
      <c r="G117" s="473"/>
      <c r="H117" s="473"/>
      <c r="I117" s="473"/>
      <c r="J117" s="473"/>
    </row>
    <row r="118" spans="2:10">
      <c r="B118" s="206" t="s">
        <v>45</v>
      </c>
      <c r="C118" s="1101" t="s">
        <v>2817</v>
      </c>
      <c r="D118" s="475"/>
      <c r="E118" s="475"/>
      <c r="F118" s="475"/>
      <c r="G118" s="475"/>
      <c r="H118" s="475"/>
      <c r="I118" s="475"/>
      <c r="J118" s="476"/>
    </row>
    <row r="119" spans="2:10">
      <c r="B119" s="206" t="s">
        <v>45</v>
      </c>
      <c r="C119" s="1101" t="s">
        <v>2818</v>
      </c>
      <c r="D119" s="475"/>
      <c r="E119" s="475"/>
      <c r="F119" s="475"/>
      <c r="G119" s="475"/>
      <c r="H119" s="475"/>
      <c r="I119" s="475"/>
      <c r="J119" s="476"/>
    </row>
    <row r="120" spans="2:10">
      <c r="B120" s="206" t="s">
        <v>45</v>
      </c>
      <c r="C120" s="464"/>
      <c r="D120" s="465"/>
      <c r="E120" s="465"/>
      <c r="F120" s="465"/>
      <c r="G120" s="465"/>
      <c r="H120" s="465"/>
      <c r="I120" s="465"/>
      <c r="J120" s="466"/>
    </row>
    <row r="121" spans="2:10">
      <c r="B121" s="200" t="s">
        <v>45</v>
      </c>
      <c r="C121" s="464"/>
      <c r="D121" s="465"/>
      <c r="E121" s="465"/>
      <c r="F121" s="465"/>
      <c r="G121" s="465"/>
      <c r="H121" s="465"/>
      <c r="I121" s="465"/>
      <c r="J121" s="466"/>
    </row>
    <row r="122" spans="2:10">
      <c r="B122" s="200" t="s">
        <v>7</v>
      </c>
      <c r="C122" s="1101" t="s">
        <v>2817</v>
      </c>
      <c r="D122" s="475"/>
      <c r="E122" s="475"/>
      <c r="F122" s="475"/>
      <c r="G122" s="475"/>
      <c r="H122" s="475"/>
      <c r="I122" s="475"/>
      <c r="J122" s="476"/>
    </row>
    <row r="123" spans="2:10" ht="18">
      <c r="B123" s="205" t="s">
        <v>52</v>
      </c>
      <c r="C123" s="477" t="s">
        <v>53</v>
      </c>
      <c r="D123" s="477"/>
      <c r="E123" s="477"/>
      <c r="F123" s="477"/>
      <c r="G123" s="477"/>
      <c r="H123" s="205" t="s">
        <v>54</v>
      </c>
      <c r="I123" s="205" t="s">
        <v>55</v>
      </c>
      <c r="J123" s="205" t="s">
        <v>56</v>
      </c>
    </row>
    <row r="124" spans="2:10">
      <c r="B124" s="200">
        <v>1</v>
      </c>
      <c r="C124" s="1102"/>
      <c r="D124" s="451"/>
      <c r="E124" s="451"/>
      <c r="F124" s="451"/>
      <c r="G124" s="451"/>
      <c r="H124" s="200"/>
      <c r="I124" s="207" t="s">
        <v>1692</v>
      </c>
      <c r="J124" s="200"/>
    </row>
    <row r="125" spans="2:10">
      <c r="B125" s="200">
        <v>1</v>
      </c>
      <c r="C125" s="1102"/>
      <c r="D125" s="451"/>
      <c r="E125" s="451"/>
      <c r="F125" s="451"/>
      <c r="G125" s="451"/>
      <c r="H125" s="200"/>
      <c r="I125" s="207" t="s">
        <v>1692</v>
      </c>
      <c r="J125" s="200"/>
    </row>
    <row r="126" spans="2:10">
      <c r="B126" s="200">
        <v>2</v>
      </c>
      <c r="C126" s="1102"/>
      <c r="D126" s="451"/>
      <c r="E126" s="451"/>
      <c r="F126" s="451"/>
      <c r="G126" s="451"/>
      <c r="H126" s="200"/>
      <c r="I126" s="207"/>
      <c r="J126" s="200"/>
    </row>
    <row r="127" spans="2:10">
      <c r="B127" s="450" t="s">
        <v>63</v>
      </c>
      <c r="C127" s="450"/>
      <c r="D127" s="199" t="s">
        <v>31</v>
      </c>
      <c r="E127" s="198" t="s">
        <v>64</v>
      </c>
      <c r="F127" s="467"/>
      <c r="G127" s="469"/>
      <c r="H127" s="199"/>
      <c r="I127" s="199"/>
      <c r="J127" s="199"/>
    </row>
    <row r="128" spans="2:10" ht="45.75">
      <c r="B128" s="201" t="s">
        <v>66</v>
      </c>
      <c r="C128" s="450"/>
      <c r="D128" s="450"/>
      <c r="E128" s="201" t="s">
        <v>67</v>
      </c>
      <c r="F128" s="450"/>
      <c r="G128" s="450"/>
      <c r="H128" s="201" t="s">
        <v>68</v>
      </c>
      <c r="I128" s="450"/>
      <c r="J128" s="450"/>
    </row>
    <row r="129" spans="2:10">
      <c r="B129" s="247"/>
      <c r="C129" s="253"/>
      <c r="D129" s="253"/>
      <c r="E129" s="247"/>
      <c r="F129" s="253"/>
      <c r="G129" s="253"/>
      <c r="H129" s="247"/>
      <c r="I129" s="253"/>
      <c r="J129" s="253"/>
    </row>
    <row r="130" spans="2:10">
      <c r="B130" s="247"/>
      <c r="C130" s="253"/>
      <c r="D130" s="253"/>
      <c r="E130" s="247"/>
      <c r="F130" s="253"/>
      <c r="G130" s="253"/>
      <c r="H130" s="247"/>
      <c r="I130" s="253"/>
      <c r="J130" s="253"/>
    </row>
    <row r="131" spans="2:10">
      <c r="B131" s="247"/>
      <c r="C131" s="253"/>
      <c r="D131" s="253"/>
      <c r="E131" s="247"/>
      <c r="F131" s="253"/>
      <c r="G131" s="253"/>
      <c r="H131" s="247"/>
      <c r="I131" s="253"/>
      <c r="J131" s="253"/>
    </row>
    <row r="132" spans="2:10" ht="26.25">
      <c r="B132" s="1140" t="s">
        <v>13</v>
      </c>
      <c r="C132" s="1141"/>
      <c r="D132" s="1144" t="s">
        <v>14</v>
      </c>
      <c r="E132" s="1144"/>
      <c r="F132" s="1144"/>
      <c r="G132" s="1144"/>
      <c r="H132" s="1144"/>
      <c r="I132" s="1145"/>
      <c r="J132" s="402" t="s">
        <v>15</v>
      </c>
    </row>
    <row r="133" spans="2:10" ht="20.25">
      <c r="B133" s="1142"/>
      <c r="C133" s="1143"/>
      <c r="D133" s="1146" t="s">
        <v>16</v>
      </c>
      <c r="E133" s="1146"/>
      <c r="F133" s="1146"/>
      <c r="G133" s="1146"/>
      <c r="H133" s="1146"/>
      <c r="I133" s="1147"/>
      <c r="J133" s="402" t="s">
        <v>17</v>
      </c>
    </row>
    <row r="134" spans="2:10">
      <c r="B134" s="1138" t="s">
        <v>18</v>
      </c>
      <c r="C134" s="1138"/>
      <c r="D134" s="304">
        <v>46093</v>
      </c>
      <c r="E134" s="403" t="s">
        <v>1460</v>
      </c>
      <c r="F134" s="1139" t="s">
        <v>124</v>
      </c>
      <c r="G134" s="1139"/>
      <c r="H134" s="404" t="s">
        <v>21</v>
      </c>
      <c r="I134" s="405" t="s">
        <v>867</v>
      </c>
      <c r="J134" s="199" t="s">
        <v>2603</v>
      </c>
    </row>
    <row r="135" spans="2:10">
      <c r="B135" s="449" t="s">
        <v>24</v>
      </c>
      <c r="C135" s="449"/>
      <c r="D135" s="203">
        <v>2.7777777777777776E-2</v>
      </c>
      <c r="E135" s="204" t="s">
        <v>25</v>
      </c>
      <c r="F135" s="450" t="s">
        <v>26</v>
      </c>
      <c r="G135" s="450"/>
      <c r="H135" s="199" t="s">
        <v>27</v>
      </c>
      <c r="J135" s="202"/>
    </row>
    <row r="136" spans="2:10" ht="30.75">
      <c r="B136" s="449" t="s">
        <v>30</v>
      </c>
      <c r="C136" s="449"/>
      <c r="D136" s="199" t="s">
        <v>31</v>
      </c>
      <c r="E136" s="199" t="s">
        <v>32</v>
      </c>
      <c r="F136" s="450">
        <v>107</v>
      </c>
      <c r="G136" s="450"/>
      <c r="H136" s="201" t="s">
        <v>33</v>
      </c>
      <c r="I136" s="202" t="s">
        <v>2819</v>
      </c>
      <c r="J136" s="202"/>
    </row>
    <row r="137" spans="2:10">
      <c r="B137" s="451" t="s">
        <v>35</v>
      </c>
      <c r="C137" s="451"/>
      <c r="D137" s="449" t="s">
        <v>2802</v>
      </c>
      <c r="E137" s="449"/>
      <c r="F137" s="449"/>
      <c r="G137" s="449"/>
      <c r="H137" s="449"/>
      <c r="I137" s="449"/>
      <c r="J137" s="449"/>
    </row>
    <row r="138" spans="2:10">
      <c r="B138" s="452" t="s">
        <v>2820</v>
      </c>
      <c r="C138" s="453"/>
      <c r="D138" s="453"/>
      <c r="E138" s="453"/>
      <c r="F138" s="453"/>
      <c r="G138" s="453"/>
      <c r="H138" s="453"/>
      <c r="I138" s="453"/>
      <c r="J138" s="454"/>
    </row>
    <row r="139" spans="2:10">
      <c r="B139" s="455"/>
      <c r="C139" s="456"/>
      <c r="D139" s="456"/>
      <c r="E139" s="456"/>
      <c r="F139" s="456"/>
      <c r="G139" s="456"/>
      <c r="H139" s="456"/>
      <c r="I139" s="456"/>
      <c r="J139" s="457"/>
    </row>
    <row r="140" spans="2:10">
      <c r="B140" s="455"/>
      <c r="C140" s="456"/>
      <c r="D140" s="456"/>
      <c r="E140" s="456"/>
      <c r="F140" s="456"/>
      <c r="G140" s="456"/>
      <c r="H140" s="456"/>
      <c r="I140" s="456"/>
      <c r="J140" s="457"/>
    </row>
    <row r="141" spans="2:10">
      <c r="B141" s="458"/>
      <c r="C141" s="459"/>
      <c r="D141" s="459"/>
      <c r="E141" s="459"/>
      <c r="F141" s="459"/>
      <c r="G141" s="459"/>
      <c r="H141" s="459"/>
      <c r="I141" s="459"/>
      <c r="J141" s="460"/>
    </row>
    <row r="142" spans="2:10" ht="18">
      <c r="B142" s="461" t="s">
        <v>38</v>
      </c>
      <c r="C142" s="462"/>
      <c r="D142" s="462"/>
      <c r="E142" s="462"/>
      <c r="F142" s="462"/>
      <c r="G142" s="462"/>
      <c r="H142" s="462"/>
      <c r="I142" s="463"/>
      <c r="J142" s="205" t="s">
        <v>39</v>
      </c>
    </row>
    <row r="143" spans="2:10">
      <c r="B143" s="200">
        <v>1</v>
      </c>
      <c r="C143" s="464" t="s">
        <v>2821</v>
      </c>
      <c r="D143" s="465"/>
      <c r="E143" s="465"/>
      <c r="F143" s="465"/>
      <c r="G143" s="465"/>
      <c r="H143" s="465"/>
      <c r="I143" s="466"/>
      <c r="J143" s="200" t="s">
        <v>26</v>
      </c>
    </row>
    <row r="144" spans="2:10">
      <c r="B144" s="200">
        <v>2</v>
      </c>
      <c r="C144" s="464" t="s">
        <v>2822</v>
      </c>
      <c r="D144" s="465"/>
      <c r="E144" s="465"/>
      <c r="F144" s="465"/>
      <c r="G144" s="465"/>
      <c r="H144" s="465"/>
      <c r="I144" s="466"/>
      <c r="J144" s="200" t="s">
        <v>26</v>
      </c>
    </row>
    <row r="145" spans="2:10">
      <c r="B145" s="254">
        <v>3</v>
      </c>
      <c r="C145" s="464" t="s">
        <v>2823</v>
      </c>
      <c r="D145" s="465"/>
      <c r="E145" s="465"/>
      <c r="F145" s="465"/>
      <c r="G145" s="465"/>
      <c r="H145" s="465"/>
      <c r="I145" s="466"/>
      <c r="J145" s="200" t="s">
        <v>26</v>
      </c>
    </row>
    <row r="146" spans="2:10">
      <c r="B146" s="254">
        <v>4</v>
      </c>
      <c r="C146" s="464" t="s">
        <v>2824</v>
      </c>
      <c r="D146" s="465"/>
      <c r="E146" s="465"/>
      <c r="F146" s="465"/>
      <c r="G146" s="465"/>
      <c r="H146" s="465"/>
      <c r="I146" s="466"/>
      <c r="J146" s="200" t="s">
        <v>26</v>
      </c>
    </row>
    <row r="147" spans="2:10" ht="18">
      <c r="B147" s="1115" t="s">
        <v>44</v>
      </c>
      <c r="C147" s="462"/>
      <c r="D147" s="462"/>
      <c r="E147" s="462"/>
      <c r="F147" s="462"/>
      <c r="G147" s="462"/>
      <c r="H147" s="462"/>
      <c r="I147" s="462"/>
      <c r="J147" s="463"/>
    </row>
    <row r="148" spans="2:10">
      <c r="B148" s="200" t="s">
        <v>45</v>
      </c>
      <c r="C148" s="1059" t="s">
        <v>2825</v>
      </c>
      <c r="D148" s="473"/>
      <c r="E148" s="473"/>
      <c r="F148" s="473"/>
      <c r="G148" s="473"/>
      <c r="H148" s="473"/>
      <c r="I148" s="473"/>
      <c r="J148" s="473"/>
    </row>
    <row r="149" spans="2:10">
      <c r="B149" s="206" t="s">
        <v>45</v>
      </c>
      <c r="C149" s="1059" t="s">
        <v>2826</v>
      </c>
      <c r="D149" s="473"/>
      <c r="E149" s="473"/>
      <c r="F149" s="473"/>
      <c r="G149" s="473"/>
      <c r="H149" s="473"/>
      <c r="I149" s="473"/>
      <c r="J149" s="473"/>
    </row>
    <row r="150" spans="2:10">
      <c r="B150" s="206" t="s">
        <v>45</v>
      </c>
      <c r="C150" s="1101" t="s">
        <v>2827</v>
      </c>
      <c r="D150" s="475"/>
      <c r="E150" s="475"/>
      <c r="F150" s="475"/>
      <c r="G150" s="475"/>
      <c r="H150" s="475"/>
      <c r="I150" s="475"/>
      <c r="J150" s="476"/>
    </row>
    <row r="151" spans="2:10">
      <c r="B151" s="206" t="s">
        <v>45</v>
      </c>
      <c r="C151" s="1101" t="s">
        <v>2828</v>
      </c>
      <c r="D151" s="475"/>
      <c r="E151" s="475"/>
      <c r="F151" s="475"/>
      <c r="G151" s="475"/>
      <c r="H151" s="475"/>
      <c r="I151" s="475"/>
      <c r="J151" s="476"/>
    </row>
    <row r="152" spans="2:10">
      <c r="B152" s="206" t="s">
        <v>45</v>
      </c>
      <c r="C152" s="464"/>
      <c r="D152" s="465"/>
      <c r="E152" s="465"/>
      <c r="F152" s="465"/>
      <c r="G152" s="465"/>
      <c r="H152" s="465"/>
      <c r="I152" s="465"/>
      <c r="J152" s="466"/>
    </row>
    <row r="153" spans="2:10">
      <c r="B153" s="200" t="s">
        <v>45</v>
      </c>
      <c r="C153" s="464"/>
      <c r="D153" s="465"/>
      <c r="E153" s="465"/>
      <c r="F153" s="465"/>
      <c r="G153" s="465"/>
      <c r="H153" s="465"/>
      <c r="I153" s="465"/>
      <c r="J153" s="466"/>
    </row>
    <row r="154" spans="2:10">
      <c r="B154" s="200" t="s">
        <v>7</v>
      </c>
      <c r="C154" s="1101" t="s">
        <v>2829</v>
      </c>
      <c r="D154" s="475"/>
      <c r="E154" s="475"/>
      <c r="F154" s="475"/>
      <c r="G154" s="475"/>
      <c r="H154" s="475"/>
      <c r="I154" s="475"/>
      <c r="J154" s="476"/>
    </row>
    <row r="155" spans="2:10" ht="18">
      <c r="B155" s="205" t="s">
        <v>52</v>
      </c>
      <c r="C155" s="1153" t="s">
        <v>53</v>
      </c>
      <c r="D155" s="1153"/>
      <c r="E155" s="1153"/>
      <c r="F155" s="1153"/>
      <c r="G155" s="1153"/>
      <c r="H155" s="205" t="s">
        <v>54</v>
      </c>
      <c r="I155" s="205" t="s">
        <v>55</v>
      </c>
      <c r="J155" s="205" t="s">
        <v>56</v>
      </c>
    </row>
    <row r="156" spans="2:10">
      <c r="B156" s="206">
        <v>1</v>
      </c>
      <c r="C156" s="1059" t="s">
        <v>2830</v>
      </c>
      <c r="D156" s="473"/>
      <c r="E156" s="473"/>
      <c r="F156" s="473"/>
      <c r="G156" s="473"/>
      <c r="H156" s="406" t="s">
        <v>2831</v>
      </c>
      <c r="I156" s="207" t="s">
        <v>1692</v>
      </c>
      <c r="J156" s="200"/>
    </row>
    <row r="157" spans="2:10">
      <c r="B157" s="200">
        <v>2</v>
      </c>
      <c r="C157" s="1151"/>
      <c r="D157" s="1152"/>
      <c r="E157" s="1152"/>
      <c r="F157" s="1152"/>
      <c r="G157" s="1152"/>
      <c r="H157" s="200"/>
      <c r="I157" s="207"/>
      <c r="J157" s="200"/>
    </row>
    <row r="158" spans="2:10">
      <c r="B158" s="450" t="s">
        <v>63</v>
      </c>
      <c r="C158" s="450"/>
      <c r="D158" s="199" t="s">
        <v>31</v>
      </c>
      <c r="E158" s="198" t="s">
        <v>64</v>
      </c>
      <c r="F158" s="467"/>
      <c r="G158" s="469"/>
      <c r="H158" s="199"/>
      <c r="I158" s="199"/>
      <c r="J158" s="199"/>
    </row>
    <row r="159" spans="2:10" ht="45.75">
      <c r="B159" s="201" t="s">
        <v>66</v>
      </c>
      <c r="C159" s="450"/>
      <c r="D159" s="450"/>
      <c r="E159" s="201" t="s">
        <v>67</v>
      </c>
      <c r="F159" s="450"/>
      <c r="G159" s="450"/>
      <c r="H159" s="201" t="s">
        <v>68</v>
      </c>
      <c r="I159" s="450"/>
      <c r="J159" s="450"/>
    </row>
    <row r="160" spans="2:10">
      <c r="B160" s="247"/>
      <c r="C160" s="253"/>
      <c r="D160" s="253"/>
      <c r="E160" s="247"/>
      <c r="F160" s="253"/>
      <c r="G160" s="253"/>
      <c r="H160" s="247"/>
      <c r="I160" s="253"/>
      <c r="J160" s="253"/>
    </row>
    <row r="161" spans="2:11">
      <c r="B161" s="247"/>
      <c r="C161" s="253"/>
      <c r="D161" s="253"/>
      <c r="E161" s="247"/>
      <c r="F161" s="253"/>
      <c r="G161" s="253"/>
      <c r="H161" s="247"/>
      <c r="I161" s="253"/>
      <c r="J161" s="253"/>
    </row>
    <row r="162" spans="2:11">
      <c r="B162" s="247"/>
      <c r="C162" s="253"/>
      <c r="D162" s="253"/>
      <c r="E162" s="247"/>
      <c r="F162" s="253"/>
      <c r="G162" s="253"/>
      <c r="H162" s="247"/>
      <c r="I162" s="253"/>
      <c r="J162" s="253"/>
    </row>
    <row r="163" spans="2:11">
      <c r="B163" s="247"/>
      <c r="C163" s="253"/>
      <c r="D163" s="253"/>
      <c r="E163" s="247"/>
      <c r="F163" s="253"/>
      <c r="G163" s="253"/>
      <c r="H163" s="247"/>
      <c r="I163" s="253"/>
      <c r="J163" s="253"/>
    </row>
    <row r="164" spans="2:11">
      <c r="B164" s="247"/>
      <c r="C164" s="253"/>
      <c r="D164" s="253"/>
      <c r="E164" s="247"/>
      <c r="F164" s="253"/>
      <c r="G164" s="253"/>
      <c r="H164" s="247"/>
      <c r="I164" s="253"/>
      <c r="J164" s="253"/>
    </row>
    <row r="167" spans="2:11" ht="26.25">
      <c r="B167" s="1140" t="s">
        <v>13</v>
      </c>
      <c r="C167" s="1141"/>
      <c r="D167" s="1144" t="s">
        <v>14</v>
      </c>
      <c r="E167" s="1144"/>
      <c r="F167" s="1144"/>
      <c r="G167" s="1144"/>
      <c r="H167" s="1144"/>
      <c r="I167" s="1145"/>
      <c r="J167" s="402" t="s">
        <v>15</v>
      </c>
      <c r="K167" s="152"/>
    </row>
    <row r="168" spans="2:11" ht="20.25">
      <c r="B168" s="1142"/>
      <c r="C168" s="1143"/>
      <c r="D168" s="1146" t="s">
        <v>16</v>
      </c>
      <c r="E168" s="1146"/>
      <c r="F168" s="1146"/>
      <c r="G168" s="1146"/>
      <c r="H168" s="1146"/>
      <c r="I168" s="1147"/>
      <c r="J168" s="402" t="s">
        <v>17</v>
      </c>
    </row>
    <row r="169" spans="2:11">
      <c r="B169" s="1138" t="s">
        <v>18</v>
      </c>
      <c r="C169" s="1138"/>
      <c r="D169" s="304">
        <v>46095</v>
      </c>
      <c r="E169" s="403" t="s">
        <v>1460</v>
      </c>
      <c r="F169" s="1139" t="s">
        <v>124</v>
      </c>
      <c r="G169" s="1139"/>
      <c r="H169" s="404" t="s">
        <v>21</v>
      </c>
      <c r="I169" s="405" t="s">
        <v>917</v>
      </c>
      <c r="J169" s="199" t="s">
        <v>2603</v>
      </c>
    </row>
    <row r="170" spans="2:11">
      <c r="B170" s="449" t="s">
        <v>24</v>
      </c>
      <c r="C170" s="449"/>
      <c r="D170" s="203">
        <v>5.9027777777777776E-2</v>
      </c>
      <c r="E170" s="204" t="s">
        <v>25</v>
      </c>
      <c r="F170" s="450" t="s">
        <v>26</v>
      </c>
      <c r="G170" s="450"/>
      <c r="H170" s="199" t="s">
        <v>27</v>
      </c>
      <c r="I170" t="s">
        <v>2832</v>
      </c>
      <c r="J170" s="202"/>
    </row>
    <row r="171" spans="2:11" ht="30.75">
      <c r="B171" s="449" t="s">
        <v>30</v>
      </c>
      <c r="C171" s="449"/>
      <c r="D171" s="199" t="s">
        <v>31</v>
      </c>
      <c r="E171" s="199" t="s">
        <v>32</v>
      </c>
      <c r="F171" s="450">
        <v>207</v>
      </c>
      <c r="G171" s="450"/>
      <c r="H171" s="201" t="s">
        <v>33</v>
      </c>
      <c r="I171" s="202" t="s">
        <v>2833</v>
      </c>
      <c r="J171" s="202"/>
    </row>
    <row r="172" spans="2:11">
      <c r="B172" s="451" t="s">
        <v>35</v>
      </c>
      <c r="C172" s="451"/>
      <c r="D172" s="449" t="s">
        <v>2834</v>
      </c>
      <c r="E172" s="449"/>
      <c r="F172" s="449"/>
      <c r="G172" s="449"/>
      <c r="H172" s="449"/>
      <c r="I172" s="449"/>
      <c r="J172" s="449"/>
    </row>
    <row r="173" spans="2:11">
      <c r="B173" s="452" t="s">
        <v>2835</v>
      </c>
      <c r="C173" s="453"/>
      <c r="D173" s="453"/>
      <c r="E173" s="453"/>
      <c r="F173" s="453"/>
      <c r="G173" s="453"/>
      <c r="H173" s="453"/>
      <c r="I173" s="453"/>
      <c r="J173" s="454"/>
    </row>
    <row r="174" spans="2:11">
      <c r="B174" s="455"/>
      <c r="C174" s="456"/>
      <c r="D174" s="456"/>
      <c r="E174" s="456"/>
      <c r="F174" s="456"/>
      <c r="G174" s="456"/>
      <c r="H174" s="456"/>
      <c r="I174" s="456"/>
      <c r="J174" s="457"/>
    </row>
    <row r="175" spans="2:11">
      <c r="B175" s="455"/>
      <c r="C175" s="456"/>
      <c r="D175" s="456"/>
      <c r="E175" s="456"/>
      <c r="F175" s="456"/>
      <c r="G175" s="456"/>
      <c r="H175" s="456"/>
      <c r="I175" s="456"/>
      <c r="J175" s="457"/>
    </row>
    <row r="176" spans="2:11">
      <c r="B176" s="458"/>
      <c r="C176" s="459"/>
      <c r="D176" s="459"/>
      <c r="E176" s="459"/>
      <c r="F176" s="459"/>
      <c r="G176" s="459"/>
      <c r="H176" s="459"/>
      <c r="I176" s="459"/>
      <c r="J176" s="460"/>
    </row>
    <row r="177" spans="2:10" ht="18">
      <c r="B177" s="461" t="s">
        <v>38</v>
      </c>
      <c r="C177" s="462"/>
      <c r="D177" s="462"/>
      <c r="E177" s="462"/>
      <c r="F177" s="462"/>
      <c r="G177" s="462"/>
      <c r="H177" s="462"/>
      <c r="I177" s="463"/>
      <c r="J177" s="205" t="s">
        <v>39</v>
      </c>
    </row>
    <row r="178" spans="2:10">
      <c r="B178" s="200">
        <v>1</v>
      </c>
      <c r="C178" s="464" t="s">
        <v>2836</v>
      </c>
      <c r="D178" s="465"/>
      <c r="E178" s="465"/>
      <c r="F178" s="465"/>
      <c r="G178" s="465"/>
      <c r="H178" s="465"/>
      <c r="I178" s="466"/>
      <c r="J178" s="200" t="s">
        <v>26</v>
      </c>
    </row>
    <row r="179" spans="2:10">
      <c r="B179" s="200">
        <v>2</v>
      </c>
      <c r="C179" s="464" t="s">
        <v>2837</v>
      </c>
      <c r="D179" s="465"/>
      <c r="E179" s="465"/>
      <c r="F179" s="465"/>
      <c r="G179" s="465"/>
      <c r="H179" s="465"/>
      <c r="I179" s="466"/>
      <c r="J179" s="200" t="s">
        <v>26</v>
      </c>
    </row>
    <row r="180" spans="2:10">
      <c r="B180" s="254">
        <v>3</v>
      </c>
      <c r="C180" s="464" t="s">
        <v>2838</v>
      </c>
      <c r="D180" s="465"/>
      <c r="E180" s="465"/>
      <c r="F180" s="465"/>
      <c r="G180" s="465"/>
      <c r="H180" s="465"/>
      <c r="I180" s="466"/>
      <c r="J180" s="200" t="s">
        <v>26</v>
      </c>
    </row>
    <row r="181" spans="2:10">
      <c r="B181" s="254">
        <v>4</v>
      </c>
      <c r="C181" s="464" t="s">
        <v>2839</v>
      </c>
      <c r="D181" s="465"/>
      <c r="E181" s="465"/>
      <c r="F181" s="465"/>
      <c r="G181" s="465"/>
      <c r="H181" s="465"/>
      <c r="I181" s="466"/>
      <c r="J181" s="200" t="s">
        <v>26</v>
      </c>
    </row>
    <row r="182" spans="2:10" ht="18">
      <c r="B182" s="1115" t="s">
        <v>44</v>
      </c>
      <c r="C182" s="462"/>
      <c r="D182" s="462"/>
      <c r="E182" s="462"/>
      <c r="F182" s="462"/>
      <c r="G182" s="462"/>
      <c r="H182" s="462"/>
      <c r="I182" s="462"/>
      <c r="J182" s="463"/>
    </row>
    <row r="183" spans="2:10">
      <c r="B183" s="200" t="s">
        <v>45</v>
      </c>
      <c r="C183" s="1059" t="s">
        <v>2840</v>
      </c>
      <c r="D183" s="473"/>
      <c r="E183" s="473"/>
      <c r="F183" s="473"/>
      <c r="G183" s="473"/>
      <c r="H183" s="473"/>
      <c r="I183" s="473"/>
      <c r="J183" s="473"/>
    </row>
    <row r="184" spans="2:10">
      <c r="B184" s="206" t="s">
        <v>45</v>
      </c>
      <c r="C184" s="1059" t="s">
        <v>2841</v>
      </c>
      <c r="D184" s="473"/>
      <c r="E184" s="473"/>
      <c r="F184" s="473"/>
      <c r="G184" s="473"/>
      <c r="H184" s="473"/>
      <c r="I184" s="473"/>
      <c r="J184" s="473"/>
    </row>
    <row r="185" spans="2:10">
      <c r="B185" s="206" t="s">
        <v>45</v>
      </c>
      <c r="C185" s="1101" t="s">
        <v>2842</v>
      </c>
      <c r="D185" s="475"/>
      <c r="E185" s="475"/>
      <c r="F185" s="475"/>
      <c r="G185" s="475"/>
      <c r="H185" s="475"/>
      <c r="I185" s="475"/>
      <c r="J185" s="476"/>
    </row>
    <row r="186" spans="2:10">
      <c r="B186" s="206" t="s">
        <v>45</v>
      </c>
      <c r="C186" s="1101" t="s">
        <v>2843</v>
      </c>
      <c r="D186" s="475"/>
      <c r="E186" s="475"/>
      <c r="F186" s="475"/>
      <c r="G186" s="475"/>
      <c r="H186" s="475"/>
      <c r="I186" s="475"/>
      <c r="J186" s="476"/>
    </row>
    <row r="187" spans="2:10">
      <c r="B187" s="206" t="s">
        <v>45</v>
      </c>
      <c r="C187" s="464"/>
      <c r="D187" s="465"/>
      <c r="E187" s="465"/>
      <c r="F187" s="465"/>
      <c r="G187" s="465"/>
      <c r="H187" s="465"/>
      <c r="I187" s="465"/>
      <c r="J187" s="466"/>
    </row>
    <row r="188" spans="2:10">
      <c r="B188" s="200" t="s">
        <v>45</v>
      </c>
      <c r="C188" s="464"/>
      <c r="D188" s="465"/>
      <c r="E188" s="465"/>
      <c r="F188" s="465"/>
      <c r="G188" s="465"/>
      <c r="H188" s="465"/>
      <c r="I188" s="465"/>
      <c r="J188" s="466"/>
    </row>
    <row r="189" spans="2:10">
      <c r="B189" s="200" t="s">
        <v>7</v>
      </c>
      <c r="C189" s="1101" t="s">
        <v>2777</v>
      </c>
      <c r="D189" s="475"/>
      <c r="E189" s="475"/>
      <c r="F189" s="475"/>
      <c r="G189" s="475"/>
      <c r="H189" s="475"/>
      <c r="I189" s="475"/>
      <c r="J189" s="476"/>
    </row>
    <row r="190" spans="2:10" ht="18">
      <c r="B190" s="205" t="s">
        <v>52</v>
      </c>
      <c r="C190" s="477" t="s">
        <v>53</v>
      </c>
      <c r="D190" s="477"/>
      <c r="E190" s="477"/>
      <c r="F190" s="477"/>
      <c r="G190" s="477"/>
      <c r="H190" s="205" t="s">
        <v>54</v>
      </c>
      <c r="I190" s="205" t="s">
        <v>55</v>
      </c>
      <c r="J190" s="205" t="s">
        <v>56</v>
      </c>
    </row>
    <row r="191" spans="2:10" ht="31.5" customHeight="1">
      <c r="B191" s="200">
        <v>1</v>
      </c>
      <c r="C191" s="1102" t="s">
        <v>2844</v>
      </c>
      <c r="D191" s="451"/>
      <c r="E191" s="451"/>
      <c r="F191" s="451"/>
      <c r="G191" s="451"/>
      <c r="H191" s="200" t="s">
        <v>2800</v>
      </c>
      <c r="I191" s="207" t="s">
        <v>1692</v>
      </c>
      <c r="J191" s="200"/>
    </row>
    <row r="192" spans="2:10" ht="31.5" customHeight="1">
      <c r="B192" s="200">
        <v>1</v>
      </c>
      <c r="C192" s="1102" t="s">
        <v>2845</v>
      </c>
      <c r="D192" s="451"/>
      <c r="E192" s="451"/>
      <c r="F192" s="451"/>
      <c r="G192" s="451"/>
      <c r="H192" s="200" t="s">
        <v>2191</v>
      </c>
      <c r="I192" s="207" t="s">
        <v>1692</v>
      </c>
      <c r="J192" s="200"/>
    </row>
    <row r="193" spans="2:11" ht="31.5" customHeight="1">
      <c r="B193" s="200">
        <v>2</v>
      </c>
      <c r="C193" s="1102"/>
      <c r="D193" s="451"/>
      <c r="E193" s="451"/>
      <c r="F193" s="451"/>
      <c r="G193" s="451"/>
      <c r="H193" s="200"/>
      <c r="I193" s="207"/>
      <c r="J193" s="200"/>
    </row>
    <row r="194" spans="2:11">
      <c r="B194" s="450" t="s">
        <v>63</v>
      </c>
      <c r="C194" s="450"/>
      <c r="D194" s="199" t="s">
        <v>31</v>
      </c>
      <c r="E194" s="198" t="s">
        <v>64</v>
      </c>
      <c r="F194" s="467"/>
      <c r="G194" s="469"/>
      <c r="H194" s="199"/>
      <c r="I194" s="199"/>
      <c r="J194" s="199"/>
    </row>
    <row r="195" spans="2:11" ht="45.75">
      <c r="B195" s="201" t="s">
        <v>66</v>
      </c>
      <c r="C195" s="450"/>
      <c r="D195" s="450"/>
      <c r="E195" s="201" t="s">
        <v>67</v>
      </c>
      <c r="F195" s="450"/>
      <c r="G195" s="450"/>
      <c r="H195" s="201" t="s">
        <v>68</v>
      </c>
      <c r="I195" s="450"/>
      <c r="J195" s="450"/>
    </row>
    <row r="196" spans="2:11">
      <c r="B196" s="247"/>
      <c r="C196" s="253"/>
      <c r="D196" s="253"/>
      <c r="E196" s="247"/>
      <c r="F196" s="253"/>
      <c r="G196" s="253"/>
      <c r="H196" s="247"/>
      <c r="I196" s="253"/>
      <c r="J196" s="253"/>
    </row>
    <row r="199" spans="2:11" ht="26.25">
      <c r="B199" s="1140" t="s">
        <v>13</v>
      </c>
      <c r="C199" s="1141"/>
      <c r="D199" s="1144" t="s">
        <v>14</v>
      </c>
      <c r="E199" s="1144"/>
      <c r="F199" s="1144"/>
      <c r="G199" s="1144"/>
      <c r="H199" s="1144"/>
      <c r="I199" s="1145"/>
      <c r="J199" s="402" t="s">
        <v>15</v>
      </c>
      <c r="K199" s="152"/>
    </row>
    <row r="200" spans="2:11" ht="20.25">
      <c r="B200" s="1142"/>
      <c r="C200" s="1143"/>
      <c r="D200" s="1146" t="s">
        <v>16</v>
      </c>
      <c r="E200" s="1146"/>
      <c r="F200" s="1146"/>
      <c r="G200" s="1146"/>
      <c r="H200" s="1146"/>
      <c r="I200" s="1147"/>
      <c r="J200" s="402" t="s">
        <v>17</v>
      </c>
    </row>
    <row r="201" spans="2:11">
      <c r="B201" s="1138" t="s">
        <v>18</v>
      </c>
      <c r="C201" s="1138"/>
      <c r="D201" s="304">
        <v>46095</v>
      </c>
      <c r="E201" s="403" t="s">
        <v>1460</v>
      </c>
      <c r="F201" s="1139" t="s">
        <v>159</v>
      </c>
      <c r="G201" s="1139"/>
      <c r="H201" s="404" t="s">
        <v>21</v>
      </c>
      <c r="I201" s="405" t="s">
        <v>867</v>
      </c>
      <c r="J201" s="199" t="s">
        <v>2603</v>
      </c>
    </row>
    <row r="202" spans="2:11">
      <c r="B202" s="449" t="s">
        <v>24</v>
      </c>
      <c r="C202" s="449"/>
      <c r="D202" s="203">
        <v>0.27777777777777779</v>
      </c>
      <c r="E202" s="204" t="s">
        <v>25</v>
      </c>
      <c r="F202" s="450" t="s">
        <v>26</v>
      </c>
      <c r="G202" s="450"/>
      <c r="H202" s="199" t="s">
        <v>27</v>
      </c>
      <c r="J202" s="202"/>
    </row>
    <row r="203" spans="2:11">
      <c r="B203" s="449" t="s">
        <v>30</v>
      </c>
      <c r="C203" s="449"/>
      <c r="D203" s="199" t="s">
        <v>31</v>
      </c>
      <c r="E203" s="199" t="s">
        <v>32</v>
      </c>
      <c r="F203" s="450">
        <v>40</v>
      </c>
      <c r="G203" s="450"/>
      <c r="H203" s="201" t="s">
        <v>33</v>
      </c>
      <c r="I203" s="202" t="s">
        <v>1980</v>
      </c>
      <c r="J203" s="202"/>
    </row>
    <row r="204" spans="2:11">
      <c r="B204" s="451" t="s">
        <v>35</v>
      </c>
      <c r="C204" s="451"/>
      <c r="D204" s="449" t="s">
        <v>2846</v>
      </c>
      <c r="E204" s="449"/>
      <c r="F204" s="449"/>
      <c r="G204" s="449"/>
      <c r="H204" s="449"/>
      <c r="I204" s="449"/>
      <c r="J204" s="449"/>
    </row>
    <row r="205" spans="2:11" ht="15" customHeight="1">
      <c r="B205" s="452" t="s">
        <v>2847</v>
      </c>
      <c r="C205" s="453"/>
      <c r="D205" s="453"/>
      <c r="E205" s="453"/>
      <c r="F205" s="453"/>
      <c r="G205" s="453"/>
      <c r="H205" s="453"/>
      <c r="I205" s="453"/>
      <c r="J205" s="454"/>
    </row>
    <row r="206" spans="2:11">
      <c r="B206" s="455"/>
      <c r="C206" s="456"/>
      <c r="D206" s="456"/>
      <c r="E206" s="456"/>
      <c r="F206" s="456"/>
      <c r="G206" s="456"/>
      <c r="H206" s="456"/>
      <c r="I206" s="456"/>
      <c r="J206" s="457"/>
    </row>
    <row r="207" spans="2:11">
      <c r="B207" s="455"/>
      <c r="C207" s="456"/>
      <c r="D207" s="456"/>
      <c r="E207" s="456"/>
      <c r="F207" s="456"/>
      <c r="G207" s="456"/>
      <c r="H207" s="456"/>
      <c r="I207" s="456"/>
      <c r="J207" s="457"/>
    </row>
    <row r="208" spans="2:11">
      <c r="B208" s="458"/>
      <c r="C208" s="459"/>
      <c r="D208" s="459"/>
      <c r="E208" s="459"/>
      <c r="F208" s="459"/>
      <c r="G208" s="459"/>
      <c r="H208" s="459"/>
      <c r="I208" s="459"/>
      <c r="J208" s="460"/>
    </row>
    <row r="209" spans="2:10" ht="18">
      <c r="B209" s="461" t="s">
        <v>38</v>
      </c>
      <c r="C209" s="462"/>
      <c r="D209" s="462"/>
      <c r="E209" s="462"/>
      <c r="F209" s="462"/>
      <c r="G209" s="462"/>
      <c r="H209" s="462"/>
      <c r="I209" s="463"/>
      <c r="J209" s="205" t="s">
        <v>39</v>
      </c>
    </row>
    <row r="210" spans="2:10">
      <c r="B210" s="200">
        <v>1</v>
      </c>
      <c r="C210" s="464" t="s">
        <v>2836</v>
      </c>
      <c r="D210" s="465"/>
      <c r="E210" s="465"/>
      <c r="F210" s="465"/>
      <c r="G210" s="465"/>
      <c r="H210" s="465"/>
      <c r="I210" s="466"/>
      <c r="J210" s="200" t="s">
        <v>26</v>
      </c>
    </row>
    <row r="211" spans="2:10">
      <c r="B211" s="200">
        <v>2</v>
      </c>
      <c r="C211" s="464" t="s">
        <v>2837</v>
      </c>
      <c r="D211" s="465"/>
      <c r="E211" s="465"/>
      <c r="F211" s="465"/>
      <c r="G211" s="465"/>
      <c r="H211" s="465"/>
      <c r="I211" s="466"/>
      <c r="J211" s="200" t="s">
        <v>26</v>
      </c>
    </row>
    <row r="212" spans="2:10">
      <c r="B212" s="254">
        <v>3</v>
      </c>
      <c r="C212" s="464" t="s">
        <v>2838</v>
      </c>
      <c r="D212" s="465"/>
      <c r="E212" s="465"/>
      <c r="F212" s="465"/>
      <c r="G212" s="465"/>
      <c r="H212" s="465"/>
      <c r="I212" s="466"/>
      <c r="J212" s="200" t="s">
        <v>26</v>
      </c>
    </row>
    <row r="213" spans="2:10">
      <c r="B213" s="254">
        <v>4</v>
      </c>
      <c r="C213" s="464" t="s">
        <v>2839</v>
      </c>
      <c r="D213" s="465"/>
      <c r="E213" s="465"/>
      <c r="F213" s="465"/>
      <c r="G213" s="465"/>
      <c r="H213" s="465"/>
      <c r="I213" s="466"/>
      <c r="J213" s="200" t="s">
        <v>26</v>
      </c>
    </row>
    <row r="214" spans="2:10" ht="18">
      <c r="B214" s="1115" t="s">
        <v>44</v>
      </c>
      <c r="C214" s="462"/>
      <c r="D214" s="462"/>
      <c r="E214" s="462"/>
      <c r="F214" s="462"/>
      <c r="G214" s="462"/>
      <c r="H214" s="462"/>
      <c r="I214" s="462"/>
      <c r="J214" s="463"/>
    </row>
    <row r="215" spans="2:10">
      <c r="B215" s="200" t="s">
        <v>45</v>
      </c>
      <c r="C215" s="1059" t="s">
        <v>1529</v>
      </c>
      <c r="D215" s="473"/>
      <c r="E215" s="473"/>
      <c r="F215" s="473"/>
      <c r="G215" s="473"/>
      <c r="H215" s="473"/>
      <c r="I215" s="473"/>
      <c r="J215" s="473"/>
    </row>
    <row r="216" spans="2:10">
      <c r="B216" s="206" t="s">
        <v>45</v>
      </c>
      <c r="C216" s="1059" t="s">
        <v>2848</v>
      </c>
      <c r="D216" s="473"/>
      <c r="E216" s="473"/>
      <c r="F216" s="473"/>
      <c r="G216" s="473"/>
      <c r="H216" s="473"/>
      <c r="I216" s="473"/>
      <c r="J216" s="473"/>
    </row>
    <row r="217" spans="2:10">
      <c r="B217" s="206" t="s">
        <v>45</v>
      </c>
      <c r="C217" s="1101" t="s">
        <v>2849</v>
      </c>
      <c r="D217" s="475"/>
      <c r="E217" s="475"/>
      <c r="F217" s="475"/>
      <c r="G217" s="475"/>
      <c r="H217" s="475"/>
      <c r="I217" s="475"/>
      <c r="J217" s="476"/>
    </row>
    <row r="218" spans="2:10">
      <c r="B218" s="206" t="s">
        <v>45</v>
      </c>
      <c r="C218" s="1101" t="s">
        <v>2850</v>
      </c>
      <c r="D218" s="475"/>
      <c r="E218" s="475"/>
      <c r="F218" s="475"/>
      <c r="G218" s="475"/>
      <c r="H218" s="475"/>
      <c r="I218" s="475"/>
      <c r="J218" s="476"/>
    </row>
    <row r="219" spans="2:10">
      <c r="B219" s="206" t="s">
        <v>45</v>
      </c>
      <c r="C219" s="464"/>
      <c r="D219" s="465"/>
      <c r="E219" s="465"/>
      <c r="F219" s="465"/>
      <c r="G219" s="465"/>
      <c r="H219" s="465"/>
      <c r="I219" s="465"/>
      <c r="J219" s="466"/>
    </row>
    <row r="220" spans="2:10">
      <c r="B220" s="200" t="s">
        <v>45</v>
      </c>
      <c r="C220" s="464"/>
      <c r="D220" s="465"/>
      <c r="E220" s="465"/>
      <c r="F220" s="465"/>
      <c r="G220" s="465"/>
      <c r="H220" s="465"/>
      <c r="I220" s="465"/>
      <c r="J220" s="466"/>
    </row>
    <row r="221" spans="2:10">
      <c r="B221" s="200" t="s">
        <v>7</v>
      </c>
      <c r="C221" s="1101" t="s">
        <v>2851</v>
      </c>
      <c r="D221" s="475"/>
      <c r="E221" s="475"/>
      <c r="F221" s="475"/>
      <c r="G221" s="475"/>
      <c r="H221" s="475"/>
      <c r="I221" s="475"/>
      <c r="J221" s="476"/>
    </row>
    <row r="222" spans="2:10" ht="18">
      <c r="B222" s="205" t="s">
        <v>52</v>
      </c>
      <c r="C222" s="477" t="s">
        <v>53</v>
      </c>
      <c r="D222" s="477"/>
      <c r="E222" s="477"/>
      <c r="F222" s="477"/>
      <c r="G222" s="477"/>
      <c r="H222" s="205" t="s">
        <v>54</v>
      </c>
      <c r="I222" s="205" t="s">
        <v>55</v>
      </c>
      <c r="J222" s="205" t="s">
        <v>56</v>
      </c>
    </row>
    <row r="223" spans="2:10">
      <c r="B223" s="200">
        <v>1</v>
      </c>
      <c r="C223" s="1102" t="s">
        <v>2852</v>
      </c>
      <c r="D223" s="451"/>
      <c r="E223" s="451"/>
      <c r="F223" s="451"/>
      <c r="G223" s="451"/>
      <c r="H223" s="200" t="s">
        <v>2191</v>
      </c>
      <c r="I223" s="207" t="s">
        <v>1692</v>
      </c>
      <c r="J223" s="200"/>
    </row>
    <row r="224" spans="2:10" ht="15" customHeight="1">
      <c r="B224" s="200">
        <v>1</v>
      </c>
      <c r="C224" s="1102" t="s">
        <v>2853</v>
      </c>
      <c r="D224" s="451"/>
      <c r="E224" s="451"/>
      <c r="F224" s="451"/>
      <c r="G224" s="451"/>
      <c r="H224" s="200" t="s">
        <v>2191</v>
      </c>
      <c r="I224" s="207" t="s">
        <v>1692</v>
      </c>
      <c r="J224" s="200"/>
    </row>
    <row r="225" spans="2:11">
      <c r="B225" s="200">
        <v>2</v>
      </c>
      <c r="C225" s="1102"/>
      <c r="D225" s="451"/>
      <c r="E225" s="451"/>
      <c r="F225" s="451"/>
      <c r="G225" s="451"/>
      <c r="H225" s="200"/>
      <c r="I225" s="207"/>
      <c r="J225" s="200"/>
    </row>
    <row r="226" spans="2:11">
      <c r="B226" s="450" t="s">
        <v>63</v>
      </c>
      <c r="C226" s="450"/>
      <c r="D226" s="199" t="s">
        <v>31</v>
      </c>
      <c r="E226" s="198" t="s">
        <v>64</v>
      </c>
      <c r="F226" s="467"/>
      <c r="G226" s="469"/>
      <c r="H226" s="199"/>
      <c r="I226" s="199"/>
      <c r="J226" s="199"/>
    </row>
    <row r="227" spans="2:11" ht="45.75">
      <c r="B227" s="201" t="s">
        <v>66</v>
      </c>
      <c r="C227" s="450"/>
      <c r="D227" s="450"/>
      <c r="E227" s="201" t="s">
        <v>67</v>
      </c>
      <c r="F227" s="450"/>
      <c r="G227" s="450"/>
      <c r="H227" s="201" t="s">
        <v>68</v>
      </c>
      <c r="I227" s="450"/>
      <c r="J227" s="450"/>
    </row>
    <row r="232" spans="2:11" ht="26.25">
      <c r="B232" s="1140" t="s">
        <v>13</v>
      </c>
      <c r="C232" s="1141"/>
      <c r="D232" s="1144" t="s">
        <v>14</v>
      </c>
      <c r="E232" s="1144"/>
      <c r="F232" s="1144"/>
      <c r="G232" s="1144"/>
      <c r="H232" s="1144"/>
      <c r="I232" s="1145"/>
      <c r="J232" s="402" t="s">
        <v>15</v>
      </c>
      <c r="K232" s="152"/>
    </row>
    <row r="233" spans="2:11" ht="20.25">
      <c r="B233" s="1142"/>
      <c r="C233" s="1143"/>
      <c r="D233" s="1146" t="s">
        <v>16</v>
      </c>
      <c r="E233" s="1146"/>
      <c r="F233" s="1146"/>
      <c r="G233" s="1146"/>
      <c r="H233" s="1146"/>
      <c r="I233" s="1147"/>
      <c r="J233" s="402" t="s">
        <v>17</v>
      </c>
    </row>
    <row r="234" spans="2:11">
      <c r="B234" s="1138" t="s">
        <v>18</v>
      </c>
      <c r="C234" s="1138"/>
      <c r="D234" s="304">
        <v>46098</v>
      </c>
      <c r="E234" s="403" t="s">
        <v>1460</v>
      </c>
      <c r="F234" s="1139" t="s">
        <v>159</v>
      </c>
      <c r="G234" s="1139"/>
      <c r="H234" s="404" t="s">
        <v>21</v>
      </c>
      <c r="I234" s="405" t="s">
        <v>867</v>
      </c>
      <c r="J234" s="199" t="s">
        <v>2603</v>
      </c>
    </row>
    <row r="235" spans="2:11">
      <c r="B235" s="449" t="s">
        <v>24</v>
      </c>
      <c r="C235" s="449"/>
      <c r="D235" s="203">
        <v>0.43125000000000002</v>
      </c>
      <c r="E235" s="204" t="s">
        <v>25</v>
      </c>
      <c r="F235" s="450" t="s">
        <v>26</v>
      </c>
      <c r="G235" s="450"/>
      <c r="H235" s="199" t="s">
        <v>27</v>
      </c>
      <c r="I235" t="s">
        <v>2854</v>
      </c>
      <c r="J235" s="202"/>
    </row>
    <row r="236" spans="2:11">
      <c r="B236" s="449" t="s">
        <v>30</v>
      </c>
      <c r="C236" s="449"/>
      <c r="D236" s="199" t="s">
        <v>31</v>
      </c>
      <c r="E236" s="199" t="s">
        <v>32</v>
      </c>
      <c r="F236" s="450">
        <v>80</v>
      </c>
      <c r="G236" s="450"/>
      <c r="H236" s="201" t="s">
        <v>33</v>
      </c>
      <c r="I236" s="202" t="s">
        <v>1712</v>
      </c>
      <c r="J236" s="202"/>
    </row>
    <row r="237" spans="2:11">
      <c r="B237" s="451" t="s">
        <v>35</v>
      </c>
      <c r="C237" s="451"/>
      <c r="D237" s="449" t="s">
        <v>2855</v>
      </c>
      <c r="E237" s="449"/>
      <c r="F237" s="449"/>
      <c r="G237" s="449"/>
      <c r="H237" s="449"/>
      <c r="I237" s="449"/>
      <c r="J237" s="449"/>
    </row>
    <row r="238" spans="2:11" ht="15" customHeight="1">
      <c r="B238" s="452" t="s">
        <v>2856</v>
      </c>
      <c r="C238" s="453"/>
      <c r="D238" s="453"/>
      <c r="E238" s="453"/>
      <c r="F238" s="453"/>
      <c r="G238" s="453"/>
      <c r="H238" s="453"/>
      <c r="I238" s="453"/>
      <c r="J238" s="454"/>
    </row>
    <row r="239" spans="2:11">
      <c r="B239" s="455"/>
      <c r="C239" s="456"/>
      <c r="D239" s="456"/>
      <c r="E239" s="456"/>
      <c r="F239" s="456"/>
      <c r="G239" s="456"/>
      <c r="H239" s="456"/>
      <c r="I239" s="456"/>
      <c r="J239" s="457"/>
    </row>
    <row r="240" spans="2:11">
      <c r="B240" s="455"/>
      <c r="C240" s="456"/>
      <c r="D240" s="456"/>
      <c r="E240" s="456"/>
      <c r="F240" s="456"/>
      <c r="G240" s="456"/>
      <c r="H240" s="456"/>
      <c r="I240" s="456"/>
      <c r="J240" s="457"/>
    </row>
    <row r="241" spans="2:10">
      <c r="B241" s="458"/>
      <c r="C241" s="459"/>
      <c r="D241" s="459"/>
      <c r="E241" s="459"/>
      <c r="F241" s="459"/>
      <c r="G241" s="459"/>
      <c r="H241" s="459"/>
      <c r="I241" s="459"/>
      <c r="J241" s="460"/>
    </row>
    <row r="242" spans="2:10" ht="18">
      <c r="B242" s="461" t="s">
        <v>38</v>
      </c>
      <c r="C242" s="462"/>
      <c r="D242" s="462"/>
      <c r="E242" s="462"/>
      <c r="F242" s="462"/>
      <c r="G242" s="462"/>
      <c r="H242" s="462"/>
      <c r="I242" s="463"/>
      <c r="J242" s="205" t="s">
        <v>39</v>
      </c>
    </row>
    <row r="243" spans="2:10">
      <c r="B243" s="200">
        <v>1</v>
      </c>
      <c r="C243" s="464" t="s">
        <v>2857</v>
      </c>
      <c r="D243" s="465"/>
      <c r="E243" s="465"/>
      <c r="F243" s="465"/>
      <c r="G243" s="465"/>
      <c r="H243" s="465"/>
      <c r="I243" s="466"/>
      <c r="J243" s="200" t="s">
        <v>26</v>
      </c>
    </row>
    <row r="244" spans="2:10">
      <c r="B244" s="200">
        <v>2</v>
      </c>
      <c r="C244" s="464" t="s">
        <v>2858</v>
      </c>
      <c r="D244" s="465"/>
      <c r="E244" s="465"/>
      <c r="F244" s="465"/>
      <c r="G244" s="465"/>
      <c r="H244" s="465"/>
      <c r="I244" s="466"/>
      <c r="J244" s="200" t="s">
        <v>26</v>
      </c>
    </row>
    <row r="245" spans="2:10">
      <c r="B245" s="254">
        <v>3</v>
      </c>
      <c r="C245" s="464" t="s">
        <v>2859</v>
      </c>
      <c r="D245" s="465"/>
      <c r="E245" s="465"/>
      <c r="F245" s="465"/>
      <c r="G245" s="465"/>
      <c r="H245" s="465"/>
      <c r="I245" s="466"/>
      <c r="J245" s="200" t="s">
        <v>26</v>
      </c>
    </row>
    <row r="246" spans="2:10">
      <c r="B246" s="254">
        <v>4</v>
      </c>
      <c r="C246" s="464" t="s">
        <v>2838</v>
      </c>
      <c r="D246" s="465"/>
      <c r="E246" s="465"/>
      <c r="F246" s="465"/>
      <c r="G246" s="465"/>
      <c r="H246" s="465"/>
      <c r="I246" s="466"/>
      <c r="J246" s="200" t="s">
        <v>26</v>
      </c>
    </row>
    <row r="247" spans="2:10" ht="18">
      <c r="B247" s="1115" t="s">
        <v>44</v>
      </c>
      <c r="C247" s="462"/>
      <c r="D247" s="462"/>
      <c r="E247" s="462"/>
      <c r="F247" s="462"/>
      <c r="G247" s="462"/>
      <c r="H247" s="462"/>
      <c r="I247" s="462"/>
      <c r="J247" s="463"/>
    </row>
    <row r="248" spans="2:10">
      <c r="B248" s="200" t="s">
        <v>45</v>
      </c>
      <c r="C248" s="1059" t="s">
        <v>1568</v>
      </c>
      <c r="D248" s="473"/>
      <c r="E248" s="473"/>
      <c r="F248" s="473"/>
      <c r="G248" s="473"/>
      <c r="H248" s="473"/>
      <c r="I248" s="473"/>
      <c r="J248" s="473"/>
    </row>
    <row r="249" spans="2:10">
      <c r="B249" s="206" t="s">
        <v>45</v>
      </c>
      <c r="C249" s="1059" t="s">
        <v>2860</v>
      </c>
      <c r="D249" s="473"/>
      <c r="E249" s="473"/>
      <c r="F249" s="473"/>
      <c r="G249" s="473"/>
      <c r="H249" s="473"/>
      <c r="I249" s="473"/>
      <c r="J249" s="473"/>
    </row>
    <row r="250" spans="2:10">
      <c r="B250" s="206" t="s">
        <v>45</v>
      </c>
      <c r="C250" s="1101" t="s">
        <v>2861</v>
      </c>
      <c r="D250" s="475"/>
      <c r="E250" s="475"/>
      <c r="F250" s="475"/>
      <c r="G250" s="475"/>
      <c r="H250" s="475"/>
      <c r="I250" s="475"/>
      <c r="J250" s="476"/>
    </row>
    <row r="251" spans="2:10">
      <c r="B251" s="206" t="s">
        <v>45</v>
      </c>
      <c r="C251" s="1101" t="s">
        <v>2862</v>
      </c>
      <c r="D251" s="475"/>
      <c r="E251" s="475"/>
      <c r="F251" s="475"/>
      <c r="G251" s="475"/>
      <c r="H251" s="475"/>
      <c r="I251" s="475"/>
      <c r="J251" s="476"/>
    </row>
    <row r="252" spans="2:10">
      <c r="B252" s="206" t="s">
        <v>45</v>
      </c>
      <c r="C252" s="464"/>
      <c r="D252" s="465"/>
      <c r="E252" s="465"/>
      <c r="F252" s="465"/>
      <c r="G252" s="465"/>
      <c r="H252" s="465"/>
      <c r="I252" s="465"/>
      <c r="J252" s="466"/>
    </row>
    <row r="253" spans="2:10">
      <c r="B253" s="200" t="s">
        <v>45</v>
      </c>
      <c r="C253" s="464"/>
      <c r="D253" s="465"/>
      <c r="E253" s="465"/>
      <c r="F253" s="465"/>
      <c r="G253" s="465"/>
      <c r="H253" s="465"/>
      <c r="I253" s="465"/>
      <c r="J253" s="466"/>
    </row>
    <row r="254" spans="2:10">
      <c r="B254" s="200" t="s">
        <v>7</v>
      </c>
      <c r="C254" s="1101" t="s">
        <v>2785</v>
      </c>
      <c r="D254" s="475"/>
      <c r="E254" s="475"/>
      <c r="F254" s="475"/>
      <c r="G254" s="475"/>
      <c r="H254" s="475"/>
      <c r="I254" s="475"/>
      <c r="J254" s="476"/>
    </row>
    <row r="255" spans="2:10" ht="18">
      <c r="B255" s="205" t="s">
        <v>52</v>
      </c>
      <c r="C255" s="477" t="s">
        <v>53</v>
      </c>
      <c r="D255" s="477"/>
      <c r="E255" s="477"/>
      <c r="F255" s="477"/>
      <c r="G255" s="477"/>
      <c r="H255" s="205" t="s">
        <v>54</v>
      </c>
      <c r="I255" s="205" t="s">
        <v>55</v>
      </c>
      <c r="J255" s="205" t="s">
        <v>56</v>
      </c>
    </row>
    <row r="256" spans="2:10" ht="30.75">
      <c r="B256" s="200">
        <v>1</v>
      </c>
      <c r="C256" s="1102" t="s">
        <v>2863</v>
      </c>
      <c r="D256" s="451"/>
      <c r="E256" s="451"/>
      <c r="F256" s="451"/>
      <c r="G256" s="451"/>
      <c r="H256" s="200" t="s">
        <v>2864</v>
      </c>
      <c r="I256" s="207" t="s">
        <v>1692</v>
      </c>
      <c r="J256" s="207" t="s">
        <v>2865</v>
      </c>
    </row>
    <row r="257" spans="2:10" ht="32.25" customHeight="1">
      <c r="B257" s="200">
        <v>1</v>
      </c>
      <c r="C257" s="1102" t="s">
        <v>2866</v>
      </c>
      <c r="D257" s="451"/>
      <c r="E257" s="451"/>
      <c r="F257" s="451"/>
      <c r="G257" s="451"/>
      <c r="H257" s="200" t="s">
        <v>2867</v>
      </c>
      <c r="I257" s="207" t="s">
        <v>1692</v>
      </c>
      <c r="J257" s="200"/>
    </row>
    <row r="258" spans="2:10">
      <c r="B258" s="200">
        <v>2</v>
      </c>
      <c r="C258" s="1102"/>
      <c r="D258" s="451"/>
      <c r="E258" s="451"/>
      <c r="F258" s="451"/>
      <c r="G258" s="451"/>
      <c r="H258" s="200"/>
      <c r="I258" s="207"/>
      <c r="J258" s="200"/>
    </row>
    <row r="259" spans="2:10">
      <c r="B259" s="450" t="s">
        <v>63</v>
      </c>
      <c r="C259" s="450"/>
      <c r="D259" s="199" t="s">
        <v>31</v>
      </c>
      <c r="E259" s="198" t="s">
        <v>64</v>
      </c>
      <c r="F259" s="467"/>
      <c r="G259" s="469"/>
      <c r="H259" s="199"/>
      <c r="I259" s="199"/>
      <c r="J259" s="199"/>
    </row>
    <row r="260" spans="2:10" ht="45.75">
      <c r="B260" s="201" t="s">
        <v>66</v>
      </c>
      <c r="C260" s="450"/>
      <c r="D260" s="450"/>
      <c r="E260" s="201" t="s">
        <v>67</v>
      </c>
      <c r="F260" s="450"/>
      <c r="G260" s="450"/>
      <c r="H260" s="201" t="s">
        <v>68</v>
      </c>
      <c r="I260" s="450"/>
      <c r="J260" s="450"/>
    </row>
  </sheetData>
  <autoFilter ref="B2:K29" xr:uid="{7E3221BD-3E6C-4BA8-BFAD-98351ACD7F09}">
    <filterColumn colId="1" showButton="0"/>
  </autoFilter>
  <mergeCells count="248">
    <mergeCell ref="C190:G190"/>
    <mergeCell ref="C195:D195"/>
    <mergeCell ref="F195:G195"/>
    <mergeCell ref="I195:J195"/>
    <mergeCell ref="C191:G191"/>
    <mergeCell ref="C192:G192"/>
    <mergeCell ref="C193:G193"/>
    <mergeCell ref="B194:C194"/>
    <mergeCell ref="F194:G194"/>
    <mergeCell ref="C181:I181"/>
    <mergeCell ref="B182:J182"/>
    <mergeCell ref="C183:J183"/>
    <mergeCell ref="C184:J184"/>
    <mergeCell ref="C185:J185"/>
    <mergeCell ref="C186:J186"/>
    <mergeCell ref="C187:J187"/>
    <mergeCell ref="C188:J188"/>
    <mergeCell ref="C189:J189"/>
    <mergeCell ref="B171:C171"/>
    <mergeCell ref="F171:G171"/>
    <mergeCell ref="B172:C172"/>
    <mergeCell ref="D172:J172"/>
    <mergeCell ref="B173:J176"/>
    <mergeCell ref="B177:I177"/>
    <mergeCell ref="C178:I178"/>
    <mergeCell ref="C179:I179"/>
    <mergeCell ref="C180:I180"/>
    <mergeCell ref="H2:H3"/>
    <mergeCell ref="I2:I3"/>
    <mergeCell ref="B167:C168"/>
    <mergeCell ref="D167:I167"/>
    <mergeCell ref="D168:I168"/>
    <mergeCell ref="B169:C169"/>
    <mergeCell ref="F169:G169"/>
    <mergeCell ref="B170:C170"/>
    <mergeCell ref="F170:G170"/>
    <mergeCell ref="I65:J65"/>
    <mergeCell ref="C62:G62"/>
    <mergeCell ref="C63:G63"/>
    <mergeCell ref="B64:C64"/>
    <mergeCell ref="F64:G64"/>
    <mergeCell ref="C65:D65"/>
    <mergeCell ref="F65:G65"/>
    <mergeCell ref="C61:G61"/>
    <mergeCell ref="C50:I50"/>
    <mergeCell ref="C51:I51"/>
    <mergeCell ref="B52:J52"/>
    <mergeCell ref="C53:J53"/>
    <mergeCell ref="C54:J54"/>
    <mergeCell ref="C55:J55"/>
    <mergeCell ref="C56:J56"/>
    <mergeCell ref="J2:J3"/>
    <mergeCell ref="K2:K3"/>
    <mergeCell ref="E29:K36"/>
    <mergeCell ref="C31:D31"/>
    <mergeCell ref="C49:I49"/>
    <mergeCell ref="B39:C39"/>
    <mergeCell ref="F39:G39"/>
    <mergeCell ref="B40:C40"/>
    <mergeCell ref="F40:G40"/>
    <mergeCell ref="B41:C41"/>
    <mergeCell ref="F41:G41"/>
    <mergeCell ref="B42:C42"/>
    <mergeCell ref="D42:J42"/>
    <mergeCell ref="B43:J46"/>
    <mergeCell ref="B47:I47"/>
    <mergeCell ref="C48:I48"/>
    <mergeCell ref="B37:C38"/>
    <mergeCell ref="D37:I37"/>
    <mergeCell ref="D38:I38"/>
    <mergeCell ref="B2:B3"/>
    <mergeCell ref="C2:D2"/>
    <mergeCell ref="E2:E3"/>
    <mergeCell ref="F2:F3"/>
    <mergeCell ref="G2:G3"/>
    <mergeCell ref="C57:J57"/>
    <mergeCell ref="C58:J58"/>
    <mergeCell ref="C59:J59"/>
    <mergeCell ref="C60:G60"/>
    <mergeCell ref="B135:C135"/>
    <mergeCell ref="F135:G135"/>
    <mergeCell ref="B136:C136"/>
    <mergeCell ref="F136:G136"/>
    <mergeCell ref="B137:C137"/>
    <mergeCell ref="D137:J137"/>
    <mergeCell ref="B132:C133"/>
    <mergeCell ref="D132:I132"/>
    <mergeCell ref="D133:I133"/>
    <mergeCell ref="B134:C134"/>
    <mergeCell ref="F134:G134"/>
    <mergeCell ref="B103:C103"/>
    <mergeCell ref="F103:G103"/>
    <mergeCell ref="B104:C104"/>
    <mergeCell ref="F104:G104"/>
    <mergeCell ref="B105:C105"/>
    <mergeCell ref="D105:J105"/>
    <mergeCell ref="B100:C101"/>
    <mergeCell ref="D100:I100"/>
    <mergeCell ref="D101:I101"/>
    <mergeCell ref="C146:I146"/>
    <mergeCell ref="B147:J147"/>
    <mergeCell ref="C148:J148"/>
    <mergeCell ref="C149:J149"/>
    <mergeCell ref="C150:J150"/>
    <mergeCell ref="B138:J141"/>
    <mergeCell ref="B142:I142"/>
    <mergeCell ref="C143:I143"/>
    <mergeCell ref="C144:I144"/>
    <mergeCell ref="C145:I145"/>
    <mergeCell ref="C159:D159"/>
    <mergeCell ref="F159:G159"/>
    <mergeCell ref="I159:J159"/>
    <mergeCell ref="C156:G156"/>
    <mergeCell ref="C157:G157"/>
    <mergeCell ref="B158:C158"/>
    <mergeCell ref="F158:G158"/>
    <mergeCell ref="C151:J151"/>
    <mergeCell ref="C152:J152"/>
    <mergeCell ref="C153:J153"/>
    <mergeCell ref="C154:J154"/>
    <mergeCell ref="C155:G155"/>
    <mergeCell ref="F102:G102"/>
    <mergeCell ref="C114:I114"/>
    <mergeCell ref="B115:J115"/>
    <mergeCell ref="C116:J116"/>
    <mergeCell ref="C117:J117"/>
    <mergeCell ref="C118:J118"/>
    <mergeCell ref="B106:J109"/>
    <mergeCell ref="B110:I110"/>
    <mergeCell ref="C111:I111"/>
    <mergeCell ref="C112:I112"/>
    <mergeCell ref="C113:I113"/>
    <mergeCell ref="B70:C71"/>
    <mergeCell ref="D70:I70"/>
    <mergeCell ref="D71:I71"/>
    <mergeCell ref="B72:C72"/>
    <mergeCell ref="F72:G72"/>
    <mergeCell ref="B73:C73"/>
    <mergeCell ref="F73:G73"/>
    <mergeCell ref="B74:C74"/>
    <mergeCell ref="F74:G74"/>
    <mergeCell ref="B75:C75"/>
    <mergeCell ref="D75:J75"/>
    <mergeCell ref="B76:J79"/>
    <mergeCell ref="B80:I80"/>
    <mergeCell ref="C81:I81"/>
    <mergeCell ref="C82:I82"/>
    <mergeCell ref="C83:I83"/>
    <mergeCell ref="C84:I84"/>
    <mergeCell ref="B85:J85"/>
    <mergeCell ref="C86:J86"/>
    <mergeCell ref="C87:J87"/>
    <mergeCell ref="C88:J88"/>
    <mergeCell ref="C89:J89"/>
    <mergeCell ref="C90:J90"/>
    <mergeCell ref="C91:J91"/>
    <mergeCell ref="C92:J92"/>
    <mergeCell ref="C93:G93"/>
    <mergeCell ref="C94:G94"/>
    <mergeCell ref="C95:G95"/>
    <mergeCell ref="C96:G96"/>
    <mergeCell ref="B97:C97"/>
    <mergeCell ref="F97:G97"/>
    <mergeCell ref="C98:D98"/>
    <mergeCell ref="F98:G98"/>
    <mergeCell ref="I98:J98"/>
    <mergeCell ref="B199:C200"/>
    <mergeCell ref="D199:I199"/>
    <mergeCell ref="D200:I200"/>
    <mergeCell ref="C128:D128"/>
    <mergeCell ref="F128:G128"/>
    <mergeCell ref="I128:J128"/>
    <mergeCell ref="C124:G124"/>
    <mergeCell ref="C125:G125"/>
    <mergeCell ref="C126:G126"/>
    <mergeCell ref="B127:C127"/>
    <mergeCell ref="F127:G127"/>
    <mergeCell ref="C119:J119"/>
    <mergeCell ref="C120:J120"/>
    <mergeCell ref="C121:J121"/>
    <mergeCell ref="C122:J122"/>
    <mergeCell ref="C123:G123"/>
    <mergeCell ref="B102:C102"/>
    <mergeCell ref="B201:C201"/>
    <mergeCell ref="F201:G201"/>
    <mergeCell ref="B202:C202"/>
    <mergeCell ref="F202:G202"/>
    <mergeCell ref="B203:C203"/>
    <mergeCell ref="F203:G203"/>
    <mergeCell ref="B204:C204"/>
    <mergeCell ref="D204:J204"/>
    <mergeCell ref="B205:J208"/>
    <mergeCell ref="B209:I209"/>
    <mergeCell ref="C210:I210"/>
    <mergeCell ref="C211:I211"/>
    <mergeCell ref="C212:I212"/>
    <mergeCell ref="C213:I213"/>
    <mergeCell ref="B214:J214"/>
    <mergeCell ref="C215:J215"/>
    <mergeCell ref="C216:J216"/>
    <mergeCell ref="C217:J217"/>
    <mergeCell ref="C218:J218"/>
    <mergeCell ref="C219:J219"/>
    <mergeCell ref="C220:J220"/>
    <mergeCell ref="C221:J221"/>
    <mergeCell ref="C222:G222"/>
    <mergeCell ref="C223:G223"/>
    <mergeCell ref="C224:G224"/>
    <mergeCell ref="C225:G225"/>
    <mergeCell ref="B226:C226"/>
    <mergeCell ref="F226:G226"/>
    <mergeCell ref="C227:D227"/>
    <mergeCell ref="F227:G227"/>
    <mergeCell ref="I227:J227"/>
    <mergeCell ref="B232:C233"/>
    <mergeCell ref="D232:I232"/>
    <mergeCell ref="D233:I233"/>
    <mergeCell ref="B234:C234"/>
    <mergeCell ref="F234:G234"/>
    <mergeCell ref="B235:C235"/>
    <mergeCell ref="F235:G235"/>
    <mergeCell ref="B236:C236"/>
    <mergeCell ref="F236:G236"/>
    <mergeCell ref="B237:C237"/>
    <mergeCell ref="D237:J237"/>
    <mergeCell ref="B238:J241"/>
    <mergeCell ref="B242:I242"/>
    <mergeCell ref="C243:I243"/>
    <mergeCell ref="C244:I244"/>
    <mergeCell ref="C245:I245"/>
    <mergeCell ref="C246:I246"/>
    <mergeCell ref="B247:J247"/>
    <mergeCell ref="C248:J248"/>
    <mergeCell ref="C249:J249"/>
    <mergeCell ref="C250:J250"/>
    <mergeCell ref="C251:J251"/>
    <mergeCell ref="C252:J252"/>
    <mergeCell ref="C253:J253"/>
    <mergeCell ref="C254:J254"/>
    <mergeCell ref="C255:G255"/>
    <mergeCell ref="C256:G256"/>
    <mergeCell ref="C257:G257"/>
    <mergeCell ref="C258:G258"/>
    <mergeCell ref="B259:C259"/>
    <mergeCell ref="F259:G259"/>
    <mergeCell ref="C260:D260"/>
    <mergeCell ref="F260:G260"/>
    <mergeCell ref="I260:J260"/>
  </mergeCells>
  <phoneticPr fontId="0" type="noConversion"/>
  <dataValidations count="1">
    <dataValidation type="list" allowBlank="1" showInputMessage="1" showErrorMessage="1" sqref="H22" xr:uid="{A6DC3F5B-DCF5-4798-90D9-0BC810D09109}">
      <formula1>INDIRECT($K22)</formula1>
    </dataValidation>
  </dataValidations>
  <printOptions horizontalCentered="1" verticalCentered="1"/>
  <pageMargins left="0.7" right="0.7" top="0.75" bottom="0.75" header="0.3" footer="0.3"/>
  <pageSetup paperSize="9"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5DDC-34F0-49DB-A104-8C2D08B9A8CE}">
  <dimension ref="A1:L34"/>
  <sheetViews>
    <sheetView workbookViewId="0">
      <selection activeCell="H10" sqref="H10"/>
    </sheetView>
  </sheetViews>
  <sheetFormatPr defaultRowHeight="15"/>
  <cols>
    <col min="2" max="2" width="13.85546875" customWidth="1"/>
    <col min="4" max="4" width="13.28515625" customWidth="1"/>
    <col min="7" max="7" width="47" customWidth="1"/>
    <col min="9" max="9" width="41.140625" customWidth="1"/>
    <col min="10" max="10" width="67.5703125" customWidth="1"/>
    <col min="12" max="12" width="113.85546875" customWidth="1"/>
  </cols>
  <sheetData>
    <row r="1" spans="1:12" ht="19.5">
      <c r="A1" s="532" t="s">
        <v>69</v>
      </c>
      <c r="B1" s="533"/>
      <c r="C1" s="533"/>
      <c r="D1" s="533"/>
      <c r="E1" s="533"/>
      <c r="F1" s="533"/>
      <c r="G1" s="533"/>
      <c r="H1" s="533"/>
      <c r="I1" s="533"/>
      <c r="J1" s="533"/>
      <c r="K1" s="533"/>
      <c r="L1" s="534"/>
    </row>
    <row r="2" spans="1:12" ht="15.75">
      <c r="A2" s="125" t="s">
        <v>70</v>
      </c>
      <c r="B2" s="126"/>
      <c r="C2" s="126"/>
      <c r="D2" s="126"/>
      <c r="E2" s="517" t="s">
        <v>71</v>
      </c>
      <c r="F2" s="517"/>
      <c r="G2" s="1154" t="s">
        <v>2772</v>
      </c>
      <c r="H2" s="1155"/>
      <c r="I2" s="1155"/>
      <c r="J2" s="537" t="s">
        <v>73</v>
      </c>
      <c r="K2" s="537"/>
      <c r="L2" s="538"/>
    </row>
    <row r="3" spans="1:12">
      <c r="A3" s="539" t="s">
        <v>1636</v>
      </c>
      <c r="B3" s="540"/>
      <c r="C3" s="540"/>
      <c r="D3" s="540"/>
      <c r="E3" s="540"/>
      <c r="F3" s="540"/>
      <c r="G3" s="540"/>
      <c r="H3" s="540"/>
      <c r="I3" s="541"/>
      <c r="J3" s="542" t="s">
        <v>75</v>
      </c>
      <c r="K3" s="542"/>
      <c r="L3" s="542"/>
    </row>
    <row r="4" spans="1:12">
      <c r="A4" s="510" t="s">
        <v>2868</v>
      </c>
      <c r="B4" s="511"/>
      <c r="C4" s="511"/>
      <c r="D4" s="511"/>
      <c r="E4" s="511"/>
      <c r="F4" s="511"/>
      <c r="G4" s="512"/>
      <c r="H4" s="516" t="s">
        <v>77</v>
      </c>
      <c r="I4" s="516"/>
      <c r="J4" s="518" t="s">
        <v>78</v>
      </c>
      <c r="K4" s="519" t="s">
        <v>79</v>
      </c>
      <c r="L4" s="520"/>
    </row>
    <row r="5" spans="1:12">
      <c r="A5" s="513"/>
      <c r="B5" s="514"/>
      <c r="C5" s="514"/>
      <c r="D5" s="514"/>
      <c r="E5" s="514"/>
      <c r="F5" s="514"/>
      <c r="G5" s="515"/>
      <c r="H5" s="517"/>
      <c r="I5" s="517"/>
      <c r="J5" s="516"/>
      <c r="K5" s="521"/>
      <c r="L5" s="522"/>
    </row>
    <row r="6" spans="1:12">
      <c r="A6" s="127" t="s">
        <v>80</v>
      </c>
      <c r="B6" s="128"/>
      <c r="C6" s="129" t="s">
        <v>81</v>
      </c>
      <c r="D6" s="129"/>
      <c r="E6" s="523" t="s">
        <v>82</v>
      </c>
      <c r="F6" s="523"/>
      <c r="G6" s="523"/>
      <c r="H6" s="523"/>
      <c r="I6" s="523"/>
      <c r="J6" s="523"/>
      <c r="K6" s="523"/>
      <c r="L6" s="524"/>
    </row>
    <row r="7" spans="1:12" ht="37.5" customHeight="1">
      <c r="A7" s="525" t="s">
        <v>83</v>
      </c>
      <c r="B7" s="526"/>
      <c r="C7" s="527" t="s">
        <v>84</v>
      </c>
      <c r="D7" s="528"/>
      <c r="E7" s="482" t="s">
        <v>85</v>
      </c>
      <c r="F7" s="529"/>
      <c r="G7" s="528"/>
      <c r="H7" s="482" t="s">
        <v>86</v>
      </c>
      <c r="I7" s="528"/>
      <c r="J7" s="130" t="s">
        <v>87</v>
      </c>
      <c r="K7" s="482" t="s">
        <v>88</v>
      </c>
      <c r="L7" s="528"/>
    </row>
    <row r="8" spans="1:12">
      <c r="A8" s="506" t="s">
        <v>89</v>
      </c>
      <c r="B8" s="507"/>
      <c r="C8" s="506" t="s">
        <v>90</v>
      </c>
      <c r="D8" s="507"/>
      <c r="E8" s="506" t="s">
        <v>91</v>
      </c>
      <c r="F8" s="530"/>
      <c r="G8" s="507"/>
      <c r="H8" s="506" t="s">
        <v>92</v>
      </c>
      <c r="I8" s="507"/>
      <c r="J8" s="504" t="s">
        <v>93</v>
      </c>
      <c r="K8" s="506" t="s">
        <v>94</v>
      </c>
      <c r="L8" s="507"/>
    </row>
    <row r="9" spans="1:12">
      <c r="A9" s="508"/>
      <c r="B9" s="509"/>
      <c r="C9" s="508"/>
      <c r="D9" s="509"/>
      <c r="E9" s="508"/>
      <c r="F9" s="531"/>
      <c r="G9" s="509"/>
      <c r="H9" s="508"/>
      <c r="I9" s="509"/>
      <c r="J9" s="505"/>
      <c r="K9" s="508"/>
      <c r="L9" s="509"/>
    </row>
    <row r="10" spans="1:12">
      <c r="A10" s="492" t="s">
        <v>2869</v>
      </c>
      <c r="B10" s="492"/>
      <c r="C10" s="495" t="s">
        <v>2870</v>
      </c>
      <c r="D10" s="495"/>
      <c r="E10" s="492" t="s">
        <v>2871</v>
      </c>
      <c r="F10" s="492"/>
      <c r="G10" s="492"/>
      <c r="H10" s="496" t="s">
        <v>2872</v>
      </c>
      <c r="I10" s="495"/>
      <c r="J10" s="495" t="s">
        <v>2873</v>
      </c>
      <c r="K10" s="497" t="s">
        <v>100</v>
      </c>
      <c r="L10" s="498"/>
    </row>
    <row r="11" spans="1:12">
      <c r="A11" s="492"/>
      <c r="B11" s="492"/>
      <c r="C11" s="495"/>
      <c r="D11" s="495"/>
      <c r="E11" s="493"/>
      <c r="F11" s="493"/>
      <c r="G11" s="493"/>
      <c r="H11" s="495"/>
      <c r="I11" s="495"/>
      <c r="J11" s="495"/>
      <c r="K11" s="499"/>
      <c r="L11" s="500"/>
    </row>
    <row r="12" spans="1:12" ht="60" customHeight="1">
      <c r="A12" s="492"/>
      <c r="B12" s="492"/>
      <c r="C12" s="495"/>
      <c r="D12" s="495"/>
      <c r="E12" s="492" t="s">
        <v>2874</v>
      </c>
      <c r="F12" s="492"/>
      <c r="G12" s="492"/>
      <c r="H12" s="495"/>
      <c r="I12" s="495"/>
      <c r="J12" s="495"/>
      <c r="K12" s="499"/>
      <c r="L12" s="500"/>
    </row>
    <row r="13" spans="1:12">
      <c r="A13" s="492" t="s">
        <v>2875</v>
      </c>
      <c r="B13" s="492"/>
      <c r="C13" s="495"/>
      <c r="D13" s="495"/>
      <c r="E13" s="493"/>
      <c r="F13" s="493"/>
      <c r="G13" s="493"/>
      <c r="H13" s="495"/>
      <c r="I13" s="495"/>
      <c r="J13" s="495"/>
      <c r="K13" s="499"/>
      <c r="L13" s="500"/>
    </row>
    <row r="14" spans="1:12" ht="32.25" customHeight="1">
      <c r="A14" s="492"/>
      <c r="B14" s="492"/>
      <c r="C14" s="495"/>
      <c r="D14" s="495"/>
      <c r="E14" s="492" t="s">
        <v>2876</v>
      </c>
      <c r="F14" s="492"/>
      <c r="G14" s="492"/>
      <c r="H14" s="495"/>
      <c r="I14" s="495"/>
      <c r="J14" s="495"/>
      <c r="K14" s="499"/>
      <c r="L14" s="500"/>
    </row>
    <row r="15" spans="1:12">
      <c r="A15" s="492" t="s">
        <v>714</v>
      </c>
      <c r="B15" s="492"/>
      <c r="C15" s="495"/>
      <c r="D15" s="495"/>
      <c r="E15" s="503"/>
      <c r="F15" s="503"/>
      <c r="G15" s="503"/>
      <c r="H15" s="495"/>
      <c r="I15" s="495"/>
      <c r="J15" s="495"/>
      <c r="K15" s="499"/>
      <c r="L15" s="500"/>
    </row>
    <row r="16" spans="1:12">
      <c r="A16" s="492"/>
      <c r="B16" s="492"/>
      <c r="C16" s="495"/>
      <c r="D16" s="495"/>
      <c r="E16" s="492" t="s">
        <v>2877</v>
      </c>
      <c r="F16" s="492"/>
      <c r="G16" s="492"/>
      <c r="H16" s="495"/>
      <c r="I16" s="495"/>
      <c r="J16" s="495"/>
      <c r="K16" s="499"/>
      <c r="L16" s="500"/>
    </row>
    <row r="17" spans="1:12">
      <c r="A17" s="492"/>
      <c r="B17" s="492"/>
      <c r="C17" s="495"/>
      <c r="D17" s="495"/>
      <c r="E17" s="492"/>
      <c r="F17" s="492"/>
      <c r="G17" s="492"/>
      <c r="H17" s="495"/>
      <c r="I17" s="495"/>
      <c r="J17" s="495"/>
      <c r="K17" s="499"/>
      <c r="L17" s="500"/>
    </row>
    <row r="18" spans="1:12">
      <c r="A18" s="478"/>
      <c r="B18" s="478"/>
      <c r="C18" s="495"/>
      <c r="D18" s="495"/>
      <c r="E18" s="493"/>
      <c r="F18" s="493"/>
      <c r="G18" s="493"/>
      <c r="H18" s="495"/>
      <c r="I18" s="495"/>
      <c r="J18" s="495"/>
      <c r="K18" s="499"/>
      <c r="L18" s="500"/>
    </row>
    <row r="19" spans="1:12" ht="30.75" customHeight="1">
      <c r="A19" s="478"/>
      <c r="B19" s="478"/>
      <c r="C19" s="495"/>
      <c r="D19" s="495"/>
      <c r="E19" s="492" t="s">
        <v>2878</v>
      </c>
      <c r="F19" s="492"/>
      <c r="G19" s="492"/>
      <c r="H19" s="495"/>
      <c r="I19" s="495"/>
      <c r="J19" s="495"/>
      <c r="K19" s="499"/>
      <c r="L19" s="500"/>
    </row>
    <row r="20" spans="1:12">
      <c r="A20" s="478"/>
      <c r="B20" s="478"/>
      <c r="C20" s="495"/>
      <c r="D20" s="495"/>
      <c r="E20" s="493"/>
      <c r="F20" s="493"/>
      <c r="G20" s="493"/>
      <c r="H20" s="495"/>
      <c r="I20" s="495"/>
      <c r="J20" s="495"/>
      <c r="K20" s="499"/>
      <c r="L20" s="500"/>
    </row>
    <row r="21" spans="1:12">
      <c r="A21" s="478"/>
      <c r="B21" s="478"/>
      <c r="C21" s="495"/>
      <c r="D21" s="495"/>
      <c r="E21" s="492" t="s">
        <v>2879</v>
      </c>
      <c r="F21" s="492"/>
      <c r="G21" s="492"/>
      <c r="H21" s="495"/>
      <c r="I21" s="495"/>
      <c r="J21" s="495"/>
      <c r="K21" s="499"/>
      <c r="L21" s="500"/>
    </row>
    <row r="22" spans="1:12">
      <c r="A22" s="478"/>
      <c r="B22" s="478"/>
      <c r="C22" s="495"/>
      <c r="D22" s="495"/>
      <c r="E22" s="478"/>
      <c r="F22" s="478"/>
      <c r="G22" s="478"/>
      <c r="H22" s="495"/>
      <c r="I22" s="495"/>
      <c r="J22" s="495"/>
      <c r="K22" s="499"/>
      <c r="L22" s="500"/>
    </row>
    <row r="23" spans="1:12">
      <c r="A23" s="478"/>
      <c r="B23" s="478"/>
      <c r="C23" s="495"/>
      <c r="D23" s="495"/>
      <c r="E23" s="492" t="s">
        <v>2880</v>
      </c>
      <c r="F23" s="492"/>
      <c r="G23" s="492"/>
      <c r="H23" s="495"/>
      <c r="I23" s="495"/>
      <c r="J23" s="495"/>
      <c r="K23" s="499"/>
      <c r="L23" s="500"/>
    </row>
    <row r="24" spans="1:12">
      <c r="A24" s="478"/>
      <c r="B24" s="478"/>
      <c r="C24" s="495"/>
      <c r="D24" s="495"/>
      <c r="E24" s="492"/>
      <c r="F24" s="492"/>
      <c r="G24" s="492"/>
      <c r="H24" s="495"/>
      <c r="I24" s="495"/>
      <c r="J24" s="495"/>
      <c r="K24" s="499"/>
      <c r="L24" s="500"/>
    </row>
    <row r="25" spans="1:12" ht="25.5" customHeight="1">
      <c r="A25" s="478"/>
      <c r="B25" s="478"/>
      <c r="C25" s="495"/>
      <c r="D25" s="495"/>
      <c r="E25" s="492" t="s">
        <v>2881</v>
      </c>
      <c r="F25" s="492"/>
      <c r="G25" s="492"/>
      <c r="H25" s="495"/>
      <c r="I25" s="495"/>
      <c r="J25" s="495"/>
      <c r="K25" s="499"/>
      <c r="L25" s="500"/>
    </row>
    <row r="26" spans="1:12">
      <c r="A26" s="478"/>
      <c r="B26" s="478"/>
      <c r="C26" s="495"/>
      <c r="D26" s="495"/>
      <c r="E26" s="492"/>
      <c r="F26" s="492"/>
      <c r="G26" s="492"/>
      <c r="H26" s="495"/>
      <c r="I26" s="495"/>
      <c r="J26" s="495"/>
      <c r="K26" s="499"/>
      <c r="L26" s="500"/>
    </row>
    <row r="27" spans="1:12">
      <c r="A27" s="478"/>
      <c r="B27" s="478"/>
      <c r="C27" s="495"/>
      <c r="D27" s="495"/>
      <c r="E27" s="492" t="s">
        <v>103</v>
      </c>
      <c r="F27" s="492"/>
      <c r="G27" s="492"/>
      <c r="H27" s="495"/>
      <c r="I27" s="495"/>
      <c r="J27" s="495"/>
      <c r="K27" s="499"/>
      <c r="L27" s="500"/>
    </row>
    <row r="28" spans="1:12">
      <c r="A28" s="478"/>
      <c r="B28" s="478"/>
      <c r="C28" s="495"/>
      <c r="D28" s="495"/>
      <c r="E28" s="492"/>
      <c r="F28" s="492"/>
      <c r="G28" s="492"/>
      <c r="H28" s="495"/>
      <c r="I28" s="495"/>
      <c r="J28" s="495"/>
      <c r="K28" s="499"/>
      <c r="L28" s="500"/>
    </row>
    <row r="29" spans="1:12">
      <c r="A29" s="478"/>
      <c r="B29" s="478"/>
      <c r="C29" s="495"/>
      <c r="D29" s="495"/>
      <c r="E29" s="492" t="s">
        <v>107</v>
      </c>
      <c r="F29" s="492"/>
      <c r="G29" s="492"/>
      <c r="H29" s="495"/>
      <c r="I29" s="495"/>
      <c r="J29" s="495"/>
      <c r="K29" s="501"/>
      <c r="L29" s="502"/>
    </row>
    <row r="30" spans="1:12">
      <c r="A30" s="479" t="s">
        <v>108</v>
      </c>
      <c r="B30" s="480"/>
      <c r="C30" s="480"/>
      <c r="D30" s="480"/>
      <c r="E30" s="480"/>
      <c r="F30" s="480"/>
      <c r="G30" s="480"/>
      <c r="H30" s="481"/>
      <c r="I30" s="131" t="s">
        <v>109</v>
      </c>
      <c r="J30" s="131" t="s">
        <v>110</v>
      </c>
      <c r="K30" s="132" t="s">
        <v>111</v>
      </c>
      <c r="L30" s="132" t="s">
        <v>112</v>
      </c>
    </row>
    <row r="31" spans="1:12">
      <c r="A31" s="482"/>
      <c r="B31" s="483"/>
      <c r="C31" s="483"/>
      <c r="D31" s="483"/>
      <c r="E31" s="483"/>
      <c r="F31" s="483"/>
      <c r="G31" s="483"/>
      <c r="H31" s="484"/>
      <c r="I31" s="133" t="s">
        <v>113</v>
      </c>
      <c r="J31" s="134" t="s">
        <v>140</v>
      </c>
      <c r="K31" s="134"/>
      <c r="L31" s="134" t="s">
        <v>2772</v>
      </c>
    </row>
    <row r="32" spans="1:12">
      <c r="A32" s="485" t="s">
        <v>115</v>
      </c>
      <c r="B32" s="486"/>
      <c r="C32" s="486"/>
      <c r="D32" s="486"/>
      <c r="E32" s="486"/>
      <c r="F32" s="486"/>
      <c r="G32" s="486"/>
      <c r="H32" s="487"/>
      <c r="I32" s="133" t="s">
        <v>116</v>
      </c>
      <c r="J32" s="134" t="s">
        <v>117</v>
      </c>
      <c r="K32" s="134"/>
      <c r="L32" s="134"/>
    </row>
    <row r="33" spans="1:12">
      <c r="A33" s="485"/>
      <c r="B33" s="486"/>
      <c r="C33" s="486"/>
      <c r="D33" s="486"/>
      <c r="E33" s="486"/>
      <c r="F33" s="486"/>
      <c r="G33" s="486"/>
      <c r="H33" s="487"/>
      <c r="I33" s="133" t="s">
        <v>118</v>
      </c>
      <c r="J33" s="134"/>
      <c r="K33" s="134"/>
      <c r="L33" s="134"/>
    </row>
    <row r="34" spans="1:12">
      <c r="A34" s="488" t="s">
        <v>119</v>
      </c>
      <c r="B34" s="489"/>
      <c r="C34" s="490" t="s">
        <v>120</v>
      </c>
      <c r="D34" s="490"/>
      <c r="E34" s="491" t="s">
        <v>121</v>
      </c>
      <c r="F34" s="491"/>
      <c r="G34" s="491"/>
      <c r="H34" s="491"/>
      <c r="I34" s="133" t="s">
        <v>122</v>
      </c>
      <c r="J34" s="134"/>
      <c r="K34" s="134"/>
      <c r="L34" s="134"/>
    </row>
  </sheetData>
  <mergeCells count="54">
    <mergeCell ref="A1:L1"/>
    <mergeCell ref="E2:F2"/>
    <mergeCell ref="G2:I2"/>
    <mergeCell ref="J2:L2"/>
    <mergeCell ref="A3:I3"/>
    <mergeCell ref="J3:L3"/>
    <mergeCell ref="K8:L9"/>
    <mergeCell ref="A4:G5"/>
    <mergeCell ref="H4:I5"/>
    <mergeCell ref="J4:J5"/>
    <mergeCell ref="K4:L5"/>
    <mergeCell ref="E6:L6"/>
    <mergeCell ref="A7:B7"/>
    <mergeCell ref="C7:D7"/>
    <mergeCell ref="E7:G7"/>
    <mergeCell ref="H7:I7"/>
    <mergeCell ref="K7:L7"/>
    <mergeCell ref="A8:B9"/>
    <mergeCell ref="C8:D9"/>
    <mergeCell ref="E8:G9"/>
    <mergeCell ref="H8:I9"/>
    <mergeCell ref="J8:J9"/>
    <mergeCell ref="K10:L29"/>
    <mergeCell ref="E11:G11"/>
    <mergeCell ref="E12:G12"/>
    <mergeCell ref="A13:B14"/>
    <mergeCell ref="E13:G13"/>
    <mergeCell ref="A10:B12"/>
    <mergeCell ref="C10:D29"/>
    <mergeCell ref="E10:G10"/>
    <mergeCell ref="H10:I29"/>
    <mergeCell ref="J10:J29"/>
    <mergeCell ref="E28:G28"/>
    <mergeCell ref="E14:G14"/>
    <mergeCell ref="A15:B17"/>
    <mergeCell ref="E15:G15"/>
    <mergeCell ref="E16:G17"/>
    <mergeCell ref="A18:B29"/>
    <mergeCell ref="E18:G18"/>
    <mergeCell ref="E19:G19"/>
    <mergeCell ref="E20:G20"/>
    <mergeCell ref="E21:G21"/>
    <mergeCell ref="E22:G22"/>
    <mergeCell ref="E23:G23"/>
    <mergeCell ref="E24:G24"/>
    <mergeCell ref="E25:G25"/>
    <mergeCell ref="E26:G26"/>
    <mergeCell ref="E27:G27"/>
    <mergeCell ref="E29:G29"/>
    <mergeCell ref="A30:H31"/>
    <mergeCell ref="A32:H33"/>
    <mergeCell ref="A34:B34"/>
    <mergeCell ref="C34:D34"/>
    <mergeCell ref="E34:H3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149F-0B70-4E2D-9065-2373C14925FC}">
  <sheetPr>
    <pageSetUpPr fitToPage="1"/>
  </sheetPr>
  <dimension ref="A1:D26"/>
  <sheetViews>
    <sheetView workbookViewId="0"/>
  </sheetViews>
  <sheetFormatPr defaultRowHeight="15"/>
  <cols>
    <col min="1" max="1" width="17.5703125" customWidth="1"/>
    <col min="2" max="2" width="28.7109375" customWidth="1"/>
    <col min="3" max="3" width="32" customWidth="1"/>
    <col min="4" max="4" width="56" customWidth="1"/>
  </cols>
  <sheetData>
    <row r="1" spans="1:4">
      <c r="A1" s="1156" t="s">
        <v>2882</v>
      </c>
      <c r="B1" s="1156"/>
      <c r="C1" s="1156"/>
      <c r="D1" s="1156"/>
    </row>
    <row r="2" spans="1:4">
      <c r="A2" s="421" t="s">
        <v>112</v>
      </c>
      <c r="B2" s="421" t="s">
        <v>2883</v>
      </c>
      <c r="C2" s="422" t="s">
        <v>2884</v>
      </c>
      <c r="D2" s="425" t="s">
        <v>2885</v>
      </c>
    </row>
    <row r="3" spans="1:4">
      <c r="A3" s="308">
        <v>46084</v>
      </c>
      <c r="B3" s="428">
        <v>3</v>
      </c>
      <c r="C3" s="423" t="s">
        <v>2886</v>
      </c>
      <c r="D3" s="426" t="s">
        <v>2887</v>
      </c>
    </row>
    <row r="4" spans="1:4">
      <c r="A4" s="308">
        <v>46085</v>
      </c>
      <c r="B4" s="428">
        <v>70</v>
      </c>
      <c r="C4" s="423" t="s">
        <v>2886</v>
      </c>
      <c r="D4" s="426" t="s">
        <v>2887</v>
      </c>
    </row>
    <row r="5" spans="1:4">
      <c r="A5" s="308">
        <v>46091</v>
      </c>
      <c r="B5" s="428">
        <v>41</v>
      </c>
      <c r="C5" s="424" t="s">
        <v>2886</v>
      </c>
      <c r="D5" s="426" t="s">
        <v>2888</v>
      </c>
    </row>
    <row r="6" spans="1:4">
      <c r="A6" s="308">
        <v>46093</v>
      </c>
      <c r="B6" s="428">
        <v>70</v>
      </c>
      <c r="C6" s="423" t="s">
        <v>2886</v>
      </c>
      <c r="D6" s="426" t="s">
        <v>2889</v>
      </c>
    </row>
    <row r="7" spans="1:4">
      <c r="A7" s="308">
        <v>46093</v>
      </c>
      <c r="B7" s="428">
        <v>37</v>
      </c>
      <c r="C7" s="423" t="s">
        <v>2886</v>
      </c>
      <c r="D7" s="426" t="s">
        <v>2890</v>
      </c>
    </row>
    <row r="8" spans="1:4">
      <c r="A8" s="308">
        <v>46095</v>
      </c>
      <c r="B8" s="428">
        <v>40</v>
      </c>
      <c r="C8" s="423" t="s">
        <v>2886</v>
      </c>
      <c r="D8" s="426" t="s">
        <v>2891</v>
      </c>
    </row>
    <row r="9" spans="1:4">
      <c r="A9" s="308">
        <v>46098</v>
      </c>
      <c r="B9" s="428">
        <v>80</v>
      </c>
      <c r="C9" s="424" t="s">
        <v>2886</v>
      </c>
      <c r="D9" s="426" t="s">
        <v>2784</v>
      </c>
    </row>
    <row r="10" spans="1:4">
      <c r="A10" s="308" t="s">
        <v>2892</v>
      </c>
      <c r="B10" s="429">
        <f>SUM(B3:B9)</f>
        <v>341</v>
      </c>
      <c r="C10" s="424"/>
      <c r="D10" s="427"/>
    </row>
    <row r="12" spans="1:4">
      <c r="A12" s="1156" t="s">
        <v>2893</v>
      </c>
      <c r="B12" s="1156"/>
      <c r="C12" s="1156"/>
      <c r="D12" s="1156"/>
    </row>
    <row r="13" spans="1:4">
      <c r="A13" s="421" t="s">
        <v>112</v>
      </c>
      <c r="B13" s="421" t="s">
        <v>2883</v>
      </c>
      <c r="C13" s="422" t="s">
        <v>2884</v>
      </c>
      <c r="D13" s="425" t="s">
        <v>2885</v>
      </c>
    </row>
    <row r="14" spans="1:4">
      <c r="A14" s="308">
        <v>46089</v>
      </c>
      <c r="B14" s="428">
        <v>38</v>
      </c>
      <c r="C14" s="423" t="s">
        <v>2886</v>
      </c>
      <c r="D14" s="426" t="s">
        <v>2894</v>
      </c>
    </row>
    <row r="15" spans="1:4">
      <c r="A15" s="308">
        <v>46095</v>
      </c>
      <c r="B15" s="428">
        <v>207</v>
      </c>
      <c r="C15" s="423" t="s">
        <v>2886</v>
      </c>
      <c r="D15" s="426" t="s">
        <v>175</v>
      </c>
    </row>
    <row r="16" spans="1:4">
      <c r="A16" s="308" t="s">
        <v>2892</v>
      </c>
      <c r="B16" s="429">
        <f>SUM(B14:B15)</f>
        <v>245</v>
      </c>
      <c r="C16" s="424"/>
      <c r="D16" s="427"/>
    </row>
    <row r="19" spans="1:3">
      <c r="A19" s="88"/>
      <c r="B19" s="430" t="s">
        <v>2884</v>
      </c>
      <c r="C19" s="431" t="s">
        <v>2883</v>
      </c>
    </row>
    <row r="20" spans="1:3">
      <c r="A20" s="88"/>
      <c r="B20" s="88"/>
      <c r="C20" s="88"/>
    </row>
    <row r="21" spans="1:3">
      <c r="A21" s="88" t="s">
        <v>2895</v>
      </c>
      <c r="B21" s="88" t="s">
        <v>2896</v>
      </c>
      <c r="C21" s="88">
        <v>17</v>
      </c>
    </row>
    <row r="22" spans="1:3">
      <c r="A22" s="88" t="s">
        <v>2895</v>
      </c>
      <c r="B22" s="88" t="s">
        <v>2897</v>
      </c>
      <c r="C22" s="88">
        <v>304</v>
      </c>
    </row>
    <row r="23" spans="1:3">
      <c r="A23" s="88"/>
      <c r="B23" s="88"/>
      <c r="C23" s="88"/>
    </row>
    <row r="24" spans="1:3">
      <c r="A24" s="88"/>
      <c r="B24" s="88"/>
      <c r="C24" s="88"/>
    </row>
    <row r="25" spans="1:3">
      <c r="A25" s="88" t="s">
        <v>2898</v>
      </c>
      <c r="B25" s="88" t="s">
        <v>2896</v>
      </c>
      <c r="C25" s="88">
        <v>354</v>
      </c>
    </row>
    <row r="26" spans="1:3">
      <c r="A26" s="88" t="s">
        <v>2898</v>
      </c>
      <c r="B26" s="88" t="s">
        <v>2897</v>
      </c>
      <c r="C26" s="88">
        <v>454</v>
      </c>
    </row>
  </sheetData>
  <mergeCells count="2">
    <mergeCell ref="A1:D1"/>
    <mergeCell ref="A12:D12"/>
  </mergeCells>
  <pageMargins left="0.7" right="0.7" top="0.75" bottom="0.75" header="0.3" footer="0.3"/>
  <pageSetup paperSize="9" fitToHeight="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3D95-7A11-4047-AFBE-95BFE9E4695B}">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Tanmaya Das</cp:lastModifiedBy>
  <cp:revision/>
  <dcterms:created xsi:type="dcterms:W3CDTF">2024-10-03T10:28:19Z</dcterms:created>
  <dcterms:modified xsi:type="dcterms:W3CDTF">2026-03-26T04:04:57Z</dcterms:modified>
  <cp:category/>
  <cp:contentStatus/>
</cp:coreProperties>
</file>