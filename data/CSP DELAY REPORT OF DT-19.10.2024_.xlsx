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980299\Desktop\CASTER DASHBOARD\"/>
    </mc:Choice>
  </mc:AlternateContent>
  <xr:revisionPtr revIDLastSave="0" documentId="13_ncr:1_{BCBDD02E-DBCD-443B-AF8F-BA7692029625}" xr6:coauthVersionLast="47" xr6:coauthVersionMax="47" xr10:uidLastSave="{00000000-0000-0000-0000-000000000000}"/>
  <bookViews>
    <workbookView xWindow="-110" yWindow="-110" windowWidth="19420" windowHeight="10300" activeTab="1" xr2:uid="{D94E9C52-383B-4A8C-8F91-53F47D79EAC5}"/>
  </bookViews>
  <sheets>
    <sheet name="CSP Caster-01" sheetId="1" r:id="rId1"/>
    <sheet name="CSP Caster-02" sheetId="2" r:id="rId2"/>
    <sheet name="Sheet1" sheetId="3" r:id="rId3"/>
  </sheets>
  <definedNames>
    <definedName name="_xlnm._FilterDatabase" localSheetId="0" hidden="1">'CSP Caster-01'!$A$1:$M$1051</definedName>
    <definedName name="_xlnm._FilterDatabase" localSheetId="1" hidden="1">'CSP Caster-02'!$A$1:$M$1150</definedName>
    <definedName name="_xlnm._FilterDatabase" localSheetId="2" hidden="1">Sheet1!$H$1:$T$33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0" i="2" l="1"/>
  <c r="I719" i="2"/>
  <c r="I718" i="2"/>
  <c r="I717" i="2"/>
  <c r="I674" i="1"/>
  <c r="I673" i="1"/>
  <c r="I716" i="2"/>
  <c r="I715" i="2"/>
  <c r="I714" i="2"/>
  <c r="I672" i="1"/>
  <c r="I671" i="1"/>
  <c r="I670" i="1"/>
  <c r="I669" i="1"/>
  <c r="I668" i="1"/>
  <c r="I713" i="2"/>
  <c r="I712" i="2"/>
  <c r="I711" i="2"/>
  <c r="I667" i="1"/>
  <c r="I666" i="1"/>
  <c r="I665" i="1"/>
  <c r="I710" i="2" l="1"/>
  <c r="I664" i="1"/>
  <c r="I663" i="1"/>
  <c r="I662" i="1"/>
  <c r="I704" i="2"/>
  <c r="I703" i="2"/>
  <c r="I659" i="1"/>
  <c r="I658" i="1"/>
  <c r="I657" i="1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459" i="2"/>
  <c r="I458" i="2"/>
  <c r="I457" i="2"/>
  <c r="I456" i="2"/>
  <c r="I424" i="1"/>
  <c r="I423" i="1"/>
  <c r="I422" i="1"/>
  <c r="I421" i="1"/>
  <c r="J3" i="1"/>
  <c r="J5" i="1"/>
  <c r="J7" i="1"/>
  <c r="J11" i="1"/>
  <c r="J13" i="1"/>
  <c r="J15" i="1"/>
  <c r="J20" i="1"/>
  <c r="J22" i="1"/>
  <c r="J23" i="1" s="1"/>
  <c r="J26" i="1"/>
  <c r="J30" i="1"/>
  <c r="J31" i="1" s="1"/>
  <c r="J38" i="1"/>
  <c r="J39" i="1" s="1"/>
  <c r="J42" i="1"/>
  <c r="J44" i="1"/>
  <c r="J45" i="1" s="1"/>
  <c r="J47" i="1"/>
  <c r="J49" i="1"/>
  <c r="J50" i="1" s="1"/>
  <c r="J53" i="1"/>
  <c r="J54" i="1" s="1"/>
  <c r="J55" i="1" s="1"/>
  <c r="J57" i="1"/>
  <c r="J59" i="1"/>
  <c r="J60" i="1" s="1"/>
  <c r="J62" i="1"/>
  <c r="J64" i="1"/>
  <c r="J65" i="1" s="1"/>
  <c r="J68" i="1"/>
  <c r="J69" i="1" s="1"/>
  <c r="J72" i="1"/>
  <c r="J73" i="1" s="1"/>
  <c r="J74" i="1" s="1"/>
  <c r="J76" i="1"/>
  <c r="J77" i="1" s="1"/>
  <c r="J82" i="1"/>
  <c r="J87" i="1"/>
  <c r="J88" i="1" s="1"/>
  <c r="J89" i="1" s="1"/>
  <c r="J95" i="1"/>
  <c r="J97" i="1"/>
  <c r="J99" i="1"/>
  <c r="J102" i="1"/>
  <c r="D3" i="1"/>
  <c r="E3" i="1"/>
  <c r="F3" i="1"/>
  <c r="A4" i="1"/>
  <c r="A5" i="1" s="1"/>
  <c r="B4" i="1"/>
  <c r="B5" i="1" s="1"/>
  <c r="C4" i="1"/>
  <c r="C5" i="1" s="1"/>
  <c r="D5" i="1"/>
  <c r="E5" i="1"/>
  <c r="F5" i="1"/>
  <c r="A7" i="1"/>
  <c r="A8" i="1" s="1"/>
  <c r="A9" i="1" s="1"/>
  <c r="A10" i="1" s="1"/>
  <c r="B7" i="1"/>
  <c r="B8" i="1" s="1"/>
  <c r="B9" i="1" s="1"/>
  <c r="B10" i="1" s="1"/>
  <c r="C7" i="1"/>
  <c r="C8" i="1" s="1"/>
  <c r="C9" i="1" s="1"/>
  <c r="C10" i="1" s="1"/>
  <c r="D7" i="1"/>
  <c r="E7" i="1"/>
  <c r="F7" i="1"/>
  <c r="D11" i="1"/>
  <c r="E11" i="1"/>
  <c r="F11" i="1"/>
  <c r="A12" i="1"/>
  <c r="A13" i="1" s="1"/>
  <c r="A14" i="1" s="1"/>
  <c r="A15" i="1" s="1"/>
  <c r="B12" i="1"/>
  <c r="B13" i="1" s="1"/>
  <c r="B14" i="1" s="1"/>
  <c r="B15" i="1" s="1"/>
  <c r="C12" i="1"/>
  <c r="C13" i="1" s="1"/>
  <c r="C14" i="1" s="1"/>
  <c r="C15" i="1" s="1"/>
  <c r="D13" i="1"/>
  <c r="E13" i="1"/>
  <c r="F13" i="1"/>
  <c r="D15" i="1"/>
  <c r="E15" i="1"/>
  <c r="F15" i="1"/>
  <c r="A17" i="1"/>
  <c r="A18" i="1" s="1"/>
  <c r="B17" i="1"/>
  <c r="B18" i="1" s="1"/>
  <c r="C17" i="1"/>
  <c r="C18" i="1" s="1"/>
  <c r="A20" i="1"/>
  <c r="B20" i="1"/>
  <c r="C20" i="1"/>
  <c r="D20" i="1"/>
  <c r="E20" i="1"/>
  <c r="F20" i="1"/>
  <c r="A22" i="1"/>
  <c r="A23" i="1" s="1"/>
  <c r="A24" i="1" s="1"/>
  <c r="B22" i="1"/>
  <c r="B23" i="1" s="1"/>
  <c r="B24" i="1" s="1"/>
  <c r="C22" i="1"/>
  <c r="C23" i="1" s="1"/>
  <c r="C24" i="1" s="1"/>
  <c r="D22" i="1"/>
  <c r="D23" i="1" s="1"/>
  <c r="E22" i="1"/>
  <c r="E23" i="1" s="1"/>
  <c r="F22" i="1"/>
  <c r="F23" i="1" s="1"/>
  <c r="A26" i="1"/>
  <c r="B26" i="1"/>
  <c r="C26" i="1"/>
  <c r="D26" i="1"/>
  <c r="E26" i="1"/>
  <c r="F26" i="1"/>
  <c r="D30" i="1"/>
  <c r="D31" i="1" s="1"/>
  <c r="E30" i="1"/>
  <c r="E31" i="1" s="1"/>
  <c r="F30" i="1"/>
  <c r="F31" i="1" s="1"/>
  <c r="A31" i="1"/>
  <c r="B31" i="1"/>
  <c r="C31" i="1"/>
  <c r="A33" i="1"/>
  <c r="B33" i="1"/>
  <c r="C33" i="1"/>
  <c r="D34" i="1"/>
  <c r="E34" i="1"/>
  <c r="F34" i="1"/>
  <c r="A36" i="1"/>
  <c r="B36" i="1"/>
  <c r="C36" i="1"/>
  <c r="I37" i="1"/>
  <c r="A38" i="1"/>
  <c r="B38" i="1"/>
  <c r="C38" i="1"/>
  <c r="D38" i="1"/>
  <c r="D39" i="1" s="1"/>
  <c r="E38" i="1"/>
  <c r="E39" i="1" s="1"/>
  <c r="F38" i="1"/>
  <c r="F39" i="1" s="1"/>
  <c r="I38" i="1"/>
  <c r="I39" i="1"/>
  <c r="A40" i="1"/>
  <c r="B40" i="1"/>
  <c r="C40" i="1"/>
  <c r="I40" i="1"/>
  <c r="I41" i="1"/>
  <c r="A42" i="1"/>
  <c r="B42" i="1"/>
  <c r="C42" i="1"/>
  <c r="D42" i="1"/>
  <c r="E42" i="1"/>
  <c r="F42" i="1"/>
  <c r="I42" i="1"/>
  <c r="I43" i="1"/>
  <c r="I44" i="1"/>
  <c r="I45" i="1"/>
  <c r="A107" i="2"/>
  <c r="A108" i="2" s="1"/>
  <c r="B107" i="2"/>
  <c r="B108" i="2" s="1"/>
  <c r="C107" i="2"/>
  <c r="C108" i="2" s="1"/>
  <c r="D107" i="2"/>
  <c r="D108" i="2" s="1"/>
  <c r="E107" i="2"/>
  <c r="E108" i="2" s="1"/>
  <c r="F107" i="2"/>
  <c r="F108" i="2" s="1"/>
  <c r="A110" i="2"/>
  <c r="A111" i="2" s="1"/>
  <c r="A112" i="2" s="1"/>
  <c r="B110" i="2"/>
  <c r="B111" i="2" s="1"/>
  <c r="B112" i="2" s="1"/>
  <c r="C110" i="2"/>
  <c r="C111" i="2" s="1"/>
  <c r="C112" i="2" s="1"/>
  <c r="D110" i="2"/>
  <c r="D111" i="2" s="1"/>
  <c r="D112" i="2" s="1"/>
  <c r="E110" i="2"/>
  <c r="E111" i="2" s="1"/>
  <c r="E112" i="2" s="1"/>
  <c r="F110" i="2"/>
  <c r="F111" i="2" s="1"/>
  <c r="F112" i="2" s="1"/>
  <c r="A108" i="1"/>
  <c r="B108" i="1"/>
  <c r="C108" i="1"/>
  <c r="D108" i="1"/>
  <c r="D109" i="1" s="1"/>
  <c r="D110" i="1" s="1"/>
  <c r="D111" i="1" s="1"/>
  <c r="E108" i="1"/>
  <c r="E109" i="1" s="1"/>
  <c r="E110" i="1" s="1"/>
  <c r="E111" i="1" s="1"/>
  <c r="F108" i="1"/>
  <c r="F109" i="1" s="1"/>
  <c r="F110" i="1" s="1"/>
  <c r="F111" i="1" s="1"/>
  <c r="A110" i="1"/>
  <c r="A111" i="1" s="1"/>
  <c r="A112" i="1" s="1"/>
  <c r="A113" i="1" s="1"/>
  <c r="B110" i="1"/>
  <c r="B111" i="1" s="1"/>
  <c r="B112" i="1" s="1"/>
  <c r="B113" i="1" s="1"/>
  <c r="C110" i="1"/>
  <c r="C111" i="1" s="1"/>
  <c r="C112" i="1" s="1"/>
  <c r="C113" i="1" s="1"/>
  <c r="D113" i="1"/>
  <c r="E113" i="1"/>
  <c r="F113" i="1"/>
  <c r="B104" i="1"/>
  <c r="B105" i="1" s="1"/>
  <c r="B106" i="1" s="1"/>
  <c r="C104" i="1"/>
  <c r="C105" i="1" s="1"/>
  <c r="C106" i="1" s="1"/>
  <c r="D105" i="1"/>
  <c r="E105" i="1"/>
  <c r="F105" i="1"/>
  <c r="A104" i="1"/>
  <c r="A105" i="1" s="1"/>
  <c r="A106" i="1" s="1"/>
  <c r="J63" i="2"/>
  <c r="J65" i="2"/>
  <c r="J66" i="2" s="1"/>
  <c r="J68" i="2"/>
  <c r="J69" i="2" s="1"/>
  <c r="J70" i="2" s="1"/>
  <c r="J71" i="2" s="1"/>
  <c r="J72" i="2" s="1"/>
  <c r="J73" i="2" s="1"/>
  <c r="J74" i="2" s="1"/>
  <c r="J75" i="2" s="1"/>
  <c r="J76" i="2" s="1"/>
  <c r="J77" i="2" s="1"/>
  <c r="J79" i="2"/>
  <c r="J81" i="2"/>
  <c r="J82" i="2" s="1"/>
  <c r="J86" i="2"/>
  <c r="J89" i="2"/>
  <c r="J91" i="2"/>
  <c r="J92" i="2" s="1"/>
  <c r="J93" i="2" s="1"/>
  <c r="J95" i="2"/>
  <c r="J97" i="2"/>
  <c r="J100" i="2"/>
  <c r="J101" i="2" s="1"/>
  <c r="J103" i="2"/>
  <c r="J104" i="2" s="1"/>
  <c r="A63" i="2"/>
  <c r="B63" i="2"/>
  <c r="C63" i="2"/>
  <c r="D63" i="2"/>
  <c r="E63" i="2"/>
  <c r="F63" i="2"/>
  <c r="A65" i="2"/>
  <c r="A66" i="2" s="1"/>
  <c r="B65" i="2"/>
  <c r="B66" i="2" s="1"/>
  <c r="C65" i="2"/>
  <c r="C66" i="2" s="1"/>
  <c r="D65" i="2"/>
  <c r="D66" i="2" s="1"/>
  <c r="E65" i="2"/>
  <c r="E66" i="2" s="1"/>
  <c r="F65" i="2"/>
  <c r="F66" i="2" s="1"/>
  <c r="A68" i="2"/>
  <c r="A69" i="2" s="1"/>
  <c r="A70" i="2" s="1"/>
  <c r="B68" i="2"/>
  <c r="B69" i="2" s="1"/>
  <c r="B70" i="2" s="1"/>
  <c r="C68" i="2"/>
  <c r="C69" i="2" s="1"/>
  <c r="C70" i="2" s="1"/>
  <c r="D68" i="2"/>
  <c r="D69" i="2" s="1"/>
  <c r="D70" i="2" s="1"/>
  <c r="E68" i="2"/>
  <c r="E69" i="2" s="1"/>
  <c r="E70" i="2" s="1"/>
  <c r="F68" i="2"/>
  <c r="F69" i="2" s="1"/>
  <c r="F70" i="2" s="1"/>
  <c r="A72" i="2"/>
  <c r="A73" i="2" s="1"/>
  <c r="B72" i="2"/>
  <c r="B73" i="2" s="1"/>
  <c r="C72" i="2"/>
  <c r="C73" i="2" s="1"/>
  <c r="D72" i="2"/>
  <c r="D73" i="2" s="1"/>
  <c r="E72" i="2"/>
  <c r="E73" i="2" s="1"/>
  <c r="F72" i="2"/>
  <c r="F73" i="2" s="1"/>
  <c r="A75" i="2"/>
  <c r="A76" i="2" s="1"/>
  <c r="A77" i="2" s="1"/>
  <c r="B75" i="2"/>
  <c r="B76" i="2" s="1"/>
  <c r="B77" i="2" s="1"/>
  <c r="C75" i="2"/>
  <c r="C76" i="2" s="1"/>
  <c r="C77" i="2" s="1"/>
  <c r="D75" i="2"/>
  <c r="D76" i="2" s="1"/>
  <c r="D77" i="2" s="1"/>
  <c r="E75" i="2"/>
  <c r="E76" i="2" s="1"/>
  <c r="E77" i="2" s="1"/>
  <c r="F75" i="2"/>
  <c r="F76" i="2" s="1"/>
  <c r="F77" i="2" s="1"/>
  <c r="A79" i="2"/>
  <c r="A80" i="2" s="1"/>
  <c r="B79" i="2"/>
  <c r="B80" i="2" s="1"/>
  <c r="C79" i="2"/>
  <c r="C80" i="2" s="1"/>
  <c r="D79" i="2"/>
  <c r="E79" i="2"/>
  <c r="F79" i="2"/>
  <c r="D81" i="2"/>
  <c r="D82" i="2" s="1"/>
  <c r="E81" i="2"/>
  <c r="E82" i="2" s="1"/>
  <c r="F81" i="2"/>
  <c r="F82" i="2" s="1"/>
  <c r="A82" i="2"/>
  <c r="A83" i="2" s="1"/>
  <c r="A84" i="2" s="1"/>
  <c r="A85" i="2" s="1"/>
  <c r="A86" i="2" s="1"/>
  <c r="B82" i="2"/>
  <c r="B83" i="2" s="1"/>
  <c r="B84" i="2" s="1"/>
  <c r="B85" i="2" s="1"/>
  <c r="B86" i="2" s="1"/>
  <c r="C82" i="2"/>
  <c r="C83" i="2" s="1"/>
  <c r="C84" i="2" s="1"/>
  <c r="C85" i="2" s="1"/>
  <c r="C86" i="2" s="1"/>
  <c r="D86" i="2"/>
  <c r="E86" i="2"/>
  <c r="F86" i="2"/>
  <c r="A88" i="2"/>
  <c r="B88" i="2"/>
  <c r="C88" i="2"/>
  <c r="D89" i="2"/>
  <c r="E89" i="2"/>
  <c r="F89" i="2"/>
  <c r="A91" i="2"/>
  <c r="A92" i="2" s="1"/>
  <c r="A93" i="2" s="1"/>
  <c r="A94" i="2" s="1"/>
  <c r="A95" i="2" s="1"/>
  <c r="B91" i="2"/>
  <c r="B92" i="2" s="1"/>
  <c r="B93" i="2" s="1"/>
  <c r="B94" i="2" s="1"/>
  <c r="B95" i="2" s="1"/>
  <c r="C91" i="2"/>
  <c r="C92" i="2" s="1"/>
  <c r="C93" i="2" s="1"/>
  <c r="C94" i="2" s="1"/>
  <c r="C95" i="2" s="1"/>
  <c r="D91" i="2"/>
  <c r="D92" i="2" s="1"/>
  <c r="D93" i="2" s="1"/>
  <c r="E91" i="2"/>
  <c r="E92" i="2" s="1"/>
  <c r="E93" i="2" s="1"/>
  <c r="F91" i="2"/>
  <c r="F92" i="2" s="1"/>
  <c r="F93" i="2" s="1"/>
  <c r="D95" i="2"/>
  <c r="E95" i="2"/>
  <c r="F95" i="2"/>
  <c r="A97" i="2"/>
  <c r="B97" i="2"/>
  <c r="C97" i="2"/>
  <c r="D97" i="2"/>
  <c r="E97" i="2"/>
  <c r="F97" i="2"/>
  <c r="A99" i="2"/>
  <c r="B99" i="2"/>
  <c r="C99" i="2"/>
  <c r="D100" i="2"/>
  <c r="D101" i="2" s="1"/>
  <c r="E100" i="2"/>
  <c r="E101" i="2" s="1"/>
  <c r="F100" i="2"/>
  <c r="F101" i="2" s="1"/>
  <c r="A101" i="2"/>
  <c r="B101" i="2"/>
  <c r="C101" i="2"/>
  <c r="A103" i="2"/>
  <c r="A104" i="2" s="1"/>
  <c r="B103" i="2"/>
  <c r="B104" i="2" s="1"/>
  <c r="C103" i="2"/>
  <c r="C104" i="2" s="1"/>
  <c r="D103" i="2"/>
  <c r="D104" i="2" s="1"/>
  <c r="E103" i="2"/>
  <c r="E104" i="2" s="1"/>
  <c r="F103" i="2"/>
  <c r="F104" i="2" s="1"/>
  <c r="A72" i="1"/>
  <c r="A73" i="1" s="1"/>
  <c r="A74" i="1" s="1"/>
  <c r="B72" i="1"/>
  <c r="B73" i="1" s="1"/>
  <c r="B74" i="1" s="1"/>
  <c r="C72" i="1"/>
  <c r="C73" i="1" s="1"/>
  <c r="C74" i="1" s="1"/>
  <c r="D72" i="1"/>
  <c r="D73" i="1" s="1"/>
  <c r="D74" i="1" s="1"/>
  <c r="E72" i="1"/>
  <c r="E73" i="1" s="1"/>
  <c r="E74" i="1" s="1"/>
  <c r="F72" i="1"/>
  <c r="F73" i="1" s="1"/>
  <c r="F74" i="1" s="1"/>
  <c r="A76" i="1"/>
  <c r="A77" i="1" s="1"/>
  <c r="A78" i="1" s="1"/>
  <c r="A79" i="1" s="1"/>
  <c r="A80" i="1" s="1"/>
  <c r="D76" i="1"/>
  <c r="D77" i="1" s="1"/>
  <c r="E76" i="1"/>
  <c r="E77" i="1" s="1"/>
  <c r="F76" i="1"/>
  <c r="F77" i="1" s="1"/>
  <c r="B77" i="1"/>
  <c r="B78" i="1" s="1"/>
  <c r="B79" i="1" s="1"/>
  <c r="B80" i="1" s="1"/>
  <c r="C77" i="1"/>
  <c r="C78" i="1" s="1"/>
  <c r="C79" i="1" s="1"/>
  <c r="C80" i="1" s="1"/>
  <c r="A82" i="1"/>
  <c r="B82" i="1"/>
  <c r="C82" i="1"/>
  <c r="D82" i="1"/>
  <c r="E82" i="1"/>
  <c r="F82" i="1"/>
  <c r="A84" i="1"/>
  <c r="A87" i="1"/>
  <c r="A88" i="1" s="1"/>
  <c r="A89" i="1" s="1"/>
  <c r="B87" i="1"/>
  <c r="B88" i="1" s="1"/>
  <c r="B89" i="1" s="1"/>
  <c r="C87" i="1"/>
  <c r="C88" i="1" s="1"/>
  <c r="C89" i="1" s="1"/>
  <c r="D87" i="1"/>
  <c r="D88" i="1" s="1"/>
  <c r="D89" i="1" s="1"/>
  <c r="E87" i="1"/>
  <c r="E88" i="1" s="1"/>
  <c r="E89" i="1" s="1"/>
  <c r="F87" i="1"/>
  <c r="F88" i="1" s="1"/>
  <c r="F89" i="1" s="1"/>
  <c r="A92" i="1"/>
  <c r="B92" i="1"/>
  <c r="C92" i="1"/>
  <c r="A94" i="1"/>
  <c r="A95" i="1" s="1"/>
  <c r="A96" i="1" s="1"/>
  <c r="B94" i="1"/>
  <c r="B95" i="1" s="1"/>
  <c r="B96" i="1" s="1"/>
  <c r="C94" i="1"/>
  <c r="C95" i="1" s="1"/>
  <c r="C96" i="1" s="1"/>
  <c r="D95" i="1"/>
  <c r="E95" i="1"/>
  <c r="F95" i="1"/>
  <c r="D97" i="1"/>
  <c r="E97" i="1"/>
  <c r="F97" i="1"/>
  <c r="A98" i="1"/>
  <c r="A99" i="1" s="1"/>
  <c r="B98" i="1"/>
  <c r="B99" i="1" s="1"/>
  <c r="C98" i="1"/>
  <c r="C99" i="1" s="1"/>
  <c r="D99" i="1"/>
  <c r="E99" i="1"/>
  <c r="F99" i="1"/>
  <c r="A101" i="1"/>
  <c r="A102" i="1" s="1"/>
  <c r="B101" i="1"/>
  <c r="B102" i="1" s="1"/>
  <c r="C101" i="1"/>
  <c r="C102" i="1" s="1"/>
  <c r="D102" i="1"/>
  <c r="E102" i="1"/>
  <c r="F102" i="1"/>
  <c r="A68" i="1"/>
  <c r="A69" i="1" s="1"/>
  <c r="B68" i="1"/>
  <c r="B69" i="1" s="1"/>
  <c r="C68" i="1"/>
  <c r="C69" i="1" s="1"/>
  <c r="D68" i="1"/>
  <c r="D69" i="1" s="1"/>
  <c r="E68" i="1"/>
  <c r="E69" i="1" s="1"/>
  <c r="F68" i="1"/>
  <c r="F69" i="1" s="1"/>
  <c r="J39" i="2"/>
  <c r="J41" i="2"/>
  <c r="J43" i="2"/>
  <c r="J44" i="2" s="1"/>
  <c r="J45" i="2" s="1"/>
  <c r="J47" i="2"/>
  <c r="J48" i="2" s="1"/>
  <c r="J53" i="2"/>
  <c r="J58" i="2"/>
  <c r="J59" i="2" s="1"/>
  <c r="A39" i="2"/>
  <c r="A40" i="2" s="1"/>
  <c r="A41" i="2" s="1"/>
  <c r="B39" i="2"/>
  <c r="B40" i="2" s="1"/>
  <c r="B41" i="2" s="1"/>
  <c r="C39" i="2"/>
  <c r="C40" i="2" s="1"/>
  <c r="C41" i="2" s="1"/>
  <c r="D39" i="2"/>
  <c r="E39" i="2"/>
  <c r="F39" i="2"/>
  <c r="D41" i="2"/>
  <c r="E41" i="2"/>
  <c r="F41" i="2"/>
  <c r="A43" i="2"/>
  <c r="A44" i="2" s="1"/>
  <c r="A45" i="2" s="1"/>
  <c r="D43" i="2"/>
  <c r="D44" i="2" s="1"/>
  <c r="D45" i="2" s="1"/>
  <c r="E43" i="2"/>
  <c r="E44" i="2" s="1"/>
  <c r="E45" i="2" s="1"/>
  <c r="F43" i="2"/>
  <c r="F44" i="2" s="1"/>
  <c r="F45" i="2" s="1"/>
  <c r="B44" i="2"/>
  <c r="B45" i="2" s="1"/>
  <c r="C44" i="2"/>
  <c r="C45" i="2" s="1"/>
  <c r="A47" i="2"/>
  <c r="A48" i="2" s="1"/>
  <c r="B47" i="2"/>
  <c r="B48" i="2" s="1"/>
  <c r="C47" i="2"/>
  <c r="C48" i="2" s="1"/>
  <c r="D47" i="2"/>
  <c r="D48" i="2" s="1"/>
  <c r="E47" i="2"/>
  <c r="E48" i="2" s="1"/>
  <c r="F47" i="2"/>
  <c r="F48" i="2" s="1"/>
  <c r="A53" i="2"/>
  <c r="B53" i="2"/>
  <c r="C53" i="2"/>
  <c r="D53" i="2"/>
  <c r="E53" i="2"/>
  <c r="F53" i="2"/>
  <c r="A56" i="2"/>
  <c r="B56" i="2"/>
  <c r="C56" i="2"/>
  <c r="A58" i="2"/>
  <c r="A59" i="2" s="1"/>
  <c r="B58" i="2"/>
  <c r="B59" i="2" s="1"/>
  <c r="C58" i="2"/>
  <c r="C59" i="2" s="1"/>
  <c r="D58" i="2"/>
  <c r="D59" i="2" s="1"/>
  <c r="E58" i="2"/>
  <c r="E59" i="2" s="1"/>
  <c r="F58" i="2"/>
  <c r="F59" i="2" s="1"/>
  <c r="I59" i="2"/>
  <c r="I58" i="2"/>
  <c r="I57" i="2"/>
  <c r="I53" i="2"/>
  <c r="I52" i="2"/>
  <c r="I51" i="2"/>
  <c r="I50" i="2"/>
  <c r="I49" i="2"/>
  <c r="I48" i="2"/>
  <c r="I47" i="2"/>
  <c r="I46" i="2"/>
  <c r="I45" i="2"/>
  <c r="I44" i="2"/>
  <c r="I43" i="2"/>
  <c r="I42" i="2"/>
  <c r="A49" i="1"/>
  <c r="A50" i="1" s="1"/>
  <c r="B49" i="1"/>
  <c r="B50" i="1" s="1"/>
  <c r="C49" i="1"/>
  <c r="C50" i="1" s="1"/>
  <c r="D49" i="1"/>
  <c r="D50" i="1" s="1"/>
  <c r="E49" i="1"/>
  <c r="E50" i="1" s="1"/>
  <c r="F49" i="1"/>
  <c r="F50" i="1" s="1"/>
  <c r="A53" i="1"/>
  <c r="A54" i="1" s="1"/>
  <c r="A55" i="1" s="1"/>
  <c r="A56" i="1" s="1"/>
  <c r="A57" i="1" s="1"/>
  <c r="D53" i="1"/>
  <c r="D54" i="1" s="1"/>
  <c r="D55" i="1" s="1"/>
  <c r="E53" i="1"/>
  <c r="E54" i="1" s="1"/>
  <c r="E55" i="1" s="1"/>
  <c r="F53" i="1"/>
  <c r="F54" i="1" s="1"/>
  <c r="F55" i="1" s="1"/>
  <c r="B54" i="1"/>
  <c r="B55" i="1" s="1"/>
  <c r="B56" i="1" s="1"/>
  <c r="B57" i="1" s="1"/>
  <c r="C54" i="1"/>
  <c r="C55" i="1" s="1"/>
  <c r="C56" i="1" s="1"/>
  <c r="C57" i="1" s="1"/>
  <c r="D57" i="1"/>
  <c r="E57" i="1"/>
  <c r="F57" i="1"/>
  <c r="A59" i="1"/>
  <c r="A60" i="1" s="1"/>
  <c r="D59" i="1"/>
  <c r="D60" i="1" s="1"/>
  <c r="E59" i="1"/>
  <c r="E60" i="1" s="1"/>
  <c r="F59" i="1"/>
  <c r="F60" i="1" s="1"/>
  <c r="B60" i="1"/>
  <c r="C60" i="1"/>
  <c r="A62" i="1"/>
  <c r="B62" i="1"/>
  <c r="C62" i="1"/>
  <c r="D62" i="1"/>
  <c r="E62" i="1"/>
  <c r="F62" i="1"/>
  <c r="A64" i="1"/>
  <c r="A65" i="1" s="1"/>
  <c r="B64" i="1"/>
  <c r="B65" i="1" s="1"/>
  <c r="C64" i="1"/>
  <c r="C65" i="1" s="1"/>
  <c r="D64" i="1"/>
  <c r="D65" i="1" s="1"/>
  <c r="E64" i="1"/>
  <c r="E65" i="1" s="1"/>
  <c r="F64" i="1"/>
  <c r="F65" i="1" s="1"/>
  <c r="I66" i="1"/>
  <c r="I65" i="1"/>
  <c r="I64" i="1"/>
  <c r="I63" i="1"/>
  <c r="I57" i="1"/>
  <c r="I56" i="1"/>
  <c r="I55" i="1"/>
  <c r="I54" i="1"/>
  <c r="I53" i="1"/>
  <c r="I52" i="1"/>
  <c r="I51" i="1"/>
  <c r="I50" i="1"/>
  <c r="I49" i="1"/>
  <c r="I48" i="1"/>
  <c r="I47" i="1"/>
  <c r="I46" i="1"/>
  <c r="J3" i="2"/>
  <c r="J5" i="2"/>
  <c r="J7" i="2"/>
  <c r="J9" i="2"/>
  <c r="J11" i="2"/>
  <c r="J13" i="2"/>
  <c r="J14" i="2" s="1"/>
  <c r="J15" i="2" s="1"/>
  <c r="J17" i="2"/>
  <c r="J20" i="2"/>
  <c r="J22" i="2"/>
  <c r="J27" i="2"/>
  <c r="J29" i="2"/>
  <c r="J31" i="2"/>
  <c r="J32" i="2" s="1"/>
  <c r="J33" i="2" s="1"/>
  <c r="J35" i="2"/>
  <c r="J37" i="2"/>
  <c r="D3" i="2"/>
  <c r="E3" i="2"/>
  <c r="F3" i="2"/>
  <c r="A4" i="2"/>
  <c r="A5" i="2" s="1"/>
  <c r="B4" i="2"/>
  <c r="B5" i="2" s="1"/>
  <c r="C4" i="2"/>
  <c r="C5" i="2" s="1"/>
  <c r="D5" i="2"/>
  <c r="E5" i="2"/>
  <c r="F5" i="2"/>
  <c r="A7" i="2"/>
  <c r="B7" i="2"/>
  <c r="C7" i="2"/>
  <c r="D7" i="2"/>
  <c r="E7" i="2"/>
  <c r="F7" i="2"/>
  <c r="A9" i="2"/>
  <c r="D9" i="2"/>
  <c r="E9" i="2"/>
  <c r="F9" i="2"/>
  <c r="A11" i="2"/>
  <c r="B11" i="2"/>
  <c r="C11" i="2"/>
  <c r="D11" i="2"/>
  <c r="E11" i="2"/>
  <c r="F11" i="2"/>
  <c r="A13" i="2"/>
  <c r="A14" i="2" s="1"/>
  <c r="A15" i="2" s="1"/>
  <c r="B13" i="2"/>
  <c r="B14" i="2" s="1"/>
  <c r="B15" i="2" s="1"/>
  <c r="C13" i="2"/>
  <c r="C14" i="2" s="1"/>
  <c r="C15" i="2" s="1"/>
  <c r="D13" i="2"/>
  <c r="D14" i="2" s="1"/>
  <c r="D15" i="2" s="1"/>
  <c r="E13" i="2"/>
  <c r="E14" i="2" s="1"/>
  <c r="E15" i="2" s="1"/>
  <c r="F13" i="2"/>
  <c r="F14" i="2" s="1"/>
  <c r="F15" i="2" s="1"/>
  <c r="A17" i="2"/>
  <c r="B17" i="2"/>
  <c r="C17" i="2"/>
  <c r="D17" i="2"/>
  <c r="E17" i="2"/>
  <c r="F17" i="2"/>
  <c r="A20" i="2"/>
  <c r="B20" i="2"/>
  <c r="C20" i="2"/>
  <c r="D20" i="2"/>
  <c r="E20" i="2"/>
  <c r="F20" i="2"/>
  <c r="A22" i="2"/>
  <c r="A23" i="2" s="1"/>
  <c r="A24" i="2" s="1"/>
  <c r="D22" i="2"/>
  <c r="E22" i="2"/>
  <c r="F22" i="2"/>
  <c r="B23" i="2"/>
  <c r="B24" i="2" s="1"/>
  <c r="C23" i="2"/>
  <c r="C24" i="2" s="1"/>
  <c r="A26" i="2"/>
  <c r="B26" i="2"/>
  <c r="C26" i="2"/>
  <c r="D27" i="2"/>
  <c r="E27" i="2"/>
  <c r="F27" i="2"/>
  <c r="A28" i="2"/>
  <c r="B28" i="2"/>
  <c r="C28" i="2"/>
  <c r="A31" i="2"/>
  <c r="A32" i="2" s="1"/>
  <c r="A33" i="2" s="1"/>
  <c r="D31" i="2"/>
  <c r="D32" i="2" s="1"/>
  <c r="D33" i="2" s="1"/>
  <c r="E31" i="2"/>
  <c r="E32" i="2" s="1"/>
  <c r="E33" i="2" s="1"/>
  <c r="F31" i="2"/>
  <c r="F32" i="2" s="1"/>
  <c r="F33" i="2" s="1"/>
  <c r="B32" i="2"/>
  <c r="B33" i="2" s="1"/>
  <c r="C32" i="2"/>
  <c r="C33" i="2" s="1"/>
  <c r="A35" i="2"/>
  <c r="A36" i="2" s="1"/>
  <c r="A37" i="2" s="1"/>
  <c r="B35" i="2"/>
  <c r="B36" i="2" s="1"/>
  <c r="B37" i="2" s="1"/>
  <c r="C35" i="2"/>
  <c r="C36" i="2" s="1"/>
  <c r="C37" i="2" s="1"/>
  <c r="D35" i="2"/>
  <c r="E35" i="2"/>
  <c r="F35" i="2"/>
  <c r="D37" i="2"/>
  <c r="E37" i="2"/>
  <c r="F37" i="2"/>
  <c r="I37" i="2"/>
  <c r="I36" i="2"/>
  <c r="I35" i="2"/>
  <c r="I34" i="2"/>
</calcChain>
</file>

<file path=xl/sharedStrings.xml><?xml version="1.0" encoding="utf-8"?>
<sst xmlns="http://schemas.openxmlformats.org/spreadsheetml/2006/main" count="11465" uniqueCount="1127">
  <si>
    <t>Date</t>
  </si>
  <si>
    <t>Average Thickness</t>
  </si>
  <si>
    <t>Average Speed</t>
  </si>
  <si>
    <t>Sequence number</t>
  </si>
  <si>
    <t>Sequence length</t>
  </si>
  <si>
    <t xml:space="preserve">Width </t>
  </si>
  <si>
    <t>Sequence break time</t>
  </si>
  <si>
    <t>Sequence start time</t>
  </si>
  <si>
    <t>Delay (mins)</t>
  </si>
  <si>
    <t>Type</t>
  </si>
  <si>
    <t>Agency</t>
  </si>
  <si>
    <t>Reason</t>
  </si>
  <si>
    <t>Description</t>
  </si>
  <si>
    <t>L+38</t>
  </si>
  <si>
    <t>Dsicontinued</t>
  </si>
  <si>
    <t>Planned_Shutdown</t>
  </si>
  <si>
    <t>MONTHLY_SHUTDOWN</t>
  </si>
  <si>
    <t>CSP SHUTDOWN</t>
  </si>
  <si>
    <t>L+17</t>
  </si>
  <si>
    <t>Caster_Electrical</t>
  </si>
  <si>
    <t>DISCONTINUED DUE TO WIDTH CHANGE PROBLEM(TAPER ISOMETRIC)</t>
  </si>
  <si>
    <t>Caster_Operations</t>
  </si>
  <si>
    <t>DUMMY BAR ISSUE</t>
  </si>
  <si>
    <t>DUMMY BAR PROBLEM</t>
  </si>
  <si>
    <t>L+8</t>
  </si>
  <si>
    <t>Breakout</t>
  </si>
  <si>
    <t>SMS_LRF</t>
  </si>
  <si>
    <t xml:space="preserve"> BREAKOUT (CHEMISTRY ISSUE)</t>
  </si>
  <si>
    <t>BREAKOUT OCCURRED DUE TO OFF CHEMISTRY(S-0.037)</t>
  </si>
  <si>
    <t>EAF UNDER MAINTAINANCE</t>
  </si>
  <si>
    <t>EAF-2 BREAKDOWN(LACK OF HEAT)</t>
  </si>
  <si>
    <t>L+6</t>
  </si>
  <si>
    <t>HEAT LIFTING DELAY</t>
  </si>
  <si>
    <t>DISCONTINUED DUE TO HEAT LIFTING DELAY(HEAT NOT READY)</t>
  </si>
  <si>
    <t>L+2</t>
  </si>
  <si>
    <t>Castabort</t>
  </si>
  <si>
    <t xml:space="preserve"> LOW TEMPERATURE</t>
  </si>
  <si>
    <t>CAST ABORT DUE TO LOW TEMPERATURE(1528)</t>
  </si>
  <si>
    <t>L+9</t>
  </si>
  <si>
    <t>Shear Frame Movement Problem</t>
  </si>
  <si>
    <t>CAST ABORT DUE TO SLAB STUCK IN SHEAR</t>
  </si>
  <si>
    <t>Caster_Mechanical</t>
  </si>
  <si>
    <t>DELAY SLAB STUCK IN SHEAR</t>
  </si>
  <si>
    <t>L+12</t>
  </si>
  <si>
    <t>L+4</t>
  </si>
  <si>
    <t xml:space="preserve"> ABNORMAL MOULD LEVEL</t>
  </si>
  <si>
    <t>CAST ABORT DUE TO  MOULD LEVEL DROP</t>
  </si>
  <si>
    <t>L+0</t>
  </si>
  <si>
    <t>CAST ABORT DUE TO METAL NOT COME IN MOULD(STOPPER NOT OPEN)</t>
  </si>
  <si>
    <t>CAST ABORT DUE TO MOULD LEVEL HIGH(AUTO TAILOUT)</t>
  </si>
  <si>
    <t>L+40</t>
  </si>
  <si>
    <t>Complete</t>
  </si>
  <si>
    <t>Changeover</t>
  </si>
  <si>
    <t>SEQUENCE CHANGE</t>
  </si>
  <si>
    <t>COMPLETED</t>
  </si>
  <si>
    <t>MACHINE JAM ( SEGMENT / GRID JAM)</t>
  </si>
  <si>
    <t>SEGMENT 1 GRID JAM</t>
  </si>
  <si>
    <t>L+50</t>
  </si>
  <si>
    <t>1230/1250</t>
  </si>
  <si>
    <t>MOULD CHANGE</t>
  </si>
  <si>
    <t xml:space="preserve">LACK OF HEAT </t>
  </si>
  <si>
    <t>DELAY FROM SMS</t>
  </si>
  <si>
    <t>CSP_Mill</t>
  </si>
  <si>
    <t xml:space="preserve"> COBBLE IN MILL</t>
  </si>
  <si>
    <t>CAST ABORT DUE TO COBBLE IN MILL (LINE-B)</t>
  </si>
  <si>
    <t>DELAY FROM  CASTER</t>
  </si>
  <si>
    <t>L+41</t>
  </si>
  <si>
    <t>EAF SHELL CHANGE</t>
  </si>
  <si>
    <t>DISCONTINUED DUE TO LACK OF HEAT(EAF-4 SHELL CHANGE)</t>
  </si>
  <si>
    <t>L+42</t>
  </si>
  <si>
    <t>Motor Overcurrent</t>
  </si>
  <si>
    <t>DISCONTINUED DUE TO PINCH ROLL MOTOR CHANGE</t>
  </si>
  <si>
    <t>L+52</t>
  </si>
  <si>
    <t>MACHINE CHANGE</t>
  </si>
  <si>
    <t>MACHINE PREPARATION</t>
  </si>
  <si>
    <t>DELAY FROM CASTER</t>
  </si>
  <si>
    <t>L+24</t>
  </si>
  <si>
    <t>HYDRAULIC LEAKAGE IN MILL</t>
  </si>
  <si>
    <t>CAST ABORT DUE TO LEAKAGE IN F-5 IC-4 BEARING COOLING LINE IN MILL</t>
  </si>
  <si>
    <t>LEAKAGE IN F-5 IC-4 BEARING COOLING LINE IN MILL</t>
  </si>
  <si>
    <t>L+49</t>
  </si>
  <si>
    <t>DISCONTINUED DUE TO PINCH ROLL AND WITHDRAWL CURRENT HIGH</t>
  </si>
  <si>
    <t>L+44</t>
  </si>
  <si>
    <t xml:space="preserve">BREAKOUT </t>
  </si>
  <si>
    <t>BREAKOUT OCCURRED</t>
  </si>
  <si>
    <t>Callibration Problem</t>
  </si>
  <si>
    <t>DELAY SEGMENT CALBERATION ISSUE</t>
  </si>
  <si>
    <t>L+19</t>
  </si>
  <si>
    <t>1250/1230</t>
  </si>
  <si>
    <t>SEGMENT -3 BLOCK CHANGE</t>
  </si>
  <si>
    <t>L+13</t>
  </si>
  <si>
    <t xml:space="preserve">Mould </t>
  </si>
  <si>
    <t>DISCONTINUED DUE TO MOULD CLAMPING ERROR(HOSE LEAKAGE)</t>
  </si>
  <si>
    <t>L+46</t>
  </si>
  <si>
    <t>Level Fluctuation</t>
  </si>
  <si>
    <t>CAST ABORT DUE TO MOULD LEVEL DROP</t>
  </si>
  <si>
    <t>TUNDISH SHIFTING (CAR NOT READY / HEATING ISSUE)</t>
  </si>
  <si>
    <t>TUNDISH SHIFTING &amp; MACHINE PREPARATION</t>
  </si>
  <si>
    <t>L+36</t>
  </si>
  <si>
    <t>DELAY FROM CASTER(SLAB STUCK IN MACHINE)</t>
  </si>
  <si>
    <t>WIDTH AND TAPPER ADJUSTMENT</t>
  </si>
  <si>
    <t>L+45</t>
  </si>
  <si>
    <t>CAST ABORT DUE TO COBBLE IN MILL</t>
  </si>
  <si>
    <t>L+34</t>
  </si>
  <si>
    <t>L+54</t>
  </si>
  <si>
    <t>SEN EMERGENCY CHOP PLATE NOT WORKING</t>
  </si>
  <si>
    <t>BREAKOUT OCCURRED(SEN CUT)</t>
  </si>
  <si>
    <t>TUNDISH CAR MOVEMENT PROBLEM &amp; MOULD TAPER RISE</t>
  </si>
  <si>
    <t>CAST ABORT  DUE TO METAL LEAKAGE FROM SEN</t>
  </si>
  <si>
    <t>L+27</t>
  </si>
  <si>
    <t>IC water circuit temperature</t>
  </si>
  <si>
    <t>L+25</t>
  </si>
  <si>
    <t>Rectifier Fault</t>
  </si>
  <si>
    <t>CAST ABORT DUE TO ELECTRICAL FAULT(GUIDE RECTIFIER FAULT)</t>
  </si>
  <si>
    <t>L+32</t>
  </si>
  <si>
    <t>CAST ABORT DUE TO STAND GUIDE RECTIFIER TRIP</t>
  </si>
  <si>
    <t>L+48</t>
  </si>
  <si>
    <t>MOULD PENDENT PROBLEM</t>
  </si>
  <si>
    <t>DUMMYBAR STOPPED DURING  INSERTION</t>
  </si>
  <si>
    <t>L+51</t>
  </si>
  <si>
    <t>CAST ABORT DUE TO PINCH ROLL TRIPPED</t>
  </si>
  <si>
    <t>SURJE TANK PRESSURE &amp; LEVEL DROP</t>
  </si>
  <si>
    <t>L+39</t>
  </si>
  <si>
    <t>EAF-1 BREAKDOWN</t>
  </si>
  <si>
    <t>Withdrawal &amp; Straightener Unit</t>
  </si>
  <si>
    <t>WIDTHDRAWAL STRATNING ROLL CHANGE (W/S)</t>
  </si>
  <si>
    <t>L+3</t>
  </si>
  <si>
    <t>Selector Switch Problem</t>
  </si>
  <si>
    <t>STAND GUIDE DRIVE STOP</t>
  </si>
  <si>
    <t>CENTINATION COUNTER &amp; CABLE CHANGE(AMLC FAULT)</t>
  </si>
  <si>
    <t>BACKUP ROLL CHANGE</t>
  </si>
  <si>
    <t>F-5 BACKUP ROLL CHANGE</t>
  </si>
  <si>
    <t>Dummy Bar Proxy Failure</t>
  </si>
  <si>
    <t>DUMMYBAR TRACKING</t>
  </si>
  <si>
    <t xml:space="preserve">MOULD ASSEMENTRY  </t>
  </si>
  <si>
    <t>DISCONTINUED DUE TO EAF-4 BREAKDOWN</t>
  </si>
  <si>
    <t>MOULD &amp; SEGMENT 1 CHANGE</t>
  </si>
  <si>
    <t>SEGMENT 2 METAL JAM</t>
  </si>
  <si>
    <t>L+23</t>
  </si>
  <si>
    <t xml:space="preserve"> ELECTRICAL PROBLEM IN MILL</t>
  </si>
  <si>
    <t>CAST ABORT DUE TO MILL TRACKING PROBLEM</t>
  </si>
  <si>
    <t>L+53</t>
  </si>
  <si>
    <t>SLAB STUCK IN F-1 ENTRY GUIDE</t>
  </si>
  <si>
    <t>Automation Problem</t>
  </si>
  <si>
    <t>AMLC PROBLEM</t>
  </si>
  <si>
    <t>L+35</t>
  </si>
  <si>
    <t>SCINTILLATION COUNTER CHANGE</t>
  </si>
  <si>
    <t>F-3 BACKUP ROLL CHANGE</t>
  </si>
  <si>
    <t>DISCONTINUED DUE TO EAF-2 SHELL CHANGE</t>
  </si>
  <si>
    <t>Drive Fault</t>
  </si>
  <si>
    <t>LRF  TROLLEY MOVEMENT PROBLEM</t>
  </si>
  <si>
    <t>LRF-1  PLC TRAVELING TRIPPED</t>
  </si>
  <si>
    <t xml:space="preserve">Dummy bar Pit Pump </t>
  </si>
  <si>
    <t>MOULD  COOLING  SURGE  TANK LEVEL DROPPED DURING MOULD CHANGE</t>
  </si>
  <si>
    <t>SEGMENT-2 HOSE CHANGE</t>
  </si>
  <si>
    <t>LRF-1 PLC TROLLY MOVEMENT PROBLEM</t>
  </si>
  <si>
    <t>L+37</t>
  </si>
  <si>
    <t xml:space="preserve">MACHINE PREPARATION </t>
  </si>
  <si>
    <t>CAST ABORT DUE TO SLAB STUCK IN F-1 ENTRY GUIDE</t>
  </si>
  <si>
    <t>L+47</t>
  </si>
  <si>
    <t>L+11</t>
  </si>
  <si>
    <t>CSP_Tunnelfurnace</t>
  </si>
  <si>
    <t xml:space="preserve"> SLAB STUCK IN TUNNEL FURNACE</t>
  </si>
  <si>
    <t>CAST ABORT DUE TO T/F LINE-B SWIVEL ZONE-7 CASTABLE MATERIAL STUCK NEAR DOOR</t>
  </si>
  <si>
    <t>F-4 BACKUP ROLL CHANGE</t>
  </si>
  <si>
    <t>SLAB NOT BITE</t>
  </si>
  <si>
    <t>SLAB DISCHARGING PROBLEM IN MILL</t>
  </si>
  <si>
    <t>L+30</t>
  </si>
  <si>
    <t>SLAB STUCK IN TUNNEL FURNACE</t>
  </si>
  <si>
    <t>CAST ABORT DUE TO SLAB HEAD END HIT DRIVE SIDE &amp; STOP ENTRY SIDE GUIDE AREA</t>
  </si>
  <si>
    <t>L+18</t>
  </si>
  <si>
    <r>
      <t>DISCONTINUED COILER -</t>
    </r>
    <r>
      <rPr>
        <b/>
        <sz val="7"/>
        <color rgb="FFFF0000"/>
        <rFont val="Arial"/>
        <family val="2"/>
      </rPr>
      <t>1</t>
    </r>
    <r>
      <rPr>
        <sz val="7"/>
        <rFont val="Arial"/>
        <family val="2"/>
      </rPr>
      <t xml:space="preserve"> PINCH ROLL CHANGE</t>
    </r>
  </si>
  <si>
    <t>MOULD COOLING PUMP STOP(LATE)</t>
  </si>
  <si>
    <t>L+1</t>
  </si>
  <si>
    <t>CAST ABORT DUE TO SLAB STUCK IN LINE A ZONE NO.8 NEAR DOOR</t>
  </si>
  <si>
    <t>L+5</t>
  </si>
  <si>
    <t>Power Failure</t>
  </si>
  <si>
    <t>CAST ABORT DUE TO POWER FAILURE(CSP INCOMER FAULT &amp; BREAKER CHANGE)</t>
  </si>
  <si>
    <t>SEGMENT 1 CHANGE</t>
  </si>
  <si>
    <t>MOULD &amp; SEGMENT-1 CHANGE</t>
  </si>
  <si>
    <t>CAST ABORT DUE TO SLAB STUCK IN LINE A ZONE NO.8 DICHARGING DOOR FRAME.</t>
  </si>
  <si>
    <t>1250/1235</t>
  </si>
  <si>
    <t xml:space="preserve">  DRIVE FAULT</t>
  </si>
  <si>
    <t>CAST ABORT DUE TO COBBLE IN MILL(F-1 DRIVE TRIPPED)</t>
  </si>
  <si>
    <t>SEGMENT-2 &amp; 3 CHANGE</t>
  </si>
  <si>
    <t xml:space="preserve">CYLINDER CHANGE </t>
  </si>
  <si>
    <t>SEN CENTERING ISSUE</t>
  </si>
  <si>
    <t>CAST ABORT DUE TO F-4 ROLL STUCK IN HOUSING</t>
  </si>
  <si>
    <t>CAST ABORT DUE TO SEN CHOKE</t>
  </si>
  <si>
    <t>L+10</t>
  </si>
  <si>
    <t>COBBLE IN MILL</t>
  </si>
  <si>
    <t>CAST ABORT DUE TO COBBLE IN MILL.</t>
  </si>
  <si>
    <t xml:space="preserve">HEAVY LANCING </t>
  </si>
  <si>
    <t>DISCONTINUED DUE TO HEAVY IN NEXT  HEAT LANCING</t>
  </si>
  <si>
    <t>SHUTDOWN</t>
  </si>
  <si>
    <t>CASTABORT DUE TO COBBLE IN MILL(WRONG WIDTH CAST SALB NOT ENTRING IN MILL ESG)</t>
  </si>
  <si>
    <t>CSP MILL DRIVE FAULT</t>
  </si>
  <si>
    <t>DISCONTINUED DUE TO HEAVY LANCING IN NEXT HEAT</t>
  </si>
  <si>
    <t>CAST ABORT DUE TO SEN PUNCTURE</t>
  </si>
  <si>
    <t>DELAY FROM CASTER(MACHINE PREPARATION)</t>
  </si>
  <si>
    <t>DISCONTINUED COILER -1 PINCH ROLL CHANGE</t>
  </si>
  <si>
    <t>EAF-1 SHELL CHANGE &amp; EAF-4 BREAKDOWN</t>
  </si>
  <si>
    <t>L+43</t>
  </si>
  <si>
    <t>Cable/Connector Problem</t>
  </si>
  <si>
    <t>SRM CABLE FAULT</t>
  </si>
  <si>
    <t>DUMMY BAR  INSERT PROBLEM</t>
  </si>
  <si>
    <t>TUNDISH SHIFTING</t>
  </si>
  <si>
    <t>TUNDISH CAR-3 RAMPING ADUJSTMENT</t>
  </si>
  <si>
    <t>L+31</t>
  </si>
  <si>
    <t>BREAKOUT OCCURRED(STICKER)</t>
  </si>
  <si>
    <t xml:space="preserve">HYDRAULIC LEAKAGE SEGMENT-2 </t>
  </si>
  <si>
    <t>SEGMENT-2 TEMPOSONIC CABLE CHANGE &amp; SIMULATION TAKEN TUNDISH CAR-4</t>
  </si>
  <si>
    <t>DELAY FROM SMS(HEAT LIFTING DELAY)</t>
  </si>
  <si>
    <t>SRM Problem</t>
  </si>
  <si>
    <t>CAR-4 SRM PROBLEM</t>
  </si>
  <si>
    <t>CAST ABORT DUE TO DUMMY BAR STOP</t>
  </si>
  <si>
    <t>MOULD &amp; SEGMENT LEAKAGE</t>
  </si>
  <si>
    <t>CAST ABORT DUE TO ALL DRIVE STOP</t>
  </si>
  <si>
    <t>CAST ABORT DUE TO SLAB STUCK IN LINE A ZONE NO.8 DISCHARGING DOOR FRAME</t>
  </si>
  <si>
    <t>WITHDRAWAL ROLL CHANGE</t>
  </si>
  <si>
    <t xml:space="preserve">Pendulum Shear </t>
  </si>
  <si>
    <t>CAST ABORT DUE TO SHEAR BOTTOM KNIFE BOLT BROKEN DURING CHOPPING</t>
  </si>
  <si>
    <t>SHEAR BOTTOM KNIFE BOLT BROKEN DURING CHOPPING</t>
  </si>
  <si>
    <t>SRM  ZEROING PROBLEM</t>
  </si>
  <si>
    <t>SEGMENT-2 CLAMPING ERROR</t>
  </si>
  <si>
    <t>Clamping Error</t>
  </si>
  <si>
    <t>L+14</t>
  </si>
  <si>
    <t>BREAKOUT OCCURRED  (BLEEDING)</t>
  </si>
  <si>
    <t>DUMMY BAR INSERT PROBLEM</t>
  </si>
  <si>
    <t>CAST ABORT DUE TO COBBLE IN MILL (F-5 DRIVE FAULT)</t>
  </si>
  <si>
    <t>AMLC  FAULT</t>
  </si>
  <si>
    <t>Pinch Roll Position Transducer Problem</t>
  </si>
  <si>
    <t>CAST ABORT DUE TO SLAB STUCK IN WIDTDRWAL-1(PINCH ROLL POSTION OUT AFTER CASTING START)</t>
  </si>
  <si>
    <t>SEGMENT POSITION OPEN</t>
  </si>
  <si>
    <t>BULGING</t>
  </si>
  <si>
    <t>SLAB BULGING</t>
  </si>
  <si>
    <t>ELECTRICAL PROBLEM IN MILL</t>
  </si>
  <si>
    <t>CAST ABORT DUE TO F-3 BENDING PROBLEM &amp; F-5 BEARING PROBLEM</t>
  </si>
  <si>
    <t>PRE-HEATER NOT MOVING</t>
  </si>
  <si>
    <t>GRID JAM</t>
  </si>
  <si>
    <t>DUMMY BAR NOT OPERATED</t>
  </si>
  <si>
    <t>CAST ABORT DUE TO MOULD LEVEL FLUCTUATION (HANGER FORMATION)</t>
  </si>
  <si>
    <t>DISCONTNUED DUE TO LRF-1 TROLLEY TRIP</t>
  </si>
  <si>
    <t xml:space="preserve">GRID JAM (SEGMENT CLAMPING ERROR) </t>
  </si>
  <si>
    <t>Tracking Failure</t>
  </si>
  <si>
    <t>DUMMY BAR TRACKING ISSUE</t>
  </si>
  <si>
    <t>Caster_Crane</t>
  </si>
  <si>
    <t xml:space="preserve">CRANE NO-3 TRIPPED  OF CASTER </t>
  </si>
  <si>
    <t>Pendent Problem</t>
  </si>
  <si>
    <t>RAM ADJUSTMENT PENDENT NOT WORK</t>
  </si>
  <si>
    <t>F-2 BACKUP ROLL CHANGE</t>
  </si>
  <si>
    <t>CAST ABORT DUE TO TUNDISH PUNCTURE</t>
  </si>
  <si>
    <t>DELAY DUE TO METAL JAM</t>
  </si>
  <si>
    <t>MOULD  &amp; SEGMENT -1 CHANGE</t>
  </si>
  <si>
    <t>ALL SEGMENT LEAKAGE CHECK</t>
  </si>
  <si>
    <t>MOULD TAPER PROBLEM</t>
  </si>
  <si>
    <t>HEAVY JAM &amp; DUMMY BAR BEND (CHANGE)</t>
  </si>
  <si>
    <t>SEGMENT-3 CALIBRATION PROBLEM</t>
  </si>
  <si>
    <t>BREAKOUT OCCURRED  (STICKER)</t>
  </si>
  <si>
    <t>MOULD CHANGE &amp; TUNDISH SHIFTING</t>
  </si>
  <si>
    <t>Pinch Roll Encoder Problem</t>
  </si>
  <si>
    <t>PINCH ROLL ENCODER CHANGE</t>
  </si>
  <si>
    <t>ELECTRICAL BLOCK CHANGE</t>
  </si>
  <si>
    <t>1250/1260</t>
  </si>
  <si>
    <t>1240/1250</t>
  </si>
  <si>
    <t>COUNTER FAULT CABLE CHANGE</t>
  </si>
  <si>
    <t>PINCH ROLL HYDRAULIC LEAKAGE</t>
  </si>
  <si>
    <t>SEGMENT-1 GRID JAM</t>
  </si>
  <si>
    <t>F-6 BACKUP ROLL CHANGE</t>
  </si>
  <si>
    <t>AMLC FAULT &amp; SLIDE GATE NOT OPERATED</t>
  </si>
  <si>
    <t>CAST ABORT DUE TO HEAVY MOULD LEVEL FLUCTUATION</t>
  </si>
  <si>
    <t>LADLE SLIDE GATE TRAIL &amp; SIMULATION</t>
  </si>
  <si>
    <t>DUMMY BAR STUCK &amp; BEND (SUPPORT ROLL BEARING DAMAGE)</t>
  </si>
  <si>
    <t>L+33</t>
  </si>
  <si>
    <t>COMPLETED (SEN OVER HEATING)</t>
  </si>
  <si>
    <t>SEGMENT-1 GRID JAM,ALL HYDRAULIC &amp; DRIVE TRIP AFTER MOULD CHANGE</t>
  </si>
  <si>
    <t>ET SUPERVISION FAULT</t>
  </si>
  <si>
    <t>SEGMENT 2&amp;3 CHANGE</t>
  </si>
  <si>
    <t>MOULD &amp; SEGMENT 2,3 CHANGE</t>
  </si>
  <si>
    <t>CAST ABORT DUE TO STRIP HEAD HIT GUIDE NO-5 IN COILER-1</t>
  </si>
  <si>
    <t>SEGMENT POSITION PROBLEM</t>
  </si>
  <si>
    <t>WORK ROLL INSERTION PROBLEM</t>
  </si>
  <si>
    <t>F-3 STAND WORK ROLL INSERT PROBLEM</t>
  </si>
  <si>
    <t>Other_external</t>
  </si>
  <si>
    <t>HOT METAL SHORTAGE</t>
  </si>
  <si>
    <t>L+7</t>
  </si>
  <si>
    <t>DISCONTINUED DUE TO HOT METAL SHORTAGE</t>
  </si>
  <si>
    <t>ABNORMAL MOULD LEVEL</t>
  </si>
  <si>
    <t>CAST ABORT DUE TO MOULD LEVEL HIGH</t>
  </si>
  <si>
    <t>1230/1240</t>
  </si>
  <si>
    <t>MOULD,TUNDISH SHIFTING  &amp; WITHDRAWL BOTTOM ROLL ROTARY CHANGE</t>
  </si>
  <si>
    <t>CAST ABORT DUE TO SEALING LEAKAGE</t>
  </si>
  <si>
    <t xml:space="preserve">SLAB STRUCK IN MACHINE </t>
  </si>
  <si>
    <t>SLAB STUCK IN MACHINE</t>
  </si>
  <si>
    <t>LACK OF HEAT(EAF-3 UNDER MAINTAINANCE)</t>
  </si>
  <si>
    <t>DUMMY BAR STUCK</t>
  </si>
  <si>
    <t>PLC NOT READY</t>
  </si>
  <si>
    <t>DISCONTINUED DUE TO LACK OF HEAT</t>
  </si>
  <si>
    <t>MACHINE PREPARATION DELAY</t>
  </si>
  <si>
    <t>DISCONTINUED DUE TO HEAVY LANCING NEXT LADDLE NOT OPEN</t>
  </si>
  <si>
    <t>DISCONTINUED DUE TO SEGMENT-1 WATER LEAKAGE</t>
  </si>
  <si>
    <t>UNPLANNED SEGMENT-1  CHANGE</t>
  </si>
  <si>
    <t>COUNTER CHANGES TWO TIMES</t>
  </si>
  <si>
    <t>SURGETANK VALVE PROBLEM</t>
  </si>
  <si>
    <t>CRANE TRIPPED</t>
  </si>
  <si>
    <t>SEGMENT-1 SMSLL NOZZLE CHANGE</t>
  </si>
  <si>
    <t>CAST ABORT DUE TO OSCILLATOR NOT STARTED</t>
  </si>
  <si>
    <t>CAST ABORT DUE TO CAST START BUTTON COMMAND NOT TAKEN</t>
  </si>
  <si>
    <t>DSL UNDER MAINTAINANCE</t>
  </si>
  <si>
    <t>DISCONTINUED DUE TO CRANE-NO-403 TRIPPED</t>
  </si>
  <si>
    <t>1255/1270</t>
  </si>
  <si>
    <t>L+15</t>
  </si>
  <si>
    <t>DISCONTINUED DUE TO MOULD LEVEL FLUCTUATION (MBS BOLT LOOSE)</t>
  </si>
  <si>
    <t>L+29</t>
  </si>
  <si>
    <t>DISCONTINUED DUE TO  SHEAR NOT READY FOR CUT</t>
  </si>
  <si>
    <t>SEN CENTRING NOT DONE</t>
  </si>
  <si>
    <t>CAST ABORT DUE TO SEN CLOGGING</t>
  </si>
  <si>
    <t>EXTRA PINCH  ROLL LINE LEAKAGE CHECK</t>
  </si>
  <si>
    <t>SEGMENT-1  1ST (FIRST) ROLL BROKEN</t>
  </si>
  <si>
    <t>Supervision Fault</t>
  </si>
  <si>
    <t xml:space="preserve">CAST ABORT DUE TO ET SUPERVISION FAULT </t>
  </si>
  <si>
    <t>DISCONTINUED DUE TO SHEAR GEAR BOX PROBLEM</t>
  </si>
  <si>
    <t>DISCONTINUED DUE TO F-4 BACKUP RIGHT SIDE TOP HIGH TEMPERATURE</t>
  </si>
  <si>
    <t>BREAKOUT OCCURRED (BLEEDING)</t>
  </si>
  <si>
    <t>SEGMENT-2 JAM</t>
  </si>
  <si>
    <t>SHEAR GEAR BOX PROBLEM</t>
  </si>
  <si>
    <t>CAST ABORT DUE TO ZEROING PANNEL WRONG OPERATION  DURING CASTING</t>
  </si>
  <si>
    <t>MOULD DRIVE FAULT(DRIVE CHANGE)</t>
  </si>
  <si>
    <t>CAST ABORT DUE TO SHEAR NOT READY(FEED CYLINDER PIN CAME OUT FROM ITS POSITION)</t>
  </si>
  <si>
    <t>CROSS SPRAY NOT READY DURING DUMMYBAR INSERT</t>
  </si>
  <si>
    <t>1257/1230</t>
  </si>
  <si>
    <t>OTHER EXTERNAL</t>
  </si>
  <si>
    <t>LRF BAY CRANE NO-3 BREAKDOWN</t>
  </si>
  <si>
    <t>MOULD GAP DUE TO DUMMY BAR HEAD BENT</t>
  </si>
  <si>
    <t>CAST ABORT DUE TO SLAB HIT &amp; STUCK IN SHEAR AFTER CUT(ENCODER PROBLEM)</t>
  </si>
  <si>
    <t>DISCONTINUED DUE TO  LRF-1 LTC MOVEMENT PROBLEM</t>
  </si>
  <si>
    <t>DUMMY BAR OPERATING  CONDITION NOT READY</t>
  </si>
  <si>
    <t xml:space="preserve">SLAB OVERLAP IN TUNNEL FURNACE </t>
  </si>
  <si>
    <t xml:space="preserve">CAST ABORT DUE TO TUNNEL FURNACE LINE-A DRIVE TRIP &amp; SLAB OVERLAP </t>
  </si>
  <si>
    <t>MOULD BROAD LOOSE SIDE CLOSING ISSUE</t>
  </si>
  <si>
    <t>CLAMPING ERROR</t>
  </si>
  <si>
    <t>L+16</t>
  </si>
  <si>
    <t>DISCONTINUED DUE TO LADDLE SLIDE GATE PUMP  TRIP DURING LADDLE CONNECTION</t>
  </si>
  <si>
    <t>PINCH ROLL MOTOR BRAKE PROBLEM</t>
  </si>
  <si>
    <t>SEGMENT 1 &amp; 2 LEAKAGE</t>
  </si>
  <si>
    <t xml:space="preserve">DISCONTINUED DUE TO LRF BAY  CRAN NO -3 (180MT) BREAKDOWN </t>
  </si>
  <si>
    <t>DUMMY BAR STOP  PUSH BUTTON  ELEMENT NOT FUNCTIONING</t>
  </si>
  <si>
    <t>DUMMYBAR INSERTION PROBLEM</t>
  </si>
  <si>
    <t>BOTTOM BUNKER CLEANNED</t>
  </si>
  <si>
    <t xml:space="preserve">METAL JAM IN SEGMENT -1 </t>
  </si>
  <si>
    <t>DUMMY BAR TRACKING PROBLEM</t>
  </si>
  <si>
    <t>DISCONTINUED DUE TO CLAMPING ERROR</t>
  </si>
  <si>
    <t xml:space="preserve">Mould cooling System </t>
  </si>
  <si>
    <t>MOULD COOLING PRESSURE NOT ACHIEVED</t>
  </si>
  <si>
    <t>Communication Failure</t>
  </si>
  <si>
    <t>CAST ABORT DUE TO REMOTE PENDENT NOT OPERATED</t>
  </si>
  <si>
    <t>LADLE TROLLEY JAM</t>
  </si>
  <si>
    <t>L+26</t>
  </si>
  <si>
    <t>BREAKOUT OCCURRED(OFF-CHEMISTRY- S-0.009 , Al-0.05)</t>
  </si>
  <si>
    <t>CASTABORT DUE TO IC-4 BREAKER IN UTILITY (MILL) TRIPPED</t>
  </si>
  <si>
    <t>IC-4 BREAKER IN UTILITY (MILL) TRIPPED</t>
  </si>
  <si>
    <t>SLAB STUCK IN SHEAR</t>
  </si>
  <si>
    <t>PURGING FAILURE</t>
  </si>
  <si>
    <t>DISCONTINUED DUE TO LACK OF HEAT (LRF-4 HEAT PURGING FAILURE)</t>
  </si>
  <si>
    <t xml:space="preserve">CAST ABORT DUE TOCOMMUNICATION FAULT IN COILER </t>
  </si>
  <si>
    <t>DISCONTINUED DUE TO HEAVY LANCING</t>
  </si>
  <si>
    <t xml:space="preserve">COBBLE IN MILL </t>
  </si>
  <si>
    <t>DELAY FROM CASTER(MACHINE PREPARATION )</t>
  </si>
  <si>
    <t xml:space="preserve">CAST ABORT DUE TO COMMUNICATION FAULT IN COILER </t>
  </si>
  <si>
    <t>CASTABORT DUE TO AUTO TAILOUT(LNC)</t>
  </si>
  <si>
    <t>FOR PROPER TUNDISH HEATING</t>
  </si>
  <si>
    <t>SURGETANK VALVE PRESSURE NOT ACHIEVED</t>
  </si>
  <si>
    <t>CASTABORT DUE TO SEN FALL</t>
  </si>
  <si>
    <t>CAST ABORT  DUE TO COMPRESSED AIR MAIN LINE DAMAGED &amp; AMLC E-CLOSE ACTIVATED</t>
  </si>
  <si>
    <t>IP-2 HEAT EXCHANGER CHANGE</t>
  </si>
  <si>
    <t>DISCONTINUED DUE TO SUDDENLY ARGON PRESSURE ZERO,ALL HEATS PURGING FAILURE</t>
  </si>
  <si>
    <t>CAST ABORT DUE TO MOULD LEVEL HIGH &amp; METAL CHILLING</t>
  </si>
  <si>
    <t>SURGETANK  PRESSURE DROPED</t>
  </si>
  <si>
    <t>BREAKOUT OCCURRED(BIEEDING )</t>
  </si>
  <si>
    <t>L+21</t>
  </si>
  <si>
    <t>CAST ABORT  DUE TO DC-1 MAIN LINE PIPE BURST &amp; SURGE TANK LEVEL DROPS</t>
  </si>
  <si>
    <t>1035/1010</t>
  </si>
  <si>
    <t>SEGMENT-3 BLOCK CHANGE</t>
  </si>
  <si>
    <t>SURGETANK PRESSURE DROP</t>
  </si>
  <si>
    <t>TUNDISH  CAR LIFTING LOWERING PROBLEM</t>
  </si>
  <si>
    <t>CAST ABORT DUE TO HEAVY LANCING</t>
  </si>
  <si>
    <t>TUNDISH HEATING</t>
  </si>
  <si>
    <t>1230/1260</t>
  </si>
  <si>
    <t>SEGMENT-2 CARD CHANGE</t>
  </si>
  <si>
    <t>DUMMYBAR STUCK</t>
  </si>
  <si>
    <t>MOULD &amp; SEGMENT -1  CHANGE</t>
  </si>
  <si>
    <t>SEGMENT-3 BLOCK &amp; CABLE CHANGE( LEFT TOP SIDE)</t>
  </si>
  <si>
    <t>SHEAR FEED CYLINDER CHANGE</t>
  </si>
  <si>
    <t>DISCONTINUED DUE TO  LRF-1 &amp; 2 PURGING ISSUE</t>
  </si>
  <si>
    <t>PROPORTIONAL VALVE CHANGE</t>
  </si>
  <si>
    <t>COMPLETED (TUNDISH OVERHEATING)</t>
  </si>
  <si>
    <t>DUMMY BAR MOVEMENT PROBLEM</t>
  </si>
  <si>
    <t>DUMMYBAR NOT OPERATED</t>
  </si>
  <si>
    <t>CAST ABORT DUE TO SEN CUT FROM NECK</t>
  </si>
  <si>
    <t>CAST ABORT DUE TO SLAB STUCK IN SHEAR(SHEAR DRIVE SIDE CYLINDER BOLT BROKEN)</t>
  </si>
  <si>
    <t>DUMMY BAR CHANGE</t>
  </si>
  <si>
    <t>Main Hydraulic System</t>
  </si>
  <si>
    <t>CAST ABORT DUE TO MAIN DRIVE TRIPPED (PINCH ROLL CURRENT HIGH)</t>
  </si>
  <si>
    <t xml:space="preserve">BREAKOUT OCCURRED </t>
  </si>
  <si>
    <t>SEGMENT 3 VALVE CHANGE (CLAMPING ERROR)</t>
  </si>
  <si>
    <t>STAND  CALIBRATION   PROBLEM</t>
  </si>
  <si>
    <t>F-1 &amp; F-2 CALIBRATION PROBLEM</t>
  </si>
  <si>
    <t xml:space="preserve">Hydraulic Mould Oscilator </t>
  </si>
  <si>
    <t>CAST ABORT DUE TO HYDRAULIC MOULD OSCILLATOR TRIPPED</t>
  </si>
  <si>
    <t>DELAY FROM SMS(LRF-3 TROLLEY MOVEMENT PROBLEM)</t>
  </si>
  <si>
    <t>PINCH ROLL CALLIBRATION</t>
  </si>
  <si>
    <t>MOULD &amp; SEGMENT-2,3 CHANGE</t>
  </si>
  <si>
    <t>SEGMENT-1  CALIBERATION PROBLEM,SEGMENT-2 HOSE CHANGE</t>
  </si>
  <si>
    <t>DUMMYBAR INSERT PROBLEM</t>
  </si>
  <si>
    <t>1255/1230</t>
  </si>
  <si>
    <t>DISCONTINUED DUE TO MOULD LEVEL VARIATION &amp; FREQUENT BOPS SLOW DOWN</t>
  </si>
  <si>
    <t>BREAKOUT OCCURRED(BLEEDING )</t>
  </si>
  <si>
    <t>SHEAR GEARBOX WORK &amp; SEGMENT CONNECTION DELAY</t>
  </si>
  <si>
    <t>HMO Failure</t>
  </si>
  <si>
    <t>HMO PROBLEM</t>
  </si>
  <si>
    <t>SEGMENT-2 HYDRAULIC  LEAKAGE</t>
  </si>
  <si>
    <t>MOULD CLAMPING  ISSUE DUE TO MOULD COVER FALL</t>
  </si>
  <si>
    <t>F-1 BACKUP ROLL CHANGE</t>
  </si>
  <si>
    <t>CAST ABORT DUE TO MOULD OSCILATOR TRIPPED</t>
  </si>
  <si>
    <t>SHEAR HOSE CYLINDER CHANGE</t>
  </si>
  <si>
    <t>BREAKOUT OCCURRED(STICKER )</t>
  </si>
  <si>
    <t>DUMMYBAR CHANGE (DUE TO SEGMENT-1 DUMMYBAR STUCK)</t>
  </si>
  <si>
    <t>1235/1250</t>
  </si>
  <si>
    <t>DISCONTINUE DUE TO LACK OF HEAT(EAF-2 SHELL CHANGE)</t>
  </si>
  <si>
    <t>DISCONTINUED DUE TO TUNDISH CENTERING PROBLEM &amp; SEN HOLE OBSERVED AFTER CAST END</t>
  </si>
  <si>
    <t>RAM DRIVE PROBLEM</t>
  </si>
  <si>
    <t>SEGMENT-1  GRID JAM</t>
  </si>
  <si>
    <t>MOULD  CHANGE</t>
  </si>
  <si>
    <t>MOULD RECTIFIER PROBLEM</t>
  </si>
  <si>
    <t>BLOCK CHANGE SEGMENT-1</t>
  </si>
  <si>
    <t>SEGMENT-1 DEPRESSURIZE</t>
  </si>
  <si>
    <t>MOULD GAP DUMMYBAR BYPASS NOT OPERATED</t>
  </si>
  <si>
    <t>DISCONTINUED HMO HYDRAULIC LINE LEAKAGE</t>
  </si>
  <si>
    <t>CAST ABORT DUE TO SLAB STUCK IN MACHINE</t>
  </si>
  <si>
    <t>PINCH ROLL GEARBOX CHANGE</t>
  </si>
  <si>
    <t>DISCONTINUED DUE TO LACK OF HEAT(EAF-3 SHELL CHANGE)</t>
  </si>
  <si>
    <t>LRF CRANE NO-403 BREAKDOWN</t>
  </si>
  <si>
    <t>COMPLETED(SEN OVERHEATING)</t>
  </si>
  <si>
    <t>CRANE NO-403 BREAKDOWN</t>
  </si>
  <si>
    <t>DISCONTINUED DUE TO LRF-3 TROLLEY TRIPPED(CRANE NO-401 &amp; 402 RUNNING)</t>
  </si>
  <si>
    <t>CasterOperations</t>
  </si>
  <si>
    <t>Start_up_delay</t>
  </si>
  <si>
    <t>CASTER BAY CRANE-NO 502 (60T) BREAKDOWN</t>
  </si>
  <si>
    <t>Planned_shutdown</t>
  </si>
  <si>
    <t>HEAVY STOPPER RISE</t>
  </si>
  <si>
    <t>CAST ABORT DUE TO HEAVY STOPPER RISE</t>
  </si>
  <si>
    <t>DUMMYBAR ADAPTOR CHANGE</t>
  </si>
  <si>
    <t>L+22</t>
  </si>
  <si>
    <t>DUMMYBAR ADAPTOR  CHANGE</t>
  </si>
  <si>
    <t>Other</t>
  </si>
  <si>
    <t>PROPOTIONAL VALVE CHANGE</t>
  </si>
  <si>
    <t>BLEEDING BREAKOUT</t>
  </si>
  <si>
    <t>SMPS (SWITCH MOULD POWER SUPPLY) CHANGE</t>
  </si>
  <si>
    <t>1230/1255</t>
  </si>
  <si>
    <t>MOULD PUMP VALVE ISSUE</t>
  </si>
  <si>
    <t>1235/1260</t>
  </si>
  <si>
    <t>MOULD CLAMPING ISSUE</t>
  </si>
  <si>
    <t>1235/1245</t>
  </si>
  <si>
    <t>Discontinued</t>
  </si>
  <si>
    <t>Laddle Turret</t>
  </si>
  <si>
    <t>DISCONTINUED DUE TO  TURRET ROTATION PROBLEM</t>
  </si>
  <si>
    <t>CAST ABORT DUE TO STOPPER  ROD  DRIVE FAULT</t>
  </si>
  <si>
    <t>LRF CRANE NO.3 BREAKDOWN</t>
  </si>
  <si>
    <t>L+20</t>
  </si>
  <si>
    <t>DISCONTINUED DUE TO LRF-2 TROLLY MOVEMENT PROBLEM (TRACK JAM)</t>
  </si>
  <si>
    <t>PINCH ROLL -2 HYDRAULIC LEAKAGE</t>
  </si>
  <si>
    <t xml:space="preserve">DELAY IN  SIMULATION </t>
  </si>
  <si>
    <t>CAST ABORT DUE TO PINCH ROLL TRIP (HIGH CURRENT)</t>
  </si>
  <si>
    <t>WITHDRAWAL -3  BOTTOM ROLL CHANGE</t>
  </si>
  <si>
    <t>LRF BAY  CRANE NO-403 BREAKDOWN</t>
  </si>
  <si>
    <t>CAST ABORT DUE TO PINCH ROLL  CURRENT HIGH</t>
  </si>
  <si>
    <t>LRF BAY  CRANE NO-403 BREAKDOWN (WHEEL DAMAGED)</t>
  </si>
  <si>
    <t>LRF TROLLEY MOVEMENT PROBLEM</t>
  </si>
  <si>
    <t xml:space="preserve">DISCONTINUED DUE TO LRF-04 TROLLEY LIFTING PROBLEM </t>
  </si>
  <si>
    <t>WITHDRAWAL ROLL-3 CHANGE</t>
  </si>
  <si>
    <t>BENDING ROLL NOT OPERATED</t>
  </si>
  <si>
    <t>Connection Issue</t>
  </si>
  <si>
    <t>CAST CONNECTION NOT READY</t>
  </si>
  <si>
    <t>Shear Frame/Position</t>
  </si>
  <si>
    <t>CAST ABORT DUE TO SHEAR SHAFT DEGREE OUT</t>
  </si>
  <si>
    <t>SHEAR SHAFT DEGREE OUT</t>
  </si>
  <si>
    <t>WITHDRAWAL 3 &amp; 4 BOLT WELDING</t>
  </si>
  <si>
    <t>1230/1170</t>
  </si>
  <si>
    <t>WITHDRAWAL -2 PROBLEM</t>
  </si>
  <si>
    <t>Hydraulic Mould Oscilator</t>
  </si>
  <si>
    <t>DISCONTINUED DUE TO HMO HYDRAULIC LEAKAGE</t>
  </si>
  <si>
    <t>MOULD LEVEL CONTROL PROBLEM (MLC)</t>
  </si>
  <si>
    <t>STICKER BREAKOUT</t>
  </si>
  <si>
    <t>WITHDRAWAL-1 CYLINDER BOLT BROKEN</t>
  </si>
  <si>
    <t>1260/1230</t>
  </si>
  <si>
    <t>DISCONTINUED DUE TO FERQUENTLY BOPS ALARM</t>
  </si>
  <si>
    <t>L+55</t>
  </si>
  <si>
    <t>WITHDRAWAL ROLL 3,4 &amp; PINCH ROLL CYLINDER CHANGE</t>
  </si>
  <si>
    <t>DISCONTINUED DUE TO HOTMETAL NOT AVAILABLE(TORPEDO  DERAIL ON MAIN LINE)</t>
  </si>
  <si>
    <t>CSP SHUTDOWN(TORPEDO  DERAIL ON MAIN LINE)</t>
  </si>
  <si>
    <t>CSP SHUTDOWN(TARPEDO DERAIL ON MAIN LINE)</t>
  </si>
  <si>
    <t>L+56</t>
  </si>
  <si>
    <t>WITHDRAWAL NO-2 OPERATOR SIDE HYDRAULIC CYLINDER ROD REMOVED</t>
  </si>
  <si>
    <t>L+57</t>
  </si>
  <si>
    <t>MOULD,SEGMENT-1,2 CHANGE</t>
  </si>
  <si>
    <t>CAST ABORT DUE TO SHEAR HYDRAULIC LEAKAGE</t>
  </si>
  <si>
    <t>CASTABORT DUE TO SEN FALL DOWN</t>
  </si>
  <si>
    <t>CASTABORT DUE TO HANGER FORMATION IN LEFT SIDE</t>
  </si>
  <si>
    <t>Stopper Rod mechanism</t>
  </si>
  <si>
    <t>CASTABORT DUE TO SRM LOCKING MECHANISM ISSUE</t>
  </si>
  <si>
    <t>CAR NO-4 OPERATED VERY SLOW</t>
  </si>
  <si>
    <t>DISCONTINUED DUE TO MOULD LEVEL FLUCTUATION AND ABNORMAL BUBBLING</t>
  </si>
  <si>
    <t>Segment</t>
  </si>
  <si>
    <t>SEGMENT - 02 VALVE CHANGE</t>
  </si>
  <si>
    <t>1260/1250</t>
  </si>
  <si>
    <t>DISCONTINUED DUE TO MOULD OSCILLATOR HYDRAULIC LEAKAGE</t>
  </si>
  <si>
    <t>BREAKOUT OCCURRED ( OSCILLATOR HYDRAULIC LINE LEAKAGE &amp; OSCILLATOR STOPPED)</t>
  </si>
  <si>
    <t>DISCONTINUED DUE TO HANGER STUCK IN LADLE CRANE NO.2</t>
  </si>
  <si>
    <t>METAL JAM  IN SEGMENT-3</t>
  </si>
  <si>
    <t>CAST ABORT DUE TO MOULD OSCILLATOR HYDRAULIC LINE LEAKAGE</t>
  </si>
  <si>
    <t>CAST ABORT DUE TO MAIN DRIVE TRIP</t>
  </si>
  <si>
    <t>BREAKOUT OCCURRED(BLEEDING) AFTER SLOWDOWN</t>
  </si>
  <si>
    <t>L+28</t>
  </si>
  <si>
    <t xml:space="preserve">BREAKOUT OCCURRED(BLEEDING) </t>
  </si>
  <si>
    <t>Mould</t>
  </si>
  <si>
    <t>MOULD WATER LEAKAGE</t>
  </si>
  <si>
    <t>PINCH ROLL LOOSE SIDE MOTOR CHANGED</t>
  </si>
  <si>
    <t>MAIN DRIVE TRIP(AUTO EMERGENCY ACTIVATED)</t>
  </si>
  <si>
    <t>CAST ABORT DUE TO AUTO-COMMUNICATION FAILURE</t>
  </si>
  <si>
    <t>LNC</t>
  </si>
  <si>
    <t>CAST ABORT DUE TO LNC &amp; LOW TEMP(1528,1529)</t>
  </si>
  <si>
    <t>TUNDISH NOT HEATING PROPERLY</t>
  </si>
  <si>
    <t>TUNDISH CAR TRACK LINE WELDING</t>
  </si>
  <si>
    <t>LOOP OIL SHEAR NOT OK</t>
  </si>
  <si>
    <t>TUNDISH CAR</t>
  </si>
  <si>
    <t>E-close</t>
  </si>
  <si>
    <t>CAST ABORT DUE TO PINCH ROLL TRIPPED &amp; AMLC E-CLOSE ACTIVATED</t>
  </si>
  <si>
    <t>SEGMENT 1,2 &amp; 3 CALLIBRATION,SERVER RESTART &amp; SHEAR MOTOR WORK</t>
  </si>
  <si>
    <t>1220/1235</t>
  </si>
  <si>
    <t>HEAVY LANCING</t>
  </si>
  <si>
    <t>DISCONTINUED  DUE TO HEAVY LANCING &amp; LADLE NOT OPEN</t>
  </si>
  <si>
    <t>LRF-4 ROOF STUCK WITH LADLE</t>
  </si>
  <si>
    <t xml:space="preserve">DISCONTINUED DUE TO SEGMENT-3 POSITION ERROR </t>
  </si>
  <si>
    <t>LACK OF HEAT</t>
  </si>
  <si>
    <t>DISCONTINUED DUE TO LACK OF HEAT(EAF-1 ROOF PROBLEM)</t>
  </si>
  <si>
    <t>PINCH ROLL PROPOTIONAL VALVE CHANGE</t>
  </si>
  <si>
    <t>1260/1255</t>
  </si>
  <si>
    <t xml:space="preserve">TUNDISH CAR NO-3 NOT MOVEMENT </t>
  </si>
  <si>
    <t>DISCONTINUED DUE TO LRF-4 NON-PLC TROLLY  MOVEMENT PROBLEM</t>
  </si>
  <si>
    <t>L+60</t>
  </si>
  <si>
    <t>ALL MACHINE CHANGE (MOULD &amp; SEGMENT 1,2 &amp;3)</t>
  </si>
  <si>
    <t>LACK OF HEAT (EAF-3 SHELL CHANGE)</t>
  </si>
  <si>
    <t>Power_plant</t>
  </si>
  <si>
    <t>POWER FAILURE FROM GRID</t>
  </si>
  <si>
    <t>CAST ABORT DUE TO POWER FAILURE FROM GRID</t>
  </si>
  <si>
    <t>SLAB STRUCK AT SHEAR</t>
  </si>
  <si>
    <t>CAST ABORT DUE TO WITHDRAWAL NOT DOWN ,SLAB STUCK IN SHEAR</t>
  </si>
  <si>
    <t>WITHDRAWAL NO-1 WELDING WORK</t>
  </si>
  <si>
    <t>MOULD  BOPS CABLE FIXING PROBLEM</t>
  </si>
  <si>
    <t>CAST ABORT DUE TO MOULD LEVEL DROPPED AND PINCH ROLL TRIPPED</t>
  </si>
  <si>
    <t>LRF BAY AREA CRANE NO-3 &amp; 4 TRIPPED</t>
  </si>
  <si>
    <t>Position Transducer Fault</t>
  </si>
  <si>
    <t>DISCONTINUED DUE TO SEGMENT-3 POSITION ERROR</t>
  </si>
  <si>
    <t>CAST ABORT DUE TO AUTO COMMUNICATION FAILURE</t>
  </si>
  <si>
    <t>IPC FAULT</t>
  </si>
  <si>
    <t>BENDING ROLL TEMPOSONIC CHANGE</t>
  </si>
  <si>
    <t>CAST ABORT DUE TO SEN FALL DOWN</t>
  </si>
  <si>
    <t>SEN CENTERING</t>
  </si>
  <si>
    <t>SHEAR HYDRAULIC LEAKAGE</t>
  </si>
  <si>
    <t>L+59</t>
  </si>
  <si>
    <t>IPC Failure</t>
  </si>
  <si>
    <t>MOULD  &amp; SEGMENT-1 CHANGE</t>
  </si>
  <si>
    <t>BENDING ROLL POSITION OUT</t>
  </si>
  <si>
    <t>SEGMENT-2,3 NOT READY</t>
  </si>
  <si>
    <t>CAST ABORT DUE TO SEN EROSION</t>
  </si>
  <si>
    <t>WITHDRAWAL-1 ROLL DOWN</t>
  </si>
  <si>
    <t xml:space="preserve"> SEN EROSION</t>
  </si>
  <si>
    <t>Mould cooling System</t>
  </si>
  <si>
    <t>CAST ABORT DUE TO MOULD WATER LEAKAGE(RIGHT SIDE</t>
  </si>
  <si>
    <t>MOULD LEAKAGE ARREST</t>
  </si>
  <si>
    <t>GRIDE JAM</t>
  </si>
  <si>
    <t>PROXIMAL FUNCTIONING PROBLEM</t>
  </si>
  <si>
    <t>SEGMENT -1 NOT READY (PRESSURE ISSUE)</t>
  </si>
  <si>
    <t xml:space="preserve">CSP SHUTDOWN </t>
  </si>
  <si>
    <t>CAST ABORT DUE TO MOULD OVERFLOW</t>
  </si>
  <si>
    <t>MOULD OVERFLOW</t>
  </si>
  <si>
    <t>RIGHT SIDE MOULD DRIVE NOT OK</t>
  </si>
  <si>
    <t>MOULD ORING LEAKAGE</t>
  </si>
  <si>
    <t>LADLE CYLINDER PISTON EXCESS CLOSE</t>
  </si>
  <si>
    <t>CAST ABORT DUE TO AUTO EMERGENCY APPLIED(SEN CUT)</t>
  </si>
  <si>
    <t>1240/1170</t>
  </si>
  <si>
    <t>1170/1230</t>
  </si>
  <si>
    <t>SHEAR HYDRAULIC CYLINDER HOSE CHANGE</t>
  </si>
  <si>
    <t>LRF BAY CRANE NO-403 TRIPPED</t>
  </si>
  <si>
    <t>1350/1300</t>
  </si>
  <si>
    <t>CASTABORT DUE TO SLAB BULGING</t>
  </si>
  <si>
    <t>METAL JAM CUTTING</t>
  </si>
  <si>
    <t>SEGMENT-2 CALLIBRATION NOT OCCURRED</t>
  </si>
  <si>
    <t>MOULD &amp; SEGMENT-1   CHANGE</t>
  </si>
  <si>
    <t>DISCONTINUED DUE TO SEGMENT-1( ZONE-3) WATER LEAKAGE</t>
  </si>
  <si>
    <t>DISCONTINUED DUE TO SEGMENT-1( ZONE-2) WATER LEAKAGE</t>
  </si>
  <si>
    <t>MOULD  CLAMPING CYLINDER FAILURE</t>
  </si>
  <si>
    <t>AMLC NOT READY</t>
  </si>
  <si>
    <t>DISCONTINUED DUE TO SEGMENT-2 POSITION OUT.</t>
  </si>
  <si>
    <t>SEGMENT-3 BLOCK CHANGE &amp; SEGMENT-1 CALIBRATION</t>
  </si>
  <si>
    <t>COMPLETED  (SEN OVER HEATING)</t>
  </si>
  <si>
    <t>DISCONTINUED DUE TO LRF-3 TROLLY MOVEMENT PROBLEM</t>
  </si>
  <si>
    <t>LRF-3 TROLLY MOVEMENT PROBLEM</t>
  </si>
  <si>
    <t>1275/1260</t>
  </si>
  <si>
    <t>BREAKOUT CLEARANCE</t>
  </si>
  <si>
    <t>HOT METAL AREA POURING CRANE DSL TRIPPED</t>
  </si>
  <si>
    <t>DISCONTINUED DUE TO HEAVY  LANCING</t>
  </si>
  <si>
    <t>PINCH ROLL GEAR BOX COUPLING BROKEN</t>
  </si>
  <si>
    <t>CAST ABORT DUE TO PINCH ROLL - 02 POSITION OUT</t>
  </si>
  <si>
    <t>1260/1240</t>
  </si>
  <si>
    <t>SLIDE GATE PLATE FAILURE</t>
  </si>
  <si>
    <t>DISCONTINUED  DUE TO LADLE SLIDE GATE ISSUE</t>
  </si>
  <si>
    <t>LADLE SLIDE GATE ISSUE</t>
  </si>
  <si>
    <t>MOULD CALIBRATION ISSUE AND CENTILATION COUNTER CHANGED</t>
  </si>
  <si>
    <t>BREAKOUT OCCURRED (BLEEDING )</t>
  </si>
  <si>
    <t>1240/1230</t>
  </si>
  <si>
    <t>1240/1231</t>
  </si>
  <si>
    <t>POWER FAILURE</t>
  </si>
  <si>
    <t>CAST ABORT DUE TO STRAND GUIDE RECTIFIER STOP(POWER FLUCTUATION)</t>
  </si>
  <si>
    <t>DISCONTINUED DUE TO TURRET RECTIFIER STOP &amp; AIR PRESSURE LOW(POWER FLUCTUATION)</t>
  </si>
  <si>
    <t>TURRET RECTIFIER STOP &amp; AIR PRESSURE LOW(POWER FLUCTUATION)</t>
  </si>
  <si>
    <t>HEAT EXCHANGER LEAKAGE</t>
  </si>
  <si>
    <t>Pendulum Shear</t>
  </si>
  <si>
    <t>SHEAR PENDULUM WORK</t>
  </si>
  <si>
    <t>CAST ABORT  DUE TO MOULD HYDRAULIC OSCILLATOR TRIPPED</t>
  </si>
  <si>
    <t>1350/1260</t>
  </si>
  <si>
    <t>CAST ABORT DUE TO SEN CUT</t>
  </si>
  <si>
    <t>SEN CUT</t>
  </si>
  <si>
    <t>SWIVEL MOVEMENT PROBLEM</t>
  </si>
  <si>
    <t xml:space="preserve">CAST ABORT DUE TO MILL SWIVEL ROTATION PROBLEM </t>
  </si>
  <si>
    <t>CAST ABORT DUE TO MOULD WATER FLOW STOPPED</t>
  </si>
  <si>
    <t>DISCONTINUED DUE TO LACK OF HEAT(ONLY TWO FURNACE RUNNING)</t>
  </si>
  <si>
    <t>CAST ABORT DUE TO POWER FAILURE IN GRID</t>
  </si>
  <si>
    <t>LRF-2 LIME CHUTE JAM</t>
  </si>
  <si>
    <t>DISCONTINUED DUE TO LRF-3 ROOF LIFTING SIGNAL PROBLEM</t>
  </si>
  <si>
    <t>RADIOACTIVE SOURCE JAM</t>
  </si>
  <si>
    <t>CAST ABORT DUE TO MILL HYDRAULIC TRIP</t>
  </si>
  <si>
    <t>MOULD GAP FOUND AFTER MOULD CHANGE</t>
  </si>
  <si>
    <t>CAST ABORT DUE TO SEN CUT FROM BOTTOM</t>
  </si>
  <si>
    <t>DISCONTINUED DUE TO TURRET ROTATION PROBLEM</t>
  </si>
  <si>
    <t>CAST ABORT  DUE TO LNC(METAL NOT COMING)</t>
  </si>
  <si>
    <t>CAST ABORT DUE TO BOILING IN MOULD</t>
  </si>
  <si>
    <t>BREAKOUT OCCURRED (STICKER)</t>
  </si>
  <si>
    <t>DELAY  HOT METAL SHORTAGE</t>
  </si>
  <si>
    <t>CAST ABORT DUE TO OSCILLATOR  EARLY START</t>
  </si>
  <si>
    <t>SLAB STRUCK IN MACHINE</t>
  </si>
  <si>
    <t>SLAB STUCK IN SEGMENT-1 WITH DUMMY BAR</t>
  </si>
  <si>
    <t>COMPLETED AS PER PLAN(WIDTH CHANGE)</t>
  </si>
  <si>
    <t>MACHINE PREPARATION DELAY(MOULD GAP OCCURRED)</t>
  </si>
  <si>
    <t>BREAKOUT OCCURRED(BLEEDING)</t>
  </si>
  <si>
    <t>MAIN LINE WATER SUPPLY ISSUE</t>
  </si>
  <si>
    <t>RUNNING</t>
  </si>
  <si>
    <t>CAST ABORT DUE TO DUMMY BAR HOME POSITION PROXY HIGH  DURING CAST START</t>
  </si>
  <si>
    <t>LOST HEAD BOLT CUTTING</t>
  </si>
  <si>
    <t>SHEAR CYLINDER HOSE LEAKAGE</t>
  </si>
  <si>
    <t>DISCONTINUED  DUE TO SHEAR HYDRAULIC LEAKAGE</t>
  </si>
  <si>
    <t>DISCONTINUED DUE TO EAF-2 BREAKDOWN</t>
  </si>
  <si>
    <t>SLAB END BEND &amp; MOVEMENT ISSUE</t>
  </si>
  <si>
    <t>CASTER 2  SHUTDOWN</t>
  </si>
  <si>
    <t>CAPITAL SHUTDOWN</t>
  </si>
  <si>
    <t>CAST ABORT DUE TO HEAVY SKULLING IN MOULD</t>
  </si>
  <si>
    <t>PLANNED SHUTDOWN (TWO FURNACE RUNNING)</t>
  </si>
  <si>
    <t>DISCONTINUE DUE TO LACK OF HEAT (PLANNED SHUTDOWN TWO FURNACE RUNNING)</t>
  </si>
  <si>
    <t>LACK OF HEAT (PLANNED SHUTDOWN TWO FURNACE RUNNING)</t>
  </si>
  <si>
    <t>CAST ABORT DUE TO METAL BACK DURING LADLE CONNECTION (LADLE SHOURD &amp; CONNECTOR NOZZLE)</t>
  </si>
  <si>
    <t>EAF-2 BREAKDOWN</t>
  </si>
  <si>
    <t>LADLE SHROUD AND CONNECTOR NOZZLE</t>
  </si>
  <si>
    <t>CAST ABORT DUE TO SLAB STUCK IN LINE-B TUNNEL F/C</t>
  </si>
  <si>
    <t>DISCONTINUED DUE TO LACK OF HEAT (PLANNED SHUTDOWN TWO FURNACE RUNNING)</t>
  </si>
  <si>
    <t>COMPLETED AS PER PLAN (WIDER SECTION)</t>
  </si>
  <si>
    <t>MOULD LEVEL HIGH</t>
  </si>
  <si>
    <t>CAST ABORT DUE TO HEAVY SKULLING &amp; HANGER</t>
  </si>
  <si>
    <t>LACK OF HEAT(EAF-1 SHELL CHANGE)</t>
  </si>
  <si>
    <t>DISCONTINUED DUE TO LACK OF HEAT (EAF-3 COKE INJECTION PROBLEM)</t>
  </si>
  <si>
    <t>DISCONTINUED DUE TO LACK OF HEAT(EAF-4 SHUTDOWN)</t>
  </si>
  <si>
    <t>SIMULATION TRIAL WITH SMS INDIA TEAM</t>
  </si>
  <si>
    <t>DISCONTINUED DUE TO LACK OF HEAT(EAF-2 BREAKDOWN)</t>
  </si>
  <si>
    <t>PUMP MOTOR NOT READY</t>
  </si>
  <si>
    <t>PUMP CHANGE</t>
  </si>
  <si>
    <t>CAST ABORT DUE TO COBBLE IN MILL (AUTOMATIC QUICK STOP APPLY FROM SYSTEM)</t>
  </si>
  <si>
    <t>SEGMENT-1 BLOCK CHANGE</t>
  </si>
  <si>
    <t xml:space="preserve">COMPLETED </t>
  </si>
  <si>
    <t>CRANE TRIP CASTER BAY</t>
  </si>
  <si>
    <t>MOULD NOT OPERATING (OPEN/CLOSE)</t>
  </si>
  <si>
    <t>DISCONTINUED DUE TO SLAG IN MOULD</t>
  </si>
  <si>
    <t>STEAM EXHAUST FAN NOT WORKING</t>
  </si>
  <si>
    <t>SLAG IN MOULD</t>
  </si>
  <si>
    <t>SLIDE GATE PUMP  MAINTENANCE</t>
  </si>
  <si>
    <t xml:space="preserve">CAST ABORT DUE TO COBBLE IN MILL </t>
  </si>
  <si>
    <t>UNPLANNED SEGMENT CHANGE</t>
  </si>
  <si>
    <t>CAST ABORT DUE TO HEAVY LNC</t>
  </si>
  <si>
    <t>CAST ABORT DUE TO STOPPER STICK METAL NOT COME IN MOULD</t>
  </si>
  <si>
    <t>SEGMENT -1 POSTION  FAULT</t>
  </si>
  <si>
    <t>JAM CLEANING</t>
  </si>
  <si>
    <t>UNPLANNED  MOULD &amp; SEGMENT-1  CHANGE</t>
  </si>
  <si>
    <t>TUNDISH CAR-3 BYPASS</t>
  </si>
  <si>
    <t>TUNDISH CAR-4 ZEROING PROBLEM</t>
  </si>
  <si>
    <t>CAST ABORT DUE TO TUNNEL FURNACE COMBUSTION PLC  GET DOWN</t>
  </si>
  <si>
    <t>Tundish Car</t>
  </si>
  <si>
    <t>TUNDISH CAR-3 NOT READY</t>
  </si>
  <si>
    <t>1260/1231</t>
  </si>
  <si>
    <t xml:space="preserve">CAST ABORT DUE TO TDC(TECHNICAL DELIVERY CONDITIONING) COMMUNICATION FAULT </t>
  </si>
  <si>
    <t xml:space="preserve">CAST ABORT DUE TO MOULD LEVEL FLUCTUATION </t>
  </si>
  <si>
    <t>CAST ABORT DUE TO SLAB BULGING</t>
  </si>
  <si>
    <t>CRANE DSL TRIP</t>
  </si>
  <si>
    <t>CAST ABORT DUE TO SLAB STUCK IN SHEAR(SHEAR FRAME POSITION OUT)</t>
  </si>
  <si>
    <t>1335/1250</t>
  </si>
  <si>
    <t>SEGMENT-1 JAM CLEANING</t>
  </si>
  <si>
    <t>1250/1240</t>
  </si>
  <si>
    <t>CAR-4  HEATING POSITION LIMIT NOT WORKING</t>
  </si>
  <si>
    <t>1165/1250</t>
  </si>
  <si>
    <t>EAF-3 SHELL CHANGE</t>
  </si>
  <si>
    <t>1220/1260</t>
  </si>
  <si>
    <t>SLAB STUCK (UNPLANNED SEGMENT-2 &amp; 3   CHANGE)</t>
  </si>
  <si>
    <t>DISCONTINUED DUE TO SEGMENT-3 AND PINCH ROLL  POSITION OUT SLAB SHIFTED</t>
  </si>
  <si>
    <t>DISCONTINUED DUE TO NEXT LADDLE NOT OPEN( 8 LANCE PIPE USE)</t>
  </si>
  <si>
    <t>HOT METAL SHORTAGE(BF-2 SHUTDOWN)</t>
  </si>
  <si>
    <t>DISCONTINUED DUE TO MOULD WATER LEAKAGE</t>
  </si>
  <si>
    <t>BREAKOUT OCCURRED(BLEEDING)AFTER STOPPER RISE &amp; WASH</t>
  </si>
  <si>
    <t>POWER SHORTAGE</t>
  </si>
  <si>
    <t>HOT METAL SHORTAGE (BF-2 SHUTDOWN)</t>
  </si>
  <si>
    <t>CAST ABORT DUE TO TUNNEL FURNACE SWIVEL MOVEMENT PROBLEM</t>
  </si>
  <si>
    <t>DISCONTINUED DUE TO LACK OF HEAT(BLAST FURNACE 2 SHUTDOWN)</t>
  </si>
  <si>
    <t>DUMMY BAR BASE BOLT LOOSE</t>
  </si>
  <si>
    <t>LACK OF HEAT(BLAST FURNACE 2 SHUTDOWN)</t>
  </si>
  <si>
    <t>SHEAR MOTOR CHANGED</t>
  </si>
  <si>
    <t>1252/1230</t>
  </si>
  <si>
    <t>COMPLETED(NARROW SECTION PLAN)</t>
  </si>
  <si>
    <t>SEGMENT -2 CALIBRATION DELAY</t>
  </si>
  <si>
    <t>MOULD COOLING PUMP REPAIRING</t>
  </si>
  <si>
    <t>SEGMENT-1 HYDRAULIC DEPRESSURIZED</t>
  </si>
  <si>
    <t>CAST ABORT DUE TO OSCILLATOR TRIPPED</t>
  </si>
  <si>
    <t>CRANE DRIVE ISSUE</t>
  </si>
  <si>
    <t xml:space="preserve">MOULD MOTOR DRIVE FAULT IN RIGHT SIDE </t>
  </si>
  <si>
    <t>TUNDISH SPRAY MASS FELL DOWN IN STOPPER BOTTOM &amp; WELL BLOCK AREA</t>
  </si>
  <si>
    <t>LADLE SLIDE GATE NOT OPEN</t>
  </si>
  <si>
    <t>DISCONTINUED DUE TO LACK OF HEAT(HOT METAL SHORTAGE)</t>
  </si>
  <si>
    <t>LOW TEMPERATURE</t>
  </si>
  <si>
    <t>DISCONTINUED DUE TO HOT METAL TEMPERATURE LOW (POURING PROBLEM)-b/j</t>
  </si>
  <si>
    <t>CASTABORT DUE TO LOW TEMPERATURE &amp; LNC OCCURRED</t>
  </si>
  <si>
    <t>ET COMMUNICATION FAULT</t>
  </si>
  <si>
    <t>MACHINE SIMULATION</t>
  </si>
  <si>
    <t>CAST ABORT DUE TO STOPPER RISE TO 100%</t>
  </si>
  <si>
    <t>CAST ABORT DUE TO LOW TEMPERATURE AND POOR BUBBLING</t>
  </si>
  <si>
    <t>MOULD DRIVE NOT READY</t>
  </si>
  <si>
    <t>DISCONTINUED DUE TO LIME SHORTAGE</t>
  </si>
  <si>
    <t>NEW SEGMENT-1 GRID JAM</t>
  </si>
  <si>
    <t>CAST ABORT DUE TO LADLE SLIDE GATE NOT FULLY CLOSED</t>
  </si>
  <si>
    <t>CAST ABORT DUE TO LRF-3 TEMP LANCE ERROR</t>
  </si>
  <si>
    <t xml:space="preserve"> LADLE SLIDE GATE NOT FULLY CLOSED</t>
  </si>
  <si>
    <t>CAST ABORT DUE TO INCOMER BREAKER TRIPPED</t>
  </si>
  <si>
    <t>CAST ABORT DUE TO  STOPPER E-CLOSE</t>
  </si>
  <si>
    <t>STOPPER E-CLOSE</t>
  </si>
  <si>
    <t>CAST ABORT DUE TO PURGING FAILURE</t>
  </si>
  <si>
    <t>CAST ABORT DUE TO MOULD LEVEL LOW</t>
  </si>
  <si>
    <t>DISCONTINUED DUE  LACK OF HEAT (EAF-1 SHELL CHANGE)</t>
  </si>
  <si>
    <t>DISCONTINUED DUE TO LRF CRANE-1 TRIPPED</t>
  </si>
  <si>
    <t>CAST ABORT DUE TO  TUNNEL FURNACE LINE-A TRIPPED(LOW COMPRESSED AIR)</t>
  </si>
  <si>
    <t>TUNNEL FURNACE LINE-A TRIPPED</t>
  </si>
  <si>
    <t>CAST ABORT DUE TO SLOWDOWN TAKEN &amp; STRAND DRIVE STOP</t>
  </si>
  <si>
    <t>HYDRAULIC &amp; WATER HOSE REMOVAL DELAY</t>
  </si>
  <si>
    <t>SEGMENT-3 LEAKAGE</t>
  </si>
  <si>
    <t>MOULD COOLING LINE LEAKAGE</t>
  </si>
  <si>
    <t xml:space="preserve">CAST ABORT DUE TO METAL COME OUT FROM MOULD AND HANGER FALL </t>
  </si>
  <si>
    <t>CAST ABORT DUE TO METAL NOT COME IN MOULD</t>
  </si>
  <si>
    <t>ZEROING PROBLEM</t>
  </si>
  <si>
    <t>DISCONTINUED DUE TO HEAT LIFTING DELAY(LRF-1 TROLLY PROBLEM)</t>
  </si>
  <si>
    <t>LRF-1 ELECTROD BROKEN</t>
  </si>
  <si>
    <t>DISCONTINUED DUE TO LRF-1 CALCIUM &amp; ALUMINIUM WIRE NOT RUNNING(HEAT LIFTING DELAY)</t>
  </si>
  <si>
    <t>DELAY IN SHEAR GREASE LINE RECTIFIER</t>
  </si>
  <si>
    <t>CAST ABORT DUE TO SEN FALL FROM NECK DURING CASTING</t>
  </si>
  <si>
    <t>STRAND GUIDE RECTIFIER OFF BY ELECTRICAL DUE TO WITHDRAWL-2 BYPASS</t>
  </si>
  <si>
    <t>CAST ABORT DUE TO  AUTO START NOT COME</t>
  </si>
  <si>
    <t>CAST ABORT DUE TO F-3 ROLL CHANGE PROBLEM (COBBLE IN MILL LESS BUFFER SPACE IN TUNNEL FURNACE AFTER F-3 CALIBRATION)</t>
  </si>
  <si>
    <t>CAST ABORT DUE TO LOW TEMPERATURE(1532) &amp; HEAVY STOPPER RISE</t>
  </si>
  <si>
    <t>SEGMENT-2 HYDRAULIC OIL LEAKGAE</t>
  </si>
  <si>
    <t>CENTILATION COUNTER NOT INSERTED  THE MOULD</t>
  </si>
  <si>
    <t>ZEORING PROBLEM</t>
  </si>
  <si>
    <t>SEGMENT-1 HYDRAULIC LEAKAGE</t>
  </si>
  <si>
    <t>DUE TO LACK OF HEAT(EAF-1 UNDER SHELL CHANGE)</t>
  </si>
  <si>
    <t>CAST ABORT DUE TO LOW TEMPERATURE (1528)</t>
  </si>
  <si>
    <t>BOPS CABLE CONNECTION</t>
  </si>
  <si>
    <t>CAST ABORT DUE TO AFTER CUT SLAB STUCK IN SHEAR (SHEAR FRAME POSITION OUT)</t>
  </si>
  <si>
    <t>SHEAR FRAME POSITION OUT</t>
  </si>
  <si>
    <t>LACK OF HEAT(EAF-4 BREAKDOWN)</t>
  </si>
  <si>
    <t>CAST ABORT DUMMYBAR DISCONNECTION NOT OK</t>
  </si>
  <si>
    <t>CAST ABORT DUE TO SLAB STUCK IN TUNNEL FURNACE LINE-B</t>
  </si>
  <si>
    <t>SEGMENT-1 NOT READY (BLOCK CHANGE)</t>
  </si>
  <si>
    <t>MLC PROBLEM</t>
  </si>
  <si>
    <t>MACHINE PREPARATION (CASTER CRANE -2 BREAKDOWN)</t>
  </si>
  <si>
    <t>DISCONTINUED DUE TO HEAVY LANCING(NEXT LADLE NOT OPEN)</t>
  </si>
  <si>
    <t>ABNORMAL BUBBLING</t>
  </si>
  <si>
    <t>DISCONTINUED  DUE TO ABNORMAL BUBBLING &amp; METAL COMMING OUT FROM MOULD</t>
  </si>
  <si>
    <t>SLAB STUCK IN PINCHROLL</t>
  </si>
  <si>
    <t>CAST ABORT DUE TO MOULD LEVEL FLUCTUATION DURING DUMMY BAR DISCONNECTION</t>
  </si>
  <si>
    <t>CAST ABORT SLAB STUCK DURING DUMMYBAR DISCONNECTION</t>
  </si>
  <si>
    <t>SLUB STUCK IN MACHINE</t>
  </si>
  <si>
    <t>CAST ABORT DUE TO ET FAULT</t>
  </si>
  <si>
    <t>Tunnel Furnace drive and Automation fault</t>
  </si>
  <si>
    <t>CAST ABORT DUE TO TUNNEL FURNACE LINE-B ZONE 8 DRIVE TRIP</t>
  </si>
  <si>
    <t xml:space="preserve"> TUNNEL FURNACE LINE-B ZONE 8 DRIVE TRIP</t>
  </si>
  <si>
    <t>KNIFE BOLD TIGHTNESS(SHEAR WORK)</t>
  </si>
  <si>
    <t>CAST ABORT DUE TO SHEAR STOP DURING CHOPPING</t>
  </si>
  <si>
    <t>LEAKAGE CHECK</t>
  </si>
  <si>
    <t>DUMMYBAR PROBLEM</t>
  </si>
  <si>
    <t>Mill and Coiler guide problem</t>
  </si>
  <si>
    <t>CAST ABORT DUE TO F-1 STAND EXIT SIDE GUIDE POSITION OUT</t>
  </si>
  <si>
    <t>DISCONTINUED DUE TO CRANE NO-03(403) LT TRIPPED NEAR LRF-4</t>
  </si>
  <si>
    <t>DELAY FROM MILL</t>
  </si>
  <si>
    <t xml:space="preserve"> CRANE NO-03(403) LT TRIPPED NEAR LRF-4</t>
  </si>
  <si>
    <t>L+58</t>
  </si>
  <si>
    <t>CAST ABORT DUE TO  DUMMY BAR POSITION OUT</t>
  </si>
  <si>
    <t>1250/1300</t>
  </si>
  <si>
    <t>DUMMYBAR INSERTION ISSUE</t>
  </si>
  <si>
    <t xml:space="preserve">DISCONTINUED DUE TO WIDTH TRANSITION FAILURE </t>
  </si>
  <si>
    <t>DUMMY BAR POSITION OUT</t>
  </si>
  <si>
    <t>CAST ABORT DUE TO SLAB STUCK IN F-1 EXITS GUIDE</t>
  </si>
  <si>
    <t>SLAB STUCK IN F-1 EXIT GUIDE</t>
  </si>
  <si>
    <t>DISCONTINUED DUE TO CAMBER (350)</t>
  </si>
  <si>
    <t xml:space="preserve"> SLAB STUCK IN F-1 EXIT GUIDE</t>
  </si>
  <si>
    <t>MOULD CLOSE ISSUE</t>
  </si>
  <si>
    <t xml:space="preserve">CAST ABORT DUE TO MOULD OVERFLOW </t>
  </si>
  <si>
    <t>HOLD SLAB STUCK IN LINE-A SWIVEL</t>
  </si>
  <si>
    <t>LEFTSIDE DRIVE OF MOULD NOT OPERATIONAL</t>
  </si>
  <si>
    <t>CASTABORT DUE TO SLAB HOLD IN LINE -A SWIVEL</t>
  </si>
  <si>
    <t>CAST ABORT DUE TO SLAB STUCK IN LINE-A SWIVEL IN T/F</t>
  </si>
  <si>
    <t>SLAB SHIFTING PROBLEM AT LINE -A ZONE-6 DAMAGE JACKET &amp; GUIDE WALL</t>
  </si>
  <si>
    <t>Tunnel Furnace door problem</t>
  </si>
  <si>
    <t>CAST ABORT DUE TO LINE-A ZONE-6 SWIVEL DOOR &amp; BRIDGE FALLEN</t>
  </si>
  <si>
    <t>CAST  ABORT DUE TO T/F DRIVE TRIPPED</t>
  </si>
  <si>
    <t>CAST ABORT DUE TO SLAB STUCK IN LINE-A SWIVEL</t>
  </si>
  <si>
    <t>LINE-A ZONE-6 SWIVEL DOOR &amp; BRIDGE FALLEN</t>
  </si>
  <si>
    <t>MOULD CLOSING PROBLEM</t>
  </si>
  <si>
    <t>CAMBER ISSUE</t>
  </si>
  <si>
    <t>CAST ABORT DUE TO HIGH CAMBER (260MM)</t>
  </si>
  <si>
    <t>CAST ABORT DUE TO HEAVY CAMBER LINE-A SLAB HIT ZONE-7 WATER JACKET</t>
  </si>
  <si>
    <t>LINE-B SWIVEL WHEEL NO-1 CHANGE</t>
  </si>
  <si>
    <t>CAST ABORT DUE TO MOULD OSCILLATOR TRIPPED</t>
  </si>
  <si>
    <t>ZEROING FAULT DUE TO SRM MALFUNCTION(CABLE AND CONNECTOR HEAT UP)</t>
  </si>
  <si>
    <t>METAL JAM IN SEGMENT-2</t>
  </si>
  <si>
    <t>LEFT SIDE MOULD TOP DRIVE FAULT</t>
  </si>
  <si>
    <t xml:space="preserve">DELAY BREAKOUT OCCURRED </t>
  </si>
  <si>
    <t>DELAY BREAKOUT OCCURRED (BLEEDING)</t>
  </si>
  <si>
    <t>DISCONTINUED DUE TO ABNORMAL BUBBLING METAL COME FROM MOULD</t>
  </si>
  <si>
    <t>CAST ABORT DUE TO CASTER-2 SLAB HIT IN LINE-A ZONE-8 DRIVE SIDE JACKET DUE TO CAMBER &amp; SHIFTING</t>
  </si>
  <si>
    <t>F-5 TOP WORK ROLL NECK BROKEN</t>
  </si>
  <si>
    <t>POWER SHORTAGE FOR SMS</t>
  </si>
  <si>
    <t>CAST ABORT DUE TO F-5 TOP WORK ROLL NECK BROKEN</t>
  </si>
  <si>
    <t>TUNNEL FURNACE LINE A HANDLING SYSTEM PLC FAULT</t>
  </si>
  <si>
    <t>TUNNEL FURNACE LINE-A COMBUSTION VALVE ZONE-6 &amp; 1 STUCK</t>
  </si>
  <si>
    <t>F-4 EXIT GUIDE CYLIDER STUCK UP</t>
  </si>
  <si>
    <t>ADAPTOR CHANGE &amp; TUNDISH SHIFTING</t>
  </si>
  <si>
    <t>1270/1250</t>
  </si>
  <si>
    <t>PINCH ROLL POSITION OUT</t>
  </si>
  <si>
    <t>MOULD NOT OPEN PROPERLY</t>
  </si>
  <si>
    <t>CAST ABORT DUE TO SHEAR DRIVE FAULT</t>
  </si>
  <si>
    <t>SEGMENT-2 JAM CUTTING</t>
  </si>
  <si>
    <t>PINCHROLL MOTOR CHANGE</t>
  </si>
  <si>
    <t>PINCH ROLL FIX SIDE ENCODER CHANGE</t>
  </si>
  <si>
    <t>DISCONTINUED DUE TO WIDTH TRANSITION PROBLEM</t>
  </si>
  <si>
    <t>SEGMENT-2 &amp; 3  CHANGE</t>
  </si>
  <si>
    <t>FIX SIDE PINCHROLL MOTOR CHANGE</t>
  </si>
  <si>
    <t>MOULD  FIX  PROBLEM</t>
  </si>
  <si>
    <t>Encoder Problem</t>
  </si>
  <si>
    <t>DISCONTINUED DUE TO TURRET ROTATION PROBLEM &amp; ENCODER AMPLIFIER CARD CHANGE</t>
  </si>
  <si>
    <t>TUNNEL FURNACE LINE -B SWIVEL DRIVE TRIP</t>
  </si>
  <si>
    <t xml:space="preserve">HEAT LIFTING DELAY </t>
  </si>
  <si>
    <t>1250/1165</t>
  </si>
  <si>
    <t>CAST ABORT DUE TO LINE-A SWIVEL NOT IN HOME POSITION</t>
  </si>
  <si>
    <t>DISCONTINUED DUE TO CRANE(401) HANGER STUCK IN LADLE TRUNNION</t>
  </si>
  <si>
    <t>SEGMENT-2 BLOCK CHANGE</t>
  </si>
  <si>
    <t>DISCONTINUED DUE TO ABNORMAL BUBBLING</t>
  </si>
  <si>
    <t>DELAY FROM CASTER(MOULD SCRATCH MARK)</t>
  </si>
  <si>
    <t>DISCONTINUED DUE TO HOTMETAL TORPEDO  NO-12 TILTING PROBLEM(TRACK JAM)</t>
  </si>
  <si>
    <t>HOTMETAL TORPEDO  NO-12 TILTING PROBLEM(TRACK JAM)</t>
  </si>
  <si>
    <t>COMPLETED(WIDER SECTION)</t>
  </si>
  <si>
    <t>CAST ABORT DUE TO ALL M/C DRIVE TRIP</t>
  </si>
  <si>
    <t>PINCH ROLL REPLACEMENT</t>
  </si>
  <si>
    <t xml:space="preserve">CAST ABORT DUE TO HOLE IN SEN </t>
  </si>
  <si>
    <t>1270/1252</t>
  </si>
  <si>
    <t>DELAY FROM CASTER  (SEGMENT -2  &amp; 3 CHANGED)</t>
  </si>
  <si>
    <t>SEGMENT-1 TEMPOSONE BLOCK CHANGE</t>
  </si>
  <si>
    <t>1235/1230</t>
  </si>
  <si>
    <t>CAST ABORT DUE TO LNC</t>
  </si>
  <si>
    <t>DISCONTINUED DUE TO SLIDE GATE NOT OPEN  (TURRET OFFCENTRE)</t>
  </si>
  <si>
    <t>TURRET OFFCENTRE</t>
  </si>
  <si>
    <t>LACK OF HEAT (EAF-4 BREAKDOWN)</t>
  </si>
  <si>
    <t>CAST ABORT DUE TO COBBLE  IN MILL</t>
  </si>
  <si>
    <t>TURRET ENCODER CABLE LAYOUT</t>
  </si>
  <si>
    <t>HYDRAULIC HOSE CHANGE IN SEGMENT-3</t>
  </si>
  <si>
    <t>DISCONTINUED DUE TO TURRET ROTATION PROBLEM (SLIDE GATE NOT OPERATE)</t>
  </si>
  <si>
    <t>TURRET ROTATION PROBLEM</t>
  </si>
  <si>
    <t>CRANE NO - 403 BREAKDOWN</t>
  </si>
  <si>
    <t>DISCONTINUED DUE TO LACK OF HEAT (EAF-3 SHELL CHANGE)</t>
  </si>
  <si>
    <t xml:space="preserve">BOPS CABLE REMOVAL DELAY </t>
  </si>
  <si>
    <t>SEGMENT-3 HYDRAULIC LEAKAGE ARREST &amp; MOULD LOOSE SIDE CLAMPING ISSUE</t>
  </si>
  <si>
    <t xml:space="preserve">EAF-3 &amp; EAF-1 SHELL CHANGE </t>
  </si>
  <si>
    <t>DISCONTINUED DUE TO LACK OF HEAT (EAF-2 BREAKDOWN)</t>
  </si>
  <si>
    <t>HEAT LIFTING DELAY(CRANE-401 TRIPPED)</t>
  </si>
  <si>
    <t>CAST ABORT DUE TO POWER FAILURE</t>
  </si>
  <si>
    <t>CAST ABORT DUE TO TUNNEL FURNACE LINE-A SWIVEL  HOME POSITION NOT COMING</t>
  </si>
  <si>
    <t>DELAY FROM CASTER (MACHINE PREPARATION)</t>
  </si>
  <si>
    <t>TUNDISH PREHEATER HOOD NOT UP DUE TO POWER SUPPLY OFF</t>
  </si>
  <si>
    <t>Roll spalled</t>
  </si>
  <si>
    <t>CAST ABORT DUE TO DUE TO F-4 BOTTOM WORK ROLL BROKEN FROM NECK OPERATOR SIDE</t>
  </si>
  <si>
    <t>CAST ABORT DUE TO LOOP FORMATION IN F-1 &amp; F-2 (F-1 BOTTOM EXIT GUIDE COME OUT)</t>
  </si>
  <si>
    <t>DISCONTINUED DUE TO LACK OF HEAT (EAF-1 SHELL CHANGE )</t>
  </si>
  <si>
    <t>MOULD LEAKAGE &amp; DUMMYBAR INSERTION PROBLEM</t>
  </si>
  <si>
    <t>COUNTER CABLE CHANGE</t>
  </si>
  <si>
    <t xml:space="preserve">MOULD CLAMPING PROPORTINAL VALVE CHANGE </t>
  </si>
  <si>
    <t>DISCONTINUED DUE TO HEAVY CAMBER FROM CASTER (MOULD &amp; SEGMENT-2 &amp; 3 CHANGE)</t>
  </si>
  <si>
    <t>CRANE NO.2 BREAKDOWN</t>
  </si>
  <si>
    <t xml:space="preserve">DELAY DUE TO DUMMYBAR INSERTION  </t>
  </si>
  <si>
    <t>HOSE REMOVAL DELAY</t>
  </si>
  <si>
    <t>MOULD PREPARATION DELAY</t>
  </si>
  <si>
    <t>CAST ABORT DUE TO AMLC FAULT</t>
  </si>
  <si>
    <t>METAL JAM ON MOULD &amp; COVER</t>
  </si>
  <si>
    <t>TUNDISH CAR-4 TAKEN IN COMMUNICATION LINE</t>
  </si>
  <si>
    <t>UNPLANNED MOULD CHANGE(LEAKAGE)</t>
  </si>
  <si>
    <t>BREAKOUT OCCURRED AFTER SLOWDOWN</t>
  </si>
  <si>
    <t>CAST ABORT DUE TO F-4 BOTTOM WORK ROLL BROKEN FROM NECK OPERATOR SIDE</t>
  </si>
  <si>
    <t>CAST ABORT DUE TO COBBLE (F-3 SHIFTING)</t>
  </si>
  <si>
    <t>LOOP FORMATION IN F-1 &amp; F-2 (F-1 BOTTOM EXIT GUIDE COME OUT)</t>
  </si>
  <si>
    <t>CAST ABORT DUE TO HANGER FORMATION (BOPS)</t>
  </si>
  <si>
    <t>CRANE DELAY</t>
  </si>
  <si>
    <t>CAST ABORT DUE TO PLC COMMUNICATION FAULT</t>
  </si>
  <si>
    <t>HEAT LIFTING  DELAY</t>
  </si>
  <si>
    <t>MOULD RIGHT SIDE  NARROW COVER BOLT DAMAGE</t>
  </si>
  <si>
    <t>DISCONTINUED DUE TO CYLINDER BRACKET BEND</t>
  </si>
  <si>
    <t>METAL JAM (STOPPER RUNNING)</t>
  </si>
  <si>
    <t>CAST ABORT DUE TO CASTING STARTUP PENDANT NOT WORKING</t>
  </si>
  <si>
    <t>1035/1020</t>
  </si>
  <si>
    <t>COMPLETED  (WIDER SECTION)</t>
  </si>
  <si>
    <t>SEGMENT-2 LEAKAGE</t>
  </si>
  <si>
    <t>1230/50</t>
  </si>
  <si>
    <t>CAST ABORT DUE TO PINCH ROLL POSITION OUT</t>
  </si>
  <si>
    <t>1335/1260</t>
  </si>
  <si>
    <t>SEGMENT-1 CHANGE</t>
  </si>
  <si>
    <t>BREAK OUT OCCURRED(BLEEDING)</t>
  </si>
  <si>
    <t>TUNDISH CAR MOVEMENT PROBLEM &amp; MOULD-SEGMENT CONNECTION PROBLEM</t>
  </si>
  <si>
    <t>GRID JAM AND DUMMY BAR INSERTION PROBLEM</t>
  </si>
  <si>
    <t>BREAK OUT OCCURRED(STICKER)</t>
  </si>
  <si>
    <t>SEGMENT-1 METAL JAM</t>
  </si>
  <si>
    <t>1240/1270</t>
  </si>
  <si>
    <t>DISCONTINUED DUE TO BLEEDING OBSERVED</t>
  </si>
  <si>
    <t>SEGMENT-2 WATER LEAKAGE</t>
  </si>
  <si>
    <t>SEGMENT-2 HOSE LEAKAGE</t>
  </si>
  <si>
    <t>ET FAULT</t>
  </si>
  <si>
    <t>1205/1240</t>
  </si>
  <si>
    <t>CASTER BAY CRANE TRIPPED (DSL ISSUE)</t>
  </si>
  <si>
    <t>CAST ABORT DUE TO  COMMUNICATION FAULT</t>
  </si>
  <si>
    <t>1320/1255</t>
  </si>
  <si>
    <t>SIGNAL CABLE TO CONNECT TO PLC</t>
  </si>
  <si>
    <t>MOULD HYDRAULIC HOSE OPEN PROBLEM</t>
  </si>
  <si>
    <t>DUMMYBAR FALL DOWN</t>
  </si>
  <si>
    <t>MOULD &amp; SEGMENT-1,2 &amp; 3  CHANGE</t>
  </si>
  <si>
    <t xml:space="preserve">MACHINE PREPARAION </t>
  </si>
  <si>
    <t>MOULD DRIVE FAULT  (UNPLANNED  MOULD CHANGE)</t>
  </si>
  <si>
    <t>DISCONTINUED DUE TO TURRET MOVEMENT PROBLEM</t>
  </si>
  <si>
    <t>SEGMENT-2 METAL  JAM</t>
  </si>
  <si>
    <t>MOULD RIGHT SIDE  O-RING CHANGE</t>
  </si>
  <si>
    <t>DUMMY BAR INSERTION PROBLEM</t>
  </si>
  <si>
    <t>1165/1230</t>
  </si>
  <si>
    <t>DISCONTINUED DUE TO ABNORMAL BUBBLING &amp; MOULD LEVEL FLUCTUATION ,METAL COME OUT FROM MOULD(MOULD &amp; SEG-1 CHANGE UNPLANNED)</t>
  </si>
  <si>
    <t>F-2 BACKUP ROLL  CHANGE</t>
  </si>
  <si>
    <t xml:space="preserve">TUNDISH CAR-3  MOVEMENT PROBLEM </t>
  </si>
  <si>
    <t>WITHDRAWAL-4 HYDRAULIC HOSE  LEAKAGE</t>
  </si>
  <si>
    <t>1240/1260</t>
  </si>
  <si>
    <t>MACHINE PREPARTAION</t>
  </si>
  <si>
    <t>DISCONTINUED DUE TO LRF BAY CRANE NO-402 HANGER CT TRIPPED</t>
  </si>
  <si>
    <t>CAST ABORT DUE TO AUTO TAIL OUT(MOULD COOLING MOTOR OFF)</t>
  </si>
  <si>
    <t>MOULD PRESSURE DROP</t>
  </si>
  <si>
    <t>CAST ABORT DUE TO F-1 &amp; F-2 SPEED NOT ACHIEVED (SLAB TAKEN ON REJECTABLE)</t>
  </si>
  <si>
    <t>WITHDRAWAL -4  ROLL CYLINDER CHANGE(D/S)</t>
  </si>
  <si>
    <t>DISCONTINUED DUE TO LRF BAY CRANE NO-404 HANGER TRIPPED</t>
  </si>
  <si>
    <t>CAST ABORT DUE TO SHROUD CHOCKE &amp; STICK LADDLE CONNECTOR NOZZLE</t>
  </si>
  <si>
    <t>DISCONTINUED DUE TO SEN CUT SUSPECT</t>
  </si>
  <si>
    <t>CAST ABORT DUE TO INSTRUMENTATION PLC FAULT</t>
  </si>
  <si>
    <t>1205/1230</t>
  </si>
  <si>
    <t>1320/1230</t>
  </si>
  <si>
    <t>1320/1165</t>
  </si>
  <si>
    <t xml:space="preserve">SEGMENT-1 LEAKAGE </t>
  </si>
  <si>
    <t>DISCONTINUED DUE TO AUTO TAILOUT(OPEN MACHINE COOLING WATER PRESSER MALFUNCTION)</t>
  </si>
  <si>
    <t>HOT MEATL SHORTAGE</t>
  </si>
  <si>
    <t>STOPPER BROKEN</t>
  </si>
  <si>
    <t>POWER DIP IN MILL</t>
  </si>
  <si>
    <t xml:space="preserve">CAST ABORT DUE TO POWER FAILURE </t>
  </si>
  <si>
    <t>SLIDE AUTOMATIC CLOSE</t>
  </si>
  <si>
    <t>CAST ABORT DUE TO COBBLE IN COILER</t>
  </si>
  <si>
    <t>DISCONTINUED DUE TO HOT METAL SHORTAGE (BF-2 SHUTDOWN)</t>
  </si>
  <si>
    <t>CAST ABORT DUE TO COBBLE IN MILL(F-4 STAND OUT OF SERVICE DUE TO MECH. BENDING FORCE PROBLEM)</t>
  </si>
  <si>
    <t>TAPPER IN POSITIVE( SO SECTION MAKING PROBLEM)</t>
  </si>
  <si>
    <t>TUNDISH CASR CENTERING ISSUE</t>
  </si>
  <si>
    <t>DELAY FROM SSMS  (HEAT RETURNED OFF CHEMISTRY )</t>
  </si>
  <si>
    <t>STAND CALIBRATION PROBLEM</t>
  </si>
  <si>
    <t>CAST ABORT DUE TO F-1 STAND CALIBRATION PROBLEM IN MILL</t>
  </si>
  <si>
    <t>SEGMENT-1 HYDRAULIC QRC CHANGE</t>
  </si>
  <si>
    <t>F-1 STAND CALIBRATION PROBLEM IN MILL</t>
  </si>
  <si>
    <t>DISCONTINUED DUE TO ABNORMAL BUBBLING &amp; METAL CAME FROM MOULD FREQUENTLY</t>
  </si>
  <si>
    <t>1255/1260</t>
  </si>
  <si>
    <t>MOULD CLOSE OBSERVED DEACTIVATED REPEATEDLY</t>
  </si>
  <si>
    <t xml:space="preserve">HOT METAL SHORTAGE </t>
  </si>
  <si>
    <t>1252/1250</t>
  </si>
  <si>
    <t>CAST ABORT DUE TO START COMMAND DID NOT WORK( COMMAND ISSUE)</t>
  </si>
  <si>
    <t>COMMAND ISSUE</t>
  </si>
  <si>
    <t>DELAY FROM  CASTER ELECTRICAL BENDING UNIT FAULT</t>
  </si>
  <si>
    <t>CAST ABORT DUE TO AUTO TAIL OUT</t>
  </si>
  <si>
    <t>STOPPER GATE OPEN  JUST AFTER CAST MODE</t>
  </si>
  <si>
    <t>SEGMENT-1 LEAKAGE</t>
  </si>
  <si>
    <t>DELAY FROM CASTER(BREAKOUT)</t>
  </si>
  <si>
    <t>SEGMENT-1 CENTER PIN BROKEN</t>
  </si>
  <si>
    <t>DISCONTINUED DUE TO LADDLE NOZZLE  CHOKE (NEXT LADDLE NOT OPEN)</t>
  </si>
  <si>
    <t>SEGMENT-1 BLOCK  CHANGE</t>
  </si>
  <si>
    <t>DISCONTINUED DUE  TO TURRET ROTARY  HYDRAULIC LEAKAGE</t>
  </si>
  <si>
    <t>COMMUNICATION FAULT</t>
  </si>
  <si>
    <t>DELAY FROM CASTER (TUNDISH SHIFTING)</t>
  </si>
  <si>
    <t>DELAY FROM CASTER (MACHINEY PREP DELAY)</t>
  </si>
  <si>
    <t>DELAY FROM CASTER (DUMMY BAR AND MOUL SETTING)</t>
  </si>
  <si>
    <t>SEGMENT GUIDE PIN CHANGE</t>
  </si>
  <si>
    <t>MOULD WATR CONTROL VALVE NOT OK</t>
  </si>
  <si>
    <t>DUMMY BAR ADAPTER CHANGE</t>
  </si>
  <si>
    <t>DELAY FROM CASTER (MACHINEY PREPARATION)</t>
  </si>
  <si>
    <t>EXTRA TIME SEGMENT-1 CLAMPING ERROR</t>
  </si>
  <si>
    <t>1170/1250</t>
  </si>
  <si>
    <t>MOULD NOT OPEN</t>
  </si>
  <si>
    <t>CAST ABORT DUE TO METAL  CAME OUT FROM  MOULD</t>
  </si>
  <si>
    <t>HYDRAULIC NOT OPERATED</t>
  </si>
  <si>
    <t>TUNDISH SHIFTING DELAY</t>
  </si>
  <si>
    <t>CAST ABORT DUE TO METAL FLOW STOP FROM LADLE</t>
  </si>
  <si>
    <t>DISCONTINUED DUE TO ABNORMAL HEAT FLUX RIGHT SIDE &amp; ABNORMAL BUBBLING</t>
  </si>
  <si>
    <t>MOULD DRIVE FAULT</t>
  </si>
  <si>
    <t>FROM MOULD TOP COVER ORING AREA WATER CAME INSIDE THE MOULD</t>
  </si>
  <si>
    <t>MOULD &amp; SEGMENT-1  CHANGE</t>
  </si>
  <si>
    <t>CAST ABORT DUE TO LOW TEMPERATURE (1530,1532)</t>
  </si>
  <si>
    <t>CAST ABORT DUE TO AUTO TAIL OUT OCCRRED</t>
  </si>
  <si>
    <t>AUTO TAIL OUT OCCRRED</t>
  </si>
  <si>
    <t>DISCONTINUED DUE TO ABNORMAL BOPS</t>
  </si>
  <si>
    <t>No delay</t>
  </si>
  <si>
    <t>1230/1250/1260</t>
  </si>
  <si>
    <t>CAST ABORT DUE TO F-4 WORK ROLL SPALLED</t>
  </si>
  <si>
    <t>DELAY FROM MILL  (NORMAL GRADE REQUIRED FOR STARTUP)</t>
  </si>
  <si>
    <t>1260/1270</t>
  </si>
  <si>
    <t>COMPLETED AND MOULD CHANGE</t>
  </si>
  <si>
    <t>DISCONTINUED DUE TO ABNORMAL BOPS(MOULD CHANGE)</t>
  </si>
  <si>
    <t>BREAKOUT OCCURRED(BLLEDING)</t>
  </si>
  <si>
    <t>MOULD AND SEGMENT-1 CHANGE</t>
  </si>
  <si>
    <t>LRF BAY CRANE NO-403 BREAKDOWN</t>
  </si>
  <si>
    <t>DISCONTINUED DUE TO LRF CRANE NO-403 BREAKDOWN</t>
  </si>
  <si>
    <t>Coil mandle loading fault</t>
  </si>
  <si>
    <t>CAST ABORT DUE TO DC-2 MANDREL TRIPPED</t>
  </si>
  <si>
    <t>BOTTOM WORK ROLL BROKEN (ROLL SHOP)</t>
  </si>
  <si>
    <t>CAST ABORT DUE TO F-1 STAND  BOTTOM WORK ROLL SPOILED</t>
  </si>
  <si>
    <t>1232/1260</t>
  </si>
  <si>
    <t>CAST ABORT DUE TO DUMMY BAR STUCK IN GUIDE.</t>
  </si>
  <si>
    <t>DUMMY BAR STUCK IN GUIDE.</t>
  </si>
  <si>
    <t>WITHDRAWAL -3 TOP ROLL CHANGE</t>
  </si>
  <si>
    <t>CAST ABORT DUE TO LOW TEMPERATURE (1531)</t>
  </si>
  <si>
    <t>CAST ABORT DUE TO AUTO-TAILOUT OCCURRED</t>
  </si>
  <si>
    <t>1232/1255</t>
  </si>
  <si>
    <t>MOULD VIBRATION(UNPLAN MOULD CHANGE)</t>
  </si>
  <si>
    <t>WITHDRAWAL ROLL-2 BOTTOM CHANGE</t>
  </si>
  <si>
    <t>SEGMENT CONNECTION ISSUE</t>
  </si>
  <si>
    <t>BUNKER CLEANING</t>
  </si>
  <si>
    <t>BREAKOUT DELAY</t>
  </si>
  <si>
    <t>SEGMENT -2 HYDRAULIC  LEAKAGE</t>
  </si>
  <si>
    <t>CAST ABORT DUE TO MOULD LEVEL DROPPED</t>
  </si>
  <si>
    <t>SEGMENT -1 HEAVY WATER   LEAKAGE ZONE-3</t>
  </si>
  <si>
    <t>SEGMENT-3 HYDRAULIC HOSE LEAKAGE</t>
  </si>
  <si>
    <t>CALIBRATION ISSUE OF SEGMENT-3 ZONE</t>
  </si>
  <si>
    <t>CAST ABORT DUE TO COMMUNICATION FAULT</t>
  </si>
  <si>
    <t>C0MPLETED</t>
  </si>
  <si>
    <t>ALL MACHINE CHANGE</t>
  </si>
  <si>
    <t>1250/1232</t>
  </si>
  <si>
    <t>CAST ABORT DUE TO ET SUPERVISION FAULT</t>
  </si>
  <si>
    <t>1230/1180</t>
  </si>
  <si>
    <t>CAST ABORT DUE TO F-1 CALIBRATION PROBLEM IN MILL</t>
  </si>
  <si>
    <t>1240/1255</t>
  </si>
  <si>
    <t xml:space="preserve">CAST ABORT DUE TO NEXT LADLE  HEAVY LANCING </t>
  </si>
  <si>
    <t>MOULD LEVEL CALIBRATION PROBLEM</t>
  </si>
  <si>
    <t>GRID JAM IN SEGMENT-1</t>
  </si>
  <si>
    <t>1270/1230</t>
  </si>
  <si>
    <t>MOULD DRIVE PROBLEM</t>
  </si>
  <si>
    <t>QRC CHANGE</t>
  </si>
  <si>
    <t>CAST ABORT DUE TO  F-6 TOP  W/ROLL  SPALLED &amp; REST PART AGAIN COBBLE</t>
  </si>
  <si>
    <t>TUNDISH CAR MOVEMENT  STOPPER OPEN &amp; MOULD COVER  DUMMYBAR HEAD JAM</t>
  </si>
  <si>
    <t>SLAB STUCK AT SHEAR DUE TO CHOPPING SHEAR TAKEN IN LOCAL MODE</t>
  </si>
  <si>
    <t>MILL/DC MEDIA TRIPPED</t>
  </si>
  <si>
    <t>CAST ABORT DUE TO PINCH ROLL POSITION  ABONORMAL</t>
  </si>
  <si>
    <t>PINCH ROLL POSITION  ABONORMAL PROBLEM</t>
  </si>
  <si>
    <t>DISCONTINUED DUE TO HEAT LIFTING DELAY &amp; SLAG CAME IN MOULD</t>
  </si>
  <si>
    <t>COMPLETED(WIDER PLAN)</t>
  </si>
  <si>
    <t>OSCILATOR PUMP NOT START</t>
  </si>
  <si>
    <t>CAST ABORT DUE TO SLAB STOPPED IN TUNNEL FURNACE LINE-A AT ROLL NO-70</t>
  </si>
  <si>
    <t xml:space="preserve">TIME TAKEN TO REMOVE SLAB FROM TUNNEL FURNACE </t>
  </si>
  <si>
    <t>DUMMYBAR ISSUE</t>
  </si>
  <si>
    <t>DISCONTINUED DUE TO PINCH ROLL POSITION OUT</t>
  </si>
  <si>
    <t>ABNORMAL HYDRAULIC MOULD OSCILLATOR VIBRATION</t>
  </si>
  <si>
    <t>COMPLETED (TUNDISH OVER HEATED)</t>
  </si>
  <si>
    <t>CAST ABORT DUE TO MLC NOT READY</t>
  </si>
  <si>
    <t>CAST ABORT DUE TO MBS HEAD OFF</t>
  </si>
  <si>
    <t>1232/1250</t>
  </si>
  <si>
    <t xml:space="preserve">DISCOUNTIUED UE TO LRF-BAY DSL TRIPPED </t>
  </si>
  <si>
    <t xml:space="preserve">DISCONTINUED DUE TO LRF-BAY DSL TRIPPED </t>
  </si>
  <si>
    <t>1250/1232/1240</t>
  </si>
  <si>
    <t>CAST ABORT DUE TO DUMMYBAR STUCK</t>
  </si>
  <si>
    <t>DELAY FOR HEAT LIFTING</t>
  </si>
  <si>
    <t>SIMULATION</t>
  </si>
  <si>
    <t>DISCONTINUED DUE TO HOT METAL WAY CRANE DSL PROBLEM</t>
  </si>
  <si>
    <t>WITHDRAWAL-3 ROLL CHANGE</t>
  </si>
  <si>
    <t>DISCONTINUED DUE TO  LADDLE LIP JAM &amp; STUCKED WITH ROOF</t>
  </si>
  <si>
    <t>CAST ABORT DUE TO COBBLE IN MILL(F-2 STAND LEVELING CHANGE &amp; SHIFTING F-5 STAND)</t>
  </si>
  <si>
    <t>1270/1260/1230</t>
  </si>
  <si>
    <t>CAST ABORT DUE TO DESCALER PLATE  FALLEN FROM POSITION</t>
  </si>
  <si>
    <t>MACHINE JAM</t>
  </si>
  <si>
    <t>DISCONTINUED DUE TO  STOPPER RUNNING</t>
  </si>
  <si>
    <t>STOPPER RUNNING PROBLEM</t>
  </si>
  <si>
    <t>1232/1180</t>
  </si>
  <si>
    <t>WITHDRAWAL-4 HYDRAULIC LEAKAGE</t>
  </si>
  <si>
    <t>CASTABORT DUE TO HYDRAULIC LEVEL DOWN</t>
  </si>
  <si>
    <t>1260/1232</t>
  </si>
  <si>
    <t>1180/1250</t>
  </si>
  <si>
    <t>1240/1232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</si>
</sst>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-mmm\-yy;@"/>
  </numFmts>
  <fonts count="4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8"/>
      <color indexed="12"/>
      <name val="Verdana"/>
      <family val="2"/>
    </font>
    <font>
      <sz val="9"/>
      <name val="Arial"/>
      <family val="2"/>
    </font>
    <font>
      <sz val="8"/>
      <name val="Arial"/>
      <family val="2"/>
    </font>
    <font>
      <sz val="8"/>
      <name val="Verdana"/>
      <family val="2"/>
    </font>
    <font>
      <sz val="7"/>
      <name val="Arial"/>
      <family val="2"/>
    </font>
    <font>
      <b/>
      <sz val="7"/>
      <color rgb="FFFF0000"/>
      <name val="Arial"/>
      <family val="2"/>
    </font>
    <font>
      <b/>
      <sz val="7"/>
      <name val="Arial"/>
      <family val="2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FF0000"/>
      <name val="Arial"/>
      <family val="2"/>
    </font>
    <font>
      <sz val="11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b/>
      <sz val="9"/>
      <name val="Arial"/>
      <family val="2"/>
    </font>
    <font>
      <b/>
      <sz val="9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b/>
      <sz val="9"/>
      <color rgb="FFFF0000"/>
      <name val="Aptos Narrow"/>
      <family val="2"/>
      <scheme val="minor"/>
    </font>
    <font>
      <b/>
      <sz val="7"/>
      <color rgb="FF000000"/>
      <name val="Arial"/>
      <family val="2"/>
    </font>
    <font>
      <sz val="7"/>
      <color rgb="FFFF0000"/>
      <name val="Arial"/>
      <family val="2"/>
    </font>
    <font>
      <b/>
      <sz val="7"/>
      <name val="Verdana"/>
      <family val="2"/>
    </font>
    <font>
      <sz val="7"/>
      <name val="Verdana"/>
      <family val="2"/>
    </font>
    <font>
      <sz val="7"/>
      <color rgb="FF0D0D0D"/>
      <name val="Arial"/>
      <family val="2"/>
    </font>
    <font>
      <sz val="7"/>
      <color rgb="FF000000"/>
      <name val="Arial"/>
      <family val="2"/>
    </font>
    <font>
      <b/>
      <sz val="8"/>
      <color rgb="FF0000FF"/>
      <name val="Verdana"/>
      <family val="2"/>
    </font>
    <font>
      <b/>
      <sz val="7"/>
      <color rgb="FF595959"/>
      <name val="Arial"/>
      <family val="2"/>
    </font>
    <font>
      <sz val="9"/>
      <color rgb="FF000000"/>
      <name val="Calibri"/>
      <family val="2"/>
    </font>
    <font>
      <sz val="11"/>
      <color theme="1"/>
      <name val="Aptos Narrow"/>
      <family val="2"/>
      <scheme val="minor"/>
    </font>
    <font>
      <sz val="8"/>
      <color rgb="FF000000"/>
      <name val="Verdana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161616"/>
      <name val="Arial"/>
      <family val="2"/>
    </font>
    <font>
      <sz val="9"/>
      <color rgb="FF000000"/>
      <name val="Arial"/>
      <family val="2"/>
    </font>
    <font>
      <b/>
      <sz val="9"/>
      <color rgb="FF00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</cellStyleXfs>
  <cellXfs count="17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20" fontId="5" fillId="0" borderId="1" xfId="3" applyNumberFormat="1" applyFont="1" applyBorder="1" applyAlignment="1">
      <alignment horizontal="center"/>
    </xf>
    <xf numFmtId="1" fontId="6" fillId="0" borderId="1" xfId="1" applyNumberFormat="1" applyFont="1" applyFill="1" applyBorder="1" applyAlignment="1" applyProtection="1">
      <alignment horizontal="center" vertical="center"/>
    </xf>
    <xf numFmtId="0" fontId="7" fillId="0" borderId="1" xfId="3" applyFont="1" applyBorder="1" applyAlignment="1">
      <alignment horizontal="left"/>
    </xf>
    <xf numFmtId="0" fontId="8" fillId="0" borderId="1" xfId="3" applyFont="1" applyBorder="1" applyAlignment="1">
      <alignment horizontal="left"/>
    </xf>
    <xf numFmtId="0" fontId="4" fillId="0" borderId="1" xfId="2" applyFont="1" applyBorder="1" applyAlignment="1">
      <alignment horizontal="center" vertical="center" wrapText="1"/>
    </xf>
    <xf numFmtId="0" fontId="9" fillId="0" borderId="1" xfId="3" applyFont="1" applyBorder="1" applyAlignment="1">
      <alignment horizontal="left"/>
    </xf>
    <xf numFmtId="2" fontId="4" fillId="0" borderId="1" xfId="2" applyNumberFormat="1" applyFont="1" applyBorder="1" applyAlignment="1">
      <alignment horizontal="center" vertical="center" wrapText="1"/>
    </xf>
    <xf numFmtId="2" fontId="4" fillId="0" borderId="1" xfId="2" applyNumberFormat="1" applyFont="1" applyBorder="1" applyAlignment="1">
      <alignment vertical="center" wrapText="1"/>
    </xf>
    <xf numFmtId="0" fontId="0" fillId="0" borderId="1" xfId="0" applyBorder="1"/>
    <xf numFmtId="20" fontId="2" fillId="0" borderId="1" xfId="4" applyNumberFormat="1" applyBorder="1" applyAlignment="1">
      <alignment horizontal="center"/>
    </xf>
    <xf numFmtId="0" fontId="4" fillId="0" borderId="1" xfId="2" applyFont="1" applyBorder="1" applyAlignment="1">
      <alignment vertical="center" wrapText="1"/>
    </xf>
    <xf numFmtId="0" fontId="4" fillId="0" borderId="2" xfId="2" applyFont="1" applyBorder="1" applyAlignment="1">
      <alignment vertical="center" wrapText="1"/>
    </xf>
    <xf numFmtId="0" fontId="4" fillId="0" borderId="3" xfId="2" applyFont="1" applyBorder="1" applyAlignment="1">
      <alignment vertical="center" wrapText="1"/>
    </xf>
    <xf numFmtId="164" fontId="3" fillId="0" borderId="2" xfId="1" applyNumberFormat="1" applyFont="1" applyFill="1" applyBorder="1" applyAlignment="1" applyProtection="1">
      <alignment vertical="center"/>
    </xf>
    <xf numFmtId="2" fontId="4" fillId="0" borderId="2" xfId="2" applyNumberFormat="1" applyFont="1" applyBorder="1" applyAlignment="1">
      <alignment vertical="center" wrapText="1"/>
    </xf>
    <xf numFmtId="2" fontId="4" fillId="0" borderId="4" xfId="2" applyNumberFormat="1" applyFont="1" applyBorder="1" applyAlignment="1">
      <alignment vertical="center" wrapText="1"/>
    </xf>
    <xf numFmtId="2" fontId="4" fillId="0" borderId="3" xfId="2" applyNumberFormat="1" applyFont="1" applyBorder="1" applyAlignment="1">
      <alignment vertical="center" wrapText="1"/>
    </xf>
    <xf numFmtId="0" fontId="4" fillId="0" borderId="4" xfId="2" applyFont="1" applyBorder="1" applyAlignment="1">
      <alignment vertical="center" wrapText="1"/>
    </xf>
    <xf numFmtId="164" fontId="4" fillId="0" borderId="1" xfId="2" applyNumberFormat="1" applyFont="1" applyBorder="1" applyAlignment="1">
      <alignment vertical="center" wrapText="1"/>
    </xf>
    <xf numFmtId="164" fontId="4" fillId="0" borderId="4" xfId="2" applyNumberFormat="1" applyFont="1" applyBorder="1" applyAlignment="1">
      <alignment vertical="center" wrapText="1"/>
    </xf>
    <xf numFmtId="164" fontId="4" fillId="0" borderId="3" xfId="2" applyNumberFormat="1" applyFont="1" applyBorder="1" applyAlignment="1">
      <alignment vertical="center" wrapText="1"/>
    </xf>
    <xf numFmtId="1" fontId="4" fillId="0" borderId="1" xfId="2" applyNumberFormat="1" applyFont="1" applyBorder="1" applyAlignment="1">
      <alignment vertical="center" wrapText="1"/>
    </xf>
    <xf numFmtId="1" fontId="4" fillId="0" borderId="1" xfId="2" applyNumberFormat="1" applyFont="1" applyBorder="1" applyAlignment="1">
      <alignment horizontal="center" vertical="center" wrapText="1"/>
    </xf>
    <xf numFmtId="1" fontId="4" fillId="0" borderId="2" xfId="2" applyNumberFormat="1" applyFont="1" applyBorder="1" applyAlignment="1">
      <alignment vertical="center" wrapText="1"/>
    </xf>
    <xf numFmtId="1" fontId="4" fillId="0" borderId="4" xfId="2" applyNumberFormat="1" applyFont="1" applyBorder="1" applyAlignment="1">
      <alignment vertical="center" wrapText="1"/>
    </xf>
    <xf numFmtId="1" fontId="4" fillId="0" borderId="3" xfId="2" applyNumberFormat="1" applyFont="1" applyBorder="1" applyAlignment="1">
      <alignment vertical="center" wrapText="1"/>
    </xf>
    <xf numFmtId="0" fontId="11" fillId="0" borderId="1" xfId="0" applyFont="1" applyBorder="1"/>
    <xf numFmtId="0" fontId="12" fillId="0" borderId="1" xfId="3" applyFont="1" applyBorder="1" applyAlignment="1">
      <alignment horizontal="left"/>
    </xf>
    <xf numFmtId="1" fontId="4" fillId="0" borderId="2" xfId="2" applyNumberFormat="1" applyFont="1" applyBorder="1" applyAlignment="1">
      <alignment horizontal="center" vertical="center" wrapText="1"/>
    </xf>
    <xf numFmtId="1" fontId="4" fillId="0" borderId="3" xfId="2" applyNumberFormat="1" applyFont="1" applyBorder="1" applyAlignment="1">
      <alignment horizontal="center" vertical="center" wrapText="1"/>
    </xf>
    <xf numFmtId="1" fontId="4" fillId="0" borderId="4" xfId="2" applyNumberFormat="1" applyFont="1" applyBorder="1" applyAlignment="1">
      <alignment horizontal="center" vertical="center" wrapText="1"/>
    </xf>
    <xf numFmtId="20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3" fillId="0" borderId="0" xfId="0" applyFont="1"/>
    <xf numFmtId="0" fontId="2" fillId="0" borderId="1" xfId="0" applyFont="1" applyBorder="1" applyAlignment="1">
      <alignment horizontal="left"/>
    </xf>
    <xf numFmtId="0" fontId="4" fillId="0" borderId="2" xfId="0" applyFont="1" applyBorder="1" applyAlignment="1">
      <alignment vertical="center" wrapText="1"/>
    </xf>
    <xf numFmtId="15" fontId="4" fillId="0" borderId="4" xfId="0" applyNumberFormat="1" applyFont="1" applyBorder="1" applyAlignment="1">
      <alignment vertical="center" wrapText="1"/>
    </xf>
    <xf numFmtId="15" fontId="13" fillId="0" borderId="0" xfId="0" applyNumberFormat="1" applyFont="1"/>
    <xf numFmtId="2" fontId="4" fillId="0" borderId="4" xfId="0" applyNumberFormat="1" applyFont="1" applyBorder="1" applyAlignment="1">
      <alignment vertical="center" wrapText="1"/>
    </xf>
    <xf numFmtId="1" fontId="4" fillId="0" borderId="2" xfId="0" applyNumberFormat="1" applyFont="1" applyBorder="1" applyAlignment="1">
      <alignment vertical="center" wrapText="1"/>
    </xf>
    <xf numFmtId="1" fontId="4" fillId="0" borderId="4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/>
    </xf>
    <xf numFmtId="0" fontId="14" fillId="0" borderId="1" xfId="0" applyFont="1" applyBorder="1"/>
    <xf numFmtId="0" fontId="9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vertical="center" wrapText="1"/>
    </xf>
    <xf numFmtId="2" fontId="4" fillId="0" borderId="3" xfId="0" applyNumberFormat="1" applyFont="1" applyBorder="1" applyAlignment="1">
      <alignment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left"/>
    </xf>
    <xf numFmtId="20" fontId="2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5" fillId="0" borderId="1" xfId="0" applyFont="1" applyBorder="1" applyAlignment="1">
      <alignment horizontal="left"/>
    </xf>
    <xf numFmtId="0" fontId="16" fillId="0" borderId="1" xfId="0" applyFont="1" applyBorder="1"/>
    <xf numFmtId="1" fontId="4" fillId="0" borderId="1" xfId="0" applyNumberFormat="1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3" fillId="0" borderId="1" xfId="0" applyFont="1" applyBorder="1"/>
    <xf numFmtId="0" fontId="4" fillId="0" borderId="8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15" fontId="4" fillId="0" borderId="3" xfId="0" applyNumberFormat="1" applyFont="1" applyBorder="1" applyAlignment="1">
      <alignment vertical="center" wrapText="1"/>
    </xf>
    <xf numFmtId="15" fontId="4" fillId="0" borderId="0" xfId="0" applyNumberFormat="1" applyFont="1" applyAlignment="1">
      <alignment vertical="center" wrapText="1"/>
    </xf>
    <xf numFmtId="15" fontId="4" fillId="0" borderId="12" xfId="0" applyNumberFormat="1" applyFont="1" applyBorder="1" applyAlignment="1">
      <alignment vertical="center" wrapText="1"/>
    </xf>
    <xf numFmtId="15" fontId="4" fillId="0" borderId="1" xfId="0" applyNumberFormat="1" applyFont="1" applyBorder="1" applyAlignment="1">
      <alignment vertical="center" wrapText="1"/>
    </xf>
    <xf numFmtId="2" fontId="4" fillId="0" borderId="9" xfId="0" applyNumberFormat="1" applyFont="1" applyBorder="1" applyAlignment="1">
      <alignment vertical="center" wrapText="1"/>
    </xf>
    <xf numFmtId="1" fontId="4" fillId="0" borderId="9" xfId="0" applyNumberFormat="1" applyFont="1" applyBorder="1" applyAlignment="1">
      <alignment vertical="center" wrapText="1"/>
    </xf>
    <xf numFmtId="1" fontId="4" fillId="0" borderId="11" xfId="0" applyNumberFormat="1" applyFont="1" applyBorder="1" applyAlignment="1">
      <alignment vertical="center" wrapText="1"/>
    </xf>
    <xf numFmtId="1" fontId="4" fillId="0" borderId="6" xfId="0" applyNumberFormat="1" applyFont="1" applyBorder="1" applyAlignment="1">
      <alignment vertical="center" wrapText="1"/>
    </xf>
    <xf numFmtId="1" fontId="4" fillId="0" borderId="7" xfId="0" applyNumberFormat="1" applyFont="1" applyBorder="1" applyAlignment="1">
      <alignment vertical="center" wrapText="1"/>
    </xf>
    <xf numFmtId="0" fontId="18" fillId="0" borderId="0" xfId="0" applyFont="1"/>
    <xf numFmtId="20" fontId="0" fillId="0" borderId="0" xfId="0" applyNumberFormat="1"/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8" fillId="0" borderId="1" xfId="0" applyFont="1" applyBorder="1"/>
    <xf numFmtId="0" fontId="19" fillId="0" borderId="1" xfId="0" applyFont="1" applyBorder="1"/>
    <xf numFmtId="0" fontId="13" fillId="0" borderId="13" xfId="0" applyFont="1" applyBorder="1"/>
    <xf numFmtId="0" fontId="6" fillId="0" borderId="13" xfId="0" applyFont="1" applyBorder="1" applyAlignment="1">
      <alignment horizontal="center" vertical="center"/>
    </xf>
    <xf numFmtId="0" fontId="20" fillId="0" borderId="1" xfId="0" applyFont="1" applyBorder="1"/>
    <xf numFmtId="0" fontId="17" fillId="0" borderId="1" xfId="0" applyFont="1" applyBorder="1"/>
    <xf numFmtId="0" fontId="12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20" fontId="5" fillId="0" borderId="14" xfId="0" applyNumberFormat="1" applyFont="1" applyBorder="1" applyAlignment="1">
      <alignment horizontal="center"/>
    </xf>
    <xf numFmtId="0" fontId="14" fillId="0" borderId="0" xfId="0" applyFont="1"/>
    <xf numFmtId="0" fontId="25" fillId="0" borderId="0" xfId="0" applyFont="1"/>
    <xf numFmtId="0" fontId="13" fillId="0" borderId="3" xfId="0" applyFont="1" applyBorder="1"/>
    <xf numFmtId="0" fontId="4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7" fillId="0" borderId="14" xfId="0" applyFont="1" applyBorder="1" applyAlignment="1">
      <alignment horizontal="left"/>
    </xf>
    <xf numFmtId="20" fontId="5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3" fillId="0" borderId="2" xfId="0" applyFont="1" applyBorder="1"/>
    <xf numFmtId="0" fontId="13" fillId="0" borderId="8" xfId="0" applyFont="1" applyBorder="1"/>
    <xf numFmtId="0" fontId="7" fillId="0" borderId="5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4" fillId="0" borderId="2" xfId="0" applyFont="1" applyBorder="1" applyAlignment="1">
      <alignment vertical="center"/>
    </xf>
    <xf numFmtId="0" fontId="5" fillId="0" borderId="14" xfId="0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28" fillId="0" borderId="1" xfId="0" applyFont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15" fontId="32" fillId="0" borderId="1" xfId="0" applyNumberFormat="1" applyFont="1" applyBorder="1" applyAlignment="1">
      <alignment horizontal="center" vertical="center"/>
    </xf>
    <xf numFmtId="15" fontId="32" fillId="0" borderId="2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15" fontId="32" fillId="0" borderId="3" xfId="0" applyNumberFormat="1" applyFont="1" applyBorder="1" applyAlignment="1">
      <alignment horizontal="center" vertical="center"/>
    </xf>
    <xf numFmtId="15" fontId="32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3" fillId="0" borderId="1" xfId="0" applyFont="1" applyBorder="1" applyAlignment="1">
      <alignment horizontal="left"/>
    </xf>
    <xf numFmtId="20" fontId="5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5" fontId="32" fillId="4" borderId="2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20" fontId="5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13" fillId="4" borderId="1" xfId="0" applyFont="1" applyFill="1" applyBorder="1"/>
    <xf numFmtId="0" fontId="9" fillId="4" borderId="1" xfId="0" applyFont="1" applyFill="1" applyBorder="1" applyAlignment="1">
      <alignment horizontal="left"/>
    </xf>
    <xf numFmtId="0" fontId="0" fillId="4" borderId="0" xfId="0" applyFill="1"/>
    <xf numFmtId="0" fontId="16" fillId="4" borderId="1" xfId="0" applyFont="1" applyFill="1" applyBorder="1"/>
    <xf numFmtId="0" fontId="18" fillId="0" borderId="2" xfId="0" applyFont="1" applyBorder="1" applyAlignment="1">
      <alignment horizontal="left"/>
    </xf>
    <xf numFmtId="0" fontId="0" fillId="0" borderId="1" xfId="0" applyBorder="1" applyAlignment="1">
      <alignment horizontal="left"/>
    </xf>
    <xf numFmtId="164" fontId="3" fillId="0" borderId="1" xfId="1" applyNumberFormat="1" applyFont="1" applyFill="1" applyBorder="1" applyAlignment="1" applyProtection="1">
      <alignment horizontal="center" vertical="center"/>
    </xf>
    <xf numFmtId="0" fontId="2" fillId="0" borderId="2" xfId="1" applyNumberFormat="1" applyFill="1" applyBorder="1" applyAlignment="1" applyProtection="1">
      <alignment vertical="center"/>
    </xf>
    <xf numFmtId="0" fontId="4" fillId="0" borderId="2" xfId="1" applyNumberFormat="1" applyFont="1" applyFill="1" applyBorder="1" applyAlignment="1" applyProtection="1">
      <alignment vertical="center"/>
    </xf>
    <xf numFmtId="0" fontId="34" fillId="0" borderId="1" xfId="0" applyFont="1" applyBorder="1"/>
    <xf numFmtId="10" fontId="0" fillId="0" borderId="0" xfId="5" applyNumberFormat="1" applyFont="1"/>
    <xf numFmtId="0" fontId="5" fillId="0" borderId="1" xfId="0" applyFont="1" applyBorder="1" applyAlignment="1">
      <alignment horizontal="center" vertical="center"/>
    </xf>
    <xf numFmtId="0" fontId="36" fillId="0" borderId="2" xfId="0" applyFont="1" applyBorder="1" applyAlignment="1">
      <alignment vertical="center"/>
    </xf>
    <xf numFmtId="20" fontId="5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left"/>
    </xf>
    <xf numFmtId="0" fontId="38" fillId="0" borderId="1" xfId="0" applyFont="1" applyBorder="1" applyAlignment="1">
      <alignment horizontal="left"/>
    </xf>
    <xf numFmtId="0" fontId="39" fillId="0" borderId="1" xfId="0" applyFont="1" applyBorder="1" applyAlignment="1">
      <alignment horizontal="left"/>
    </xf>
    <xf numFmtId="20" fontId="5" fillId="0" borderId="1" xfId="0" applyNumberFormat="1" applyFont="1" applyBorder="1"/>
    <xf numFmtId="15" fontId="32" fillId="0" borderId="1" xfId="0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0" fillId="0" borderId="1" xfId="0" applyFont="1" applyBorder="1" applyAlignment="1">
      <alignment horizontal="left"/>
    </xf>
    <xf numFmtId="0" fontId="4" fillId="5" borderId="2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2" fontId="6" fillId="0" borderId="1" xfId="6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15" fillId="6" borderId="1" xfId="0" applyFont="1" applyFill="1" applyBorder="1" applyAlignment="1">
      <alignment horizontal="left"/>
    </xf>
    <xf numFmtId="0" fontId="18" fillId="0" borderId="2" xfId="0" applyFont="1" applyBorder="1"/>
    <xf numFmtId="0" fontId="4" fillId="0" borderId="2" xfId="0" applyFont="1" applyBorder="1" applyAlignment="1">
      <alignment horizontal="left"/>
    </xf>
    <xf numFmtId="15" fontId="32" fillId="0" borderId="5" xfId="0" applyNumberFormat="1" applyFont="1" applyBorder="1" applyAlignment="1">
      <alignment vertical="center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0" fontId="41" fillId="5" borderId="2" xfId="0" applyFont="1" applyFill="1" applyBorder="1" applyAlignment="1">
      <alignment vertical="center"/>
    </xf>
    <xf numFmtId="0" fontId="15" fillId="0" borderId="2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</cellXfs>
  <cellStyles count="7">
    <cellStyle name="Comma" xfId="6" builtinId="3"/>
    <cellStyle name="Normal" xfId="0" builtinId="0"/>
    <cellStyle name="Normal_A" xfId="4" xr:uid="{1BCC195F-7BCD-4782-8204-0239E01874E7}"/>
    <cellStyle name="Normal_Book1" xfId="2" xr:uid="{0B8342CB-1070-4E24-AB5B-A3B2BBEE8A26}"/>
    <cellStyle name="Normal_CASTER DELAY OF-NOV'11_Book1" xfId="1" xr:uid="{102C8B57-890E-4DFD-A2AB-9D35BEEA0621}"/>
    <cellStyle name="Normal_CSP JAN- 2014" xfId="3" xr:uid="{75DC23E5-687F-454F-8955-02EC2B43E191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FAC4F-9BF3-42D7-86D6-EF33D167B0CC}">
  <dimension ref="A1:AC1081"/>
  <sheetViews>
    <sheetView zoomScale="87" workbookViewId="0">
      <pane ySplit="1" topLeftCell="A1068" activePane="bottomLeft" state="frozen"/>
      <selection pane="bottomLeft" activeCell="A1079" sqref="A1079:F1081"/>
    </sheetView>
  </sheetViews>
  <sheetFormatPr defaultRowHeight="14.5" x14ac:dyDescent="0.35"/>
  <cols>
    <col min="1" max="1" width="12.26953125" customWidth="1"/>
    <col min="2" max="2" width="10.7265625" customWidth="1"/>
    <col min="3" max="3" width="12.453125" bestFit="1" customWidth="1"/>
    <col min="4" max="4" width="11.26953125" customWidth="1"/>
    <col min="5" max="5" width="12.26953125" customWidth="1"/>
    <col min="6" max="6" width="10.453125" customWidth="1"/>
    <col min="7" max="8" width="12.26953125" customWidth="1"/>
    <col min="9" max="9" width="11.1796875" customWidth="1"/>
    <col min="10" max="10" width="13.26953125" customWidth="1"/>
    <col min="11" max="11" width="20.26953125" customWidth="1"/>
    <col min="12" max="12" width="61.90625" bestFit="1" customWidth="1"/>
    <col min="13" max="13" width="125.81640625" bestFit="1" customWidth="1"/>
  </cols>
  <sheetData>
    <row r="1" spans="1:13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35">
      <c r="A2" s="17">
        <v>45566</v>
      </c>
      <c r="B2" s="10">
        <v>57.0625</v>
      </c>
      <c r="C2" s="10">
        <v>5.1374172185430451</v>
      </c>
      <c r="D2" s="15">
        <v>12409033</v>
      </c>
      <c r="E2" s="15" t="s">
        <v>13</v>
      </c>
      <c r="F2" s="15">
        <v>1230</v>
      </c>
      <c r="G2" s="4">
        <v>0.33611111111111114</v>
      </c>
      <c r="H2" s="4">
        <v>0.91666666666666663</v>
      </c>
      <c r="I2" s="5">
        <v>835.99999999999989</v>
      </c>
      <c r="J2" t="s">
        <v>14</v>
      </c>
      <c r="K2" t="s">
        <v>15</v>
      </c>
      <c r="L2" t="s">
        <v>16</v>
      </c>
      <c r="M2" s="6" t="s">
        <v>17</v>
      </c>
    </row>
    <row r="3" spans="1:13" x14ac:dyDescent="0.35">
      <c r="A3" s="17">
        <v>45567</v>
      </c>
      <c r="B3" s="18">
        <v>57.583333333333336</v>
      </c>
      <c r="C3" s="18">
        <v>5.2568527918781722</v>
      </c>
      <c r="D3" s="16">
        <f>D2</f>
        <v>12409033</v>
      </c>
      <c r="E3" s="16" t="str">
        <f>E2</f>
        <v>L+38</v>
      </c>
      <c r="F3" s="16">
        <f>F2</f>
        <v>1230</v>
      </c>
      <c r="G3" s="4">
        <v>0.91666666666666663</v>
      </c>
      <c r="H3" s="4">
        <v>0.19097222222222221</v>
      </c>
      <c r="I3" s="5">
        <v>395.00000000000006</v>
      </c>
      <c r="J3" t="str">
        <f>J2</f>
        <v>Dsicontinued</v>
      </c>
      <c r="K3" t="s">
        <v>15</v>
      </c>
      <c r="L3" t="s">
        <v>16</v>
      </c>
      <c r="M3" s="6" t="s">
        <v>17</v>
      </c>
    </row>
    <row r="4" spans="1:13" x14ac:dyDescent="0.35">
      <c r="A4" s="17">
        <f t="shared" ref="A4:A5" si="0">A3</f>
        <v>45567</v>
      </c>
      <c r="B4" s="19">
        <f t="shared" ref="B4:B5" si="1">B3</f>
        <v>57.583333333333336</v>
      </c>
      <c r="C4" s="19">
        <f t="shared" ref="C4:C5" si="2">C3</f>
        <v>5.2568527918781722</v>
      </c>
      <c r="D4" s="15">
        <v>12410001</v>
      </c>
      <c r="E4" s="15" t="s">
        <v>18</v>
      </c>
      <c r="F4" s="15">
        <v>1010</v>
      </c>
      <c r="G4" s="4">
        <v>0.74652777777777779</v>
      </c>
      <c r="H4" s="4">
        <v>0.76736111111111116</v>
      </c>
      <c r="I4" s="5">
        <v>30.000000000000053</v>
      </c>
      <c r="J4" t="s">
        <v>14</v>
      </c>
      <c r="K4" t="s">
        <v>19</v>
      </c>
      <c r="L4" s="6" t="s">
        <v>20</v>
      </c>
      <c r="M4" s="6" t="s">
        <v>20</v>
      </c>
    </row>
    <row r="5" spans="1:13" x14ac:dyDescent="0.35">
      <c r="A5" s="17">
        <f t="shared" si="0"/>
        <v>45567</v>
      </c>
      <c r="B5" s="20">
        <f t="shared" si="1"/>
        <v>57.583333333333336</v>
      </c>
      <c r="C5" s="20">
        <f t="shared" si="2"/>
        <v>5.2568527918781722</v>
      </c>
      <c r="D5" s="16">
        <f>D4</f>
        <v>12410001</v>
      </c>
      <c r="E5" s="16" t="str">
        <f>E4</f>
        <v>L+17</v>
      </c>
      <c r="F5" s="16">
        <f>F4</f>
        <v>1010</v>
      </c>
      <c r="G5" s="4">
        <v>0.76736111111111116</v>
      </c>
      <c r="H5" s="4">
        <v>0.78819444444444442</v>
      </c>
      <c r="I5" s="5">
        <v>29.999999999999893</v>
      </c>
      <c r="J5" t="str">
        <f>J4</f>
        <v>Dsicontinued</v>
      </c>
      <c r="K5" t="s">
        <v>21</v>
      </c>
      <c r="L5" t="s">
        <v>22</v>
      </c>
      <c r="M5" s="6" t="s">
        <v>23</v>
      </c>
    </row>
    <row r="6" spans="1:13" x14ac:dyDescent="0.35">
      <c r="A6" s="17">
        <v>45568</v>
      </c>
      <c r="B6" s="18">
        <v>58</v>
      </c>
      <c r="C6" s="18">
        <v>4.7146310432569969</v>
      </c>
      <c r="D6" s="15">
        <v>12410002</v>
      </c>
      <c r="E6" s="15" t="s">
        <v>24</v>
      </c>
      <c r="F6" s="15">
        <v>1255</v>
      </c>
      <c r="G6" s="4">
        <v>0.99652777777777779</v>
      </c>
      <c r="H6" s="4">
        <v>7.9861111111111105E-2</v>
      </c>
      <c r="I6" s="5">
        <v>119.99999999999989</v>
      </c>
      <c r="J6" t="s">
        <v>25</v>
      </c>
      <c r="K6" t="s">
        <v>26</v>
      </c>
      <c r="L6" t="s">
        <v>27</v>
      </c>
      <c r="M6" s="7" t="s">
        <v>28</v>
      </c>
    </row>
    <row r="7" spans="1:13" x14ac:dyDescent="0.35">
      <c r="A7" s="17">
        <f t="shared" ref="A7:A10" si="3">A6</f>
        <v>45568</v>
      </c>
      <c r="B7" s="19">
        <f t="shared" ref="B7:B10" si="4">B6</f>
        <v>58</v>
      </c>
      <c r="C7" s="19">
        <f t="shared" ref="C7:C10" si="5">C6</f>
        <v>4.7146310432569969</v>
      </c>
      <c r="D7" s="16">
        <f>D6</f>
        <v>12410002</v>
      </c>
      <c r="E7" s="16" t="str">
        <f>E6</f>
        <v>L+8</v>
      </c>
      <c r="F7" s="16">
        <f>F6</f>
        <v>1255</v>
      </c>
      <c r="G7" s="4">
        <v>7.9861111111111105E-2</v>
      </c>
      <c r="H7" s="4">
        <v>0.10972222222222222</v>
      </c>
      <c r="I7" s="5">
        <v>43.000000000000007</v>
      </c>
      <c r="J7" t="str">
        <f>J6</f>
        <v>Breakout</v>
      </c>
      <c r="K7" t="s">
        <v>26</v>
      </c>
      <c r="L7" t="s">
        <v>29</v>
      </c>
      <c r="M7" s="6" t="s">
        <v>30</v>
      </c>
    </row>
    <row r="8" spans="1:13" x14ac:dyDescent="0.35">
      <c r="A8" s="17">
        <f t="shared" si="3"/>
        <v>45568</v>
      </c>
      <c r="B8" s="19">
        <f t="shared" si="4"/>
        <v>58</v>
      </c>
      <c r="C8" s="19">
        <f t="shared" si="5"/>
        <v>4.7146310432569969</v>
      </c>
      <c r="D8" s="8">
        <v>12410003</v>
      </c>
      <c r="E8" s="8" t="s">
        <v>31</v>
      </c>
      <c r="F8" s="8">
        <v>1255</v>
      </c>
      <c r="G8" s="4">
        <v>0.29305555555555557</v>
      </c>
      <c r="H8" s="4">
        <v>0.35416666666666669</v>
      </c>
      <c r="I8" s="5">
        <v>88</v>
      </c>
      <c r="J8" t="s">
        <v>14</v>
      </c>
      <c r="K8" t="s">
        <v>26</v>
      </c>
      <c r="L8" t="s">
        <v>32</v>
      </c>
      <c r="M8" s="6" t="s">
        <v>33</v>
      </c>
    </row>
    <row r="9" spans="1:13" x14ac:dyDescent="0.35">
      <c r="A9" s="17">
        <f t="shared" si="3"/>
        <v>45568</v>
      </c>
      <c r="B9" s="19">
        <f t="shared" si="4"/>
        <v>58</v>
      </c>
      <c r="C9" s="19">
        <f t="shared" si="5"/>
        <v>4.7146310432569969</v>
      </c>
      <c r="D9" s="8">
        <v>12410004</v>
      </c>
      <c r="E9" s="8" t="s">
        <v>34</v>
      </c>
      <c r="F9" s="8">
        <v>1230</v>
      </c>
      <c r="G9" s="4">
        <v>0.41388888888888886</v>
      </c>
      <c r="H9" s="4">
        <v>0.47569444444444442</v>
      </c>
      <c r="I9" s="5">
        <v>89</v>
      </c>
      <c r="J9" t="s">
        <v>35</v>
      </c>
      <c r="K9" t="s">
        <v>26</v>
      </c>
      <c r="L9" t="s">
        <v>36</v>
      </c>
      <c r="M9" s="9" t="s">
        <v>37</v>
      </c>
    </row>
    <row r="10" spans="1:13" x14ac:dyDescent="0.35">
      <c r="A10" s="17">
        <f t="shared" si="3"/>
        <v>45568</v>
      </c>
      <c r="B10" s="20">
        <f t="shared" si="4"/>
        <v>58</v>
      </c>
      <c r="C10" s="20">
        <f t="shared" si="5"/>
        <v>4.7146310432569969</v>
      </c>
      <c r="D10" s="15">
        <v>12410005</v>
      </c>
      <c r="E10" s="15" t="s">
        <v>38</v>
      </c>
      <c r="F10" s="15">
        <v>1230</v>
      </c>
      <c r="G10" s="4">
        <v>0.69861111111111107</v>
      </c>
      <c r="H10" s="4">
        <v>0.87638888888888888</v>
      </c>
      <c r="I10" s="5">
        <v>256.00000000000006</v>
      </c>
      <c r="J10" t="s">
        <v>35</v>
      </c>
      <c r="K10" t="s">
        <v>19</v>
      </c>
      <c r="L10" t="s">
        <v>39</v>
      </c>
      <c r="M10" s="9" t="s">
        <v>40</v>
      </c>
    </row>
    <row r="11" spans="1:13" x14ac:dyDescent="0.35">
      <c r="A11" s="17">
        <v>45569</v>
      </c>
      <c r="B11" s="11">
        <v>58</v>
      </c>
      <c r="C11" s="11">
        <v>5.1325779036827219</v>
      </c>
      <c r="D11" s="16">
        <f>D10</f>
        <v>12410005</v>
      </c>
      <c r="E11" s="16" t="str">
        <f>E10</f>
        <v>L+9</v>
      </c>
      <c r="F11" s="16">
        <f>F10</f>
        <v>1230</v>
      </c>
      <c r="G11" s="4">
        <v>0.87638888888888888</v>
      </c>
      <c r="H11" s="4">
        <v>5.4166666666666669E-2</v>
      </c>
      <c r="I11" s="5">
        <v>256.00000000000006</v>
      </c>
      <c r="J11" t="str">
        <f>J10</f>
        <v>Castabort</v>
      </c>
      <c r="K11" t="s">
        <v>41</v>
      </c>
      <c r="L11" s="6" t="s">
        <v>42</v>
      </c>
      <c r="M11" s="6" t="s">
        <v>42</v>
      </c>
    </row>
    <row r="12" spans="1:13" x14ac:dyDescent="0.35">
      <c r="A12" s="17">
        <f t="shared" ref="A12:A15" si="6">A11</f>
        <v>45569</v>
      </c>
      <c r="B12" s="11">
        <f t="shared" ref="B12:B15" si="7">B11</f>
        <v>58</v>
      </c>
      <c r="C12" s="11">
        <f t="shared" ref="C12:C15" si="8">C11</f>
        <v>5.1325779036827219</v>
      </c>
      <c r="D12" s="15">
        <v>12410006</v>
      </c>
      <c r="E12" s="15" t="s">
        <v>43</v>
      </c>
      <c r="F12" s="15">
        <v>1250</v>
      </c>
      <c r="G12" s="4">
        <v>0.35069444444444442</v>
      </c>
      <c r="H12" s="4">
        <v>0.45069444444444445</v>
      </c>
      <c r="I12" s="5">
        <v>144.00000000000006</v>
      </c>
      <c r="J12" t="s">
        <v>35</v>
      </c>
      <c r="K12" t="s">
        <v>19</v>
      </c>
      <c r="L12" t="s">
        <v>39</v>
      </c>
      <c r="M12" s="9" t="s">
        <v>40</v>
      </c>
    </row>
    <row r="13" spans="1:13" x14ac:dyDescent="0.35">
      <c r="A13" s="17">
        <f t="shared" si="6"/>
        <v>45569</v>
      </c>
      <c r="B13" s="11">
        <f t="shared" si="7"/>
        <v>58</v>
      </c>
      <c r="C13" s="11">
        <f t="shared" si="8"/>
        <v>5.1325779036827219</v>
      </c>
      <c r="D13" s="16">
        <f>D12</f>
        <v>12410006</v>
      </c>
      <c r="E13" s="16" t="str">
        <f>E12</f>
        <v>L+12</v>
      </c>
      <c r="F13" s="16">
        <f>F12</f>
        <v>1250</v>
      </c>
      <c r="G13" s="4">
        <v>0.45069444444444445</v>
      </c>
      <c r="H13" s="4">
        <v>0.55069444444444449</v>
      </c>
      <c r="I13" s="5">
        <v>144.00000000000006</v>
      </c>
      <c r="J13" t="str">
        <f>J12</f>
        <v>Castabort</v>
      </c>
      <c r="K13" t="s">
        <v>41</v>
      </c>
      <c r="L13" s="6" t="s">
        <v>42</v>
      </c>
      <c r="M13" s="6" t="s">
        <v>42</v>
      </c>
    </row>
    <row r="14" spans="1:13" x14ac:dyDescent="0.35">
      <c r="A14" s="17">
        <f t="shared" si="6"/>
        <v>45569</v>
      </c>
      <c r="B14" s="11">
        <f t="shared" si="7"/>
        <v>58</v>
      </c>
      <c r="C14" s="11">
        <f t="shared" si="8"/>
        <v>5.1325779036827219</v>
      </c>
      <c r="D14" s="15">
        <v>12410007</v>
      </c>
      <c r="E14" s="15" t="s">
        <v>44</v>
      </c>
      <c r="F14" s="15">
        <v>1250</v>
      </c>
      <c r="G14" s="4">
        <v>0.66111111111111109</v>
      </c>
      <c r="H14" s="4">
        <v>0.74722222222222223</v>
      </c>
      <c r="I14" s="5">
        <v>124.00000000000004</v>
      </c>
      <c r="J14" t="s">
        <v>35</v>
      </c>
      <c r="K14" t="s">
        <v>19</v>
      </c>
      <c r="L14" t="s">
        <v>39</v>
      </c>
      <c r="M14" s="9" t="s">
        <v>40</v>
      </c>
    </row>
    <row r="15" spans="1:13" x14ac:dyDescent="0.35">
      <c r="A15" s="17">
        <f t="shared" si="6"/>
        <v>45569</v>
      </c>
      <c r="B15" s="11">
        <f t="shared" si="7"/>
        <v>58</v>
      </c>
      <c r="C15" s="11">
        <f t="shared" si="8"/>
        <v>5.1325779036827219</v>
      </c>
      <c r="D15" s="16">
        <f>D14</f>
        <v>12410007</v>
      </c>
      <c r="E15" s="16" t="str">
        <f>E14</f>
        <v>L+4</v>
      </c>
      <c r="F15" s="16">
        <f>F14</f>
        <v>1250</v>
      </c>
      <c r="G15" s="4">
        <v>0.74722222222222223</v>
      </c>
      <c r="H15" s="4">
        <v>0.83333333333333337</v>
      </c>
      <c r="I15" s="5">
        <v>124.00000000000004</v>
      </c>
      <c r="J15" t="str">
        <f>J14</f>
        <v>Castabort</v>
      </c>
      <c r="K15" t="s">
        <v>41</v>
      </c>
      <c r="L15" s="6" t="s">
        <v>42</v>
      </c>
      <c r="M15" s="6" t="s">
        <v>42</v>
      </c>
    </row>
    <row r="16" spans="1:13" x14ac:dyDescent="0.35">
      <c r="A16" s="17">
        <v>45570</v>
      </c>
      <c r="B16" s="18">
        <v>57.757575757575758</v>
      </c>
      <c r="C16" s="18">
        <v>5.0817941952506596</v>
      </c>
      <c r="D16" s="8">
        <v>12410008</v>
      </c>
      <c r="E16" s="8" t="s">
        <v>34</v>
      </c>
      <c r="F16" s="8">
        <v>1230</v>
      </c>
      <c r="G16" s="4">
        <v>0.91666666666666663</v>
      </c>
      <c r="H16" s="4">
        <v>1.0138888888888888</v>
      </c>
      <c r="I16" s="5">
        <v>139.99999999999997</v>
      </c>
      <c r="J16" t="s">
        <v>35</v>
      </c>
      <c r="K16" t="s">
        <v>21</v>
      </c>
      <c r="L16" t="s">
        <v>45</v>
      </c>
      <c r="M16" s="9" t="s">
        <v>46</v>
      </c>
    </row>
    <row r="17" spans="1:13" x14ac:dyDescent="0.35">
      <c r="A17" s="17">
        <f t="shared" ref="A17:A18" si="9">A16</f>
        <v>45570</v>
      </c>
      <c r="B17" s="19">
        <f t="shared" ref="B17:B18" si="10">B16</f>
        <v>57.757575757575758</v>
      </c>
      <c r="C17" s="19">
        <f t="shared" ref="C17:C18" si="11">C16</f>
        <v>5.0817941952506596</v>
      </c>
      <c r="D17" s="8">
        <v>12410009</v>
      </c>
      <c r="E17" s="8" t="s">
        <v>47</v>
      </c>
      <c r="F17" s="8">
        <v>1230</v>
      </c>
      <c r="G17" s="4">
        <v>1.0145833333333334</v>
      </c>
      <c r="H17" s="4">
        <v>6.3194444444444442E-2</v>
      </c>
      <c r="I17" s="5">
        <v>69.999999999999915</v>
      </c>
      <c r="J17" t="s">
        <v>35</v>
      </c>
      <c r="K17" t="s">
        <v>21</v>
      </c>
      <c r="L17" s="9" t="s">
        <v>48</v>
      </c>
      <c r="M17" s="9" t="s">
        <v>48</v>
      </c>
    </row>
    <row r="18" spans="1:13" x14ac:dyDescent="0.35">
      <c r="A18" s="17">
        <f t="shared" si="9"/>
        <v>45570</v>
      </c>
      <c r="B18" s="20">
        <f t="shared" si="10"/>
        <v>57.757575757575758</v>
      </c>
      <c r="C18" s="20">
        <f t="shared" si="11"/>
        <v>5.0817941952506596</v>
      </c>
      <c r="D18" s="8">
        <v>12410010</v>
      </c>
      <c r="E18" s="8" t="s">
        <v>47</v>
      </c>
      <c r="F18" s="8">
        <v>1230</v>
      </c>
      <c r="G18" s="4">
        <v>6.3888888888888884E-2</v>
      </c>
      <c r="H18" s="4">
        <v>0.12847222222222221</v>
      </c>
      <c r="I18" s="5">
        <v>92.999999999999986</v>
      </c>
      <c r="J18" t="s">
        <v>35</v>
      </c>
      <c r="K18" t="s">
        <v>21</v>
      </c>
      <c r="L18" t="s">
        <v>45</v>
      </c>
      <c r="M18" s="9" t="s">
        <v>49</v>
      </c>
    </row>
    <row r="19" spans="1:13" x14ac:dyDescent="0.35">
      <c r="A19" s="17">
        <v>45571</v>
      </c>
      <c r="B19" s="18">
        <v>57.924999999999997</v>
      </c>
      <c r="C19" s="18">
        <v>5.2222222222222232</v>
      </c>
      <c r="D19" s="15">
        <v>12410011</v>
      </c>
      <c r="E19" s="15" t="s">
        <v>50</v>
      </c>
      <c r="F19" s="15">
        <v>1230</v>
      </c>
      <c r="G19" s="4">
        <v>0.17708333333333334</v>
      </c>
      <c r="H19" s="4">
        <v>0.19791666666666666</v>
      </c>
      <c r="I19" s="5">
        <v>29.999999999999972</v>
      </c>
      <c r="J19" t="s">
        <v>51</v>
      </c>
      <c r="K19" t="s">
        <v>52</v>
      </c>
      <c r="L19" t="s">
        <v>53</v>
      </c>
      <c r="M19" s="6" t="s">
        <v>54</v>
      </c>
    </row>
    <row r="20" spans="1:13" x14ac:dyDescent="0.35">
      <c r="A20" s="17">
        <f t="shared" ref="A20:F20" si="12">A19</f>
        <v>45571</v>
      </c>
      <c r="B20" s="20">
        <f t="shared" si="12"/>
        <v>57.924999999999997</v>
      </c>
      <c r="C20" s="20">
        <f t="shared" si="12"/>
        <v>5.2222222222222232</v>
      </c>
      <c r="D20" s="16">
        <f t="shared" si="12"/>
        <v>12410011</v>
      </c>
      <c r="E20" s="16" t="str">
        <f t="shared" si="12"/>
        <v>L+40</v>
      </c>
      <c r="F20" s="16">
        <f t="shared" si="12"/>
        <v>1230</v>
      </c>
      <c r="G20" s="4">
        <v>0.19791666666666666</v>
      </c>
      <c r="H20" s="4">
        <v>0.20833333333333334</v>
      </c>
      <c r="I20" s="5">
        <v>15.000000000000027</v>
      </c>
      <c r="J20" t="str">
        <f>J19</f>
        <v>Complete</v>
      </c>
      <c r="K20" t="s">
        <v>21</v>
      </c>
      <c r="L20" t="s">
        <v>55</v>
      </c>
      <c r="M20" s="6" t="s">
        <v>56</v>
      </c>
    </row>
    <row r="21" spans="1:13" x14ac:dyDescent="0.35">
      <c r="A21" s="17">
        <v>45572</v>
      </c>
      <c r="B21" s="18">
        <v>56.243243243243242</v>
      </c>
      <c r="C21" s="18">
        <v>5.0876280535855001</v>
      </c>
      <c r="D21" s="15">
        <v>12410012</v>
      </c>
      <c r="E21" s="15" t="s">
        <v>57</v>
      </c>
      <c r="F21" s="15" t="s">
        <v>58</v>
      </c>
      <c r="G21" s="4">
        <v>0.44444444444444442</v>
      </c>
      <c r="H21" s="4">
        <v>0.46527777777777779</v>
      </c>
      <c r="I21" s="5">
        <v>30.000000000000053</v>
      </c>
      <c r="J21" t="s">
        <v>51</v>
      </c>
      <c r="K21" t="s">
        <v>52</v>
      </c>
      <c r="L21" t="s">
        <v>53</v>
      </c>
      <c r="M21" s="6" t="s">
        <v>54</v>
      </c>
    </row>
    <row r="22" spans="1:13" x14ac:dyDescent="0.35">
      <c r="A22" s="17">
        <f t="shared" ref="A22:A24" si="13">A21</f>
        <v>45572</v>
      </c>
      <c r="B22" s="19">
        <f t="shared" ref="B22:B24" si="14">B21</f>
        <v>56.243243243243242</v>
      </c>
      <c r="C22" s="19">
        <f t="shared" ref="C22:C24" si="15">C21</f>
        <v>5.0876280535855001</v>
      </c>
      <c r="D22" s="21">
        <f t="shared" ref="D22:D23" si="16">D21</f>
        <v>12410012</v>
      </c>
      <c r="E22" s="21" t="str">
        <f t="shared" ref="E22:E23" si="17">E21</f>
        <v>L+50</v>
      </c>
      <c r="F22" s="21" t="str">
        <f t="shared" ref="F22:F23" si="18">F21</f>
        <v>1230/1250</v>
      </c>
      <c r="G22" s="4">
        <v>0.46527777777777779</v>
      </c>
      <c r="H22" s="4">
        <v>0.47569444444444442</v>
      </c>
      <c r="I22" s="5">
        <v>14.999999999999947</v>
      </c>
      <c r="J22" t="str">
        <f t="shared" ref="J22:J23" si="19">J21</f>
        <v>Complete</v>
      </c>
      <c r="K22" t="s">
        <v>21</v>
      </c>
      <c r="L22" t="s">
        <v>59</v>
      </c>
      <c r="M22" s="6" t="s">
        <v>59</v>
      </c>
    </row>
    <row r="23" spans="1:13" x14ac:dyDescent="0.35">
      <c r="A23" s="17">
        <f t="shared" si="13"/>
        <v>45572</v>
      </c>
      <c r="B23" s="19">
        <f t="shared" si="14"/>
        <v>56.243243243243242</v>
      </c>
      <c r="C23" s="19">
        <f t="shared" si="15"/>
        <v>5.0876280535855001</v>
      </c>
      <c r="D23" s="16">
        <f t="shared" si="16"/>
        <v>12410012</v>
      </c>
      <c r="E23" s="16" t="str">
        <f t="shared" si="17"/>
        <v>L+50</v>
      </c>
      <c r="F23" s="16" t="str">
        <f t="shared" si="18"/>
        <v>1230/1250</v>
      </c>
      <c r="G23" s="4">
        <v>0.47569444444444442</v>
      </c>
      <c r="H23" s="4">
        <v>0.47986111111111113</v>
      </c>
      <c r="I23" s="5">
        <v>6.0000000000000586</v>
      </c>
      <c r="J23" t="str">
        <f t="shared" si="19"/>
        <v>Complete</v>
      </c>
      <c r="K23" t="s">
        <v>26</v>
      </c>
      <c r="L23" t="s">
        <v>60</v>
      </c>
      <c r="M23" s="6" t="s">
        <v>61</v>
      </c>
    </row>
    <row r="24" spans="1:13" x14ac:dyDescent="0.35">
      <c r="A24" s="17">
        <f t="shared" si="13"/>
        <v>45572</v>
      </c>
      <c r="B24" s="20">
        <f t="shared" si="14"/>
        <v>56.243243243243242</v>
      </c>
      <c r="C24" s="20">
        <f t="shared" si="15"/>
        <v>5.0876280535855001</v>
      </c>
      <c r="D24" s="8">
        <v>12410013</v>
      </c>
      <c r="E24" s="8" t="s">
        <v>47</v>
      </c>
      <c r="F24" s="8">
        <v>1350</v>
      </c>
      <c r="G24" s="4">
        <v>0.48055555555555557</v>
      </c>
      <c r="H24" s="4">
        <v>0.56388888888888888</v>
      </c>
      <c r="I24" s="5">
        <v>119.99999999999997</v>
      </c>
      <c r="J24" t="s">
        <v>35</v>
      </c>
      <c r="K24" t="s">
        <v>21</v>
      </c>
      <c r="L24" t="s">
        <v>45</v>
      </c>
      <c r="M24" s="9" t="s">
        <v>46</v>
      </c>
    </row>
    <row r="25" spans="1:13" x14ac:dyDescent="0.35">
      <c r="A25" s="17">
        <v>45573</v>
      </c>
      <c r="B25" s="18">
        <v>56.125</v>
      </c>
      <c r="C25" s="18">
        <v>5.1901503759398491</v>
      </c>
      <c r="D25" s="15">
        <v>12410014</v>
      </c>
      <c r="E25" s="15" t="s">
        <v>13</v>
      </c>
      <c r="F25" s="15">
        <v>1350</v>
      </c>
      <c r="G25" s="4">
        <v>0.4861111111111111</v>
      </c>
      <c r="H25" s="4">
        <v>0.54861111111111116</v>
      </c>
      <c r="I25" s="5">
        <v>90.000000000000085</v>
      </c>
      <c r="J25" t="s">
        <v>35</v>
      </c>
      <c r="K25" t="s">
        <v>62</v>
      </c>
      <c r="L25" t="s">
        <v>63</v>
      </c>
      <c r="M25" s="9" t="s">
        <v>64</v>
      </c>
    </row>
    <row r="26" spans="1:13" x14ac:dyDescent="0.35">
      <c r="A26" s="17">
        <f t="shared" ref="A26:F26" si="20">A25</f>
        <v>45573</v>
      </c>
      <c r="B26" s="20">
        <f t="shared" si="20"/>
        <v>56.125</v>
      </c>
      <c r="C26" s="20">
        <f t="shared" si="20"/>
        <v>5.1901503759398491</v>
      </c>
      <c r="D26" s="16">
        <f t="shared" si="20"/>
        <v>12410014</v>
      </c>
      <c r="E26" s="16" t="str">
        <f t="shared" si="20"/>
        <v>L+38</v>
      </c>
      <c r="F26" s="16">
        <f t="shared" si="20"/>
        <v>1350</v>
      </c>
      <c r="G26" s="4">
        <v>0.54861111111111116</v>
      </c>
      <c r="H26" s="4">
        <v>0.5625</v>
      </c>
      <c r="I26" s="5">
        <v>19.999999999999929</v>
      </c>
      <c r="J26" t="str">
        <f>J25</f>
        <v>Castabort</v>
      </c>
      <c r="K26" t="s">
        <v>21</v>
      </c>
      <c r="L26" s="6" t="s">
        <v>65</v>
      </c>
      <c r="M26" s="6" t="s">
        <v>65</v>
      </c>
    </row>
    <row r="27" spans="1:13" x14ac:dyDescent="0.35">
      <c r="A27" s="17">
        <v>45574</v>
      </c>
      <c r="B27" s="10">
        <v>58</v>
      </c>
      <c r="C27" s="10">
        <v>5.5139430284857571</v>
      </c>
      <c r="D27" s="8">
        <v>12410015</v>
      </c>
      <c r="E27" s="8" t="s">
        <v>66</v>
      </c>
      <c r="F27" s="8">
        <v>1260</v>
      </c>
      <c r="G27" s="4">
        <v>0.54583333333333328</v>
      </c>
      <c r="H27" s="4">
        <v>0.61944444444444446</v>
      </c>
      <c r="I27" s="5">
        <v>106.0000000000001</v>
      </c>
      <c r="J27" t="s">
        <v>14</v>
      </c>
      <c r="K27" t="s">
        <v>26</v>
      </c>
      <c r="L27" t="s">
        <v>67</v>
      </c>
      <c r="M27" s="6" t="s">
        <v>68</v>
      </c>
    </row>
    <row r="28" spans="1:13" x14ac:dyDescent="0.35">
      <c r="A28" s="17">
        <v>45575</v>
      </c>
      <c r="B28" s="10">
        <v>58</v>
      </c>
      <c r="C28" s="10">
        <v>5.3518518518518521</v>
      </c>
      <c r="D28" s="8">
        <v>12410016</v>
      </c>
      <c r="E28" s="8" t="s">
        <v>69</v>
      </c>
      <c r="F28" s="8">
        <v>1250</v>
      </c>
      <c r="G28" s="4">
        <v>0.61111111111111116</v>
      </c>
      <c r="H28" s="4">
        <v>0.67361111111111116</v>
      </c>
      <c r="I28" s="5">
        <v>90</v>
      </c>
      <c r="J28" t="s">
        <v>14</v>
      </c>
      <c r="K28" t="s">
        <v>19</v>
      </c>
      <c r="L28" t="s">
        <v>70</v>
      </c>
      <c r="M28" s="6" t="s">
        <v>71</v>
      </c>
    </row>
    <row r="29" spans="1:13" x14ac:dyDescent="0.35">
      <c r="A29" s="17">
        <v>45576</v>
      </c>
      <c r="B29" s="10">
        <v>58</v>
      </c>
      <c r="C29" s="10">
        <v>5.2390909090909092</v>
      </c>
      <c r="D29" s="15">
        <v>12410017</v>
      </c>
      <c r="E29" s="15" t="s">
        <v>72</v>
      </c>
      <c r="F29" s="15">
        <v>1260</v>
      </c>
      <c r="G29" s="4">
        <v>0.90972222222222221</v>
      </c>
      <c r="H29" s="4">
        <v>0.93055555555555558</v>
      </c>
      <c r="I29" s="5">
        <v>30.000000000000053</v>
      </c>
      <c r="J29" t="s">
        <v>51</v>
      </c>
      <c r="K29" t="s">
        <v>52</v>
      </c>
      <c r="L29" t="s">
        <v>53</v>
      </c>
      <c r="M29" s="6" t="s">
        <v>54</v>
      </c>
    </row>
    <row r="30" spans="1:13" x14ac:dyDescent="0.35">
      <c r="A30" s="17">
        <v>45577</v>
      </c>
      <c r="B30" s="18">
        <v>58</v>
      </c>
      <c r="C30" s="18">
        <v>5.5559370529327605</v>
      </c>
      <c r="D30" s="21">
        <f t="shared" ref="D30:D31" si="21">D29</f>
        <v>12410017</v>
      </c>
      <c r="E30" s="21" t="str">
        <f t="shared" ref="E30:E31" si="22">E29</f>
        <v>L+52</v>
      </c>
      <c r="F30" s="21">
        <f t="shared" ref="F30:F31" si="23">F29</f>
        <v>1260</v>
      </c>
      <c r="G30" s="4">
        <v>0.93055555555555558</v>
      </c>
      <c r="H30" s="4">
        <v>0.94097222222222221</v>
      </c>
      <c r="I30" s="5">
        <v>14.999999999999947</v>
      </c>
      <c r="J30" t="str">
        <f t="shared" ref="J30:J31" si="24">J29</f>
        <v>Complete</v>
      </c>
      <c r="K30" t="s">
        <v>21</v>
      </c>
      <c r="L30" t="s">
        <v>73</v>
      </c>
      <c r="M30" s="6" t="s">
        <v>59</v>
      </c>
    </row>
    <row r="31" spans="1:13" x14ac:dyDescent="0.35">
      <c r="A31" s="17">
        <f>A30</f>
        <v>45577</v>
      </c>
      <c r="B31" s="20">
        <f>B30</f>
        <v>58</v>
      </c>
      <c r="C31" s="20">
        <f>C30</f>
        <v>5.5559370529327605</v>
      </c>
      <c r="D31" s="16">
        <f t="shared" si="21"/>
        <v>12410017</v>
      </c>
      <c r="E31" s="16" t="str">
        <f t="shared" si="22"/>
        <v>L+52</v>
      </c>
      <c r="F31" s="16">
        <f t="shared" si="23"/>
        <v>1260</v>
      </c>
      <c r="G31" s="4">
        <v>0.94097222222222221</v>
      </c>
      <c r="H31" s="4">
        <v>0.9458333333333333</v>
      </c>
      <c r="I31" s="5">
        <v>6.9999999999999751</v>
      </c>
      <c r="J31" t="str">
        <f t="shared" si="24"/>
        <v>Complete</v>
      </c>
      <c r="K31" t="s">
        <v>21</v>
      </c>
      <c r="L31" t="s">
        <v>74</v>
      </c>
      <c r="M31" s="6" t="s">
        <v>75</v>
      </c>
    </row>
    <row r="32" spans="1:13" x14ac:dyDescent="0.35">
      <c r="A32" s="17">
        <v>45578</v>
      </c>
      <c r="B32" s="18">
        <v>57.411764705882355</v>
      </c>
      <c r="C32" s="18">
        <v>5.0978861788617884</v>
      </c>
      <c r="D32" s="8">
        <v>12410018</v>
      </c>
      <c r="E32" s="8" t="s">
        <v>57</v>
      </c>
      <c r="F32" s="8" t="s">
        <v>58</v>
      </c>
      <c r="G32" s="4">
        <v>0.15277777777777779</v>
      </c>
      <c r="H32" s="4">
        <v>0.1736111111111111</v>
      </c>
      <c r="I32" s="5">
        <v>29.999999999999972</v>
      </c>
      <c r="J32" t="s">
        <v>51</v>
      </c>
      <c r="K32" t="s">
        <v>52</v>
      </c>
      <c r="L32" t="s">
        <v>53</v>
      </c>
      <c r="M32" s="6" t="s">
        <v>54</v>
      </c>
    </row>
    <row r="33" spans="1:13" x14ac:dyDescent="0.35">
      <c r="A33" s="17">
        <f>A32</f>
        <v>45578</v>
      </c>
      <c r="B33" s="20">
        <f>B32</f>
        <v>57.411764705882355</v>
      </c>
      <c r="C33" s="20">
        <f>C32</f>
        <v>5.0978861788617884</v>
      </c>
      <c r="D33" s="15">
        <v>12410019</v>
      </c>
      <c r="E33" s="15" t="s">
        <v>76</v>
      </c>
      <c r="F33" s="15">
        <v>1250</v>
      </c>
      <c r="G33" s="4">
        <v>0.79166666666666663</v>
      </c>
      <c r="H33" s="4">
        <v>0.91666666666666663</v>
      </c>
      <c r="I33" s="5">
        <v>180</v>
      </c>
      <c r="J33" t="s">
        <v>35</v>
      </c>
      <c r="K33" t="s">
        <v>62</v>
      </c>
      <c r="L33" t="s">
        <v>77</v>
      </c>
      <c r="M33" s="9" t="s">
        <v>78</v>
      </c>
    </row>
    <row r="34" spans="1:13" x14ac:dyDescent="0.35">
      <c r="A34" s="17">
        <v>45579</v>
      </c>
      <c r="B34" s="11">
        <v>57.928571428571431</v>
      </c>
      <c r="C34" s="11">
        <v>5.4163636363636378</v>
      </c>
      <c r="D34" s="16">
        <f>D33</f>
        <v>12410019</v>
      </c>
      <c r="E34" s="16" t="str">
        <f>E33</f>
        <v>L+24</v>
      </c>
      <c r="F34" s="16">
        <f>F33</f>
        <v>1250</v>
      </c>
      <c r="G34" s="4">
        <v>0.91666666666666663</v>
      </c>
      <c r="H34" s="4">
        <v>0.92361111111111116</v>
      </c>
      <c r="I34" s="5">
        <v>10.000000000000124</v>
      </c>
      <c r="J34" t="s">
        <v>35</v>
      </c>
      <c r="K34" t="s">
        <v>62</v>
      </c>
      <c r="L34" t="s">
        <v>77</v>
      </c>
      <c r="M34" s="6" t="s">
        <v>79</v>
      </c>
    </row>
    <row r="35" spans="1:13" x14ac:dyDescent="0.35">
      <c r="A35" s="17">
        <v>45580</v>
      </c>
      <c r="B35" s="18">
        <v>58</v>
      </c>
      <c r="C35" s="18">
        <v>4.9343260188087781</v>
      </c>
      <c r="D35" s="8">
        <v>12410020</v>
      </c>
      <c r="E35" s="8" t="s">
        <v>80</v>
      </c>
      <c r="F35" s="8">
        <v>1250</v>
      </c>
      <c r="G35" s="4">
        <v>0.13541666666666666</v>
      </c>
      <c r="H35" s="4">
        <v>0.15625</v>
      </c>
      <c r="I35" s="5">
        <v>30.000000000000014</v>
      </c>
      <c r="J35" t="s">
        <v>51</v>
      </c>
      <c r="K35" t="s">
        <v>52</v>
      </c>
      <c r="L35" t="s">
        <v>53</v>
      </c>
      <c r="M35" s="6" t="s">
        <v>54</v>
      </c>
    </row>
    <row r="36" spans="1:13" x14ac:dyDescent="0.35">
      <c r="A36" s="17">
        <f>A35</f>
        <v>45580</v>
      </c>
      <c r="B36" s="20">
        <f>B35</f>
        <v>58</v>
      </c>
      <c r="C36" s="20">
        <f>C35</f>
        <v>4.9343260188087781</v>
      </c>
      <c r="D36" s="8">
        <v>12410021</v>
      </c>
      <c r="E36" s="8" t="s">
        <v>18</v>
      </c>
      <c r="F36" s="8">
        <v>1230</v>
      </c>
      <c r="G36" s="4">
        <v>0.62569444444444444</v>
      </c>
      <c r="H36" s="4">
        <v>0.71875</v>
      </c>
      <c r="I36" s="5">
        <v>134</v>
      </c>
      <c r="J36" t="s">
        <v>14</v>
      </c>
      <c r="K36" t="s">
        <v>19</v>
      </c>
      <c r="L36" s="6" t="s">
        <v>81</v>
      </c>
      <c r="M36" s="6" t="s">
        <v>81</v>
      </c>
    </row>
    <row r="37" spans="1:13" x14ac:dyDescent="0.35">
      <c r="A37" s="17">
        <v>45581</v>
      </c>
      <c r="B37" s="18">
        <v>57.444444444444443</v>
      </c>
      <c r="C37" s="18">
        <v>5.091583011583011</v>
      </c>
      <c r="D37" s="15">
        <v>12410022</v>
      </c>
      <c r="E37" s="15" t="s">
        <v>82</v>
      </c>
      <c r="F37" s="15">
        <v>1230</v>
      </c>
      <c r="G37" s="4">
        <v>0.81597222222222221</v>
      </c>
      <c r="H37" s="4">
        <v>0.87847222222222221</v>
      </c>
      <c r="I37" s="5">
        <f t="shared" ref="I37:I57" si="25">IF(H37=0,"",(IF(H37&gt;G37,(H37-G37)*1440,(H37-G37+1)*1440)))</f>
        <v>90</v>
      </c>
      <c r="J37" t="s">
        <v>25</v>
      </c>
      <c r="K37" t="s">
        <v>21</v>
      </c>
      <c r="L37" t="s">
        <v>83</v>
      </c>
      <c r="M37" s="7" t="s">
        <v>84</v>
      </c>
    </row>
    <row r="38" spans="1:13" x14ac:dyDescent="0.35">
      <c r="A38" s="17">
        <f>A37</f>
        <v>45581</v>
      </c>
      <c r="B38" s="20">
        <f>B37</f>
        <v>57.444444444444443</v>
      </c>
      <c r="C38" s="20">
        <f>C37</f>
        <v>5.091583011583011</v>
      </c>
      <c r="D38" s="21">
        <f t="shared" ref="D38:D39" si="26">D37</f>
        <v>12410022</v>
      </c>
      <c r="E38" s="21" t="str">
        <f t="shared" ref="E38:E39" si="27">E37</f>
        <v>L+44</v>
      </c>
      <c r="F38" s="21">
        <f t="shared" ref="F38:F39" si="28">F37</f>
        <v>1230</v>
      </c>
      <c r="G38" s="4">
        <v>0.87847222222222221</v>
      </c>
      <c r="H38" s="4">
        <v>0.91666666666666663</v>
      </c>
      <c r="I38" s="5">
        <f t="shared" si="25"/>
        <v>54.999999999999964</v>
      </c>
      <c r="J38" t="str">
        <f t="shared" ref="J38:J39" si="29">J37</f>
        <v>Breakout</v>
      </c>
      <c r="K38" t="s">
        <v>19</v>
      </c>
      <c r="L38" t="s">
        <v>85</v>
      </c>
      <c r="M38" s="6" t="s">
        <v>86</v>
      </c>
    </row>
    <row r="39" spans="1:13" x14ac:dyDescent="0.35">
      <c r="A39" s="17">
        <v>45582</v>
      </c>
      <c r="B39" s="18">
        <v>57.842105263157897</v>
      </c>
      <c r="C39" s="18">
        <v>5.4197590361445771</v>
      </c>
      <c r="D39" s="16">
        <f t="shared" si="26"/>
        <v>12410022</v>
      </c>
      <c r="E39" s="16" t="str">
        <f t="shared" si="27"/>
        <v>L+44</v>
      </c>
      <c r="F39" s="16">
        <f t="shared" si="28"/>
        <v>1230</v>
      </c>
      <c r="G39" s="4">
        <v>0.91666666666666663</v>
      </c>
      <c r="H39" s="4">
        <v>0.97222222222222221</v>
      </c>
      <c r="I39" s="5">
        <f t="shared" si="25"/>
        <v>80.000000000000028</v>
      </c>
      <c r="J39" t="str">
        <f t="shared" si="29"/>
        <v>Breakout</v>
      </c>
      <c r="K39" t="s">
        <v>19</v>
      </c>
      <c r="L39" t="s">
        <v>85</v>
      </c>
      <c r="M39" s="6" t="s">
        <v>86</v>
      </c>
    </row>
    <row r="40" spans="1:13" x14ac:dyDescent="0.35">
      <c r="A40" s="17">
        <f>A39</f>
        <v>45582</v>
      </c>
      <c r="B40" s="20">
        <f>B39</f>
        <v>57.842105263157897</v>
      </c>
      <c r="C40" s="20">
        <f>C39</f>
        <v>5.4197590361445771</v>
      </c>
      <c r="D40" s="8">
        <v>12410023</v>
      </c>
      <c r="E40" s="8" t="s">
        <v>87</v>
      </c>
      <c r="F40" s="8">
        <v>1250</v>
      </c>
      <c r="G40" s="4">
        <v>0.42986111111111114</v>
      </c>
      <c r="H40" s="4">
        <v>0.50972222222222219</v>
      </c>
      <c r="I40" s="5">
        <f t="shared" si="25"/>
        <v>114.99999999999991</v>
      </c>
      <c r="J40" t="s">
        <v>25</v>
      </c>
      <c r="K40" t="s">
        <v>21</v>
      </c>
      <c r="L40" t="s">
        <v>83</v>
      </c>
      <c r="M40" s="7" t="s">
        <v>84</v>
      </c>
    </row>
    <row r="41" spans="1:13" x14ac:dyDescent="0.35">
      <c r="A41" s="17">
        <v>45583</v>
      </c>
      <c r="B41" s="18">
        <v>58</v>
      </c>
      <c r="C41" s="18">
        <v>5.3909448818897641</v>
      </c>
      <c r="D41" s="15">
        <v>12410024</v>
      </c>
      <c r="E41" s="15" t="s">
        <v>72</v>
      </c>
      <c r="F41" s="15" t="s">
        <v>88</v>
      </c>
      <c r="G41" s="4">
        <v>0.72569444444444442</v>
      </c>
      <c r="H41" s="4">
        <v>0.74652777777777779</v>
      </c>
      <c r="I41" s="5">
        <f t="shared" si="25"/>
        <v>30.000000000000053</v>
      </c>
      <c r="J41" t="s">
        <v>51</v>
      </c>
      <c r="K41" t="s">
        <v>52</v>
      </c>
      <c r="L41" t="s">
        <v>53</v>
      </c>
      <c r="M41" s="6" t="s">
        <v>54</v>
      </c>
    </row>
    <row r="42" spans="1:13" x14ac:dyDescent="0.35">
      <c r="A42" s="17">
        <f t="shared" ref="A42:F42" si="30">A41</f>
        <v>45583</v>
      </c>
      <c r="B42" s="20">
        <f t="shared" si="30"/>
        <v>58</v>
      </c>
      <c r="C42" s="20">
        <f t="shared" si="30"/>
        <v>5.3909448818897641</v>
      </c>
      <c r="D42" s="16">
        <f t="shared" si="30"/>
        <v>12410024</v>
      </c>
      <c r="E42" s="16" t="str">
        <f t="shared" si="30"/>
        <v>L+52</v>
      </c>
      <c r="F42" s="16" t="str">
        <f t="shared" si="30"/>
        <v>1250/1230</v>
      </c>
      <c r="G42" s="4">
        <v>0.74652777777777779</v>
      </c>
      <c r="H42" s="4">
        <v>0.84375</v>
      </c>
      <c r="I42" s="5">
        <f t="shared" si="25"/>
        <v>139.99999999999997</v>
      </c>
      <c r="J42" t="str">
        <f t="shared" ref="J42" si="31">J41</f>
        <v>Complete</v>
      </c>
      <c r="K42" t="s">
        <v>21</v>
      </c>
      <c r="L42" t="s">
        <v>73</v>
      </c>
      <c r="M42" s="6" t="s">
        <v>89</v>
      </c>
    </row>
    <row r="43" spans="1:13" x14ac:dyDescent="0.35">
      <c r="A43" s="17">
        <v>45585</v>
      </c>
      <c r="B43" s="10">
        <v>58</v>
      </c>
      <c r="C43" s="10">
        <v>5.1511111111111099</v>
      </c>
      <c r="D43" s="15">
        <v>12410025</v>
      </c>
      <c r="E43" s="15" t="s">
        <v>80</v>
      </c>
      <c r="F43" s="15">
        <v>1250</v>
      </c>
      <c r="G43" s="4">
        <v>7.6388888888888895E-2</v>
      </c>
      <c r="H43" s="4">
        <v>9.7222222222222224E-2</v>
      </c>
      <c r="I43" s="5">
        <f t="shared" si="25"/>
        <v>29.999999999999993</v>
      </c>
      <c r="J43" t="s">
        <v>51</v>
      </c>
      <c r="K43" t="s">
        <v>52</v>
      </c>
      <c r="L43" t="s">
        <v>53</v>
      </c>
      <c r="M43" s="6" t="s">
        <v>54</v>
      </c>
    </row>
    <row r="44" spans="1:13" x14ac:dyDescent="0.35">
      <c r="A44" s="17">
        <v>45585</v>
      </c>
      <c r="B44" s="18">
        <v>57.4</v>
      </c>
      <c r="C44" s="18">
        <v>5.416258992805755</v>
      </c>
      <c r="D44" s="15">
        <v>12410025</v>
      </c>
      <c r="E44" s="15" t="s">
        <v>80</v>
      </c>
      <c r="F44" s="15">
        <v>1250</v>
      </c>
      <c r="G44" s="4">
        <v>9.7222222222222224E-2</v>
      </c>
      <c r="H44" s="4">
        <v>0.10416666666666667</v>
      </c>
      <c r="I44" s="5">
        <f t="shared" si="25"/>
        <v>10.000000000000004</v>
      </c>
      <c r="J44" t="str">
        <f t="shared" ref="J44:J45" si="32">J43</f>
        <v>Complete</v>
      </c>
      <c r="K44" t="s">
        <v>21</v>
      </c>
      <c r="L44" t="s">
        <v>73</v>
      </c>
      <c r="M44" s="6" t="s">
        <v>59</v>
      </c>
    </row>
    <row r="45" spans="1:13" x14ac:dyDescent="0.35">
      <c r="A45" s="17">
        <v>45585</v>
      </c>
      <c r="B45" s="18">
        <v>57.4</v>
      </c>
      <c r="C45" s="18">
        <v>5.416258992805755</v>
      </c>
      <c r="D45" s="15">
        <v>12410025</v>
      </c>
      <c r="E45" s="15" t="s">
        <v>80</v>
      </c>
      <c r="F45" s="15">
        <v>1250</v>
      </c>
      <c r="G45" s="4">
        <v>0.10416666666666667</v>
      </c>
      <c r="H45" s="4">
        <v>0.1111111111111111</v>
      </c>
      <c r="I45" s="5">
        <f t="shared" si="25"/>
        <v>9.999999999999984</v>
      </c>
      <c r="J45" t="str">
        <f t="shared" si="32"/>
        <v>Complete</v>
      </c>
      <c r="K45" t="s">
        <v>62</v>
      </c>
      <c r="L45" t="s">
        <v>130</v>
      </c>
      <c r="M45" s="6" t="s">
        <v>131</v>
      </c>
    </row>
    <row r="46" spans="1:13" x14ac:dyDescent="0.35">
      <c r="A46" s="17">
        <v>45586</v>
      </c>
      <c r="B46" s="18">
        <v>57.953488372093027</v>
      </c>
      <c r="C46" s="18">
        <v>5.3144483985765119</v>
      </c>
      <c r="D46" s="15">
        <v>12410026</v>
      </c>
      <c r="E46" s="15" t="s">
        <v>119</v>
      </c>
      <c r="F46" s="15">
        <v>1250</v>
      </c>
      <c r="G46" s="4">
        <v>0.34722222222222221</v>
      </c>
      <c r="H46" s="4">
        <v>0.36805555555555558</v>
      </c>
      <c r="I46" s="5">
        <f t="shared" si="25"/>
        <v>30.000000000000053</v>
      </c>
      <c r="J46" t="s">
        <v>51</v>
      </c>
      <c r="K46" t="s">
        <v>52</v>
      </c>
      <c r="L46" t="s">
        <v>53</v>
      </c>
      <c r="M46" s="6" t="s">
        <v>54</v>
      </c>
    </row>
    <row r="47" spans="1:13" x14ac:dyDescent="0.35">
      <c r="A47" s="17">
        <v>45587</v>
      </c>
      <c r="B47" s="18">
        <v>57.953488372093027</v>
      </c>
      <c r="C47" s="18">
        <v>5.3144483985765119</v>
      </c>
      <c r="D47" s="15">
        <v>12410026</v>
      </c>
      <c r="E47" s="15" t="s">
        <v>119</v>
      </c>
      <c r="F47" s="15">
        <v>1250</v>
      </c>
      <c r="G47" s="4">
        <v>0.36805555555555558</v>
      </c>
      <c r="H47" s="4">
        <v>0.37152777777777779</v>
      </c>
      <c r="I47" s="5">
        <f t="shared" si="25"/>
        <v>4.9999999999999822</v>
      </c>
      <c r="J47" t="str">
        <f>J46</f>
        <v>Complete</v>
      </c>
      <c r="K47" t="s">
        <v>19</v>
      </c>
      <c r="L47" t="s">
        <v>132</v>
      </c>
      <c r="M47" s="6" t="s">
        <v>133</v>
      </c>
    </row>
    <row r="48" spans="1:13" x14ac:dyDescent="0.35">
      <c r="A48" s="17">
        <v>45587</v>
      </c>
      <c r="B48" s="11">
        <v>58</v>
      </c>
      <c r="C48" s="11">
        <v>5.3421660649819493</v>
      </c>
      <c r="D48" s="25">
        <v>12410027</v>
      </c>
      <c r="E48" s="14" t="s">
        <v>119</v>
      </c>
      <c r="F48" s="25">
        <v>1260</v>
      </c>
      <c r="G48" s="4">
        <v>0.62152777777777779</v>
      </c>
      <c r="H48" s="4">
        <v>0.64236111111111116</v>
      </c>
      <c r="I48" s="5">
        <f t="shared" si="25"/>
        <v>30.000000000000053</v>
      </c>
      <c r="J48" t="s">
        <v>51</v>
      </c>
      <c r="K48" t="s">
        <v>52</v>
      </c>
      <c r="L48" t="s">
        <v>53</v>
      </c>
      <c r="M48" s="6" t="s">
        <v>54</v>
      </c>
    </row>
    <row r="49" spans="1:13" x14ac:dyDescent="0.35">
      <c r="A49" s="17">
        <f t="shared" ref="A49:F50" si="33">A48</f>
        <v>45587</v>
      </c>
      <c r="B49" s="11">
        <f t="shared" si="33"/>
        <v>58</v>
      </c>
      <c r="C49" s="11">
        <f t="shared" si="33"/>
        <v>5.3421660649819493</v>
      </c>
      <c r="D49" s="25">
        <f t="shared" si="33"/>
        <v>12410027</v>
      </c>
      <c r="E49" s="22" t="str">
        <f t="shared" si="33"/>
        <v>L+51</v>
      </c>
      <c r="F49" s="25">
        <f t="shared" si="33"/>
        <v>1260</v>
      </c>
      <c r="G49" s="4">
        <v>0.64236111111111116</v>
      </c>
      <c r="H49" s="4">
        <v>0.65277777777777779</v>
      </c>
      <c r="I49" s="5">
        <f t="shared" si="25"/>
        <v>14.999999999999947</v>
      </c>
      <c r="J49" t="str">
        <f t="shared" ref="J49:J50" si="34">J48</f>
        <v>Complete</v>
      </c>
      <c r="K49" t="s">
        <v>52</v>
      </c>
      <c r="L49" t="s">
        <v>59</v>
      </c>
      <c r="M49" s="6" t="s">
        <v>59</v>
      </c>
    </row>
    <row r="50" spans="1:13" x14ac:dyDescent="0.35">
      <c r="A50" s="17">
        <f t="shared" si="33"/>
        <v>45587</v>
      </c>
      <c r="B50" s="11">
        <f t="shared" si="33"/>
        <v>58</v>
      </c>
      <c r="C50" s="11">
        <f t="shared" si="33"/>
        <v>5.3421660649819493</v>
      </c>
      <c r="D50" s="25">
        <f t="shared" si="33"/>
        <v>12410027</v>
      </c>
      <c r="E50" s="22" t="str">
        <f t="shared" si="33"/>
        <v>L+51</v>
      </c>
      <c r="F50" s="25">
        <f t="shared" si="33"/>
        <v>1260</v>
      </c>
      <c r="G50" s="4">
        <v>0.65277777777777779</v>
      </c>
      <c r="H50" s="4">
        <v>0.65972222222222221</v>
      </c>
      <c r="I50" s="5">
        <f t="shared" si="25"/>
        <v>9.9999999999999645</v>
      </c>
      <c r="J50" t="str">
        <f t="shared" si="34"/>
        <v>Complete</v>
      </c>
      <c r="K50" t="s">
        <v>21</v>
      </c>
      <c r="L50" t="s">
        <v>74</v>
      </c>
      <c r="M50" s="12" t="s">
        <v>134</v>
      </c>
    </row>
    <row r="51" spans="1:13" x14ac:dyDescent="0.35">
      <c r="A51" s="17">
        <v>45588</v>
      </c>
      <c r="B51" s="10">
        <v>58</v>
      </c>
      <c r="C51" s="10">
        <v>5.3320879120879106</v>
      </c>
      <c r="D51" s="26">
        <v>12410028</v>
      </c>
      <c r="E51" s="8" t="s">
        <v>50</v>
      </c>
      <c r="F51" s="26">
        <v>1250</v>
      </c>
      <c r="G51" s="4">
        <v>0.61458333333333337</v>
      </c>
      <c r="H51" s="4">
        <v>0.66666666666666663</v>
      </c>
      <c r="I51" s="5">
        <f t="shared" si="25"/>
        <v>74.999999999999886</v>
      </c>
      <c r="J51" t="s">
        <v>14</v>
      </c>
      <c r="K51" t="s">
        <v>26</v>
      </c>
      <c r="L51" t="s">
        <v>29</v>
      </c>
      <c r="M51" s="12" t="s">
        <v>135</v>
      </c>
    </row>
    <row r="52" spans="1:13" x14ac:dyDescent="0.35">
      <c r="A52" s="17">
        <v>45590</v>
      </c>
      <c r="B52" s="10">
        <v>58</v>
      </c>
      <c r="C52" s="10">
        <v>5.1076388888888893</v>
      </c>
      <c r="D52" s="27">
        <v>12410029</v>
      </c>
      <c r="E52" s="15" t="s">
        <v>57</v>
      </c>
      <c r="F52" s="27">
        <v>1235</v>
      </c>
      <c r="G52" s="4">
        <v>0.9375</v>
      </c>
      <c r="H52" s="4">
        <v>0.95833333333333337</v>
      </c>
      <c r="I52" s="5">
        <f t="shared" si="25"/>
        <v>30.000000000000053</v>
      </c>
      <c r="J52" t="s">
        <v>51</v>
      </c>
      <c r="K52" t="s">
        <v>52</v>
      </c>
      <c r="L52" t="s">
        <v>53</v>
      </c>
      <c r="M52" s="12" t="s">
        <v>54</v>
      </c>
    </row>
    <row r="53" spans="1:13" x14ac:dyDescent="0.35">
      <c r="A53" s="17">
        <f>A52</f>
        <v>45590</v>
      </c>
      <c r="B53" s="18">
        <v>58</v>
      </c>
      <c r="C53" s="18">
        <v>5.298292058070027</v>
      </c>
      <c r="D53" s="28">
        <f t="shared" ref="D53:F53" si="35">D52</f>
        <v>12410029</v>
      </c>
      <c r="E53" s="23" t="str">
        <f t="shared" si="35"/>
        <v>L+50</v>
      </c>
      <c r="F53" s="28">
        <f t="shared" si="35"/>
        <v>1235</v>
      </c>
      <c r="G53" s="4">
        <v>0.95833333333333337</v>
      </c>
      <c r="H53" s="4">
        <v>0.96875</v>
      </c>
      <c r="I53" s="5">
        <f t="shared" si="25"/>
        <v>14.999999999999947</v>
      </c>
      <c r="J53" t="str">
        <f t="shared" ref="J53:J55" si="36">J52</f>
        <v>Complete</v>
      </c>
      <c r="K53" t="s">
        <v>21</v>
      </c>
      <c r="L53" t="s">
        <v>73</v>
      </c>
      <c r="M53" s="12" t="s">
        <v>136</v>
      </c>
    </row>
    <row r="54" spans="1:13" x14ac:dyDescent="0.35">
      <c r="A54" s="17">
        <f t="shared" ref="A54:F55" si="37">A53</f>
        <v>45590</v>
      </c>
      <c r="B54" s="19">
        <f t="shared" si="37"/>
        <v>58</v>
      </c>
      <c r="C54" s="19">
        <f t="shared" si="37"/>
        <v>5.298292058070027</v>
      </c>
      <c r="D54" s="28">
        <f t="shared" si="37"/>
        <v>12410029</v>
      </c>
      <c r="E54" s="23" t="str">
        <f t="shared" si="37"/>
        <v>L+50</v>
      </c>
      <c r="F54" s="28">
        <f t="shared" si="37"/>
        <v>1235</v>
      </c>
      <c r="G54" s="4">
        <v>0.96875</v>
      </c>
      <c r="H54" s="4">
        <v>0.97916666666666663</v>
      </c>
      <c r="I54" s="5">
        <f t="shared" si="25"/>
        <v>14.999999999999947</v>
      </c>
      <c r="J54" t="str">
        <f t="shared" si="36"/>
        <v>Complete</v>
      </c>
      <c r="K54" t="s">
        <v>62</v>
      </c>
      <c r="L54" t="s">
        <v>130</v>
      </c>
      <c r="M54" s="12" t="s">
        <v>131</v>
      </c>
    </row>
    <row r="55" spans="1:13" x14ac:dyDescent="0.35">
      <c r="A55" s="17">
        <f t="shared" si="37"/>
        <v>45590</v>
      </c>
      <c r="B55" s="19">
        <f t="shared" si="37"/>
        <v>58</v>
      </c>
      <c r="C55" s="19">
        <f t="shared" si="37"/>
        <v>5.298292058070027</v>
      </c>
      <c r="D55" s="29">
        <f t="shared" si="37"/>
        <v>12410029</v>
      </c>
      <c r="E55" s="24" t="str">
        <f t="shared" si="37"/>
        <v>L+50</v>
      </c>
      <c r="F55" s="29">
        <f t="shared" si="37"/>
        <v>1235</v>
      </c>
      <c r="G55" s="4">
        <v>0.97916666666666663</v>
      </c>
      <c r="H55" s="4">
        <v>0.98611111111111116</v>
      </c>
      <c r="I55" s="5">
        <f t="shared" si="25"/>
        <v>10.000000000000124</v>
      </c>
      <c r="J55" t="str">
        <f t="shared" si="36"/>
        <v>Complete</v>
      </c>
      <c r="K55" t="s">
        <v>21</v>
      </c>
      <c r="L55" t="s">
        <v>55</v>
      </c>
      <c r="M55" s="12" t="s">
        <v>137</v>
      </c>
    </row>
    <row r="56" spans="1:13" x14ac:dyDescent="0.35">
      <c r="A56" s="17">
        <f t="shared" ref="A56:C56" si="38">A55</f>
        <v>45590</v>
      </c>
      <c r="B56" s="19">
        <f t="shared" si="38"/>
        <v>58</v>
      </c>
      <c r="C56" s="19">
        <f t="shared" si="38"/>
        <v>5.298292058070027</v>
      </c>
      <c r="D56" s="27">
        <v>12410030</v>
      </c>
      <c r="E56" s="15" t="s">
        <v>138</v>
      </c>
      <c r="F56" s="27">
        <v>1250</v>
      </c>
      <c r="G56" s="4">
        <v>0.57361111111111107</v>
      </c>
      <c r="H56" s="4">
        <v>0.69166666666666665</v>
      </c>
      <c r="I56" s="5">
        <f t="shared" si="25"/>
        <v>170.00000000000003</v>
      </c>
      <c r="J56" t="s">
        <v>35</v>
      </c>
      <c r="K56" t="s">
        <v>62</v>
      </c>
      <c r="L56" t="s">
        <v>139</v>
      </c>
      <c r="M56" s="12" t="s">
        <v>140</v>
      </c>
    </row>
    <row r="57" spans="1:13" x14ac:dyDescent="0.35">
      <c r="A57" s="17">
        <f t="shared" ref="A57:F57" si="39">A56</f>
        <v>45590</v>
      </c>
      <c r="B57" s="20">
        <f t="shared" si="39"/>
        <v>58</v>
      </c>
      <c r="C57" s="20">
        <f t="shared" si="39"/>
        <v>5.298292058070027</v>
      </c>
      <c r="D57" s="29">
        <f t="shared" si="39"/>
        <v>12410030</v>
      </c>
      <c r="E57" s="24" t="str">
        <f t="shared" si="39"/>
        <v>L+23</v>
      </c>
      <c r="F57" s="29">
        <f t="shared" si="39"/>
        <v>1250</v>
      </c>
      <c r="G57" s="4">
        <v>0.69166666666666665</v>
      </c>
      <c r="H57" s="4">
        <v>0.71180555555555558</v>
      </c>
      <c r="I57" s="5">
        <f t="shared" si="25"/>
        <v>29.000000000000057</v>
      </c>
      <c r="J57" t="str">
        <f>J56</f>
        <v>Castabort</v>
      </c>
      <c r="K57" t="s">
        <v>21</v>
      </c>
      <c r="L57" t="s">
        <v>74</v>
      </c>
      <c r="M57" s="12" t="s">
        <v>75</v>
      </c>
    </row>
    <row r="58" spans="1:13" x14ac:dyDescent="0.35">
      <c r="A58" s="17">
        <v>45592</v>
      </c>
      <c r="B58" s="10">
        <v>58</v>
      </c>
      <c r="C58" s="10">
        <v>5.4105555555555549</v>
      </c>
      <c r="D58" s="27">
        <v>12410031</v>
      </c>
      <c r="E58" s="15" t="s">
        <v>141</v>
      </c>
      <c r="F58" s="27">
        <v>1250</v>
      </c>
      <c r="G58" s="4">
        <v>0.93055555555555558</v>
      </c>
      <c r="H58" s="4">
        <v>0.99305555555555558</v>
      </c>
      <c r="I58" s="5">
        <v>90</v>
      </c>
      <c r="J58" t="s">
        <v>25</v>
      </c>
      <c r="K58" t="s">
        <v>21</v>
      </c>
      <c r="L58" t="s">
        <v>83</v>
      </c>
      <c r="M58" s="12" t="s">
        <v>84</v>
      </c>
    </row>
    <row r="59" spans="1:13" x14ac:dyDescent="0.35">
      <c r="A59" s="17">
        <f>A58</f>
        <v>45592</v>
      </c>
      <c r="B59" s="18">
        <v>57.575757575757578</v>
      </c>
      <c r="C59" s="18">
        <v>5.1916157205240179</v>
      </c>
      <c r="D59" s="28">
        <f t="shared" ref="D59:F59" si="40">D58</f>
        <v>12410031</v>
      </c>
      <c r="E59" s="23" t="str">
        <f t="shared" si="40"/>
        <v>L+53</v>
      </c>
      <c r="F59" s="28">
        <f t="shared" si="40"/>
        <v>1250</v>
      </c>
      <c r="G59" s="4">
        <v>0.99305555555555558</v>
      </c>
      <c r="H59" s="4">
        <v>0.10416666666666667</v>
      </c>
      <c r="I59" s="5">
        <v>159.99999999999991</v>
      </c>
      <c r="J59" t="str">
        <f t="shared" ref="J59:J60" si="41">J58</f>
        <v>Breakout</v>
      </c>
      <c r="K59" t="s">
        <v>62</v>
      </c>
      <c r="L59" t="s">
        <v>139</v>
      </c>
      <c r="M59" s="12" t="s">
        <v>142</v>
      </c>
    </row>
    <row r="60" spans="1:13" x14ac:dyDescent="0.35">
      <c r="A60" s="17">
        <f t="shared" ref="A60:F60" si="42">A59</f>
        <v>45592</v>
      </c>
      <c r="B60" s="20">
        <f t="shared" si="42"/>
        <v>57.575757575757578</v>
      </c>
      <c r="C60" s="20">
        <f t="shared" si="42"/>
        <v>5.1916157205240179</v>
      </c>
      <c r="D60" s="29">
        <f t="shared" si="42"/>
        <v>12410031</v>
      </c>
      <c r="E60" s="24" t="str">
        <f t="shared" si="42"/>
        <v>L+53</v>
      </c>
      <c r="F60" s="29">
        <f t="shared" si="42"/>
        <v>1250</v>
      </c>
      <c r="G60" s="4">
        <v>0.10416666666666667</v>
      </c>
      <c r="H60" s="4">
        <v>0.13541666666666666</v>
      </c>
      <c r="I60" s="5">
        <v>44.999999999999979</v>
      </c>
      <c r="J60" t="str">
        <f t="shared" si="41"/>
        <v>Breakout</v>
      </c>
      <c r="K60" t="s">
        <v>19</v>
      </c>
      <c r="L60" t="s">
        <v>143</v>
      </c>
      <c r="M60" s="12" t="s">
        <v>144</v>
      </c>
    </row>
    <row r="61" spans="1:13" x14ac:dyDescent="0.35">
      <c r="A61" s="17">
        <v>45593</v>
      </c>
      <c r="B61" s="18">
        <v>58</v>
      </c>
      <c r="C61" s="18">
        <v>5.3761732851985569</v>
      </c>
      <c r="D61" s="27">
        <v>12410032</v>
      </c>
      <c r="E61" s="15" t="s">
        <v>145</v>
      </c>
      <c r="F61" s="27">
        <v>1260</v>
      </c>
      <c r="G61" s="4">
        <v>1.1805555555555555E-2</v>
      </c>
      <c r="H61" s="4">
        <v>3.2638888888888891E-2</v>
      </c>
      <c r="I61" s="5">
        <v>30.000000000000004</v>
      </c>
      <c r="J61" t="s">
        <v>51</v>
      </c>
      <c r="K61" t="s">
        <v>52</v>
      </c>
      <c r="L61" t="s">
        <v>53</v>
      </c>
      <c r="M61" s="12" t="s">
        <v>54</v>
      </c>
    </row>
    <row r="62" spans="1:13" x14ac:dyDescent="0.35">
      <c r="A62" s="17">
        <f t="shared" ref="A62:F62" si="43">A61</f>
        <v>45593</v>
      </c>
      <c r="B62" s="20">
        <f t="shared" si="43"/>
        <v>58</v>
      </c>
      <c r="C62" s="20">
        <f t="shared" si="43"/>
        <v>5.3761732851985569</v>
      </c>
      <c r="D62" s="28">
        <f t="shared" si="43"/>
        <v>12410032</v>
      </c>
      <c r="E62" s="23" t="str">
        <f t="shared" si="43"/>
        <v>L+35</v>
      </c>
      <c r="F62" s="28">
        <f t="shared" si="43"/>
        <v>1260</v>
      </c>
      <c r="G62" s="4">
        <v>3.2638888888888891E-2</v>
      </c>
      <c r="H62" s="4">
        <v>0.05</v>
      </c>
      <c r="I62" s="5">
        <v>25</v>
      </c>
      <c r="J62" t="str">
        <f>J61</f>
        <v>Complete</v>
      </c>
      <c r="K62" t="s">
        <v>19</v>
      </c>
      <c r="L62" t="s">
        <v>143</v>
      </c>
      <c r="M62" s="12" t="s">
        <v>146</v>
      </c>
    </row>
    <row r="63" spans="1:13" x14ac:dyDescent="0.35">
      <c r="A63" s="17">
        <v>45594</v>
      </c>
      <c r="B63" s="18">
        <v>58</v>
      </c>
      <c r="C63" s="18">
        <v>5.322517985611511</v>
      </c>
      <c r="D63" s="27">
        <v>12410033</v>
      </c>
      <c r="E63" s="15" t="s">
        <v>72</v>
      </c>
      <c r="F63" s="27">
        <v>1230</v>
      </c>
      <c r="G63" s="4">
        <v>0.27777777777777779</v>
      </c>
      <c r="H63" s="4">
        <v>0.2986111111111111</v>
      </c>
      <c r="I63" s="5">
        <f t="shared" ref="I63:I66" si="44">IF(H63=0,"",(IF(H63&gt;G63,(H63-G63)*1440,(H63-G63+1)*1440)))</f>
        <v>29.999999999999972</v>
      </c>
      <c r="J63" t="s">
        <v>51</v>
      </c>
      <c r="K63" t="s">
        <v>52</v>
      </c>
      <c r="L63" t="s">
        <v>53</v>
      </c>
      <c r="M63" s="12" t="s">
        <v>54</v>
      </c>
    </row>
    <row r="64" spans="1:13" x14ac:dyDescent="0.35">
      <c r="A64" s="17">
        <f t="shared" ref="A64:F65" si="45">A63</f>
        <v>45594</v>
      </c>
      <c r="B64" s="19">
        <f t="shared" si="45"/>
        <v>58</v>
      </c>
      <c r="C64" s="19">
        <f t="shared" si="45"/>
        <v>5.322517985611511</v>
      </c>
      <c r="D64" s="28">
        <f t="shared" si="45"/>
        <v>12410033</v>
      </c>
      <c r="E64" s="23" t="str">
        <f t="shared" si="45"/>
        <v>L+52</v>
      </c>
      <c r="F64" s="28">
        <f t="shared" si="45"/>
        <v>1230</v>
      </c>
      <c r="G64" s="4">
        <v>0.2986111111111111</v>
      </c>
      <c r="H64" s="4">
        <v>0.30416666666666664</v>
      </c>
      <c r="I64" s="5">
        <f t="shared" si="44"/>
        <v>7.9999999999999716</v>
      </c>
      <c r="J64" t="str">
        <f t="shared" ref="J64:J65" si="46">J63</f>
        <v>Complete</v>
      </c>
      <c r="K64" t="s">
        <v>52</v>
      </c>
      <c r="L64" t="s">
        <v>59</v>
      </c>
      <c r="M64" s="12" t="s">
        <v>59</v>
      </c>
    </row>
    <row r="65" spans="1:13" x14ac:dyDescent="0.35">
      <c r="A65" s="17">
        <f t="shared" si="45"/>
        <v>45594</v>
      </c>
      <c r="B65" s="20">
        <f t="shared" si="45"/>
        <v>58</v>
      </c>
      <c r="C65" s="20">
        <f t="shared" si="45"/>
        <v>5.322517985611511</v>
      </c>
      <c r="D65" s="29">
        <f t="shared" si="45"/>
        <v>12410033</v>
      </c>
      <c r="E65" s="24" t="str">
        <f t="shared" si="45"/>
        <v>L+52</v>
      </c>
      <c r="F65" s="29">
        <f t="shared" si="45"/>
        <v>1230</v>
      </c>
      <c r="G65" s="4">
        <v>0.30416666666666664</v>
      </c>
      <c r="H65" s="4">
        <v>0.3125</v>
      </c>
      <c r="I65" s="5">
        <f t="shared" si="44"/>
        <v>12.000000000000037</v>
      </c>
      <c r="J65" t="str">
        <f t="shared" si="46"/>
        <v>Complete</v>
      </c>
      <c r="K65" t="s">
        <v>62</v>
      </c>
      <c r="L65" t="s">
        <v>130</v>
      </c>
      <c r="M65" s="12" t="s">
        <v>147</v>
      </c>
    </row>
    <row r="66" spans="1:13" x14ac:dyDescent="0.35">
      <c r="A66" s="17">
        <v>45595</v>
      </c>
      <c r="B66" s="10">
        <v>57.74</v>
      </c>
      <c r="C66" s="10">
        <v>5.16</v>
      </c>
      <c r="D66" s="26">
        <v>12410034</v>
      </c>
      <c r="E66" s="8" t="s">
        <v>82</v>
      </c>
      <c r="F66" s="26">
        <v>1230</v>
      </c>
      <c r="G66" s="4">
        <v>0.4201388888888889</v>
      </c>
      <c r="H66" s="4">
        <v>0.52083333333333337</v>
      </c>
      <c r="I66" s="5">
        <f t="shared" si="44"/>
        <v>145.00000000000006</v>
      </c>
      <c r="J66" t="s">
        <v>14</v>
      </c>
      <c r="K66" t="s">
        <v>26</v>
      </c>
      <c r="L66" t="s">
        <v>67</v>
      </c>
      <c r="M66" s="12" t="s">
        <v>148</v>
      </c>
    </row>
    <row r="67" spans="1:13" x14ac:dyDescent="0.35">
      <c r="A67" s="17">
        <v>45596</v>
      </c>
      <c r="B67" s="39">
        <v>57.89</v>
      </c>
      <c r="C67" s="39">
        <v>5.56</v>
      </c>
      <c r="D67" s="43">
        <v>12410035</v>
      </c>
      <c r="E67" s="43" t="s">
        <v>57</v>
      </c>
      <c r="F67" s="43">
        <v>1260</v>
      </c>
      <c r="G67" s="35">
        <v>0.72222222222222221</v>
      </c>
      <c r="H67" s="35">
        <v>0.74305555555555558</v>
      </c>
      <c r="I67" s="36">
        <v>30</v>
      </c>
      <c r="J67" s="37" t="s">
        <v>51</v>
      </c>
      <c r="K67" s="37" t="s">
        <v>52</v>
      </c>
      <c r="L67" s="37" t="s">
        <v>53</v>
      </c>
      <c r="M67" s="38" t="s">
        <v>54</v>
      </c>
    </row>
    <row r="68" spans="1:13" x14ac:dyDescent="0.35">
      <c r="A68" s="17">
        <f t="shared" ref="A68:F69" si="47">A67</f>
        <v>45596</v>
      </c>
      <c r="B68" s="40">
        <f t="shared" si="47"/>
        <v>57.89</v>
      </c>
      <c r="C68" s="42">
        <f t="shared" si="47"/>
        <v>5.56</v>
      </c>
      <c r="D68" s="44">
        <f t="shared" si="47"/>
        <v>12410035</v>
      </c>
      <c r="E68" s="44" t="str">
        <f t="shared" si="47"/>
        <v>L+50</v>
      </c>
      <c r="F68" s="44">
        <f t="shared" si="47"/>
        <v>1260</v>
      </c>
      <c r="G68" s="35">
        <v>0.74305555555555558</v>
      </c>
      <c r="H68" s="35">
        <v>0.75347222222222221</v>
      </c>
      <c r="I68" s="36">
        <v>15</v>
      </c>
      <c r="J68" s="41" t="str">
        <f t="shared" ref="J68:J69" si="48">J67</f>
        <v>Complete</v>
      </c>
      <c r="K68" s="37" t="s">
        <v>52</v>
      </c>
      <c r="L68" s="37" t="s">
        <v>59</v>
      </c>
      <c r="M68" s="38" t="s">
        <v>59</v>
      </c>
    </row>
    <row r="69" spans="1:13" x14ac:dyDescent="0.35">
      <c r="A69" s="17">
        <f t="shared" si="47"/>
        <v>45596</v>
      </c>
      <c r="B69" s="40">
        <f t="shared" si="47"/>
        <v>57.89</v>
      </c>
      <c r="C69" s="42">
        <f t="shared" si="47"/>
        <v>5.56</v>
      </c>
      <c r="D69" s="44">
        <f t="shared" si="47"/>
        <v>12410035</v>
      </c>
      <c r="E69" s="44" t="str">
        <f t="shared" si="47"/>
        <v>L+50</v>
      </c>
      <c r="F69" s="44">
        <f t="shared" si="47"/>
        <v>1260</v>
      </c>
      <c r="G69" s="35">
        <v>0.75347222222222221</v>
      </c>
      <c r="H69" s="35">
        <v>0.84722222222222221</v>
      </c>
      <c r="I69" s="36">
        <v>135</v>
      </c>
      <c r="J69" s="41" t="str">
        <f t="shared" si="48"/>
        <v>Complete</v>
      </c>
      <c r="K69" s="37" t="s">
        <v>62</v>
      </c>
      <c r="L69" s="37" t="s">
        <v>165</v>
      </c>
      <c r="M69" s="38" t="s">
        <v>166</v>
      </c>
    </row>
    <row r="70" spans="1:13" x14ac:dyDescent="0.35">
      <c r="A70" s="17">
        <v>45597</v>
      </c>
      <c r="B70" s="53">
        <v>57.76</v>
      </c>
      <c r="C70" s="53">
        <v>4.6900000000000004</v>
      </c>
      <c r="D70" s="56">
        <v>12410036</v>
      </c>
      <c r="E70" s="53" t="s">
        <v>170</v>
      </c>
      <c r="F70" s="56">
        <v>1250</v>
      </c>
      <c r="G70" s="35">
        <v>0.35694444444444445</v>
      </c>
      <c r="H70" s="35">
        <v>0.43125000000000002</v>
      </c>
      <c r="I70" s="36">
        <v>107</v>
      </c>
      <c r="J70" s="37" t="s">
        <v>14</v>
      </c>
      <c r="K70" s="37" t="s">
        <v>62</v>
      </c>
      <c r="L70" s="47" t="s">
        <v>171</v>
      </c>
      <c r="M70" s="47" t="s">
        <v>171</v>
      </c>
    </row>
    <row r="71" spans="1:13" x14ac:dyDescent="0.35">
      <c r="A71" s="17">
        <v>45598</v>
      </c>
      <c r="B71" s="54">
        <v>57.59</v>
      </c>
      <c r="C71" s="54">
        <v>5.14</v>
      </c>
      <c r="D71" s="43">
        <v>12411001</v>
      </c>
      <c r="E71" s="54" t="s">
        <v>80</v>
      </c>
      <c r="F71" s="43">
        <v>1250</v>
      </c>
      <c r="G71" s="35">
        <v>0.67361111111111116</v>
      </c>
      <c r="H71" s="35">
        <v>0.69444444444444442</v>
      </c>
      <c r="I71" s="36">
        <v>30</v>
      </c>
      <c r="J71" s="37" t="s">
        <v>51</v>
      </c>
      <c r="K71" s="37" t="s">
        <v>52</v>
      </c>
      <c r="L71" s="37" t="s">
        <v>53</v>
      </c>
      <c r="M71" s="47" t="s">
        <v>54</v>
      </c>
    </row>
    <row r="72" spans="1:13" x14ac:dyDescent="0.35">
      <c r="A72" s="17">
        <f t="shared" ref="A72:F74" si="49">A71</f>
        <v>45598</v>
      </c>
      <c r="B72" s="42">
        <f t="shared" si="49"/>
        <v>57.59</v>
      </c>
      <c r="C72" s="42">
        <f t="shared" si="49"/>
        <v>5.14</v>
      </c>
      <c r="D72" s="44">
        <f t="shared" si="49"/>
        <v>12411001</v>
      </c>
      <c r="E72" s="42" t="str">
        <f t="shared" si="49"/>
        <v>L+49</v>
      </c>
      <c r="F72" s="44">
        <f t="shared" si="49"/>
        <v>1250</v>
      </c>
      <c r="G72" s="35">
        <v>0.69444444444444442</v>
      </c>
      <c r="H72" s="35">
        <v>0.70486111111111116</v>
      </c>
      <c r="I72" s="36">
        <v>15</v>
      </c>
      <c r="J72" s="37" t="str">
        <f t="shared" ref="J72:J74" si="50">J71</f>
        <v>Complete</v>
      </c>
      <c r="K72" s="37" t="s">
        <v>21</v>
      </c>
      <c r="L72" s="37" t="s">
        <v>73</v>
      </c>
      <c r="M72" s="47" t="s">
        <v>59</v>
      </c>
    </row>
    <row r="73" spans="1:13" x14ac:dyDescent="0.35">
      <c r="A73" s="17">
        <f t="shared" si="49"/>
        <v>45598</v>
      </c>
      <c r="B73" s="42">
        <f t="shared" si="49"/>
        <v>57.59</v>
      </c>
      <c r="C73" s="42">
        <f t="shared" si="49"/>
        <v>5.14</v>
      </c>
      <c r="D73" s="44">
        <f t="shared" si="49"/>
        <v>12411001</v>
      </c>
      <c r="E73" s="42" t="str">
        <f t="shared" si="49"/>
        <v>L+49</v>
      </c>
      <c r="F73" s="44">
        <f t="shared" si="49"/>
        <v>1250</v>
      </c>
      <c r="G73" s="35">
        <v>0.70486111111111116</v>
      </c>
      <c r="H73" s="35">
        <v>0.70902777777777781</v>
      </c>
      <c r="I73" s="36">
        <v>6</v>
      </c>
      <c r="J73" s="37" t="str">
        <f t="shared" si="50"/>
        <v>Complete</v>
      </c>
      <c r="K73" s="37" t="s">
        <v>19</v>
      </c>
      <c r="L73" s="37" t="s">
        <v>143</v>
      </c>
      <c r="M73" s="47" t="s">
        <v>172</v>
      </c>
    </row>
    <row r="74" spans="1:13" x14ac:dyDescent="0.35">
      <c r="A74" s="17">
        <f t="shared" si="49"/>
        <v>45598</v>
      </c>
      <c r="B74" s="55">
        <f t="shared" si="49"/>
        <v>57.59</v>
      </c>
      <c r="C74" s="55">
        <f t="shared" si="49"/>
        <v>5.14</v>
      </c>
      <c r="D74" s="57">
        <f t="shared" si="49"/>
        <v>12411001</v>
      </c>
      <c r="E74" s="55" t="str">
        <f t="shared" si="49"/>
        <v>L+49</v>
      </c>
      <c r="F74" s="57">
        <f t="shared" si="49"/>
        <v>1250</v>
      </c>
      <c r="G74" s="35">
        <v>0.70902777777777781</v>
      </c>
      <c r="H74" s="35">
        <v>0.71944444444444444</v>
      </c>
      <c r="I74" s="36">
        <v>15</v>
      </c>
      <c r="J74" s="37" t="str">
        <f t="shared" si="50"/>
        <v>Complete</v>
      </c>
      <c r="K74" s="37" t="s">
        <v>21</v>
      </c>
      <c r="L74" s="37" t="s">
        <v>74</v>
      </c>
      <c r="M74" s="47" t="s">
        <v>157</v>
      </c>
    </row>
    <row r="75" spans="1:13" x14ac:dyDescent="0.35">
      <c r="A75" s="17">
        <v>45600</v>
      </c>
      <c r="B75" s="53">
        <v>56</v>
      </c>
      <c r="C75" s="53">
        <v>5.47</v>
      </c>
      <c r="D75" s="43">
        <v>12411002</v>
      </c>
      <c r="E75" s="54" t="s">
        <v>141</v>
      </c>
      <c r="F75" s="43">
        <v>1350</v>
      </c>
      <c r="G75" s="35">
        <v>0.9375</v>
      </c>
      <c r="H75" s="35">
        <v>0.95833333333333337</v>
      </c>
      <c r="I75" s="36">
        <v>30</v>
      </c>
      <c r="J75" s="37" t="s">
        <v>51</v>
      </c>
      <c r="K75" s="37" t="s">
        <v>52</v>
      </c>
      <c r="L75" s="37" t="s">
        <v>53</v>
      </c>
      <c r="M75" s="47" t="s">
        <v>54</v>
      </c>
    </row>
    <row r="76" spans="1:13" x14ac:dyDescent="0.35">
      <c r="A76" s="17">
        <f>A75</f>
        <v>45600</v>
      </c>
      <c r="B76" s="54">
        <v>57.77</v>
      </c>
      <c r="C76" s="54">
        <v>4.9000000000000004</v>
      </c>
      <c r="D76" s="44">
        <f t="shared" ref="D76:F76" si="51">D75</f>
        <v>12411002</v>
      </c>
      <c r="E76" s="42" t="str">
        <f t="shared" si="51"/>
        <v>L+53</v>
      </c>
      <c r="F76" s="44">
        <f t="shared" si="51"/>
        <v>1350</v>
      </c>
      <c r="G76" s="35">
        <v>0.95833333333333337</v>
      </c>
      <c r="H76" s="35">
        <v>0.96527777777777779</v>
      </c>
      <c r="I76" s="36">
        <v>10</v>
      </c>
      <c r="J76" s="37" t="str">
        <f t="shared" ref="J76:J77" si="52">J75</f>
        <v>Complete</v>
      </c>
      <c r="K76" s="37" t="s">
        <v>21</v>
      </c>
      <c r="L76" s="37" t="s">
        <v>73</v>
      </c>
      <c r="M76" s="47" t="s">
        <v>59</v>
      </c>
    </row>
    <row r="77" spans="1:13" x14ac:dyDescent="0.35">
      <c r="A77" s="17">
        <f t="shared" ref="A77:F77" si="53">A76</f>
        <v>45600</v>
      </c>
      <c r="B77" s="42">
        <f t="shared" si="53"/>
        <v>57.77</v>
      </c>
      <c r="C77" s="42">
        <f t="shared" si="53"/>
        <v>4.9000000000000004</v>
      </c>
      <c r="D77" s="57">
        <f t="shared" si="53"/>
        <v>12411002</v>
      </c>
      <c r="E77" s="55" t="str">
        <f t="shared" si="53"/>
        <v>L+53</v>
      </c>
      <c r="F77" s="57">
        <f t="shared" si="53"/>
        <v>1350</v>
      </c>
      <c r="G77" s="35">
        <v>0.96527777777777779</v>
      </c>
      <c r="H77" s="35">
        <v>0.97222222222222221</v>
      </c>
      <c r="I77" s="36">
        <v>10</v>
      </c>
      <c r="J77" s="37" t="str">
        <f t="shared" si="52"/>
        <v>Complete</v>
      </c>
      <c r="K77" s="37" t="s">
        <v>62</v>
      </c>
      <c r="L77" s="37" t="s">
        <v>130</v>
      </c>
      <c r="M77" s="47" t="s">
        <v>131</v>
      </c>
    </row>
    <row r="78" spans="1:13" x14ac:dyDescent="0.35">
      <c r="A78" s="17">
        <f t="shared" ref="A78:C80" si="54">A77</f>
        <v>45600</v>
      </c>
      <c r="B78" s="42">
        <f t="shared" si="54"/>
        <v>57.77</v>
      </c>
      <c r="C78" s="42">
        <f t="shared" si="54"/>
        <v>4.9000000000000004</v>
      </c>
      <c r="D78" s="56">
        <v>12411003</v>
      </c>
      <c r="E78" s="53" t="s">
        <v>173</v>
      </c>
      <c r="F78" s="56">
        <v>1230</v>
      </c>
      <c r="G78" s="35">
        <v>2.7777777777777776E-2</v>
      </c>
      <c r="H78" s="35">
        <v>0.1423611111111111</v>
      </c>
      <c r="I78" s="36">
        <v>165</v>
      </c>
      <c r="J78" s="37" t="s">
        <v>35</v>
      </c>
      <c r="K78" s="37" t="s">
        <v>161</v>
      </c>
      <c r="L78" s="37" t="s">
        <v>168</v>
      </c>
      <c r="M78" s="49" t="s">
        <v>174</v>
      </c>
    </row>
    <row r="79" spans="1:13" x14ac:dyDescent="0.35">
      <c r="A79" s="17">
        <f t="shared" si="54"/>
        <v>45600</v>
      </c>
      <c r="B79" s="42">
        <f t="shared" si="54"/>
        <v>57.77</v>
      </c>
      <c r="C79" s="42">
        <f t="shared" si="54"/>
        <v>4.9000000000000004</v>
      </c>
      <c r="D79" s="56">
        <v>12411004</v>
      </c>
      <c r="E79" s="53" t="s">
        <v>34</v>
      </c>
      <c r="F79" s="56">
        <v>1230</v>
      </c>
      <c r="G79" s="35">
        <v>0.21527777777777779</v>
      </c>
      <c r="H79" s="35">
        <v>0.28472222222222221</v>
      </c>
      <c r="I79" s="36">
        <v>100</v>
      </c>
      <c r="J79" s="37" t="s">
        <v>35</v>
      </c>
      <c r="K79" s="37" t="s">
        <v>161</v>
      </c>
      <c r="L79" s="37" t="s">
        <v>168</v>
      </c>
      <c r="M79" s="49" t="s">
        <v>174</v>
      </c>
    </row>
    <row r="80" spans="1:13" x14ac:dyDescent="0.35">
      <c r="A80" s="17">
        <f t="shared" si="54"/>
        <v>45600</v>
      </c>
      <c r="B80" s="55">
        <f t="shared" si="54"/>
        <v>57.77</v>
      </c>
      <c r="C80" s="55">
        <f t="shared" si="54"/>
        <v>4.9000000000000004</v>
      </c>
      <c r="D80" s="56">
        <v>12411005</v>
      </c>
      <c r="E80" s="53" t="s">
        <v>175</v>
      </c>
      <c r="F80" s="56">
        <v>1230</v>
      </c>
      <c r="G80" s="35">
        <v>0.40833333333333333</v>
      </c>
      <c r="H80" s="35">
        <v>0.56944444444444442</v>
      </c>
      <c r="I80" s="36">
        <v>232</v>
      </c>
      <c r="J80" s="37" t="s">
        <v>35</v>
      </c>
      <c r="K80" s="37" t="s">
        <v>19</v>
      </c>
      <c r="L80" s="37" t="s">
        <v>176</v>
      </c>
      <c r="M80" s="49" t="s">
        <v>177</v>
      </c>
    </row>
    <row r="81" spans="1:13" x14ac:dyDescent="0.35">
      <c r="A81" s="17">
        <v>45601</v>
      </c>
      <c r="B81" s="54">
        <v>58</v>
      </c>
      <c r="C81" s="54">
        <v>5.4</v>
      </c>
      <c r="D81" s="43">
        <v>12411006</v>
      </c>
      <c r="E81" s="54" t="s">
        <v>80</v>
      </c>
      <c r="F81" s="43">
        <v>1230</v>
      </c>
      <c r="G81" s="35">
        <v>0.77083333333333337</v>
      </c>
      <c r="H81" s="35">
        <v>0.79166666666666663</v>
      </c>
      <c r="I81" s="36">
        <v>30</v>
      </c>
      <c r="J81" s="37" t="s">
        <v>51</v>
      </c>
      <c r="K81" s="37" t="s">
        <v>52</v>
      </c>
      <c r="L81" s="37" t="s">
        <v>53</v>
      </c>
      <c r="M81" s="47" t="s">
        <v>54</v>
      </c>
    </row>
    <row r="82" spans="1:13" x14ac:dyDescent="0.35">
      <c r="A82" s="17">
        <f t="shared" ref="A82:F82" si="55">A81</f>
        <v>45601</v>
      </c>
      <c r="B82" s="55">
        <f t="shared" si="55"/>
        <v>58</v>
      </c>
      <c r="C82" s="55">
        <f t="shared" si="55"/>
        <v>5.4</v>
      </c>
      <c r="D82" s="57">
        <f t="shared" si="55"/>
        <v>12411006</v>
      </c>
      <c r="E82" s="55" t="str">
        <f t="shared" si="55"/>
        <v>L+49</v>
      </c>
      <c r="F82" s="57">
        <f t="shared" si="55"/>
        <v>1230</v>
      </c>
      <c r="G82" s="35">
        <v>0.79166666666666663</v>
      </c>
      <c r="H82" s="35">
        <v>0.8125</v>
      </c>
      <c r="I82" s="36">
        <v>30</v>
      </c>
      <c r="J82" s="37" t="str">
        <f>J81</f>
        <v>Complete</v>
      </c>
      <c r="K82" s="37" t="s">
        <v>52</v>
      </c>
      <c r="L82" s="37" t="s">
        <v>178</v>
      </c>
      <c r="M82" s="47" t="s">
        <v>179</v>
      </c>
    </row>
    <row r="83" spans="1:13" x14ac:dyDescent="0.35">
      <c r="A83" s="17">
        <v>45603</v>
      </c>
      <c r="B83" s="53">
        <v>58</v>
      </c>
      <c r="C83" s="53">
        <v>5.47</v>
      </c>
      <c r="D83" s="56">
        <v>12411007</v>
      </c>
      <c r="E83" s="53" t="s">
        <v>57</v>
      </c>
      <c r="F83" s="56">
        <v>1255</v>
      </c>
      <c r="G83" s="35">
        <v>4.1666666666666664E-2</v>
      </c>
      <c r="H83" s="35">
        <v>6.25E-2</v>
      </c>
      <c r="I83" s="36">
        <v>30</v>
      </c>
      <c r="J83" s="37" t="s">
        <v>51</v>
      </c>
      <c r="K83" s="37" t="s">
        <v>52</v>
      </c>
      <c r="L83" s="37" t="s">
        <v>53</v>
      </c>
      <c r="M83" s="50" t="s">
        <v>54</v>
      </c>
    </row>
    <row r="84" spans="1:13" x14ac:dyDescent="0.35">
      <c r="A84" s="17">
        <f>A83</f>
        <v>45603</v>
      </c>
      <c r="B84" s="53">
        <v>58</v>
      </c>
      <c r="C84" s="53">
        <v>5.14</v>
      </c>
      <c r="D84" s="56">
        <v>12411008</v>
      </c>
      <c r="E84" s="53" t="s">
        <v>170</v>
      </c>
      <c r="F84" s="56">
        <v>1255</v>
      </c>
      <c r="G84" s="35">
        <v>0.52708333333333335</v>
      </c>
      <c r="H84" s="35">
        <v>0.65138888888888891</v>
      </c>
      <c r="I84" s="36">
        <v>179</v>
      </c>
      <c r="J84" s="37" t="s">
        <v>35</v>
      </c>
      <c r="K84" s="37" t="s">
        <v>161</v>
      </c>
      <c r="L84" s="37" t="s">
        <v>168</v>
      </c>
      <c r="M84" s="49" t="s">
        <v>180</v>
      </c>
    </row>
    <row r="85" spans="1:13" x14ac:dyDescent="0.35">
      <c r="A85" s="17">
        <v>45604</v>
      </c>
      <c r="B85" s="53">
        <v>57.61</v>
      </c>
      <c r="C85" s="53">
        <v>5.44</v>
      </c>
      <c r="D85" s="56">
        <v>12411009</v>
      </c>
      <c r="E85" s="53" t="s">
        <v>98</v>
      </c>
      <c r="F85" s="56" t="s">
        <v>181</v>
      </c>
      <c r="G85" s="35">
        <v>0.53680555555555554</v>
      </c>
      <c r="H85" s="35">
        <v>0.67708333333333337</v>
      </c>
      <c r="I85" s="36">
        <v>202</v>
      </c>
      <c r="J85" s="37" t="s">
        <v>35</v>
      </c>
      <c r="K85" s="37" t="s">
        <v>62</v>
      </c>
      <c r="L85" s="37" t="s">
        <v>182</v>
      </c>
      <c r="M85" s="49" t="s">
        <v>183</v>
      </c>
    </row>
    <row r="86" spans="1:13" x14ac:dyDescent="0.35">
      <c r="A86" s="17">
        <v>45605</v>
      </c>
      <c r="B86" s="54">
        <v>58</v>
      </c>
      <c r="C86" s="54">
        <v>5.48</v>
      </c>
      <c r="D86" s="43">
        <v>12411010</v>
      </c>
      <c r="E86" s="54" t="s">
        <v>50</v>
      </c>
      <c r="F86" s="43">
        <v>1235</v>
      </c>
      <c r="G86" s="35">
        <v>0.65972222222222221</v>
      </c>
      <c r="H86" s="35">
        <v>0.68055555555555558</v>
      </c>
      <c r="I86" s="36">
        <v>30</v>
      </c>
      <c r="J86" s="37" t="s">
        <v>51</v>
      </c>
      <c r="K86" s="37" t="s">
        <v>52</v>
      </c>
      <c r="L86" s="37" t="s">
        <v>53</v>
      </c>
      <c r="M86" s="47" t="s">
        <v>54</v>
      </c>
    </row>
    <row r="87" spans="1:13" x14ac:dyDescent="0.35">
      <c r="A87" s="17">
        <f t="shared" ref="A87:F89" si="56">A86</f>
        <v>45605</v>
      </c>
      <c r="B87" s="42">
        <f t="shared" si="56"/>
        <v>58</v>
      </c>
      <c r="C87" s="42">
        <f t="shared" si="56"/>
        <v>5.48</v>
      </c>
      <c r="D87" s="44">
        <f t="shared" si="56"/>
        <v>12411010</v>
      </c>
      <c r="E87" s="42" t="str">
        <f t="shared" si="56"/>
        <v>L+40</v>
      </c>
      <c r="F87" s="44">
        <f t="shared" si="56"/>
        <v>1235</v>
      </c>
      <c r="G87" s="35">
        <v>0.68055555555555558</v>
      </c>
      <c r="H87" s="35">
        <v>0.72222222222222221</v>
      </c>
      <c r="I87" s="36">
        <v>60</v>
      </c>
      <c r="J87" s="37" t="str">
        <f t="shared" ref="J87:J89" si="57">J86</f>
        <v>Complete</v>
      </c>
      <c r="K87" s="37" t="s">
        <v>21</v>
      </c>
      <c r="L87" s="37" t="s">
        <v>73</v>
      </c>
      <c r="M87" s="47" t="s">
        <v>184</v>
      </c>
    </row>
    <row r="88" spans="1:13" x14ac:dyDescent="0.35">
      <c r="A88" s="17">
        <f t="shared" si="56"/>
        <v>45605</v>
      </c>
      <c r="B88" s="42">
        <f t="shared" si="56"/>
        <v>58</v>
      </c>
      <c r="C88" s="42">
        <f t="shared" si="56"/>
        <v>5.48</v>
      </c>
      <c r="D88" s="44">
        <f t="shared" si="56"/>
        <v>12411010</v>
      </c>
      <c r="E88" s="42" t="str">
        <f t="shared" si="56"/>
        <v>L+40</v>
      </c>
      <c r="F88" s="44">
        <f t="shared" si="56"/>
        <v>1235</v>
      </c>
      <c r="G88" s="35">
        <v>0.72222222222222221</v>
      </c>
      <c r="H88" s="35">
        <v>0.73958333333333337</v>
      </c>
      <c r="I88" s="36">
        <v>25</v>
      </c>
      <c r="J88" s="37" t="str">
        <f t="shared" si="57"/>
        <v>Complete</v>
      </c>
      <c r="K88" s="37" t="s">
        <v>41</v>
      </c>
      <c r="L88" s="47" t="s">
        <v>185</v>
      </c>
      <c r="M88" s="47" t="s">
        <v>185</v>
      </c>
    </row>
    <row r="89" spans="1:13" x14ac:dyDescent="0.35">
      <c r="A89" s="17">
        <f t="shared" si="56"/>
        <v>45605</v>
      </c>
      <c r="B89" s="55">
        <f t="shared" si="56"/>
        <v>58</v>
      </c>
      <c r="C89" s="55">
        <f t="shared" si="56"/>
        <v>5.48</v>
      </c>
      <c r="D89" s="57">
        <f t="shared" si="56"/>
        <v>12411010</v>
      </c>
      <c r="E89" s="55" t="str">
        <f t="shared" si="56"/>
        <v>L+40</v>
      </c>
      <c r="F89" s="57">
        <f t="shared" si="56"/>
        <v>1235</v>
      </c>
      <c r="G89" s="35">
        <v>0.73958333333333337</v>
      </c>
      <c r="H89" s="35">
        <v>0.74305555555555558</v>
      </c>
      <c r="I89" s="36">
        <v>5</v>
      </c>
      <c r="J89" s="37" t="str">
        <f t="shared" si="57"/>
        <v>Complete</v>
      </c>
      <c r="K89" s="37" t="s">
        <v>21</v>
      </c>
      <c r="L89" s="47" t="s">
        <v>186</v>
      </c>
      <c r="M89" s="47" t="s">
        <v>186</v>
      </c>
    </row>
    <row r="90" spans="1:13" x14ac:dyDescent="0.35">
      <c r="A90" s="17">
        <v>45606</v>
      </c>
      <c r="B90" s="53">
        <v>57.95</v>
      </c>
      <c r="C90" s="53">
        <v>5.27</v>
      </c>
      <c r="D90" s="56">
        <v>12411011</v>
      </c>
      <c r="E90" s="53" t="s">
        <v>109</v>
      </c>
      <c r="F90" s="56">
        <v>1250</v>
      </c>
      <c r="G90" s="35">
        <v>0.39583333333333331</v>
      </c>
      <c r="H90" s="35">
        <v>0.46180555555555558</v>
      </c>
      <c r="I90" s="36">
        <v>95</v>
      </c>
      <c r="J90" s="37" t="s">
        <v>35</v>
      </c>
      <c r="K90" s="37" t="s">
        <v>62</v>
      </c>
      <c r="L90" s="49" t="s">
        <v>187</v>
      </c>
      <c r="M90" s="49" t="s">
        <v>187</v>
      </c>
    </row>
    <row r="91" spans="1:13" x14ac:dyDescent="0.35">
      <c r="A91" s="17">
        <v>45607</v>
      </c>
      <c r="B91" s="54">
        <v>57.65</v>
      </c>
      <c r="C91" s="54">
        <v>5.38</v>
      </c>
      <c r="D91" s="56">
        <v>12411012</v>
      </c>
      <c r="E91" s="53" t="s">
        <v>116</v>
      </c>
      <c r="F91" s="56">
        <v>1250</v>
      </c>
      <c r="G91" s="35">
        <v>0.63888888888888884</v>
      </c>
      <c r="H91" s="35">
        <v>0.65972222222222221</v>
      </c>
      <c r="I91" s="36">
        <v>30</v>
      </c>
      <c r="J91" s="37" t="s">
        <v>51</v>
      </c>
      <c r="K91" s="37" t="s">
        <v>52</v>
      </c>
      <c r="L91" s="37" t="s">
        <v>53</v>
      </c>
      <c r="M91" s="47" t="s">
        <v>54</v>
      </c>
    </row>
    <row r="92" spans="1:13" x14ac:dyDescent="0.35">
      <c r="A92" s="17">
        <f t="shared" ref="A92:C92" si="58">A91</f>
        <v>45607</v>
      </c>
      <c r="B92" s="55">
        <f t="shared" si="58"/>
        <v>57.65</v>
      </c>
      <c r="C92" s="55">
        <f t="shared" si="58"/>
        <v>5.38</v>
      </c>
      <c r="D92" s="56">
        <v>12411013</v>
      </c>
      <c r="E92" s="53" t="s">
        <v>47</v>
      </c>
      <c r="F92" s="56">
        <v>1250</v>
      </c>
      <c r="G92" s="35">
        <v>0.66111111111111109</v>
      </c>
      <c r="H92" s="35">
        <v>0.71527777777777779</v>
      </c>
      <c r="I92" s="36">
        <v>78</v>
      </c>
      <c r="J92" s="37" t="s">
        <v>35</v>
      </c>
      <c r="K92" s="37" t="s">
        <v>21</v>
      </c>
      <c r="L92" s="49" t="s">
        <v>188</v>
      </c>
      <c r="M92" s="49" t="s">
        <v>188</v>
      </c>
    </row>
    <row r="93" spans="1:13" x14ac:dyDescent="0.35">
      <c r="A93" s="17">
        <v>45608</v>
      </c>
      <c r="B93" s="54">
        <v>56.5</v>
      </c>
      <c r="C93" s="54">
        <v>4.38</v>
      </c>
      <c r="D93" s="56">
        <v>12411014</v>
      </c>
      <c r="E93" s="53" t="s">
        <v>189</v>
      </c>
      <c r="F93" s="56">
        <v>1250</v>
      </c>
      <c r="G93" s="35">
        <v>0.9604166666666667</v>
      </c>
      <c r="H93" s="35">
        <v>0.2048611111111111</v>
      </c>
      <c r="I93" s="36">
        <v>352</v>
      </c>
      <c r="J93" s="37" t="s">
        <v>35</v>
      </c>
      <c r="K93" s="37" t="s">
        <v>62</v>
      </c>
      <c r="L93" s="37" t="s">
        <v>190</v>
      </c>
      <c r="M93" s="49" t="s">
        <v>191</v>
      </c>
    </row>
    <row r="94" spans="1:13" x14ac:dyDescent="0.35">
      <c r="A94" s="17">
        <f t="shared" ref="A94:C94" si="59">A93</f>
        <v>45608</v>
      </c>
      <c r="B94" s="42">
        <f t="shared" si="59"/>
        <v>56.5</v>
      </c>
      <c r="C94" s="42">
        <f t="shared" si="59"/>
        <v>4.38</v>
      </c>
      <c r="D94" s="43">
        <v>12411015</v>
      </c>
      <c r="E94" s="54" t="s">
        <v>47</v>
      </c>
      <c r="F94" s="43">
        <v>1250</v>
      </c>
      <c r="G94" s="35">
        <v>0.23472222222222222</v>
      </c>
      <c r="H94" s="35">
        <v>0.2986111111111111</v>
      </c>
      <c r="I94" s="36">
        <v>92</v>
      </c>
      <c r="J94" s="37" t="s">
        <v>14</v>
      </c>
      <c r="K94" s="37" t="s">
        <v>26</v>
      </c>
      <c r="L94" s="37" t="s">
        <v>192</v>
      </c>
      <c r="M94" s="47" t="s">
        <v>193</v>
      </c>
    </row>
    <row r="95" spans="1:13" x14ac:dyDescent="0.35">
      <c r="A95" s="17">
        <f t="shared" ref="A95:F95" si="60">A94</f>
        <v>45608</v>
      </c>
      <c r="B95" s="42">
        <f t="shared" si="60"/>
        <v>56.5</v>
      </c>
      <c r="C95" s="42">
        <f t="shared" si="60"/>
        <v>4.38</v>
      </c>
      <c r="D95" s="57">
        <f t="shared" si="60"/>
        <v>12411015</v>
      </c>
      <c r="E95" s="55" t="str">
        <f t="shared" si="60"/>
        <v>L+0</v>
      </c>
      <c r="F95" s="57">
        <f t="shared" si="60"/>
        <v>1250</v>
      </c>
      <c r="G95" s="35">
        <v>0.2986111111111111</v>
      </c>
      <c r="H95" s="35">
        <v>0.30833333333333335</v>
      </c>
      <c r="I95" s="36">
        <v>14</v>
      </c>
      <c r="J95" s="37" t="str">
        <f>J94</f>
        <v>Dsicontinued</v>
      </c>
      <c r="K95" s="37" t="s">
        <v>21</v>
      </c>
      <c r="L95" s="37" t="s">
        <v>74</v>
      </c>
      <c r="M95" s="47" t="s">
        <v>75</v>
      </c>
    </row>
    <row r="96" spans="1:13" x14ac:dyDescent="0.35">
      <c r="A96" s="17">
        <f t="shared" ref="A96:C96" si="61">A95</f>
        <v>45608</v>
      </c>
      <c r="B96" s="55">
        <f t="shared" si="61"/>
        <v>56.5</v>
      </c>
      <c r="C96" s="55">
        <f t="shared" si="61"/>
        <v>4.38</v>
      </c>
      <c r="D96" s="43">
        <v>12411016</v>
      </c>
      <c r="E96" s="54" t="s">
        <v>34</v>
      </c>
      <c r="F96" s="43">
        <v>1250</v>
      </c>
      <c r="G96" s="35">
        <v>0.3840277777777778</v>
      </c>
      <c r="H96" s="35">
        <v>0.91666666666666663</v>
      </c>
      <c r="I96" s="36">
        <v>767</v>
      </c>
      <c r="J96" s="37" t="s">
        <v>14</v>
      </c>
      <c r="K96" s="37" t="s">
        <v>15</v>
      </c>
      <c r="L96" s="37" t="s">
        <v>16</v>
      </c>
      <c r="M96" s="49" t="s">
        <v>17</v>
      </c>
    </row>
    <row r="97" spans="1:13" x14ac:dyDescent="0.35">
      <c r="A97" s="17">
        <v>45609</v>
      </c>
      <c r="B97" s="54">
        <v>58</v>
      </c>
      <c r="C97" s="54">
        <v>4.7699999999999996</v>
      </c>
      <c r="D97" s="57">
        <f t="shared" ref="D97:F97" si="62">D96</f>
        <v>12411016</v>
      </c>
      <c r="E97" s="55" t="str">
        <f t="shared" si="62"/>
        <v>L+2</v>
      </c>
      <c r="F97" s="57">
        <f t="shared" si="62"/>
        <v>1250</v>
      </c>
      <c r="G97" s="35">
        <v>0.91666666666666663</v>
      </c>
      <c r="H97" s="35">
        <v>0.16111111111111112</v>
      </c>
      <c r="I97" s="36">
        <v>352</v>
      </c>
      <c r="J97" s="47" t="str">
        <f>J96</f>
        <v>Dsicontinued</v>
      </c>
      <c r="K97" s="37" t="s">
        <v>15</v>
      </c>
      <c r="L97" s="37" t="s">
        <v>16</v>
      </c>
      <c r="M97" s="47" t="s">
        <v>194</v>
      </c>
    </row>
    <row r="98" spans="1:13" x14ac:dyDescent="0.35">
      <c r="A98" s="17">
        <f t="shared" ref="A98:C98" si="63">A97</f>
        <v>45609</v>
      </c>
      <c r="B98" s="42">
        <f t="shared" si="63"/>
        <v>58</v>
      </c>
      <c r="C98" s="42">
        <f t="shared" si="63"/>
        <v>4.7699999999999996</v>
      </c>
      <c r="D98" s="43">
        <v>12411017</v>
      </c>
      <c r="E98" s="54" t="s">
        <v>173</v>
      </c>
      <c r="F98" s="43">
        <v>1140</v>
      </c>
      <c r="G98" s="35">
        <v>0.22291666666666668</v>
      </c>
      <c r="H98" s="35">
        <v>0.28541666666666665</v>
      </c>
      <c r="I98" s="36">
        <v>90</v>
      </c>
      <c r="J98" s="37" t="s">
        <v>35</v>
      </c>
      <c r="K98" s="37" t="s">
        <v>21</v>
      </c>
      <c r="L98" s="49" t="s">
        <v>195</v>
      </c>
      <c r="M98" s="49" t="s">
        <v>195</v>
      </c>
    </row>
    <row r="99" spans="1:13" x14ac:dyDescent="0.35">
      <c r="A99" s="17">
        <f t="shared" ref="A99:F99" si="64">A98</f>
        <v>45609</v>
      </c>
      <c r="B99" s="55">
        <f t="shared" si="64"/>
        <v>58</v>
      </c>
      <c r="C99" s="55">
        <f t="shared" si="64"/>
        <v>4.7699999999999996</v>
      </c>
      <c r="D99" s="57">
        <f t="shared" si="64"/>
        <v>12411017</v>
      </c>
      <c r="E99" s="55" t="str">
        <f t="shared" si="64"/>
        <v>L+1</v>
      </c>
      <c r="F99" s="57">
        <f t="shared" si="64"/>
        <v>1140</v>
      </c>
      <c r="G99" s="35">
        <v>0.28541666666666665</v>
      </c>
      <c r="H99" s="35">
        <v>0.70833333333333337</v>
      </c>
      <c r="I99" s="36">
        <v>609</v>
      </c>
      <c r="J99" s="37" t="str">
        <f>J98</f>
        <v>Castabort</v>
      </c>
      <c r="K99" s="37" t="s">
        <v>62</v>
      </c>
      <c r="L99" s="37" t="s">
        <v>182</v>
      </c>
      <c r="M99" s="47" t="s">
        <v>196</v>
      </c>
    </row>
    <row r="100" spans="1:13" x14ac:dyDescent="0.35">
      <c r="A100" s="17">
        <v>45610</v>
      </c>
      <c r="B100" s="54">
        <v>58</v>
      </c>
      <c r="C100" s="54">
        <v>5.08</v>
      </c>
      <c r="D100" s="56">
        <v>12411018</v>
      </c>
      <c r="E100" s="53" t="s">
        <v>24</v>
      </c>
      <c r="F100" s="56">
        <v>1230</v>
      </c>
      <c r="G100" s="35">
        <v>0.95694444444444449</v>
      </c>
      <c r="H100" s="35">
        <v>1.9444444444444445E-2</v>
      </c>
      <c r="I100" s="36">
        <v>90</v>
      </c>
      <c r="J100" s="37" t="s">
        <v>14</v>
      </c>
      <c r="K100" s="37" t="s">
        <v>26</v>
      </c>
      <c r="L100" s="37" t="s">
        <v>192</v>
      </c>
      <c r="M100" s="47" t="s">
        <v>197</v>
      </c>
    </row>
    <row r="101" spans="1:13" x14ac:dyDescent="0.35">
      <c r="A101" s="17">
        <f t="shared" ref="A101:C101" si="65">A100</f>
        <v>45610</v>
      </c>
      <c r="B101" s="42">
        <f t="shared" si="65"/>
        <v>58</v>
      </c>
      <c r="C101" s="42">
        <f t="shared" si="65"/>
        <v>5.08</v>
      </c>
      <c r="D101" s="43">
        <v>12411019</v>
      </c>
      <c r="E101" s="54" t="s">
        <v>126</v>
      </c>
      <c r="F101" s="43">
        <v>1230</v>
      </c>
      <c r="G101" s="35">
        <v>0.11874999999999999</v>
      </c>
      <c r="H101" s="35">
        <v>0.20208333333333334</v>
      </c>
      <c r="I101" s="36">
        <v>120</v>
      </c>
      <c r="J101" s="37" t="s">
        <v>35</v>
      </c>
      <c r="K101" s="37" t="s">
        <v>21</v>
      </c>
      <c r="L101" s="49" t="s">
        <v>198</v>
      </c>
      <c r="M101" s="49" t="s">
        <v>198</v>
      </c>
    </row>
    <row r="102" spans="1:13" x14ac:dyDescent="0.35">
      <c r="A102" s="17">
        <f t="shared" ref="A102:F102" si="66">A101</f>
        <v>45610</v>
      </c>
      <c r="B102" s="42">
        <f t="shared" si="66"/>
        <v>58</v>
      </c>
      <c r="C102" s="42">
        <f t="shared" si="66"/>
        <v>5.08</v>
      </c>
      <c r="D102" s="44">
        <f t="shared" si="66"/>
        <v>12411019</v>
      </c>
      <c r="E102" s="42" t="str">
        <f t="shared" si="66"/>
        <v>L+3</v>
      </c>
      <c r="F102" s="44">
        <f t="shared" si="66"/>
        <v>1230</v>
      </c>
      <c r="G102" s="35">
        <v>0.20208333333333334</v>
      </c>
      <c r="H102" s="35">
        <v>0.22222222222222221</v>
      </c>
      <c r="I102" s="36">
        <v>29</v>
      </c>
      <c r="J102" s="37" t="str">
        <f>J101</f>
        <v>Castabort</v>
      </c>
      <c r="K102" s="37" t="s">
        <v>21</v>
      </c>
      <c r="L102" s="37" t="s">
        <v>74</v>
      </c>
      <c r="M102" s="47" t="s">
        <v>199</v>
      </c>
    </row>
    <row r="103" spans="1:13" x14ac:dyDescent="0.35">
      <c r="A103" s="17">
        <v>45611</v>
      </c>
      <c r="B103" s="39">
        <v>58</v>
      </c>
      <c r="C103" s="39">
        <v>4.96</v>
      </c>
      <c r="D103" s="45">
        <v>12411020</v>
      </c>
      <c r="E103" s="45" t="s">
        <v>93</v>
      </c>
      <c r="F103" s="45">
        <v>1230</v>
      </c>
      <c r="G103" s="35">
        <v>0.40277777777777779</v>
      </c>
      <c r="H103" s="35">
        <v>0.4236111111111111</v>
      </c>
      <c r="I103" s="36">
        <v>30</v>
      </c>
      <c r="J103" s="37" t="s">
        <v>51</v>
      </c>
      <c r="K103" s="37" t="s">
        <v>52</v>
      </c>
      <c r="L103" s="37" t="s">
        <v>53</v>
      </c>
      <c r="M103" s="47" t="s">
        <v>54</v>
      </c>
    </row>
    <row r="104" spans="1:13" x14ac:dyDescent="0.35">
      <c r="A104" s="17">
        <f>A103</f>
        <v>45611</v>
      </c>
      <c r="B104" s="51">
        <f t="shared" ref="B104:C104" si="67">B103</f>
        <v>58</v>
      </c>
      <c r="C104" s="51">
        <f t="shared" si="67"/>
        <v>4.96</v>
      </c>
      <c r="D104" s="39">
        <v>12411021</v>
      </c>
      <c r="E104" s="39" t="s">
        <v>173</v>
      </c>
      <c r="F104" s="39">
        <v>1250</v>
      </c>
      <c r="G104" s="35">
        <v>0.47916666666666669</v>
      </c>
      <c r="H104" s="35">
        <v>0.5625</v>
      </c>
      <c r="I104" s="36">
        <v>120</v>
      </c>
      <c r="J104" s="37" t="s">
        <v>35</v>
      </c>
      <c r="K104" s="37" t="s">
        <v>62</v>
      </c>
      <c r="L104" s="66" t="s">
        <v>182</v>
      </c>
      <c r="M104" s="49" t="s">
        <v>229</v>
      </c>
    </row>
    <row r="105" spans="1:13" x14ac:dyDescent="0.35">
      <c r="A105" s="17">
        <f t="shared" ref="A105:F105" si="68">A104</f>
        <v>45611</v>
      </c>
      <c r="B105" s="51">
        <f t="shared" si="68"/>
        <v>58</v>
      </c>
      <c r="C105" s="51">
        <f t="shared" si="68"/>
        <v>4.96</v>
      </c>
      <c r="D105" s="52">
        <f t="shared" si="68"/>
        <v>12411021</v>
      </c>
      <c r="E105" s="52" t="str">
        <f t="shared" si="68"/>
        <v>L+1</v>
      </c>
      <c r="F105" s="52">
        <f t="shared" si="68"/>
        <v>1250</v>
      </c>
      <c r="G105" s="35">
        <v>0.5625</v>
      </c>
      <c r="H105" s="35">
        <v>0.59930555555555554</v>
      </c>
      <c r="I105" s="36">
        <v>53</v>
      </c>
      <c r="J105" s="37" t="s">
        <v>35</v>
      </c>
      <c r="K105" s="37" t="s">
        <v>19</v>
      </c>
      <c r="L105" s="60" t="s">
        <v>230</v>
      </c>
      <c r="M105" s="60" t="s">
        <v>230</v>
      </c>
    </row>
    <row r="106" spans="1:13" x14ac:dyDescent="0.35">
      <c r="A106" s="17">
        <f t="shared" ref="A106:C106" si="69">A105</f>
        <v>45611</v>
      </c>
      <c r="B106" s="51">
        <f t="shared" si="69"/>
        <v>58</v>
      </c>
      <c r="C106" s="51">
        <f t="shared" si="69"/>
        <v>4.96</v>
      </c>
      <c r="D106" s="45">
        <v>12411022</v>
      </c>
      <c r="E106" s="45" t="s">
        <v>47</v>
      </c>
      <c r="F106" s="45">
        <v>1250</v>
      </c>
      <c r="G106" s="35">
        <v>0.60138888888888886</v>
      </c>
      <c r="H106" s="35">
        <v>0.69791666666666663</v>
      </c>
      <c r="I106" s="36">
        <v>139</v>
      </c>
      <c r="J106" s="37" t="s">
        <v>35</v>
      </c>
      <c r="K106" s="37" t="s">
        <v>19</v>
      </c>
      <c r="L106" s="37" t="s">
        <v>231</v>
      </c>
      <c r="M106" s="49" t="s">
        <v>232</v>
      </c>
    </row>
    <row r="107" spans="1:13" x14ac:dyDescent="0.35">
      <c r="A107" s="17">
        <v>45612</v>
      </c>
      <c r="B107" s="39">
        <v>58</v>
      </c>
      <c r="C107" s="39">
        <v>5.22</v>
      </c>
      <c r="D107" s="68">
        <v>12411023</v>
      </c>
      <c r="E107" s="69" t="s">
        <v>159</v>
      </c>
      <c r="F107" s="70">
        <v>1250</v>
      </c>
      <c r="G107" s="35">
        <v>0.88888888888888884</v>
      </c>
      <c r="H107" s="35">
        <v>0.90972222222222221</v>
      </c>
      <c r="I107" s="36">
        <v>30</v>
      </c>
      <c r="J107" s="37" t="s">
        <v>51</v>
      </c>
      <c r="K107" s="37" t="s">
        <v>52</v>
      </c>
      <c r="L107" s="37" t="s">
        <v>53</v>
      </c>
      <c r="M107" s="67" t="s">
        <v>54</v>
      </c>
    </row>
    <row r="108" spans="1:13" x14ac:dyDescent="0.35">
      <c r="A108" s="17">
        <f t="shared" ref="A108:C108" si="70">A107</f>
        <v>45612</v>
      </c>
      <c r="B108" s="55">
        <f t="shared" si="70"/>
        <v>58</v>
      </c>
      <c r="C108" s="55">
        <f t="shared" si="70"/>
        <v>5.22</v>
      </c>
      <c r="D108" s="75">
        <f t="shared" ref="D108:F109" si="71">D107</f>
        <v>12411023</v>
      </c>
      <c r="E108" s="72" t="str">
        <f t="shared" si="71"/>
        <v>L+47</v>
      </c>
      <c r="F108" s="78">
        <f t="shared" si="71"/>
        <v>1250</v>
      </c>
      <c r="G108" s="35">
        <v>0.90972222222222221</v>
      </c>
      <c r="H108" s="35">
        <v>0.91666666666666663</v>
      </c>
      <c r="I108" s="36">
        <v>10</v>
      </c>
      <c r="J108" s="37" t="s">
        <v>51</v>
      </c>
      <c r="K108" s="37" t="s">
        <v>21</v>
      </c>
      <c r="L108" s="37" t="s">
        <v>73</v>
      </c>
      <c r="M108" s="67" t="s">
        <v>59</v>
      </c>
    </row>
    <row r="109" spans="1:13" x14ac:dyDescent="0.35">
      <c r="A109" s="17">
        <v>45613</v>
      </c>
      <c r="B109" s="54">
        <v>57.66</v>
      </c>
      <c r="C109" s="54">
        <v>5.27</v>
      </c>
      <c r="D109" s="76">
        <f t="shared" si="71"/>
        <v>12411023</v>
      </c>
      <c r="E109" s="72" t="str">
        <f t="shared" si="71"/>
        <v>L+47</v>
      </c>
      <c r="F109" s="78">
        <f t="shared" si="71"/>
        <v>1250</v>
      </c>
      <c r="G109" s="35">
        <v>0.91666666666666663</v>
      </c>
      <c r="H109" s="35">
        <v>0.92013888888888884</v>
      </c>
      <c r="I109" s="36">
        <v>5</v>
      </c>
      <c r="J109" s="37" t="s">
        <v>51</v>
      </c>
      <c r="K109" s="37" t="s">
        <v>21</v>
      </c>
      <c r="L109" s="37" t="s">
        <v>73</v>
      </c>
      <c r="M109" s="67" t="s">
        <v>59</v>
      </c>
    </row>
    <row r="110" spans="1:13" x14ac:dyDescent="0.35">
      <c r="A110" s="17">
        <f t="shared" ref="A110:F111" si="72">A109</f>
        <v>45613</v>
      </c>
      <c r="B110" s="42">
        <f t="shared" si="72"/>
        <v>57.66</v>
      </c>
      <c r="C110" s="42">
        <f t="shared" si="72"/>
        <v>5.27</v>
      </c>
      <c r="D110" s="76">
        <f t="shared" si="72"/>
        <v>12411023</v>
      </c>
      <c r="E110" s="72" t="str">
        <f t="shared" si="72"/>
        <v>L+47</v>
      </c>
      <c r="F110" s="78">
        <f t="shared" si="72"/>
        <v>1250</v>
      </c>
      <c r="G110" s="35">
        <v>0.92013888888888884</v>
      </c>
      <c r="H110" s="35">
        <v>0.95486111111111116</v>
      </c>
      <c r="I110" s="36">
        <v>50</v>
      </c>
      <c r="J110" s="37" t="s">
        <v>51</v>
      </c>
      <c r="K110" s="37" t="s">
        <v>19</v>
      </c>
      <c r="L110" s="67" t="s">
        <v>233</v>
      </c>
      <c r="M110" s="67" t="s">
        <v>233</v>
      </c>
    </row>
    <row r="111" spans="1:13" x14ac:dyDescent="0.35">
      <c r="A111" s="17">
        <f t="shared" si="72"/>
        <v>45613</v>
      </c>
      <c r="B111" s="42">
        <f t="shared" si="72"/>
        <v>57.66</v>
      </c>
      <c r="C111" s="42">
        <f t="shared" si="72"/>
        <v>5.27</v>
      </c>
      <c r="D111" s="77">
        <f t="shared" si="72"/>
        <v>12411023</v>
      </c>
      <c r="E111" s="73" t="str">
        <f t="shared" si="72"/>
        <v>L+47</v>
      </c>
      <c r="F111" s="79">
        <f t="shared" si="72"/>
        <v>1250</v>
      </c>
      <c r="G111" s="35">
        <v>0.95486111111111116</v>
      </c>
      <c r="H111" s="35">
        <v>0.98958333333333337</v>
      </c>
      <c r="I111" s="36">
        <v>50</v>
      </c>
      <c r="J111" s="37" t="s">
        <v>51</v>
      </c>
      <c r="K111" s="37" t="s">
        <v>41</v>
      </c>
      <c r="L111" s="67" t="s">
        <v>233</v>
      </c>
      <c r="M111" s="67" t="s">
        <v>233</v>
      </c>
    </row>
    <row r="112" spans="1:13" x14ac:dyDescent="0.35">
      <c r="A112" s="17">
        <f t="shared" ref="A112:C112" si="73">A111</f>
        <v>45613</v>
      </c>
      <c r="B112" s="42">
        <f t="shared" si="73"/>
        <v>57.66</v>
      </c>
      <c r="C112" s="42">
        <f t="shared" si="73"/>
        <v>5.27</v>
      </c>
      <c r="D112" s="56">
        <v>12411024</v>
      </c>
      <c r="E112" s="45" t="s">
        <v>44</v>
      </c>
      <c r="F112" s="56">
        <v>1230</v>
      </c>
      <c r="G112" s="35">
        <v>0.10486111111111111</v>
      </c>
      <c r="H112" s="35">
        <v>0.18819444444444444</v>
      </c>
      <c r="I112" s="36">
        <v>120</v>
      </c>
      <c r="J112" s="37" t="s">
        <v>35</v>
      </c>
      <c r="K112" s="37" t="s">
        <v>19</v>
      </c>
      <c r="L112" s="67" t="s">
        <v>120</v>
      </c>
      <c r="M112" s="67" t="s">
        <v>120</v>
      </c>
    </row>
    <row r="113" spans="1:13" x14ac:dyDescent="0.35">
      <c r="A113" s="17">
        <f t="shared" ref="A113:F113" si="74">A112</f>
        <v>45613</v>
      </c>
      <c r="B113" s="42">
        <f t="shared" si="74"/>
        <v>57.66</v>
      </c>
      <c r="C113" s="42">
        <f t="shared" si="74"/>
        <v>5.27</v>
      </c>
      <c r="D113" s="64">
        <f t="shared" si="74"/>
        <v>12411024</v>
      </c>
      <c r="E113" s="74" t="str">
        <f t="shared" si="74"/>
        <v>L+4</v>
      </c>
      <c r="F113" s="64">
        <f t="shared" si="74"/>
        <v>1230</v>
      </c>
      <c r="G113" s="35">
        <v>0.18819444444444444</v>
      </c>
      <c r="H113" s="35">
        <v>0.33333333333333331</v>
      </c>
      <c r="I113" s="36">
        <v>209</v>
      </c>
      <c r="J113" s="37" t="s">
        <v>35</v>
      </c>
      <c r="K113" s="37" t="s">
        <v>21</v>
      </c>
      <c r="L113" s="37" t="s">
        <v>234</v>
      </c>
      <c r="M113" s="67" t="s">
        <v>235</v>
      </c>
    </row>
    <row r="114" spans="1:13" x14ac:dyDescent="0.35">
      <c r="A114" s="17">
        <v>45614</v>
      </c>
      <c r="B114" s="39">
        <v>57.11</v>
      </c>
      <c r="C114" s="39">
        <v>5.42</v>
      </c>
      <c r="D114" s="45">
        <v>12411025</v>
      </c>
      <c r="E114" s="45" t="s">
        <v>93</v>
      </c>
      <c r="F114" s="45">
        <v>1230</v>
      </c>
      <c r="G114" s="35">
        <v>0.4861111111111111</v>
      </c>
      <c r="H114" s="35">
        <v>0.5083333333333333</v>
      </c>
      <c r="I114" s="36">
        <v>32</v>
      </c>
      <c r="J114" s="37" t="s">
        <v>51</v>
      </c>
      <c r="K114" s="37" t="s">
        <v>52</v>
      </c>
      <c r="L114" s="37" t="s">
        <v>53</v>
      </c>
      <c r="M114" s="67" t="s">
        <v>54</v>
      </c>
    </row>
    <row r="115" spans="1:13" x14ac:dyDescent="0.35">
      <c r="A115" s="17">
        <v>45614</v>
      </c>
      <c r="B115" s="51">
        <v>58</v>
      </c>
      <c r="C115" s="39">
        <v>5.42</v>
      </c>
      <c r="D115" s="45">
        <v>12411025</v>
      </c>
      <c r="E115" s="45" t="s">
        <v>47</v>
      </c>
      <c r="F115" s="45">
        <v>1260</v>
      </c>
      <c r="G115" s="35">
        <v>0.50972222222222219</v>
      </c>
      <c r="H115" s="35">
        <v>0.59583333333333333</v>
      </c>
      <c r="I115" s="36">
        <v>124</v>
      </c>
      <c r="J115" s="37" t="s">
        <v>35</v>
      </c>
      <c r="K115" s="37" t="s">
        <v>21</v>
      </c>
      <c r="L115" s="67" t="s">
        <v>241</v>
      </c>
      <c r="M115" s="67" t="s">
        <v>241</v>
      </c>
    </row>
    <row r="116" spans="1:13" x14ac:dyDescent="0.35">
      <c r="A116" s="17">
        <v>45615</v>
      </c>
      <c r="B116" s="45">
        <v>57.61</v>
      </c>
      <c r="C116" s="45">
        <v>5.32</v>
      </c>
      <c r="D116" s="45">
        <v>12411027</v>
      </c>
      <c r="E116" s="45" t="s">
        <v>50</v>
      </c>
      <c r="F116" s="45">
        <v>1260</v>
      </c>
      <c r="G116" s="35">
        <v>0.55902777777777779</v>
      </c>
      <c r="H116" s="35">
        <v>0.61805555555555558</v>
      </c>
      <c r="I116" s="36">
        <v>85</v>
      </c>
      <c r="J116" s="80" t="s">
        <v>14</v>
      </c>
      <c r="K116" s="80" t="s">
        <v>26</v>
      </c>
      <c r="L116" s="80" t="s">
        <v>150</v>
      </c>
      <c r="M116" s="47" t="s">
        <v>242</v>
      </c>
    </row>
    <row r="117" spans="1:13" x14ac:dyDescent="0.35">
      <c r="A117" s="17">
        <v>45616</v>
      </c>
      <c r="B117" s="39">
        <v>58</v>
      </c>
      <c r="C117" s="39">
        <v>5.32</v>
      </c>
      <c r="D117" s="39">
        <v>12411028</v>
      </c>
      <c r="E117" s="39" t="s">
        <v>119</v>
      </c>
      <c r="F117" s="39">
        <v>1370</v>
      </c>
      <c r="G117" s="35">
        <v>0.78472222222222221</v>
      </c>
      <c r="H117" s="35">
        <v>0.80555555555555558</v>
      </c>
      <c r="I117" s="36">
        <v>30</v>
      </c>
      <c r="J117" s="80" t="s">
        <v>51</v>
      </c>
      <c r="K117" s="80" t="s">
        <v>52</v>
      </c>
      <c r="L117" s="80" t="s">
        <v>53</v>
      </c>
      <c r="M117" s="47" t="s">
        <v>54</v>
      </c>
    </row>
    <row r="118" spans="1:13" x14ac:dyDescent="0.35">
      <c r="A118" s="17">
        <v>45616</v>
      </c>
      <c r="B118" s="39">
        <v>58</v>
      </c>
      <c r="C118" s="39">
        <v>5.32</v>
      </c>
      <c r="D118" s="39">
        <v>12411028</v>
      </c>
      <c r="E118" s="39" t="s">
        <v>119</v>
      </c>
      <c r="F118" s="39">
        <v>1370</v>
      </c>
      <c r="G118" s="35">
        <v>0.80555555555555558</v>
      </c>
      <c r="H118" s="35">
        <v>0.81597222222222221</v>
      </c>
      <c r="I118" s="36">
        <v>15</v>
      </c>
      <c r="J118" s="80" t="s">
        <v>51</v>
      </c>
      <c r="K118" s="80" t="s">
        <v>52</v>
      </c>
      <c r="L118" s="80" t="s">
        <v>59</v>
      </c>
      <c r="M118" s="47" t="s">
        <v>59</v>
      </c>
    </row>
    <row r="119" spans="1:13" x14ac:dyDescent="0.35">
      <c r="A119" s="17">
        <v>45616</v>
      </c>
      <c r="B119" s="39">
        <v>58</v>
      </c>
      <c r="C119" s="39">
        <v>5.32</v>
      </c>
      <c r="D119" s="39">
        <v>12411028</v>
      </c>
      <c r="E119" s="39" t="s">
        <v>119</v>
      </c>
      <c r="F119" s="39">
        <v>1370</v>
      </c>
      <c r="G119" s="35">
        <v>0.81597222222222221</v>
      </c>
      <c r="H119" s="35">
        <v>0.85069444444444442</v>
      </c>
      <c r="I119" s="36">
        <v>50</v>
      </c>
      <c r="J119" s="80" t="s">
        <v>51</v>
      </c>
      <c r="K119" s="80" t="s">
        <v>19</v>
      </c>
      <c r="L119" s="80" t="s">
        <v>244</v>
      </c>
      <c r="M119" s="47" t="s">
        <v>245</v>
      </c>
    </row>
    <row r="120" spans="1:13" x14ac:dyDescent="0.35">
      <c r="A120" s="17">
        <v>45617</v>
      </c>
      <c r="B120" s="39">
        <v>57.32</v>
      </c>
      <c r="C120" s="39">
        <v>5.34</v>
      </c>
      <c r="D120" s="39">
        <v>12411029</v>
      </c>
      <c r="E120" s="39" t="s">
        <v>109</v>
      </c>
      <c r="F120" s="39">
        <v>1260</v>
      </c>
      <c r="G120" s="35">
        <v>0.5</v>
      </c>
      <c r="H120" s="35">
        <v>0.58333333333333337</v>
      </c>
      <c r="I120" s="36">
        <v>120</v>
      </c>
      <c r="J120" s="80" t="s">
        <v>25</v>
      </c>
      <c r="K120" s="80" t="s">
        <v>21</v>
      </c>
      <c r="L120" s="80" t="s">
        <v>83</v>
      </c>
      <c r="M120" s="60" t="s">
        <v>227</v>
      </c>
    </row>
    <row r="121" spans="1:13" x14ac:dyDescent="0.35">
      <c r="A121" s="17">
        <v>45617</v>
      </c>
      <c r="B121" s="39">
        <v>57.32</v>
      </c>
      <c r="C121" s="39">
        <v>5.34</v>
      </c>
      <c r="D121" s="39">
        <v>12411029</v>
      </c>
      <c r="E121" s="39" t="s">
        <v>109</v>
      </c>
      <c r="F121" s="39">
        <v>1260</v>
      </c>
      <c r="G121" s="35">
        <v>0.58333333333333337</v>
      </c>
      <c r="H121" s="35">
        <v>0.59722222222222221</v>
      </c>
      <c r="I121" s="36">
        <v>20</v>
      </c>
      <c r="J121" s="80" t="s">
        <v>25</v>
      </c>
      <c r="K121" s="80" t="s">
        <v>246</v>
      </c>
      <c r="L121" s="80" t="s">
        <v>83</v>
      </c>
      <c r="M121" s="47" t="s">
        <v>247</v>
      </c>
    </row>
    <row r="122" spans="1:13" x14ac:dyDescent="0.35">
      <c r="A122" s="17">
        <v>45617</v>
      </c>
      <c r="B122" s="39">
        <v>57.32</v>
      </c>
      <c r="C122" s="39">
        <v>5.34</v>
      </c>
      <c r="D122" s="39">
        <v>12411029</v>
      </c>
      <c r="E122" s="39" t="s">
        <v>109</v>
      </c>
      <c r="F122" s="39">
        <v>1260</v>
      </c>
      <c r="G122" s="35">
        <v>0.59722222222222221</v>
      </c>
      <c r="H122" s="35">
        <v>0.61597222222222225</v>
      </c>
      <c r="I122" s="36">
        <v>27</v>
      </c>
      <c r="J122" s="80" t="s">
        <v>25</v>
      </c>
      <c r="K122" s="80" t="s">
        <v>19</v>
      </c>
      <c r="L122" s="80" t="s">
        <v>248</v>
      </c>
      <c r="M122" s="47" t="s">
        <v>249</v>
      </c>
    </row>
    <row r="123" spans="1:13" x14ac:dyDescent="0.35">
      <c r="A123" s="17">
        <v>45618</v>
      </c>
      <c r="B123" s="39">
        <v>58</v>
      </c>
      <c r="C123" s="39">
        <v>5.31</v>
      </c>
      <c r="D123" s="39">
        <v>12411030</v>
      </c>
      <c r="E123" s="39" t="s">
        <v>69</v>
      </c>
      <c r="F123" s="39">
        <v>1250</v>
      </c>
      <c r="G123" s="35">
        <v>0.625</v>
      </c>
      <c r="H123" s="35">
        <v>0.70833333333333337</v>
      </c>
      <c r="I123" s="36">
        <v>120</v>
      </c>
      <c r="J123" s="80" t="s">
        <v>35</v>
      </c>
      <c r="K123" s="80" t="s">
        <v>21</v>
      </c>
      <c r="L123" s="49" t="s">
        <v>251</v>
      </c>
      <c r="M123" s="49" t="s">
        <v>251</v>
      </c>
    </row>
    <row r="124" spans="1:13" x14ac:dyDescent="0.35">
      <c r="A124" s="17">
        <v>45618</v>
      </c>
      <c r="B124" s="39">
        <v>58</v>
      </c>
      <c r="C124" s="39">
        <v>5.31</v>
      </c>
      <c r="D124" s="39">
        <v>12411030</v>
      </c>
      <c r="E124" s="39" t="s">
        <v>69</v>
      </c>
      <c r="F124" s="39">
        <v>1250</v>
      </c>
      <c r="G124" s="35">
        <v>0.70833333333333337</v>
      </c>
      <c r="H124" s="35">
        <v>0.91666666666666663</v>
      </c>
      <c r="I124" s="36">
        <v>300</v>
      </c>
      <c r="J124" s="80" t="s">
        <v>35</v>
      </c>
      <c r="K124" s="80" t="s">
        <v>21</v>
      </c>
      <c r="L124" s="80" t="s">
        <v>55</v>
      </c>
      <c r="M124" s="47" t="s">
        <v>252</v>
      </c>
    </row>
    <row r="125" spans="1:13" x14ac:dyDescent="0.35">
      <c r="A125" s="17">
        <v>45619</v>
      </c>
      <c r="B125" s="45">
        <v>58</v>
      </c>
      <c r="C125" s="45">
        <v>5.39</v>
      </c>
      <c r="D125" s="39">
        <v>12411030</v>
      </c>
      <c r="E125" s="39" t="s">
        <v>69</v>
      </c>
      <c r="F125" s="39">
        <v>1250</v>
      </c>
      <c r="G125" s="35">
        <v>0.91666666666666663</v>
      </c>
      <c r="H125" s="35">
        <v>0.21875</v>
      </c>
      <c r="I125" s="36">
        <v>435</v>
      </c>
      <c r="J125" s="80" t="s">
        <v>35</v>
      </c>
      <c r="K125" s="37" t="s">
        <v>21</v>
      </c>
      <c r="L125" s="80" t="s">
        <v>55</v>
      </c>
      <c r="M125" s="47" t="s">
        <v>252</v>
      </c>
    </row>
    <row r="126" spans="1:13" x14ac:dyDescent="0.35">
      <c r="A126" s="17">
        <v>45620</v>
      </c>
      <c r="B126" s="39">
        <v>58</v>
      </c>
      <c r="C126" s="39">
        <v>5.32</v>
      </c>
      <c r="D126" s="39">
        <v>12411031</v>
      </c>
      <c r="E126" s="39" t="s">
        <v>116</v>
      </c>
      <c r="F126" s="39">
        <v>1230</v>
      </c>
      <c r="G126" s="35">
        <v>0.41805555555555557</v>
      </c>
      <c r="H126" s="35">
        <v>0.43888888888888888</v>
      </c>
      <c r="I126" s="36">
        <v>30</v>
      </c>
      <c r="J126" s="37" t="s">
        <v>51</v>
      </c>
      <c r="K126" s="37" t="s">
        <v>52</v>
      </c>
      <c r="L126" s="37" t="s">
        <v>53</v>
      </c>
      <c r="M126" s="67" t="s">
        <v>54</v>
      </c>
    </row>
    <row r="127" spans="1:13" x14ac:dyDescent="0.35">
      <c r="A127" s="17">
        <v>45620</v>
      </c>
      <c r="B127" s="39">
        <v>58</v>
      </c>
      <c r="C127" s="39">
        <v>5.32</v>
      </c>
      <c r="D127" s="39">
        <v>12411031</v>
      </c>
      <c r="E127" s="39" t="s">
        <v>116</v>
      </c>
      <c r="F127" s="39">
        <v>1230</v>
      </c>
      <c r="G127" s="35">
        <v>0.43888888888888888</v>
      </c>
      <c r="H127" s="35">
        <v>0.45277777777777778</v>
      </c>
      <c r="I127" s="36">
        <v>20</v>
      </c>
      <c r="J127" s="37" t="s">
        <v>51</v>
      </c>
      <c r="K127" s="37" t="s">
        <v>52</v>
      </c>
      <c r="L127" s="37" t="s">
        <v>59</v>
      </c>
      <c r="M127" s="67" t="s">
        <v>259</v>
      </c>
    </row>
    <row r="128" spans="1:13" x14ac:dyDescent="0.35">
      <c r="A128" s="17">
        <v>45620</v>
      </c>
      <c r="B128" s="39">
        <v>58</v>
      </c>
      <c r="C128" s="39">
        <v>5.32</v>
      </c>
      <c r="D128" s="39">
        <v>12411031</v>
      </c>
      <c r="E128" s="39" t="s">
        <v>116</v>
      </c>
      <c r="F128" s="39">
        <v>1230</v>
      </c>
      <c r="G128" s="35">
        <v>0.45277777777777778</v>
      </c>
      <c r="H128" s="35">
        <v>0.46527777777777779</v>
      </c>
      <c r="I128" s="82">
        <v>18</v>
      </c>
      <c r="J128" s="37" t="s">
        <v>51</v>
      </c>
      <c r="K128" s="37" t="s">
        <v>21</v>
      </c>
      <c r="L128" s="37" t="s">
        <v>74</v>
      </c>
      <c r="M128" s="67" t="s">
        <v>75</v>
      </c>
    </row>
    <row r="129" spans="1:13" x14ac:dyDescent="0.35">
      <c r="A129" s="17">
        <v>45620</v>
      </c>
      <c r="B129" s="85">
        <v>58</v>
      </c>
      <c r="C129" s="85">
        <v>5.32</v>
      </c>
      <c r="D129" s="85">
        <v>12411031</v>
      </c>
      <c r="E129" s="85" t="s">
        <v>116</v>
      </c>
      <c r="F129" s="85">
        <v>1230</v>
      </c>
      <c r="G129" s="35">
        <v>0.41805555555555557</v>
      </c>
      <c r="H129" s="35">
        <v>0.43888888888888888</v>
      </c>
      <c r="I129" s="36">
        <v>30</v>
      </c>
      <c r="J129" s="37" t="s">
        <v>51</v>
      </c>
      <c r="K129" s="37" t="s">
        <v>52</v>
      </c>
      <c r="L129" s="37" t="s">
        <v>53</v>
      </c>
      <c r="M129" s="67" t="s">
        <v>54</v>
      </c>
    </row>
    <row r="130" spans="1:13" x14ac:dyDescent="0.35">
      <c r="A130" s="17">
        <v>45620</v>
      </c>
      <c r="B130" s="39">
        <v>58</v>
      </c>
      <c r="C130" s="39">
        <v>5.32</v>
      </c>
      <c r="D130" s="39">
        <v>12411031</v>
      </c>
      <c r="E130" s="39" t="s">
        <v>116</v>
      </c>
      <c r="F130" s="39">
        <v>1230</v>
      </c>
      <c r="G130" s="35">
        <v>0.41805555555555557</v>
      </c>
      <c r="H130" s="35">
        <v>0.43888888888888888</v>
      </c>
      <c r="I130" s="36">
        <v>30</v>
      </c>
      <c r="J130" s="37" t="s">
        <v>51</v>
      </c>
      <c r="K130" s="37" t="s">
        <v>52</v>
      </c>
      <c r="L130" s="37" t="s">
        <v>53</v>
      </c>
      <c r="M130" s="67" t="s">
        <v>54</v>
      </c>
    </row>
    <row r="131" spans="1:13" x14ac:dyDescent="0.35">
      <c r="A131" s="17">
        <v>45620</v>
      </c>
      <c r="B131" s="39">
        <v>58</v>
      </c>
      <c r="C131" s="39">
        <v>5.32</v>
      </c>
      <c r="D131" s="39">
        <v>12411031</v>
      </c>
      <c r="E131" s="39" t="s">
        <v>116</v>
      </c>
      <c r="F131" s="39">
        <v>1230</v>
      </c>
      <c r="G131" s="35">
        <v>0.43888888888888888</v>
      </c>
      <c r="H131" s="35">
        <v>0.45277777777777778</v>
      </c>
      <c r="I131" s="36">
        <v>20</v>
      </c>
      <c r="J131" s="37" t="s">
        <v>51</v>
      </c>
      <c r="K131" s="37" t="s">
        <v>52</v>
      </c>
      <c r="L131" s="37" t="s">
        <v>59</v>
      </c>
      <c r="M131" s="67" t="s">
        <v>259</v>
      </c>
    </row>
    <row r="132" spans="1:13" x14ac:dyDescent="0.35">
      <c r="A132" s="17">
        <v>45620</v>
      </c>
      <c r="B132" s="39">
        <v>58</v>
      </c>
      <c r="C132" s="39">
        <v>5.32</v>
      </c>
      <c r="D132" s="39">
        <v>12411031</v>
      </c>
      <c r="E132" s="39" t="s">
        <v>116</v>
      </c>
      <c r="F132" s="39">
        <v>1230</v>
      </c>
      <c r="G132" s="35">
        <v>0.45277777777777778</v>
      </c>
      <c r="H132" s="35">
        <v>0.46527777777777779</v>
      </c>
      <c r="I132" s="82">
        <v>18</v>
      </c>
      <c r="J132" s="37" t="s">
        <v>51</v>
      </c>
      <c r="K132" s="37" t="s">
        <v>21</v>
      </c>
      <c r="L132" s="37" t="s">
        <v>74</v>
      </c>
      <c r="M132" s="67" t="s">
        <v>75</v>
      </c>
    </row>
    <row r="133" spans="1:13" x14ac:dyDescent="0.35">
      <c r="A133" s="17">
        <v>45620</v>
      </c>
      <c r="B133" s="39">
        <v>58</v>
      </c>
      <c r="C133" s="39">
        <v>5.32</v>
      </c>
      <c r="D133" s="83">
        <v>12411032</v>
      </c>
      <c r="E133" s="39" t="s">
        <v>173</v>
      </c>
      <c r="F133" s="39">
        <v>1250</v>
      </c>
      <c r="G133" s="35">
        <v>0.50902777777777775</v>
      </c>
      <c r="H133" s="35">
        <v>0.59236111111111112</v>
      </c>
      <c r="I133" s="82">
        <v>120</v>
      </c>
      <c r="J133" s="37" t="s">
        <v>25</v>
      </c>
      <c r="K133" s="37" t="s">
        <v>21</v>
      </c>
      <c r="L133" s="37" t="s">
        <v>83</v>
      </c>
      <c r="M133" s="67" t="s">
        <v>227</v>
      </c>
    </row>
    <row r="134" spans="1:13" x14ac:dyDescent="0.35">
      <c r="A134" s="17">
        <v>45620</v>
      </c>
      <c r="B134" s="39">
        <v>58</v>
      </c>
      <c r="C134" s="39">
        <v>5.32</v>
      </c>
      <c r="D134" s="83">
        <v>12411032</v>
      </c>
      <c r="E134" s="39" t="s">
        <v>173</v>
      </c>
      <c r="F134" s="39">
        <v>1250</v>
      </c>
      <c r="G134" s="35">
        <v>0.59236111111111112</v>
      </c>
      <c r="H134" s="35">
        <v>0.6069444444444444</v>
      </c>
      <c r="I134" s="82">
        <v>21</v>
      </c>
      <c r="J134" s="37" t="s">
        <v>25</v>
      </c>
      <c r="K134" s="37" t="s">
        <v>19</v>
      </c>
      <c r="L134" s="37" t="s">
        <v>260</v>
      </c>
      <c r="M134" s="67" t="s">
        <v>261</v>
      </c>
    </row>
    <row r="135" spans="1:13" x14ac:dyDescent="0.35">
      <c r="A135" s="17">
        <v>45621</v>
      </c>
      <c r="B135" s="39">
        <v>58</v>
      </c>
      <c r="C135" s="39">
        <v>5.32</v>
      </c>
      <c r="D135" s="39">
        <v>12411033</v>
      </c>
      <c r="E135" s="39" t="s">
        <v>119</v>
      </c>
      <c r="F135" s="39" t="s">
        <v>263</v>
      </c>
      <c r="G135" s="35">
        <v>0.81944444444444442</v>
      </c>
      <c r="H135" s="35">
        <v>0.84027777777777779</v>
      </c>
      <c r="I135" s="36">
        <v>30</v>
      </c>
      <c r="J135" s="37" t="s">
        <v>51</v>
      </c>
      <c r="K135" s="37" t="s">
        <v>52</v>
      </c>
      <c r="L135" s="37" t="s">
        <v>53</v>
      </c>
      <c r="M135" s="47" t="s">
        <v>54</v>
      </c>
    </row>
    <row r="136" spans="1:13" x14ac:dyDescent="0.35">
      <c r="A136" s="17">
        <v>45621</v>
      </c>
      <c r="B136" s="39">
        <v>58</v>
      </c>
      <c r="C136" s="39">
        <v>5.32</v>
      </c>
      <c r="D136" s="39">
        <v>12411033</v>
      </c>
      <c r="E136" s="39" t="s">
        <v>119</v>
      </c>
      <c r="F136" s="39" t="s">
        <v>263</v>
      </c>
      <c r="G136" s="35">
        <v>0.84027777777777779</v>
      </c>
      <c r="H136" s="35">
        <v>0.84583333333333333</v>
      </c>
      <c r="I136" s="36">
        <v>8</v>
      </c>
      <c r="J136" s="37" t="s">
        <v>51</v>
      </c>
      <c r="K136" s="37" t="s">
        <v>21</v>
      </c>
      <c r="L136" s="47" t="s">
        <v>206</v>
      </c>
      <c r="M136" s="47" t="s">
        <v>206</v>
      </c>
    </row>
    <row r="137" spans="1:13" x14ac:dyDescent="0.35">
      <c r="A137" s="17">
        <v>45623</v>
      </c>
      <c r="B137" s="45">
        <v>58</v>
      </c>
      <c r="C137" s="45">
        <v>5.72</v>
      </c>
      <c r="D137" s="39">
        <v>12411034</v>
      </c>
      <c r="E137" s="39" t="s">
        <v>116</v>
      </c>
      <c r="F137" s="39">
        <v>1250</v>
      </c>
      <c r="G137" s="35">
        <v>0.98611111111111116</v>
      </c>
      <c r="H137" s="35">
        <v>6.9444444444444441E-3</v>
      </c>
      <c r="I137" s="36">
        <v>30</v>
      </c>
      <c r="J137" s="80" t="s">
        <v>51</v>
      </c>
      <c r="K137" s="80" t="s">
        <v>52</v>
      </c>
      <c r="L137" s="37" t="s">
        <v>53</v>
      </c>
      <c r="M137" s="47" t="s">
        <v>54</v>
      </c>
    </row>
    <row r="138" spans="1:13" x14ac:dyDescent="0.35">
      <c r="A138" s="17">
        <v>45623</v>
      </c>
      <c r="B138" s="39">
        <v>57.14</v>
      </c>
      <c r="C138" s="39">
        <v>5.26</v>
      </c>
      <c r="D138" s="39">
        <v>12411034</v>
      </c>
      <c r="E138" s="39" t="s">
        <v>116</v>
      </c>
      <c r="F138" s="39">
        <v>1250</v>
      </c>
      <c r="G138" s="35">
        <v>6.9444444444444441E-3</v>
      </c>
      <c r="H138" s="35">
        <v>1.2500000000000001E-2</v>
      </c>
      <c r="I138" s="36">
        <v>8</v>
      </c>
      <c r="J138" s="80" t="s">
        <v>51</v>
      </c>
      <c r="K138" s="80" t="s">
        <v>52</v>
      </c>
      <c r="L138" s="47" t="s">
        <v>59</v>
      </c>
      <c r="M138" s="47" t="s">
        <v>59</v>
      </c>
    </row>
    <row r="139" spans="1:13" x14ac:dyDescent="0.35">
      <c r="A139" s="17">
        <v>45623</v>
      </c>
      <c r="B139" s="39">
        <v>57.14</v>
      </c>
      <c r="C139" s="39">
        <v>5.26</v>
      </c>
      <c r="D139" s="39">
        <v>12411034</v>
      </c>
      <c r="E139" s="39" t="s">
        <v>116</v>
      </c>
      <c r="F139" s="39">
        <v>1250</v>
      </c>
      <c r="G139" s="35">
        <v>1.2500000000000001E-2</v>
      </c>
      <c r="H139" s="35">
        <v>2.0833333333333332E-2</v>
      </c>
      <c r="I139" s="36">
        <v>12</v>
      </c>
      <c r="J139" s="80" t="s">
        <v>51</v>
      </c>
      <c r="K139" s="80" t="s">
        <v>62</v>
      </c>
      <c r="L139" s="80" t="s">
        <v>130</v>
      </c>
      <c r="M139" s="47" t="s">
        <v>268</v>
      </c>
    </row>
    <row r="140" spans="1:13" x14ac:dyDescent="0.35">
      <c r="A140" s="17">
        <v>45623</v>
      </c>
      <c r="B140" s="39">
        <v>57.14</v>
      </c>
      <c r="C140" s="39">
        <v>5.26</v>
      </c>
      <c r="D140" s="39">
        <v>12411034</v>
      </c>
      <c r="E140" s="39" t="s">
        <v>116</v>
      </c>
      <c r="F140" s="39">
        <v>1250</v>
      </c>
      <c r="G140" s="35">
        <v>2.0833333333333332E-2</v>
      </c>
      <c r="H140" s="35">
        <v>6.9444444444444448E-2</v>
      </c>
      <c r="I140" s="36">
        <v>70</v>
      </c>
      <c r="J140" s="80" t="s">
        <v>51</v>
      </c>
      <c r="K140" s="80" t="s">
        <v>19</v>
      </c>
      <c r="L140" s="80" t="s">
        <v>143</v>
      </c>
      <c r="M140" s="47" t="s">
        <v>269</v>
      </c>
    </row>
    <row r="141" spans="1:13" x14ac:dyDescent="0.35">
      <c r="A141" s="17">
        <v>45623</v>
      </c>
      <c r="B141" s="39">
        <v>57.14</v>
      </c>
      <c r="C141" s="39">
        <v>5.26</v>
      </c>
      <c r="D141" s="39">
        <v>12411035</v>
      </c>
      <c r="E141" s="39" t="s">
        <v>47</v>
      </c>
      <c r="F141" s="39">
        <v>1250</v>
      </c>
      <c r="G141" s="35">
        <v>7.0833333333333331E-2</v>
      </c>
      <c r="H141" s="35">
        <v>0.15416666666666667</v>
      </c>
      <c r="I141" s="36">
        <v>120</v>
      </c>
      <c r="J141" s="80" t="s">
        <v>35</v>
      </c>
      <c r="K141" s="37" t="s">
        <v>21</v>
      </c>
      <c r="L141" s="49" t="s">
        <v>270</v>
      </c>
      <c r="M141" s="49" t="s">
        <v>270</v>
      </c>
    </row>
    <row r="142" spans="1:13" x14ac:dyDescent="0.35">
      <c r="A142" s="17">
        <v>45623</v>
      </c>
      <c r="B142" s="39">
        <v>57.14</v>
      </c>
      <c r="C142" s="39">
        <v>5.26</v>
      </c>
      <c r="D142" s="39">
        <v>12411035</v>
      </c>
      <c r="E142" s="39" t="s">
        <v>47</v>
      </c>
      <c r="F142" s="39">
        <v>1250</v>
      </c>
      <c r="G142" s="35">
        <v>0.15416666666666667</v>
      </c>
      <c r="H142" s="35">
        <v>0.1701388888888889</v>
      </c>
      <c r="I142" s="36">
        <v>23</v>
      </c>
      <c r="J142" s="80" t="s">
        <v>35</v>
      </c>
      <c r="K142" s="37" t="s">
        <v>19</v>
      </c>
      <c r="L142" s="47" t="s">
        <v>271</v>
      </c>
      <c r="M142" s="47" t="s">
        <v>271</v>
      </c>
    </row>
    <row r="143" spans="1:13" x14ac:dyDescent="0.35">
      <c r="A143" s="17">
        <v>45624</v>
      </c>
      <c r="B143" s="39">
        <v>58</v>
      </c>
      <c r="C143" s="39">
        <v>5.25</v>
      </c>
      <c r="D143" s="39">
        <v>12411036</v>
      </c>
      <c r="E143" s="39" t="s">
        <v>116</v>
      </c>
      <c r="F143" s="39">
        <v>1250</v>
      </c>
      <c r="G143" s="35">
        <v>0.31597222222222221</v>
      </c>
      <c r="H143" s="35">
        <v>0.33680555555555558</v>
      </c>
      <c r="I143" s="36">
        <v>30</v>
      </c>
      <c r="J143" s="80" t="s">
        <v>51</v>
      </c>
      <c r="K143" s="80" t="s">
        <v>52</v>
      </c>
      <c r="L143" s="47" t="s">
        <v>54</v>
      </c>
      <c r="M143" s="47" t="s">
        <v>54</v>
      </c>
    </row>
    <row r="144" spans="1:13" x14ac:dyDescent="0.35">
      <c r="A144" s="17">
        <v>45624</v>
      </c>
      <c r="B144" s="39">
        <v>58</v>
      </c>
      <c r="C144" s="39">
        <v>5.25</v>
      </c>
      <c r="D144" s="39">
        <v>12411036</v>
      </c>
      <c r="E144" s="39" t="s">
        <v>116</v>
      </c>
      <c r="F144" s="39">
        <v>1250</v>
      </c>
      <c r="G144" s="35">
        <v>0.33680555555555558</v>
      </c>
      <c r="H144" s="35">
        <v>0.34375</v>
      </c>
      <c r="I144" s="36">
        <v>10</v>
      </c>
      <c r="J144" s="80" t="s">
        <v>51</v>
      </c>
      <c r="K144" s="80" t="s">
        <v>21</v>
      </c>
      <c r="L144" s="80" t="s">
        <v>96</v>
      </c>
      <c r="M144" s="47" t="s">
        <v>206</v>
      </c>
    </row>
    <row r="145" spans="1:13" x14ac:dyDescent="0.35">
      <c r="A145" s="17">
        <v>45625</v>
      </c>
      <c r="B145" s="39">
        <v>57.78</v>
      </c>
      <c r="C145" s="39">
        <v>5.21</v>
      </c>
      <c r="D145" s="39">
        <v>12411037</v>
      </c>
      <c r="E145" s="39" t="s">
        <v>119</v>
      </c>
      <c r="F145" s="39">
        <v>1230</v>
      </c>
      <c r="G145" s="35">
        <v>0.59722222222222221</v>
      </c>
      <c r="H145" s="35">
        <v>0.61805555555555558</v>
      </c>
      <c r="I145" s="36">
        <v>30</v>
      </c>
      <c r="J145" s="80" t="s">
        <v>51</v>
      </c>
      <c r="K145" s="80" t="s">
        <v>52</v>
      </c>
      <c r="L145" s="80" t="s">
        <v>53</v>
      </c>
      <c r="M145" s="47" t="s">
        <v>54</v>
      </c>
    </row>
    <row r="146" spans="1:13" x14ac:dyDescent="0.35">
      <c r="A146" s="17">
        <v>45625</v>
      </c>
      <c r="B146" s="39">
        <v>57.78</v>
      </c>
      <c r="C146" s="39">
        <v>5.21</v>
      </c>
      <c r="D146" s="39">
        <v>12411037</v>
      </c>
      <c r="E146" s="39" t="s">
        <v>119</v>
      </c>
      <c r="F146" s="39">
        <v>1230</v>
      </c>
      <c r="G146" s="35">
        <v>0.61805555555555558</v>
      </c>
      <c r="H146" s="35">
        <v>0.62847222222222221</v>
      </c>
      <c r="I146" s="36">
        <v>15</v>
      </c>
      <c r="J146" s="80" t="s">
        <v>51</v>
      </c>
      <c r="K146" s="80" t="s">
        <v>52</v>
      </c>
      <c r="L146" s="80" t="s">
        <v>59</v>
      </c>
      <c r="M146" s="47" t="s">
        <v>59</v>
      </c>
    </row>
    <row r="147" spans="1:13" x14ac:dyDescent="0.35">
      <c r="A147" s="17">
        <v>45625</v>
      </c>
      <c r="B147" s="39">
        <v>57.78</v>
      </c>
      <c r="C147" s="39">
        <v>5.21</v>
      </c>
      <c r="D147" s="39">
        <v>12411037</v>
      </c>
      <c r="E147" s="39" t="s">
        <v>119</v>
      </c>
      <c r="F147" s="39">
        <v>1230</v>
      </c>
      <c r="G147" s="35">
        <v>0.62847222222222221</v>
      </c>
      <c r="H147" s="35">
        <v>0.63194444444444442</v>
      </c>
      <c r="I147" s="36">
        <v>5</v>
      </c>
      <c r="J147" s="80" t="s">
        <v>51</v>
      </c>
      <c r="K147" s="80" t="s">
        <v>21</v>
      </c>
      <c r="L147" s="80" t="s">
        <v>96</v>
      </c>
      <c r="M147" s="47" t="s">
        <v>206</v>
      </c>
    </row>
    <row r="148" spans="1:13" x14ac:dyDescent="0.35">
      <c r="A148" s="17">
        <v>45626</v>
      </c>
      <c r="B148" s="45">
        <v>58</v>
      </c>
      <c r="C148" s="45">
        <v>5.09</v>
      </c>
      <c r="D148" s="45">
        <v>12411038</v>
      </c>
      <c r="E148" s="45" t="s">
        <v>156</v>
      </c>
      <c r="F148" s="45">
        <v>1250</v>
      </c>
      <c r="G148" s="35">
        <v>0.5708333333333333</v>
      </c>
      <c r="H148" s="35">
        <v>0.65625</v>
      </c>
      <c r="I148" s="36">
        <v>123</v>
      </c>
      <c r="J148" s="37" t="s">
        <v>25</v>
      </c>
      <c r="K148" s="37" t="s">
        <v>21</v>
      </c>
      <c r="L148" s="37" t="s">
        <v>83</v>
      </c>
      <c r="M148" s="60" t="s">
        <v>258</v>
      </c>
    </row>
    <row r="149" spans="1:13" x14ac:dyDescent="0.35">
      <c r="A149" s="17">
        <v>45627</v>
      </c>
      <c r="B149" s="45">
        <v>58</v>
      </c>
      <c r="C149" s="45">
        <v>4.58</v>
      </c>
      <c r="D149" s="45">
        <v>12411039</v>
      </c>
      <c r="E149" s="45" t="s">
        <v>98</v>
      </c>
      <c r="F149" s="45">
        <v>1255</v>
      </c>
      <c r="G149" s="35">
        <v>0.65277777777777779</v>
      </c>
      <c r="H149" s="35">
        <v>0.75347222222222221</v>
      </c>
      <c r="I149" s="36">
        <v>145</v>
      </c>
      <c r="J149" s="37" t="s">
        <v>25</v>
      </c>
      <c r="K149" s="37" t="s">
        <v>21</v>
      </c>
      <c r="L149" s="37" t="s">
        <v>83</v>
      </c>
      <c r="M149" s="60" t="s">
        <v>258</v>
      </c>
    </row>
    <row r="150" spans="1:13" x14ac:dyDescent="0.35">
      <c r="A150" s="17">
        <v>45628</v>
      </c>
      <c r="B150" s="45">
        <v>56.64</v>
      </c>
      <c r="C150" s="45">
        <v>5.0199999999999996</v>
      </c>
      <c r="D150" s="45">
        <v>12412001</v>
      </c>
      <c r="E150" s="45" t="s">
        <v>226</v>
      </c>
      <c r="F150" s="45">
        <v>1255</v>
      </c>
      <c r="G150" s="35">
        <v>0.17847222222222223</v>
      </c>
      <c r="H150" s="35">
        <v>0.26041666666666669</v>
      </c>
      <c r="I150" s="36">
        <v>118</v>
      </c>
      <c r="J150" s="80" t="s">
        <v>35</v>
      </c>
      <c r="K150" s="80" t="s">
        <v>62</v>
      </c>
      <c r="L150" s="49" t="s">
        <v>279</v>
      </c>
      <c r="M150" s="49" t="s">
        <v>279</v>
      </c>
    </row>
    <row r="151" spans="1:13" x14ac:dyDescent="0.35">
      <c r="A151" s="17">
        <v>45629</v>
      </c>
      <c r="B151" s="45">
        <v>56.94</v>
      </c>
      <c r="C151" s="45">
        <v>5.16</v>
      </c>
      <c r="D151" s="39">
        <v>12412002</v>
      </c>
      <c r="E151" s="39" t="s">
        <v>202</v>
      </c>
      <c r="F151" s="39">
        <v>1230</v>
      </c>
      <c r="G151" s="35">
        <v>0.33194444444444443</v>
      </c>
      <c r="H151" s="35">
        <v>0.91666666666666663</v>
      </c>
      <c r="I151" s="36">
        <v>842</v>
      </c>
      <c r="J151" s="86" t="s">
        <v>51</v>
      </c>
      <c r="K151" s="86" t="s">
        <v>15</v>
      </c>
      <c r="L151" s="86" t="s">
        <v>16</v>
      </c>
      <c r="M151" s="87" t="s">
        <v>194</v>
      </c>
    </row>
    <row r="152" spans="1:13" x14ac:dyDescent="0.35">
      <c r="A152" s="17">
        <v>45630</v>
      </c>
      <c r="B152" s="45">
        <v>57.12</v>
      </c>
      <c r="C152" s="45">
        <v>5.5</v>
      </c>
      <c r="D152" s="39">
        <v>12412002</v>
      </c>
      <c r="E152" s="39" t="s">
        <v>202</v>
      </c>
      <c r="F152" s="39">
        <v>1230</v>
      </c>
      <c r="G152" s="35">
        <v>0.91666666666666663</v>
      </c>
      <c r="H152" s="35">
        <v>0.33124999999999999</v>
      </c>
      <c r="I152" s="36">
        <v>597</v>
      </c>
      <c r="J152" s="86" t="s">
        <v>51</v>
      </c>
      <c r="K152" s="86" t="s">
        <v>62</v>
      </c>
      <c r="L152" s="86" t="s">
        <v>281</v>
      </c>
      <c r="M152" s="47" t="s">
        <v>282</v>
      </c>
    </row>
    <row r="153" spans="1:13" x14ac:dyDescent="0.35">
      <c r="A153" s="17">
        <v>45631</v>
      </c>
      <c r="B153" s="39">
        <v>57.03</v>
      </c>
      <c r="C153" s="39">
        <v>5.68</v>
      </c>
      <c r="D153" s="39">
        <v>12412003</v>
      </c>
      <c r="E153" s="39" t="s">
        <v>66</v>
      </c>
      <c r="F153" s="39">
        <v>1230</v>
      </c>
      <c r="G153" s="35">
        <v>0.33611111111111114</v>
      </c>
      <c r="H153" s="35">
        <v>0.35694444444444445</v>
      </c>
      <c r="I153" s="36">
        <v>30</v>
      </c>
      <c r="J153" s="86" t="s">
        <v>51</v>
      </c>
      <c r="K153" s="86" t="s">
        <v>52</v>
      </c>
      <c r="L153" s="86" t="s">
        <v>53</v>
      </c>
      <c r="M153" s="47" t="s">
        <v>54</v>
      </c>
    </row>
    <row r="154" spans="1:13" x14ac:dyDescent="0.35">
      <c r="A154" s="17">
        <v>45631</v>
      </c>
      <c r="B154" s="39">
        <v>57.03</v>
      </c>
      <c r="C154" s="39">
        <v>5.68</v>
      </c>
      <c r="D154" s="39">
        <v>12412003</v>
      </c>
      <c r="E154" s="39" t="s">
        <v>66</v>
      </c>
      <c r="F154" s="39">
        <v>1230</v>
      </c>
      <c r="G154" s="35">
        <v>0.35694444444444445</v>
      </c>
      <c r="H154" s="35">
        <v>0.625</v>
      </c>
      <c r="I154" s="36">
        <v>386</v>
      </c>
      <c r="J154" s="86" t="s">
        <v>51</v>
      </c>
      <c r="K154" s="86" t="s">
        <v>283</v>
      </c>
      <c r="L154" s="47" t="s">
        <v>284</v>
      </c>
      <c r="M154" s="47" t="s">
        <v>284</v>
      </c>
    </row>
    <row r="155" spans="1:13" x14ac:dyDescent="0.35">
      <c r="A155" s="17">
        <v>45632</v>
      </c>
      <c r="B155" s="39">
        <v>57.05</v>
      </c>
      <c r="C155" s="39">
        <v>5.32</v>
      </c>
      <c r="D155" s="39">
        <v>12412004</v>
      </c>
      <c r="E155" s="39" t="s">
        <v>57</v>
      </c>
      <c r="F155" s="39" t="s">
        <v>289</v>
      </c>
      <c r="G155" s="35">
        <v>0.84375</v>
      </c>
      <c r="H155" s="35">
        <v>0.86458333333333337</v>
      </c>
      <c r="I155" s="36">
        <v>30</v>
      </c>
      <c r="J155" s="67" t="s">
        <v>51</v>
      </c>
      <c r="K155" s="67" t="s">
        <v>52</v>
      </c>
      <c r="L155" s="67" t="s">
        <v>53</v>
      </c>
      <c r="M155" s="47" t="s">
        <v>54</v>
      </c>
    </row>
    <row r="156" spans="1:13" x14ac:dyDescent="0.35">
      <c r="A156" s="17">
        <v>45632</v>
      </c>
      <c r="B156" s="39">
        <v>57.05</v>
      </c>
      <c r="C156" s="39">
        <v>5.32</v>
      </c>
      <c r="D156" s="39">
        <v>12412004</v>
      </c>
      <c r="E156" s="39" t="s">
        <v>57</v>
      </c>
      <c r="F156" s="39" t="s">
        <v>289</v>
      </c>
      <c r="G156" s="35">
        <v>0.86458333333333337</v>
      </c>
      <c r="H156" s="35">
        <v>0.875</v>
      </c>
      <c r="I156" s="36">
        <v>15</v>
      </c>
      <c r="J156" s="67" t="s">
        <v>51</v>
      </c>
      <c r="K156" s="80" t="s">
        <v>52</v>
      </c>
      <c r="L156" s="47" t="s">
        <v>59</v>
      </c>
      <c r="M156" s="47" t="s">
        <v>59</v>
      </c>
    </row>
    <row r="157" spans="1:13" x14ac:dyDescent="0.35">
      <c r="A157" s="17">
        <v>45632</v>
      </c>
      <c r="B157" s="39">
        <v>57.05</v>
      </c>
      <c r="C157" s="39">
        <v>5.32</v>
      </c>
      <c r="D157" s="39">
        <v>12412004</v>
      </c>
      <c r="E157" s="39" t="s">
        <v>57</v>
      </c>
      <c r="F157" s="39" t="s">
        <v>289</v>
      </c>
      <c r="G157" s="35">
        <v>0.875</v>
      </c>
      <c r="H157" s="35">
        <v>0.88194444444444442</v>
      </c>
      <c r="I157" s="36">
        <v>10</v>
      </c>
      <c r="J157" s="67" t="s">
        <v>51</v>
      </c>
      <c r="K157" s="67" t="s">
        <v>21</v>
      </c>
      <c r="L157" s="47" t="s">
        <v>290</v>
      </c>
      <c r="M157" s="47" t="s">
        <v>290</v>
      </c>
    </row>
    <row r="158" spans="1:13" x14ac:dyDescent="0.35">
      <c r="A158" s="17">
        <v>45634</v>
      </c>
      <c r="B158" s="45">
        <v>56</v>
      </c>
      <c r="C158" s="45">
        <v>5.48</v>
      </c>
      <c r="D158" s="39">
        <v>12412005</v>
      </c>
      <c r="E158" s="39" t="s">
        <v>141</v>
      </c>
      <c r="F158" s="39">
        <v>1350</v>
      </c>
      <c r="G158" s="35">
        <v>6.9444444444444448E-2</v>
      </c>
      <c r="H158" s="35">
        <v>9.0277777777777776E-2</v>
      </c>
      <c r="I158" s="36">
        <v>30</v>
      </c>
      <c r="J158" s="67" t="s">
        <v>51</v>
      </c>
      <c r="K158" s="67" t="s">
        <v>52</v>
      </c>
      <c r="L158" s="67" t="s">
        <v>53</v>
      </c>
      <c r="M158" s="47" t="s">
        <v>54</v>
      </c>
    </row>
    <row r="159" spans="1:13" x14ac:dyDescent="0.35">
      <c r="A159" s="17">
        <v>45634</v>
      </c>
      <c r="B159" s="45">
        <v>57.35</v>
      </c>
      <c r="C159" s="45">
        <v>5.25</v>
      </c>
      <c r="D159" s="39">
        <v>12412005</v>
      </c>
      <c r="E159" s="39" t="s">
        <v>141</v>
      </c>
      <c r="F159" s="39">
        <v>1350</v>
      </c>
      <c r="G159" s="35">
        <v>9.0277777777777776E-2</v>
      </c>
      <c r="H159" s="35">
        <v>9.7222222222222224E-2</v>
      </c>
      <c r="I159" s="36">
        <v>10</v>
      </c>
      <c r="J159" s="67" t="s">
        <v>51</v>
      </c>
      <c r="K159" s="67" t="s">
        <v>21</v>
      </c>
      <c r="L159" s="47" t="s">
        <v>206</v>
      </c>
      <c r="M159" s="47" t="s">
        <v>206</v>
      </c>
    </row>
    <row r="160" spans="1:13" x14ac:dyDescent="0.35">
      <c r="A160" s="17">
        <v>45635</v>
      </c>
      <c r="B160" s="39">
        <v>57.71</v>
      </c>
      <c r="C160" s="39">
        <v>5.08</v>
      </c>
      <c r="D160" s="39">
        <v>12412006</v>
      </c>
      <c r="E160" s="39" t="s">
        <v>119</v>
      </c>
      <c r="F160" s="39">
        <v>1255</v>
      </c>
      <c r="G160" s="35">
        <v>0.33333333333333331</v>
      </c>
      <c r="H160" s="35">
        <v>0.35416666666666669</v>
      </c>
      <c r="I160" s="36">
        <v>30</v>
      </c>
      <c r="J160" s="67" t="s">
        <v>51</v>
      </c>
      <c r="K160" s="67" t="s">
        <v>52</v>
      </c>
      <c r="L160" s="67" t="s">
        <v>53</v>
      </c>
      <c r="M160" s="47" t="s">
        <v>54</v>
      </c>
    </row>
    <row r="161" spans="1:13" x14ac:dyDescent="0.35">
      <c r="A161" s="17">
        <v>45635</v>
      </c>
      <c r="B161" s="39">
        <v>57.71</v>
      </c>
      <c r="C161" s="39">
        <v>5.08</v>
      </c>
      <c r="D161" s="39">
        <v>12412006</v>
      </c>
      <c r="E161" s="39" t="s">
        <v>119</v>
      </c>
      <c r="F161" s="39">
        <v>1255</v>
      </c>
      <c r="G161" s="35">
        <v>0.35416666666666669</v>
      </c>
      <c r="H161" s="35">
        <v>0.36458333333333331</v>
      </c>
      <c r="I161" s="36">
        <v>15</v>
      </c>
      <c r="J161" s="67" t="s">
        <v>51</v>
      </c>
      <c r="K161" s="80" t="s">
        <v>52</v>
      </c>
      <c r="L161" s="47" t="s">
        <v>59</v>
      </c>
      <c r="M161" s="47" t="s">
        <v>59</v>
      </c>
    </row>
    <row r="162" spans="1:13" x14ac:dyDescent="0.35">
      <c r="A162" s="17">
        <v>45635</v>
      </c>
      <c r="B162" s="39">
        <v>57.71</v>
      </c>
      <c r="C162" s="39">
        <v>5.08</v>
      </c>
      <c r="D162" s="39">
        <v>12412006</v>
      </c>
      <c r="E162" s="39" t="s">
        <v>119</v>
      </c>
      <c r="F162" s="39">
        <v>1255</v>
      </c>
      <c r="G162" s="35">
        <v>0.36458333333333331</v>
      </c>
      <c r="H162" s="35">
        <v>0.37152777777777779</v>
      </c>
      <c r="I162" s="36">
        <v>10</v>
      </c>
      <c r="J162" s="67" t="s">
        <v>51</v>
      </c>
      <c r="K162" s="67" t="s">
        <v>62</v>
      </c>
      <c r="L162" s="67" t="s">
        <v>130</v>
      </c>
      <c r="M162" s="47" t="s">
        <v>268</v>
      </c>
    </row>
    <row r="163" spans="1:13" x14ac:dyDescent="0.35">
      <c r="A163" s="17">
        <v>45635</v>
      </c>
      <c r="B163" s="39">
        <v>57.71</v>
      </c>
      <c r="C163" s="39">
        <v>5.08</v>
      </c>
      <c r="D163" s="39">
        <v>12412006</v>
      </c>
      <c r="E163" s="39" t="s">
        <v>119</v>
      </c>
      <c r="F163" s="39">
        <v>1255</v>
      </c>
      <c r="G163" s="35">
        <v>0.37152777777777779</v>
      </c>
      <c r="H163" s="35">
        <v>0.38541666666666669</v>
      </c>
      <c r="I163" s="36">
        <v>20</v>
      </c>
      <c r="J163" s="67" t="s">
        <v>51</v>
      </c>
      <c r="K163" s="67" t="s">
        <v>19</v>
      </c>
      <c r="L163" s="47" t="s">
        <v>296</v>
      </c>
      <c r="M163" s="47" t="s">
        <v>296</v>
      </c>
    </row>
    <row r="164" spans="1:13" x14ac:dyDescent="0.35">
      <c r="A164" s="17">
        <v>45635</v>
      </c>
      <c r="B164" s="39">
        <v>57.71</v>
      </c>
      <c r="C164" s="39">
        <v>5.08</v>
      </c>
      <c r="D164" s="39">
        <v>12412006</v>
      </c>
      <c r="E164" s="39" t="s">
        <v>119</v>
      </c>
      <c r="F164" s="39">
        <v>1255</v>
      </c>
      <c r="G164" s="35">
        <v>0.38541666666666669</v>
      </c>
      <c r="H164" s="35">
        <v>0.3923611111111111</v>
      </c>
      <c r="I164" s="36">
        <v>10</v>
      </c>
      <c r="J164" s="67" t="s">
        <v>51</v>
      </c>
      <c r="K164" s="67" t="s">
        <v>26</v>
      </c>
      <c r="L164" s="67" t="s">
        <v>32</v>
      </c>
      <c r="M164" s="47" t="s">
        <v>32</v>
      </c>
    </row>
    <row r="165" spans="1:13" x14ac:dyDescent="0.35">
      <c r="A165" s="17">
        <v>45636</v>
      </c>
      <c r="B165" s="39">
        <v>57.43</v>
      </c>
      <c r="C165" s="39">
        <v>5.21</v>
      </c>
      <c r="D165" s="39">
        <v>12412007</v>
      </c>
      <c r="E165" s="39" t="s">
        <v>116</v>
      </c>
      <c r="F165" s="39" t="s">
        <v>58</v>
      </c>
      <c r="G165" s="35">
        <v>0.60069444444444442</v>
      </c>
      <c r="H165" s="35">
        <v>0.62152777777777779</v>
      </c>
      <c r="I165" s="36">
        <v>30</v>
      </c>
      <c r="J165" s="67" t="s">
        <v>51</v>
      </c>
      <c r="K165" s="67" t="s">
        <v>52</v>
      </c>
      <c r="L165" s="67" t="s">
        <v>59</v>
      </c>
      <c r="M165" s="47" t="s">
        <v>54</v>
      </c>
    </row>
    <row r="166" spans="1:13" x14ac:dyDescent="0.35">
      <c r="A166" s="17">
        <v>45636</v>
      </c>
      <c r="B166" s="39">
        <v>57.43</v>
      </c>
      <c r="C166" s="39">
        <v>5.21</v>
      </c>
      <c r="D166" s="39">
        <v>12412007</v>
      </c>
      <c r="E166" s="39" t="s">
        <v>116</v>
      </c>
      <c r="F166" s="39" t="s">
        <v>58</v>
      </c>
      <c r="G166" s="35">
        <v>0.62152777777777779</v>
      </c>
      <c r="H166" s="35">
        <v>0.625</v>
      </c>
      <c r="I166" s="36">
        <v>5</v>
      </c>
      <c r="J166" s="67" t="s">
        <v>51</v>
      </c>
      <c r="K166" s="67" t="s">
        <v>21</v>
      </c>
      <c r="L166" s="47" t="s">
        <v>206</v>
      </c>
      <c r="M166" s="47" t="s">
        <v>206</v>
      </c>
    </row>
    <row r="167" spans="1:13" x14ac:dyDescent="0.35">
      <c r="A167" s="17">
        <v>45637</v>
      </c>
      <c r="B167" s="39">
        <v>56.64</v>
      </c>
      <c r="C167" s="39">
        <v>5.38</v>
      </c>
      <c r="D167" s="39">
        <v>12412008</v>
      </c>
      <c r="E167" s="39" t="s">
        <v>159</v>
      </c>
      <c r="F167" s="39">
        <v>1250</v>
      </c>
      <c r="G167" s="35">
        <v>0.77430555555555558</v>
      </c>
      <c r="H167" s="35">
        <v>0.81597222222222221</v>
      </c>
      <c r="I167" s="36">
        <v>60</v>
      </c>
      <c r="J167" s="67" t="s">
        <v>14</v>
      </c>
      <c r="K167" s="67" t="s">
        <v>26</v>
      </c>
      <c r="L167" s="88" t="s">
        <v>60</v>
      </c>
      <c r="M167" s="67" t="s">
        <v>297</v>
      </c>
    </row>
    <row r="168" spans="1:13" x14ac:dyDescent="0.35">
      <c r="A168" s="17">
        <v>45637</v>
      </c>
      <c r="B168" s="39">
        <v>56.64</v>
      </c>
      <c r="C168" s="39">
        <v>5.38</v>
      </c>
      <c r="D168" s="39">
        <v>12412008</v>
      </c>
      <c r="E168" s="39" t="s">
        <v>159</v>
      </c>
      <c r="F168" s="39">
        <v>1250</v>
      </c>
      <c r="G168" s="35">
        <v>0.81597222222222221</v>
      </c>
      <c r="H168" s="35">
        <v>0.82638888888888884</v>
      </c>
      <c r="I168" s="36">
        <v>15</v>
      </c>
      <c r="J168" s="67" t="s">
        <v>14</v>
      </c>
      <c r="K168" s="67" t="s">
        <v>21</v>
      </c>
      <c r="L168" s="67" t="s">
        <v>74</v>
      </c>
      <c r="M168" s="67" t="s">
        <v>298</v>
      </c>
    </row>
    <row r="169" spans="1:13" x14ac:dyDescent="0.35">
      <c r="A169" s="17">
        <v>45638</v>
      </c>
      <c r="B169" s="39">
        <v>56.87</v>
      </c>
      <c r="C169" s="39">
        <v>5.49</v>
      </c>
      <c r="D169" s="39">
        <v>12412009</v>
      </c>
      <c r="E169" s="39" t="s">
        <v>126</v>
      </c>
      <c r="F169" s="39">
        <v>1170</v>
      </c>
      <c r="G169" s="35">
        <v>0.93402777777777779</v>
      </c>
      <c r="H169" s="35">
        <v>0.99652777777777779</v>
      </c>
      <c r="I169" s="89">
        <v>90</v>
      </c>
      <c r="J169" s="67" t="s">
        <v>14</v>
      </c>
      <c r="K169" s="67" t="s">
        <v>26</v>
      </c>
      <c r="L169" s="67" t="s">
        <v>192</v>
      </c>
      <c r="M169" s="67" t="s">
        <v>299</v>
      </c>
    </row>
    <row r="170" spans="1:13" x14ac:dyDescent="0.35">
      <c r="A170" s="17">
        <v>45638</v>
      </c>
      <c r="B170" s="39">
        <v>56.87</v>
      </c>
      <c r="C170" s="39">
        <v>5.49</v>
      </c>
      <c r="D170" s="39">
        <v>12412009</v>
      </c>
      <c r="E170" s="39" t="s">
        <v>126</v>
      </c>
      <c r="F170" s="39">
        <v>1170</v>
      </c>
      <c r="G170" s="35">
        <v>0.99652777777777779</v>
      </c>
      <c r="H170" s="35">
        <v>0</v>
      </c>
      <c r="I170" s="89">
        <v>5</v>
      </c>
      <c r="J170" s="67" t="s">
        <v>14</v>
      </c>
      <c r="K170" s="67" t="s">
        <v>26</v>
      </c>
      <c r="L170" s="67" t="s">
        <v>32</v>
      </c>
      <c r="M170" s="67" t="s">
        <v>61</v>
      </c>
    </row>
    <row r="171" spans="1:13" x14ac:dyDescent="0.35">
      <c r="A171" s="17">
        <v>45639</v>
      </c>
      <c r="B171" s="39">
        <v>56.92</v>
      </c>
      <c r="C171" s="39">
        <v>5.33</v>
      </c>
      <c r="D171" s="39">
        <v>12411010</v>
      </c>
      <c r="E171" s="39" t="s">
        <v>13</v>
      </c>
      <c r="F171" s="39">
        <v>1260</v>
      </c>
      <c r="G171" s="35">
        <v>0.94791666666666663</v>
      </c>
      <c r="H171" s="35">
        <v>0.98958333333333337</v>
      </c>
      <c r="I171" s="36">
        <v>60</v>
      </c>
      <c r="J171" s="67" t="s">
        <v>14</v>
      </c>
      <c r="K171" s="67" t="s">
        <v>21</v>
      </c>
      <c r="L171" s="67" t="s">
        <v>300</v>
      </c>
      <c r="M171" s="67" t="s">
        <v>300</v>
      </c>
    </row>
    <row r="172" spans="1:13" x14ac:dyDescent="0.35">
      <c r="A172" s="17">
        <v>45639</v>
      </c>
      <c r="B172" s="39">
        <v>56.92</v>
      </c>
      <c r="C172" s="39">
        <v>5.33</v>
      </c>
      <c r="D172" s="39">
        <v>12411010</v>
      </c>
      <c r="E172" s="39" t="s">
        <v>13</v>
      </c>
      <c r="F172" s="39">
        <v>1260</v>
      </c>
      <c r="G172" s="35">
        <v>0.98958333333333337</v>
      </c>
      <c r="H172" s="35">
        <v>0</v>
      </c>
      <c r="I172" s="36">
        <v>15</v>
      </c>
      <c r="J172" s="67" t="s">
        <v>14</v>
      </c>
      <c r="K172" s="67" t="s">
        <v>41</v>
      </c>
      <c r="L172" s="37" t="s">
        <v>74</v>
      </c>
      <c r="M172" s="67" t="s">
        <v>301</v>
      </c>
    </row>
    <row r="173" spans="1:13" x14ac:dyDescent="0.35">
      <c r="A173" s="17">
        <v>45639</v>
      </c>
      <c r="B173" s="39">
        <v>56.92</v>
      </c>
      <c r="C173" s="39">
        <v>5.33</v>
      </c>
      <c r="D173" s="39">
        <v>12411010</v>
      </c>
      <c r="E173" s="39" t="s">
        <v>13</v>
      </c>
      <c r="F173" s="39">
        <v>1260</v>
      </c>
      <c r="G173" s="35">
        <v>0</v>
      </c>
      <c r="H173" s="35">
        <v>1.3194444444444444E-2</v>
      </c>
      <c r="I173" s="36">
        <v>19</v>
      </c>
      <c r="J173" s="67" t="s">
        <v>14</v>
      </c>
      <c r="K173" s="67" t="s">
        <v>19</v>
      </c>
      <c r="L173" s="67" t="s">
        <v>302</v>
      </c>
      <c r="M173" s="67" t="s">
        <v>302</v>
      </c>
    </row>
    <row r="174" spans="1:13" x14ac:dyDescent="0.35">
      <c r="A174" s="17">
        <v>45639</v>
      </c>
      <c r="B174" s="39">
        <v>56.92</v>
      </c>
      <c r="C174" s="39">
        <v>5.33</v>
      </c>
      <c r="D174" s="39">
        <v>12411011</v>
      </c>
      <c r="E174" s="39" t="s">
        <v>47</v>
      </c>
      <c r="F174" s="39">
        <v>1235</v>
      </c>
      <c r="G174" s="35">
        <v>1.4583333333333334E-2</v>
      </c>
      <c r="H174" s="35">
        <v>9.7222222222222224E-2</v>
      </c>
      <c r="I174" s="36">
        <v>119</v>
      </c>
      <c r="J174" s="37" t="s">
        <v>25</v>
      </c>
      <c r="K174" s="67" t="s">
        <v>21</v>
      </c>
      <c r="L174" s="37" t="s">
        <v>83</v>
      </c>
      <c r="M174" s="90" t="s">
        <v>258</v>
      </c>
    </row>
    <row r="175" spans="1:13" x14ac:dyDescent="0.35">
      <c r="A175" s="17">
        <v>45639</v>
      </c>
      <c r="B175" s="39">
        <v>56.92</v>
      </c>
      <c r="C175" s="39">
        <v>5.33</v>
      </c>
      <c r="D175" s="39">
        <v>12411011</v>
      </c>
      <c r="E175" s="39" t="s">
        <v>173</v>
      </c>
      <c r="F175" s="39">
        <v>1236</v>
      </c>
      <c r="G175" s="35">
        <v>9.7222222222222224E-2</v>
      </c>
      <c r="H175" s="35">
        <v>0.1076388888888889</v>
      </c>
      <c r="I175" s="36">
        <v>15</v>
      </c>
      <c r="J175" s="37" t="s">
        <v>25</v>
      </c>
      <c r="K175" s="67" t="s">
        <v>41</v>
      </c>
      <c r="L175" s="67" t="s">
        <v>303</v>
      </c>
      <c r="M175" s="67" t="s">
        <v>303</v>
      </c>
    </row>
    <row r="176" spans="1:13" x14ac:dyDescent="0.35">
      <c r="A176" s="17">
        <v>45640</v>
      </c>
      <c r="B176" s="39">
        <v>57.29</v>
      </c>
      <c r="C176" s="39">
        <v>5.31</v>
      </c>
      <c r="D176" s="39">
        <v>12411012</v>
      </c>
      <c r="E176" s="39" t="s">
        <v>57</v>
      </c>
      <c r="F176" s="39">
        <v>1235</v>
      </c>
      <c r="G176" s="35">
        <v>0.31944444444444442</v>
      </c>
      <c r="H176" s="35">
        <v>0.34027777777777779</v>
      </c>
      <c r="I176" s="36">
        <v>30</v>
      </c>
      <c r="J176" s="67" t="s">
        <v>51</v>
      </c>
      <c r="K176" s="67" t="s">
        <v>52</v>
      </c>
      <c r="L176" s="67" t="s">
        <v>59</v>
      </c>
      <c r="M176" s="47" t="s">
        <v>54</v>
      </c>
    </row>
    <row r="177" spans="1:13" x14ac:dyDescent="0.35">
      <c r="A177" s="17">
        <v>45640</v>
      </c>
      <c r="B177" s="39">
        <v>57.29</v>
      </c>
      <c r="C177" s="39">
        <v>5.31</v>
      </c>
      <c r="D177" s="39">
        <v>12411012</v>
      </c>
      <c r="E177" s="39" t="s">
        <v>57</v>
      </c>
      <c r="F177" s="39">
        <v>1235</v>
      </c>
      <c r="G177" s="35">
        <v>0.34027777777777779</v>
      </c>
      <c r="H177" s="35">
        <v>0.34722222222222221</v>
      </c>
      <c r="I177" s="36">
        <v>10</v>
      </c>
      <c r="J177" s="67" t="s">
        <v>51</v>
      </c>
      <c r="K177" s="67" t="s">
        <v>21</v>
      </c>
      <c r="L177" s="47" t="s">
        <v>206</v>
      </c>
      <c r="M177" s="47" t="s">
        <v>206</v>
      </c>
    </row>
    <row r="178" spans="1:13" x14ac:dyDescent="0.35">
      <c r="A178" s="17">
        <v>45641</v>
      </c>
      <c r="B178" s="39">
        <v>56.4</v>
      </c>
      <c r="C178" s="39">
        <v>4.8899999999999997</v>
      </c>
      <c r="D178" s="39">
        <v>12412013</v>
      </c>
      <c r="E178" s="39" t="s">
        <v>116</v>
      </c>
      <c r="F178" s="39">
        <v>1255</v>
      </c>
      <c r="G178" s="35">
        <v>0.51736111111111116</v>
      </c>
      <c r="H178" s="35">
        <v>0.53819444444444442</v>
      </c>
      <c r="I178" s="36">
        <v>30</v>
      </c>
      <c r="J178" s="67" t="s">
        <v>51</v>
      </c>
      <c r="K178" s="67" t="s">
        <v>52</v>
      </c>
      <c r="L178" s="47" t="s">
        <v>54</v>
      </c>
      <c r="M178" s="47" t="s">
        <v>54</v>
      </c>
    </row>
    <row r="179" spans="1:13" x14ac:dyDescent="0.35">
      <c r="A179" s="17">
        <v>45641</v>
      </c>
      <c r="B179" s="39">
        <v>56.4</v>
      </c>
      <c r="C179" s="39">
        <v>4.8899999999999997</v>
      </c>
      <c r="D179" s="39">
        <v>12412013</v>
      </c>
      <c r="E179" s="39" t="s">
        <v>116</v>
      </c>
      <c r="F179" s="39">
        <v>1255</v>
      </c>
      <c r="G179" s="35">
        <v>0.53819444444444442</v>
      </c>
      <c r="H179" s="35">
        <v>0.54861111111111116</v>
      </c>
      <c r="I179" s="36">
        <v>15</v>
      </c>
      <c r="J179" s="67" t="s">
        <v>51</v>
      </c>
      <c r="K179" s="67" t="s">
        <v>283</v>
      </c>
      <c r="L179" s="47" t="s">
        <v>59</v>
      </c>
      <c r="M179" s="47" t="s">
        <v>59</v>
      </c>
    </row>
    <row r="180" spans="1:13" x14ac:dyDescent="0.35">
      <c r="A180" s="17">
        <v>45641</v>
      </c>
      <c r="B180" s="39">
        <v>56.4</v>
      </c>
      <c r="C180" s="39">
        <v>4.8899999999999997</v>
      </c>
      <c r="D180" s="45">
        <v>12412014</v>
      </c>
      <c r="E180" s="45" t="s">
        <v>47</v>
      </c>
      <c r="F180" s="45">
        <v>1270</v>
      </c>
      <c r="G180" s="35">
        <v>0.5493055555555556</v>
      </c>
      <c r="H180" s="35">
        <v>0.62222222222222223</v>
      </c>
      <c r="I180" s="36">
        <v>105</v>
      </c>
      <c r="J180" s="80" t="s">
        <v>35</v>
      </c>
      <c r="K180" s="67" t="s">
        <v>19</v>
      </c>
      <c r="L180" s="47" t="s">
        <v>306</v>
      </c>
      <c r="M180" s="47" t="s">
        <v>306</v>
      </c>
    </row>
    <row r="181" spans="1:13" x14ac:dyDescent="0.35">
      <c r="A181" s="17">
        <v>45641</v>
      </c>
      <c r="B181" s="39">
        <v>56.4</v>
      </c>
      <c r="C181" s="39">
        <v>4.8899999999999997</v>
      </c>
      <c r="D181" s="45">
        <v>12412015</v>
      </c>
      <c r="E181" s="45" t="s">
        <v>47</v>
      </c>
      <c r="F181" s="45">
        <v>1270</v>
      </c>
      <c r="G181" s="35">
        <v>0.62291666666666667</v>
      </c>
      <c r="H181" s="35">
        <v>0.79166666666666663</v>
      </c>
      <c r="I181" s="36">
        <v>243</v>
      </c>
      <c r="J181" s="80" t="s">
        <v>35</v>
      </c>
      <c r="K181" s="67" t="s">
        <v>19</v>
      </c>
      <c r="L181" s="47" t="s">
        <v>307</v>
      </c>
      <c r="M181" s="47" t="s">
        <v>307</v>
      </c>
    </row>
    <row r="182" spans="1:13" x14ac:dyDescent="0.35">
      <c r="A182" s="17">
        <v>45642</v>
      </c>
      <c r="B182" s="45">
        <v>57</v>
      </c>
      <c r="C182" s="45">
        <v>5.41</v>
      </c>
      <c r="D182" s="45">
        <v>12412016</v>
      </c>
      <c r="E182" s="45" t="s">
        <v>311</v>
      </c>
      <c r="F182" s="45">
        <v>1230</v>
      </c>
      <c r="G182" s="35">
        <v>0.19791666666666666</v>
      </c>
      <c r="H182" s="35">
        <v>0.25</v>
      </c>
      <c r="I182" s="36">
        <v>75</v>
      </c>
      <c r="J182" s="37" t="s">
        <v>14</v>
      </c>
      <c r="K182" s="67" t="s">
        <v>21</v>
      </c>
      <c r="L182" s="47" t="s">
        <v>312</v>
      </c>
      <c r="M182" s="47" t="s">
        <v>312</v>
      </c>
    </row>
    <row r="183" spans="1:13" x14ac:dyDescent="0.35">
      <c r="A183" s="17">
        <v>45643</v>
      </c>
      <c r="B183" s="39">
        <v>56.65</v>
      </c>
      <c r="C183" s="39">
        <v>5.0599999999999996</v>
      </c>
      <c r="D183" s="39">
        <v>12412017</v>
      </c>
      <c r="E183" s="39" t="s">
        <v>313</v>
      </c>
      <c r="F183" s="39">
        <v>1255</v>
      </c>
      <c r="G183" s="35">
        <v>0.94444444444444442</v>
      </c>
      <c r="H183" s="35">
        <v>2.7777777777777776E-2</v>
      </c>
      <c r="I183" s="36">
        <v>120</v>
      </c>
      <c r="J183" s="37" t="s">
        <v>14</v>
      </c>
      <c r="K183" s="67" t="s">
        <v>41</v>
      </c>
      <c r="L183" s="67" t="s">
        <v>314</v>
      </c>
      <c r="M183" s="67" t="s">
        <v>314</v>
      </c>
    </row>
    <row r="184" spans="1:13" x14ac:dyDescent="0.35">
      <c r="A184" s="17">
        <v>45643</v>
      </c>
      <c r="B184" s="39">
        <v>56.65</v>
      </c>
      <c r="C184" s="39">
        <v>5.0599999999999996</v>
      </c>
      <c r="D184" s="39">
        <v>12412017</v>
      </c>
      <c r="E184" s="39" t="s">
        <v>313</v>
      </c>
      <c r="F184" s="39">
        <v>1255</v>
      </c>
      <c r="G184" s="35">
        <v>2.7777777777777776E-2</v>
      </c>
      <c r="H184" s="35">
        <v>5.9027777777777776E-2</v>
      </c>
      <c r="I184" s="36">
        <v>45</v>
      </c>
      <c r="J184" s="37" t="s">
        <v>14</v>
      </c>
      <c r="K184" s="67" t="s">
        <v>41</v>
      </c>
      <c r="L184" s="67" t="s">
        <v>315</v>
      </c>
      <c r="M184" s="67" t="s">
        <v>315</v>
      </c>
    </row>
    <row r="185" spans="1:13" x14ac:dyDescent="0.35">
      <c r="A185" s="17">
        <v>45643</v>
      </c>
      <c r="B185" s="39">
        <v>56.65</v>
      </c>
      <c r="C185" s="39">
        <v>5.0599999999999996</v>
      </c>
      <c r="D185" s="45">
        <v>12412018</v>
      </c>
      <c r="E185" s="45" t="s">
        <v>226</v>
      </c>
      <c r="F185" s="45">
        <v>1255</v>
      </c>
      <c r="G185" s="35">
        <v>0.42708333333333331</v>
      </c>
      <c r="H185" s="35">
        <v>0.4826388888888889</v>
      </c>
      <c r="I185" s="36">
        <v>80</v>
      </c>
      <c r="J185" s="37" t="s">
        <v>35</v>
      </c>
      <c r="K185" s="67" t="s">
        <v>26</v>
      </c>
      <c r="L185" s="91" t="s">
        <v>316</v>
      </c>
      <c r="M185" s="91" t="s">
        <v>316</v>
      </c>
    </row>
    <row r="186" spans="1:13" x14ac:dyDescent="0.35">
      <c r="A186" s="17">
        <v>45644</v>
      </c>
      <c r="B186" s="45">
        <v>56.6</v>
      </c>
      <c r="C186" s="45">
        <v>5</v>
      </c>
      <c r="D186" s="45">
        <v>12412019</v>
      </c>
      <c r="E186" s="45" t="s">
        <v>69</v>
      </c>
      <c r="F186" s="45">
        <v>1250</v>
      </c>
      <c r="G186" s="35">
        <v>0.51388888888888884</v>
      </c>
      <c r="H186" s="35">
        <v>0.91666666666666663</v>
      </c>
      <c r="I186" s="36">
        <v>580</v>
      </c>
      <c r="J186" s="37" t="s">
        <v>14</v>
      </c>
      <c r="K186" s="67" t="s">
        <v>41</v>
      </c>
      <c r="L186" s="67" t="s">
        <v>321</v>
      </c>
      <c r="M186" s="67" t="s">
        <v>321</v>
      </c>
    </row>
    <row r="187" spans="1:13" x14ac:dyDescent="0.35">
      <c r="A187" s="17">
        <v>45645</v>
      </c>
      <c r="B187" s="39">
        <v>57.09</v>
      </c>
      <c r="C187" s="39">
        <v>4.91</v>
      </c>
      <c r="D187" s="45">
        <v>12412019</v>
      </c>
      <c r="E187" s="45" t="s">
        <v>69</v>
      </c>
      <c r="F187" s="45">
        <v>1250</v>
      </c>
      <c r="G187" s="35">
        <v>0.91666666666666663</v>
      </c>
      <c r="H187" s="35">
        <v>0.56319444444444444</v>
      </c>
      <c r="I187" s="36">
        <v>931</v>
      </c>
      <c r="J187" s="37" t="s">
        <v>14</v>
      </c>
      <c r="K187" s="67" t="s">
        <v>41</v>
      </c>
      <c r="L187" s="37" t="s">
        <v>220</v>
      </c>
      <c r="M187" s="67" t="s">
        <v>325</v>
      </c>
    </row>
    <row r="188" spans="1:13" x14ac:dyDescent="0.35">
      <c r="A188" s="17">
        <v>45645</v>
      </c>
      <c r="B188" s="39">
        <v>57.09</v>
      </c>
      <c r="C188" s="39">
        <v>4.91</v>
      </c>
      <c r="D188" s="39">
        <v>12412020</v>
      </c>
      <c r="E188" s="39" t="s">
        <v>189</v>
      </c>
      <c r="F188" s="39" t="s">
        <v>88</v>
      </c>
      <c r="G188" s="35">
        <v>0.83333333333333337</v>
      </c>
      <c r="H188" s="35">
        <v>0.89583333333333337</v>
      </c>
      <c r="I188" s="36">
        <v>90</v>
      </c>
      <c r="J188" s="37" t="s">
        <v>35</v>
      </c>
      <c r="K188" s="67" t="s">
        <v>21</v>
      </c>
      <c r="L188" s="91" t="s">
        <v>326</v>
      </c>
      <c r="M188" s="91" t="s">
        <v>326</v>
      </c>
    </row>
    <row r="189" spans="1:13" x14ac:dyDescent="0.35">
      <c r="A189" s="17">
        <v>45645</v>
      </c>
      <c r="B189" s="39">
        <v>57.09</v>
      </c>
      <c r="C189" s="39">
        <v>4.91</v>
      </c>
      <c r="D189" s="39">
        <v>12412020</v>
      </c>
      <c r="E189" s="39" t="s">
        <v>189</v>
      </c>
      <c r="F189" s="39" t="s">
        <v>88</v>
      </c>
      <c r="G189" s="35">
        <v>0.89583333333333337</v>
      </c>
      <c r="H189" s="35">
        <v>0.91666666666666663</v>
      </c>
      <c r="I189" s="36">
        <v>30</v>
      </c>
      <c r="J189" s="37" t="s">
        <v>35</v>
      </c>
      <c r="K189" s="67" t="s">
        <v>19</v>
      </c>
      <c r="L189" s="37" t="s">
        <v>149</v>
      </c>
      <c r="M189" s="67" t="s">
        <v>327</v>
      </c>
    </row>
    <row r="190" spans="1:13" x14ac:dyDescent="0.35">
      <c r="A190" s="17">
        <v>45646</v>
      </c>
      <c r="B190" s="39">
        <v>57.09</v>
      </c>
      <c r="C190" s="39">
        <v>5.37</v>
      </c>
      <c r="D190" s="39">
        <v>12412020</v>
      </c>
      <c r="E190" s="39" t="s">
        <v>189</v>
      </c>
      <c r="F190" s="39" t="s">
        <v>88</v>
      </c>
      <c r="G190" s="35">
        <v>0.91666666666666663</v>
      </c>
      <c r="H190" s="35">
        <v>0.95833333333333337</v>
      </c>
      <c r="I190" s="36">
        <v>60</v>
      </c>
      <c r="J190" s="37" t="s">
        <v>35</v>
      </c>
      <c r="K190" s="67" t="s">
        <v>19</v>
      </c>
      <c r="L190" s="37" t="s">
        <v>149</v>
      </c>
      <c r="M190" s="38" t="s">
        <v>327</v>
      </c>
    </row>
    <row r="191" spans="1:13" x14ac:dyDescent="0.35">
      <c r="A191" s="17">
        <v>45646</v>
      </c>
      <c r="B191" s="39">
        <v>57.09</v>
      </c>
      <c r="C191" s="39">
        <v>5.37</v>
      </c>
      <c r="D191" s="45">
        <v>12412021</v>
      </c>
      <c r="E191" s="45" t="s">
        <v>313</v>
      </c>
      <c r="F191" s="45">
        <v>1230</v>
      </c>
      <c r="G191" s="35">
        <v>0.67361111111111116</v>
      </c>
      <c r="H191" s="35">
        <v>0.74652777777777779</v>
      </c>
      <c r="I191" s="36">
        <v>105</v>
      </c>
      <c r="J191" s="37" t="s">
        <v>25</v>
      </c>
      <c r="K191" s="67" t="s">
        <v>21</v>
      </c>
      <c r="L191" s="37" t="s">
        <v>83</v>
      </c>
      <c r="M191" s="93" t="s">
        <v>258</v>
      </c>
    </row>
    <row r="192" spans="1:13" x14ac:dyDescent="0.35">
      <c r="A192" s="17">
        <v>45646</v>
      </c>
      <c r="B192" s="39">
        <v>57.09</v>
      </c>
      <c r="C192" s="39">
        <v>5.37</v>
      </c>
      <c r="D192" s="45">
        <v>12412022</v>
      </c>
      <c r="E192" s="45" t="s">
        <v>47</v>
      </c>
      <c r="F192" s="45">
        <v>1250</v>
      </c>
      <c r="G192" s="35">
        <v>0.78125</v>
      </c>
      <c r="H192" s="35">
        <v>0.84375</v>
      </c>
      <c r="I192" s="36">
        <v>90</v>
      </c>
      <c r="J192" s="37" t="s">
        <v>35</v>
      </c>
      <c r="K192" s="67" t="s">
        <v>41</v>
      </c>
      <c r="L192" s="94" t="s">
        <v>328</v>
      </c>
      <c r="M192" s="94" t="s">
        <v>328</v>
      </c>
    </row>
    <row r="193" spans="1:13" x14ac:dyDescent="0.35">
      <c r="A193" s="17">
        <v>45648</v>
      </c>
      <c r="B193" s="45">
        <v>57.02</v>
      </c>
      <c r="C193" s="45">
        <v>5.46</v>
      </c>
      <c r="D193" s="45">
        <v>12412023</v>
      </c>
      <c r="E193" s="45" t="s">
        <v>119</v>
      </c>
      <c r="F193" s="45">
        <v>1250</v>
      </c>
      <c r="G193" s="35">
        <v>5.2083333333333336E-2</v>
      </c>
      <c r="H193" s="35">
        <v>7.2916666666666671E-2</v>
      </c>
      <c r="I193" s="36">
        <v>30</v>
      </c>
      <c r="J193" s="67" t="s">
        <v>51</v>
      </c>
      <c r="K193" s="67" t="s">
        <v>52</v>
      </c>
      <c r="L193" s="67" t="s">
        <v>53</v>
      </c>
      <c r="M193" s="47" t="s">
        <v>54</v>
      </c>
    </row>
    <row r="194" spans="1:13" x14ac:dyDescent="0.35">
      <c r="A194" s="17">
        <v>45649</v>
      </c>
      <c r="B194" s="39">
        <v>57.03</v>
      </c>
      <c r="C194" s="39">
        <v>5.34</v>
      </c>
      <c r="D194" s="39">
        <v>12412024</v>
      </c>
      <c r="E194" s="39" t="s">
        <v>50</v>
      </c>
      <c r="F194" s="39" t="s">
        <v>330</v>
      </c>
      <c r="G194" s="35">
        <v>6.9444444444444441E-3</v>
      </c>
      <c r="H194" s="35">
        <v>2.7777777777777776E-2</v>
      </c>
      <c r="I194" s="36">
        <v>30</v>
      </c>
      <c r="J194" s="67" t="s">
        <v>51</v>
      </c>
      <c r="K194" s="67" t="s">
        <v>52</v>
      </c>
      <c r="L194" s="67" t="s">
        <v>53</v>
      </c>
      <c r="M194" s="47" t="s">
        <v>54</v>
      </c>
    </row>
    <row r="195" spans="1:13" x14ac:dyDescent="0.35">
      <c r="A195" s="17">
        <v>45649</v>
      </c>
      <c r="B195" s="39">
        <v>57.03</v>
      </c>
      <c r="C195" s="39">
        <v>5.34</v>
      </c>
      <c r="D195" s="39">
        <v>12412024</v>
      </c>
      <c r="E195" s="39" t="s">
        <v>50</v>
      </c>
      <c r="F195" s="39" t="s">
        <v>330</v>
      </c>
      <c r="G195" s="35">
        <v>2.7777777777777776E-2</v>
      </c>
      <c r="H195" s="35">
        <v>3.3333333333333333E-2</v>
      </c>
      <c r="I195" s="36">
        <v>8</v>
      </c>
      <c r="J195" s="67" t="s">
        <v>51</v>
      </c>
      <c r="K195" s="67" t="s">
        <v>21</v>
      </c>
      <c r="L195" s="37" t="s">
        <v>73</v>
      </c>
      <c r="M195" s="47" t="s">
        <v>59</v>
      </c>
    </row>
    <row r="196" spans="1:13" x14ac:dyDescent="0.35">
      <c r="A196" s="17">
        <v>45649</v>
      </c>
      <c r="B196" s="39">
        <v>57.03</v>
      </c>
      <c r="C196" s="39">
        <v>5.34</v>
      </c>
      <c r="D196" s="39">
        <v>12412024</v>
      </c>
      <c r="E196" s="39" t="s">
        <v>50</v>
      </c>
      <c r="F196" s="39" t="s">
        <v>330</v>
      </c>
      <c r="G196" s="35">
        <v>3.3333333333333333E-2</v>
      </c>
      <c r="H196" s="35">
        <v>4.1666666666666664E-2</v>
      </c>
      <c r="I196" s="36">
        <v>12</v>
      </c>
      <c r="J196" s="67" t="s">
        <v>51</v>
      </c>
      <c r="K196" s="67" t="s">
        <v>62</v>
      </c>
      <c r="L196" s="67" t="s">
        <v>130</v>
      </c>
      <c r="M196" s="47" t="s">
        <v>131</v>
      </c>
    </row>
    <row r="197" spans="1:13" x14ac:dyDescent="0.35">
      <c r="A197" s="17">
        <v>45649</v>
      </c>
      <c r="B197" s="39">
        <v>57.03</v>
      </c>
      <c r="C197" s="39">
        <v>5.34</v>
      </c>
      <c r="D197" s="39">
        <v>12412024</v>
      </c>
      <c r="E197" s="39" t="s">
        <v>50</v>
      </c>
      <c r="F197" s="39" t="s">
        <v>330</v>
      </c>
      <c r="G197" s="35">
        <v>4.1666666666666664E-2</v>
      </c>
      <c r="H197" s="35">
        <v>4.8611111111111112E-2</v>
      </c>
      <c r="I197" s="36">
        <v>10</v>
      </c>
      <c r="J197" s="67" t="s">
        <v>51</v>
      </c>
      <c r="K197" s="67" t="s">
        <v>26</v>
      </c>
      <c r="L197" s="37" t="s">
        <v>331</v>
      </c>
      <c r="M197" s="47" t="s">
        <v>332</v>
      </c>
    </row>
    <row r="198" spans="1:13" x14ac:dyDescent="0.35">
      <c r="A198" s="17">
        <v>45650</v>
      </c>
      <c r="B198" s="39">
        <v>57.14</v>
      </c>
      <c r="C198" s="39">
        <v>5.36</v>
      </c>
      <c r="D198" s="45">
        <v>12412025</v>
      </c>
      <c r="E198" s="45" t="s">
        <v>119</v>
      </c>
      <c r="F198" s="45">
        <v>1230</v>
      </c>
      <c r="G198" s="35">
        <v>0.26041666666666669</v>
      </c>
      <c r="H198" s="35">
        <v>0.28125</v>
      </c>
      <c r="I198" s="36">
        <v>30</v>
      </c>
      <c r="J198" s="67" t="s">
        <v>51</v>
      </c>
      <c r="K198" s="67" t="s">
        <v>52</v>
      </c>
      <c r="L198" s="67" t="s">
        <v>53</v>
      </c>
      <c r="M198" s="67" t="s">
        <v>54</v>
      </c>
    </row>
    <row r="199" spans="1:13" x14ac:dyDescent="0.35">
      <c r="A199" s="17">
        <v>45650</v>
      </c>
      <c r="B199" s="39">
        <v>57.14</v>
      </c>
      <c r="C199" s="39">
        <v>5.36</v>
      </c>
      <c r="D199" s="45">
        <v>12412026</v>
      </c>
      <c r="E199" s="45" t="s">
        <v>173</v>
      </c>
      <c r="F199" s="45">
        <v>1255</v>
      </c>
      <c r="G199" s="35">
        <v>0.31527777777777777</v>
      </c>
      <c r="H199" s="35">
        <v>0.51041666666666663</v>
      </c>
      <c r="I199" s="36">
        <v>281</v>
      </c>
      <c r="J199" s="37" t="s">
        <v>35</v>
      </c>
      <c r="K199" s="67" t="s">
        <v>19</v>
      </c>
      <c r="L199" s="91" t="s">
        <v>334</v>
      </c>
      <c r="M199" s="91" t="s">
        <v>334</v>
      </c>
    </row>
    <row r="200" spans="1:13" x14ac:dyDescent="0.35">
      <c r="A200" s="17">
        <v>45651</v>
      </c>
      <c r="B200" s="45">
        <v>57.05</v>
      </c>
      <c r="C200" s="45">
        <v>5.27</v>
      </c>
      <c r="D200" s="45">
        <v>12412027</v>
      </c>
      <c r="E200" s="45" t="s">
        <v>313</v>
      </c>
      <c r="F200" s="45">
        <v>1255</v>
      </c>
      <c r="G200" s="35">
        <v>0.20833333333333334</v>
      </c>
      <c r="H200" s="35">
        <v>0.2722222222222222</v>
      </c>
      <c r="I200" s="36">
        <v>92</v>
      </c>
      <c r="J200" s="37" t="s">
        <v>35</v>
      </c>
      <c r="K200" s="67" t="s">
        <v>161</v>
      </c>
      <c r="L200" s="37" t="s">
        <v>337</v>
      </c>
      <c r="M200" s="91" t="s">
        <v>338</v>
      </c>
    </row>
    <row r="201" spans="1:13" x14ac:dyDescent="0.35">
      <c r="A201" s="17">
        <v>45652</v>
      </c>
      <c r="B201" s="45">
        <v>57.15</v>
      </c>
      <c r="C201" s="45">
        <v>5.46</v>
      </c>
      <c r="D201" s="45">
        <v>12412028</v>
      </c>
      <c r="E201" s="45" t="s">
        <v>122</v>
      </c>
      <c r="F201" s="45">
        <v>1250</v>
      </c>
      <c r="G201" s="35">
        <v>0.22916666666666666</v>
      </c>
      <c r="H201" s="35">
        <v>0.30416666666666664</v>
      </c>
      <c r="I201" s="36">
        <v>108</v>
      </c>
      <c r="J201" s="37" t="s">
        <v>25</v>
      </c>
      <c r="K201" s="67" t="s">
        <v>21</v>
      </c>
      <c r="L201" s="37" t="s">
        <v>83</v>
      </c>
      <c r="M201" s="93" t="s">
        <v>227</v>
      </c>
    </row>
    <row r="202" spans="1:13" x14ac:dyDescent="0.35">
      <c r="A202" s="17">
        <v>45653</v>
      </c>
      <c r="B202" s="39">
        <v>56.7</v>
      </c>
      <c r="C202" s="39">
        <v>5.35</v>
      </c>
      <c r="D202" s="39">
        <v>12412029</v>
      </c>
      <c r="E202" s="39" t="s">
        <v>80</v>
      </c>
      <c r="F202" s="39">
        <v>1250</v>
      </c>
      <c r="G202" s="35">
        <v>0.52777777777777779</v>
      </c>
      <c r="H202" s="35">
        <v>0.54861111111111116</v>
      </c>
      <c r="I202" s="36">
        <v>30</v>
      </c>
      <c r="J202" s="37" t="s">
        <v>51</v>
      </c>
      <c r="K202" s="67" t="s">
        <v>52</v>
      </c>
      <c r="L202" s="67" t="s">
        <v>53</v>
      </c>
      <c r="M202" s="67" t="s">
        <v>54</v>
      </c>
    </row>
    <row r="203" spans="1:13" x14ac:dyDescent="0.35">
      <c r="A203" s="17">
        <v>45653</v>
      </c>
      <c r="B203" s="39">
        <v>56.7</v>
      </c>
      <c r="C203" s="39">
        <v>5.35</v>
      </c>
      <c r="D203" s="39">
        <v>12412029</v>
      </c>
      <c r="E203" s="39" t="s">
        <v>80</v>
      </c>
      <c r="F203" s="39">
        <v>1250</v>
      </c>
      <c r="G203" s="35">
        <v>0.54861111111111116</v>
      </c>
      <c r="H203" s="35">
        <v>0.5541666666666667</v>
      </c>
      <c r="I203" s="36">
        <v>8</v>
      </c>
      <c r="J203" s="37" t="s">
        <v>51</v>
      </c>
      <c r="K203" s="67" t="s">
        <v>52</v>
      </c>
      <c r="L203" s="37" t="s">
        <v>59</v>
      </c>
      <c r="M203" s="67" t="s">
        <v>59</v>
      </c>
    </row>
    <row r="204" spans="1:13" x14ac:dyDescent="0.35">
      <c r="A204" s="17">
        <v>45653</v>
      </c>
      <c r="B204" s="39">
        <v>56.7</v>
      </c>
      <c r="C204" s="39">
        <v>5.35</v>
      </c>
      <c r="D204" s="39">
        <v>12412029</v>
      </c>
      <c r="E204" s="39" t="s">
        <v>80</v>
      </c>
      <c r="F204" s="39">
        <v>1250</v>
      </c>
      <c r="G204" s="35">
        <v>0.5541666666666667</v>
      </c>
      <c r="H204" s="35">
        <v>0.5625</v>
      </c>
      <c r="I204" s="36">
        <v>12</v>
      </c>
      <c r="J204" s="37" t="s">
        <v>51</v>
      </c>
      <c r="K204" s="67" t="s">
        <v>62</v>
      </c>
      <c r="L204" s="37" t="s">
        <v>130</v>
      </c>
      <c r="M204" s="67" t="s">
        <v>164</v>
      </c>
    </row>
    <row r="205" spans="1:13" x14ac:dyDescent="0.35">
      <c r="A205" s="17">
        <v>45653</v>
      </c>
      <c r="B205" s="39">
        <v>56.7</v>
      </c>
      <c r="C205" s="39">
        <v>5.35</v>
      </c>
      <c r="D205" s="39">
        <v>12412029</v>
      </c>
      <c r="E205" s="39" t="s">
        <v>80</v>
      </c>
      <c r="F205" s="39">
        <v>1250</v>
      </c>
      <c r="G205" s="35">
        <v>0.5625</v>
      </c>
      <c r="H205" s="35">
        <v>0.57638888888888884</v>
      </c>
      <c r="I205" s="36">
        <v>20</v>
      </c>
      <c r="J205" s="37" t="s">
        <v>51</v>
      </c>
      <c r="K205" s="67" t="s">
        <v>21</v>
      </c>
      <c r="L205" s="37" t="s">
        <v>55</v>
      </c>
      <c r="M205" s="67" t="s">
        <v>239</v>
      </c>
    </row>
    <row r="206" spans="1:13" x14ac:dyDescent="0.35">
      <c r="A206" s="17">
        <v>45654</v>
      </c>
      <c r="B206" s="39">
        <v>57.05</v>
      </c>
      <c r="C206" s="39">
        <v>5.23</v>
      </c>
      <c r="D206" s="45">
        <v>12412030</v>
      </c>
      <c r="E206" s="45" t="s">
        <v>72</v>
      </c>
      <c r="F206" s="45">
        <v>1250</v>
      </c>
      <c r="G206" s="35">
        <v>0.79513888888888884</v>
      </c>
      <c r="H206" s="35">
        <v>0.81180555555555556</v>
      </c>
      <c r="I206" s="36">
        <v>24</v>
      </c>
      <c r="J206" s="37" t="s">
        <v>51</v>
      </c>
      <c r="K206" s="67" t="s">
        <v>52</v>
      </c>
      <c r="L206" s="67" t="s">
        <v>53</v>
      </c>
      <c r="M206" s="67" t="s">
        <v>54</v>
      </c>
    </row>
    <row r="207" spans="1:13" x14ac:dyDescent="0.35">
      <c r="A207" s="17">
        <v>45654</v>
      </c>
      <c r="B207" s="39">
        <v>57.05</v>
      </c>
      <c r="C207" s="39">
        <v>5.23</v>
      </c>
      <c r="D207" s="45">
        <v>12412031</v>
      </c>
      <c r="E207" s="45" t="s">
        <v>47</v>
      </c>
      <c r="F207" s="45">
        <v>1255</v>
      </c>
      <c r="G207" s="35">
        <v>0.8125</v>
      </c>
      <c r="H207" s="35">
        <v>0.875</v>
      </c>
      <c r="I207" s="36">
        <v>90</v>
      </c>
      <c r="J207" s="37" t="s">
        <v>35</v>
      </c>
      <c r="K207" s="67" t="s">
        <v>21</v>
      </c>
      <c r="L207" s="91" t="s">
        <v>95</v>
      </c>
      <c r="M207" s="91" t="s">
        <v>95</v>
      </c>
    </row>
    <row r="208" spans="1:13" x14ac:dyDescent="0.35">
      <c r="A208" s="17">
        <v>45655</v>
      </c>
      <c r="B208" s="39">
        <v>57.09</v>
      </c>
      <c r="C208" s="39">
        <v>5.34</v>
      </c>
      <c r="D208" s="39">
        <v>12412032</v>
      </c>
      <c r="E208" s="39" t="s">
        <v>208</v>
      </c>
      <c r="F208" s="39">
        <v>1255</v>
      </c>
      <c r="G208" s="35">
        <v>0.64236111111111116</v>
      </c>
      <c r="H208" s="35">
        <v>0.70486111111111116</v>
      </c>
      <c r="I208" s="36">
        <v>90</v>
      </c>
      <c r="J208" s="37" t="s">
        <v>35</v>
      </c>
      <c r="K208" s="67" t="s">
        <v>19</v>
      </c>
      <c r="L208" s="47" t="s">
        <v>342</v>
      </c>
      <c r="M208" s="47" t="s">
        <v>342</v>
      </c>
    </row>
    <row r="209" spans="1:13" x14ac:dyDescent="0.35">
      <c r="A209" s="17">
        <v>45655</v>
      </c>
      <c r="B209" s="39">
        <v>57.09</v>
      </c>
      <c r="C209" s="39">
        <v>5.34</v>
      </c>
      <c r="D209" s="39">
        <v>12412032</v>
      </c>
      <c r="E209" s="39" t="s">
        <v>208</v>
      </c>
      <c r="F209" s="39">
        <v>1255</v>
      </c>
      <c r="G209" s="35">
        <v>0.70486111111111116</v>
      </c>
      <c r="H209" s="35">
        <v>0.81597222222222221</v>
      </c>
      <c r="I209" s="36">
        <v>160</v>
      </c>
      <c r="J209" s="37" t="s">
        <v>35</v>
      </c>
      <c r="K209" s="67" t="s">
        <v>19</v>
      </c>
      <c r="L209" s="47" t="s">
        <v>343</v>
      </c>
      <c r="M209" s="47" t="s">
        <v>343</v>
      </c>
    </row>
    <row r="210" spans="1:13" x14ac:dyDescent="0.35">
      <c r="A210" s="17">
        <v>45656</v>
      </c>
      <c r="B210" s="45">
        <v>57</v>
      </c>
      <c r="C210" s="45">
        <v>5.13</v>
      </c>
      <c r="D210" s="39">
        <v>12412033</v>
      </c>
      <c r="E210" s="39" t="s">
        <v>93</v>
      </c>
      <c r="F210" s="39">
        <v>1255</v>
      </c>
      <c r="G210" s="35">
        <v>0.96180555555555558</v>
      </c>
      <c r="H210" s="35">
        <v>0.98263888888888884</v>
      </c>
      <c r="I210" s="36">
        <v>30</v>
      </c>
      <c r="J210" s="37" t="s">
        <v>51</v>
      </c>
      <c r="K210" s="67" t="s">
        <v>52</v>
      </c>
      <c r="L210" s="67" t="s">
        <v>53</v>
      </c>
      <c r="M210" s="67" t="s">
        <v>54</v>
      </c>
    </row>
    <row r="211" spans="1:13" x14ac:dyDescent="0.35">
      <c r="A211" s="17">
        <v>45657</v>
      </c>
      <c r="B211" s="39">
        <v>57.03</v>
      </c>
      <c r="C211" s="39">
        <v>5.37</v>
      </c>
      <c r="D211" s="39">
        <v>12412033</v>
      </c>
      <c r="E211" s="39" t="s">
        <v>93</v>
      </c>
      <c r="F211" s="39">
        <v>1255</v>
      </c>
      <c r="G211" s="35">
        <v>0.98263888888888884</v>
      </c>
      <c r="H211" s="35">
        <v>0.98958333333333337</v>
      </c>
      <c r="I211" s="36">
        <v>10</v>
      </c>
      <c r="J211" s="37" t="s">
        <v>51</v>
      </c>
      <c r="K211" s="67" t="s">
        <v>21</v>
      </c>
      <c r="L211" s="37" t="s">
        <v>55</v>
      </c>
      <c r="M211" s="67" t="s">
        <v>348</v>
      </c>
    </row>
    <row r="212" spans="1:13" x14ac:dyDescent="0.35">
      <c r="A212" s="17">
        <v>45657</v>
      </c>
      <c r="B212" s="39">
        <v>57.03</v>
      </c>
      <c r="C212" s="39">
        <v>5.37</v>
      </c>
      <c r="D212" s="39">
        <v>12412033</v>
      </c>
      <c r="E212" s="39" t="s">
        <v>93</v>
      </c>
      <c r="F212" s="39">
        <v>1255</v>
      </c>
      <c r="G212" s="35">
        <v>0.98958333333333337</v>
      </c>
      <c r="H212" s="35">
        <v>4.8611111111111112E-3</v>
      </c>
      <c r="I212" s="36">
        <v>22</v>
      </c>
      <c r="J212" s="37" t="s">
        <v>51</v>
      </c>
      <c r="K212" s="67" t="s">
        <v>21</v>
      </c>
      <c r="L212" s="37" t="s">
        <v>55</v>
      </c>
      <c r="M212" s="67" t="s">
        <v>349</v>
      </c>
    </row>
    <row r="213" spans="1:13" x14ac:dyDescent="0.35">
      <c r="A213" s="17">
        <v>45657</v>
      </c>
      <c r="B213" s="39">
        <v>57.03</v>
      </c>
      <c r="C213" s="39">
        <v>5.37</v>
      </c>
      <c r="D213" s="39">
        <v>12412033</v>
      </c>
      <c r="E213" s="39" t="s">
        <v>93</v>
      </c>
      <c r="F213" s="39">
        <v>1255</v>
      </c>
      <c r="G213" s="35">
        <v>4.8611111111111112E-3</v>
      </c>
      <c r="H213" s="35">
        <v>8.3333333333333332E-3</v>
      </c>
      <c r="I213" s="36">
        <v>5</v>
      </c>
      <c r="J213" s="37" t="s">
        <v>51</v>
      </c>
      <c r="K213" s="67" t="s">
        <v>19</v>
      </c>
      <c r="L213" s="67" t="s">
        <v>350</v>
      </c>
      <c r="M213" s="67" t="s">
        <v>350</v>
      </c>
    </row>
    <row r="214" spans="1:13" x14ac:dyDescent="0.35">
      <c r="A214" s="17">
        <v>45658</v>
      </c>
      <c r="B214" s="39">
        <v>56.11</v>
      </c>
      <c r="C214" s="39">
        <v>4.93</v>
      </c>
      <c r="D214" s="45"/>
      <c r="E214" s="45"/>
      <c r="F214" s="45"/>
      <c r="G214" s="35">
        <v>0.91666666666666663</v>
      </c>
      <c r="H214" s="35">
        <v>0.97916666666666663</v>
      </c>
      <c r="I214" s="36">
        <v>90</v>
      </c>
      <c r="J214" s="37"/>
      <c r="K214" s="67" t="s">
        <v>26</v>
      </c>
      <c r="L214" s="67" t="s">
        <v>150</v>
      </c>
      <c r="M214" s="95" t="s">
        <v>356</v>
      </c>
    </row>
    <row r="215" spans="1:13" x14ac:dyDescent="0.35">
      <c r="A215" s="17">
        <v>45658</v>
      </c>
      <c r="B215" s="39">
        <v>56.11</v>
      </c>
      <c r="C215" s="39">
        <v>4.93</v>
      </c>
      <c r="D215" s="45">
        <v>12501001</v>
      </c>
      <c r="E215" s="45" t="s">
        <v>357</v>
      </c>
      <c r="F215" s="45">
        <v>1350</v>
      </c>
      <c r="G215" s="35">
        <v>0.59375</v>
      </c>
      <c r="H215" s="35">
        <v>0.67708333333333337</v>
      </c>
      <c r="I215" s="36">
        <v>120</v>
      </c>
      <c r="J215" s="37" t="s">
        <v>25</v>
      </c>
      <c r="K215" s="67" t="s">
        <v>21</v>
      </c>
      <c r="L215" s="37" t="s">
        <v>83</v>
      </c>
      <c r="M215" s="96" t="s">
        <v>358</v>
      </c>
    </row>
    <row r="216" spans="1:13" x14ac:dyDescent="0.35">
      <c r="A216" s="17">
        <v>45658</v>
      </c>
      <c r="B216" s="39">
        <v>56.11</v>
      </c>
      <c r="C216" s="39">
        <v>4.93</v>
      </c>
      <c r="D216" s="45">
        <v>12501002</v>
      </c>
      <c r="E216" s="45" t="s">
        <v>285</v>
      </c>
      <c r="F216" s="45">
        <v>1350</v>
      </c>
      <c r="G216" s="35">
        <v>0.85763888888888884</v>
      </c>
      <c r="H216" s="35">
        <v>0.91666666666666663</v>
      </c>
      <c r="I216" s="36">
        <v>85</v>
      </c>
      <c r="J216" s="37" t="s">
        <v>35</v>
      </c>
      <c r="K216" s="67" t="s">
        <v>62</v>
      </c>
      <c r="L216" s="37" t="s">
        <v>236</v>
      </c>
      <c r="M216" s="97" t="s">
        <v>359</v>
      </c>
    </row>
    <row r="217" spans="1:13" x14ac:dyDescent="0.35">
      <c r="A217" s="17">
        <v>45659</v>
      </c>
      <c r="B217" s="39">
        <v>57.44</v>
      </c>
      <c r="C217" s="39">
        <v>4.58</v>
      </c>
      <c r="D217" s="45">
        <v>12501002</v>
      </c>
      <c r="E217" s="45" t="s">
        <v>285</v>
      </c>
      <c r="F217" s="45">
        <v>1350</v>
      </c>
      <c r="G217" s="35">
        <v>0.91666666666666663</v>
      </c>
      <c r="H217" s="35">
        <v>0.92013888888888884</v>
      </c>
      <c r="I217" s="36">
        <v>5</v>
      </c>
      <c r="J217" s="37" t="s">
        <v>35</v>
      </c>
      <c r="K217" s="67" t="s">
        <v>62</v>
      </c>
      <c r="L217" s="37" t="s">
        <v>236</v>
      </c>
      <c r="M217" s="95" t="s">
        <v>360</v>
      </c>
    </row>
    <row r="218" spans="1:13" x14ac:dyDescent="0.35">
      <c r="A218" s="17">
        <v>45659</v>
      </c>
      <c r="B218" s="39">
        <v>57.44</v>
      </c>
      <c r="C218" s="39">
        <v>4.58</v>
      </c>
      <c r="D218" s="45">
        <v>12501002</v>
      </c>
      <c r="E218" s="45" t="s">
        <v>285</v>
      </c>
      <c r="F218" s="45">
        <v>1350</v>
      </c>
      <c r="G218" s="35">
        <v>0.92013888888888884</v>
      </c>
      <c r="H218" s="35">
        <v>0.94097222222222221</v>
      </c>
      <c r="I218" s="36">
        <v>30</v>
      </c>
      <c r="J218" s="37" t="s">
        <v>35</v>
      </c>
      <c r="K218" s="67" t="s">
        <v>21</v>
      </c>
      <c r="L218" s="37" t="s">
        <v>292</v>
      </c>
      <c r="M218" s="95" t="s">
        <v>361</v>
      </c>
    </row>
    <row r="219" spans="1:13" x14ac:dyDescent="0.35">
      <c r="A219" s="17">
        <v>45659</v>
      </c>
      <c r="B219" s="39">
        <v>57.44</v>
      </c>
      <c r="C219" s="39">
        <v>4.58</v>
      </c>
      <c r="D219" s="45">
        <v>12501003</v>
      </c>
      <c r="E219" s="45" t="s">
        <v>44</v>
      </c>
      <c r="F219" s="45">
        <v>1260</v>
      </c>
      <c r="G219" s="35">
        <v>6.9444444444444448E-2</v>
      </c>
      <c r="H219" s="35">
        <v>0.13194444444444445</v>
      </c>
      <c r="I219" s="36">
        <v>90</v>
      </c>
      <c r="J219" s="37" t="s">
        <v>14</v>
      </c>
      <c r="K219" s="67" t="s">
        <v>26</v>
      </c>
      <c r="L219" s="37" t="s">
        <v>362</v>
      </c>
      <c r="M219" s="95" t="s">
        <v>363</v>
      </c>
    </row>
    <row r="220" spans="1:13" x14ac:dyDescent="0.35">
      <c r="A220" s="17">
        <v>45659</v>
      </c>
      <c r="B220" s="39">
        <v>57.44</v>
      </c>
      <c r="C220" s="39">
        <v>4.58</v>
      </c>
      <c r="D220" s="45">
        <v>12501004</v>
      </c>
      <c r="E220" s="45" t="s">
        <v>189</v>
      </c>
      <c r="F220" s="45">
        <v>1260</v>
      </c>
      <c r="G220" s="35">
        <v>0.39583333333333331</v>
      </c>
      <c r="H220" s="35">
        <v>0.77777777777777779</v>
      </c>
      <c r="I220" s="36">
        <v>550</v>
      </c>
      <c r="J220" s="37" t="s">
        <v>35</v>
      </c>
      <c r="K220" s="67" t="s">
        <v>62</v>
      </c>
      <c r="L220" s="37" t="s">
        <v>236</v>
      </c>
      <c r="M220" s="97" t="s">
        <v>364</v>
      </c>
    </row>
    <row r="221" spans="1:13" x14ac:dyDescent="0.35">
      <c r="A221" s="17">
        <v>45659</v>
      </c>
      <c r="B221" s="39">
        <v>57.44</v>
      </c>
      <c r="C221" s="39">
        <v>4.58</v>
      </c>
      <c r="D221" s="45">
        <v>12501005</v>
      </c>
      <c r="E221" s="45" t="s">
        <v>47</v>
      </c>
      <c r="F221" s="45">
        <v>1255</v>
      </c>
      <c r="G221" s="35">
        <v>0.8125</v>
      </c>
      <c r="H221" s="35">
        <v>0.89375000000000004</v>
      </c>
      <c r="I221" s="36">
        <v>117</v>
      </c>
      <c r="J221" s="37" t="s">
        <v>14</v>
      </c>
      <c r="K221" s="67" t="s">
        <v>26</v>
      </c>
      <c r="L221" s="37" t="s">
        <v>192</v>
      </c>
      <c r="M221" s="95" t="s">
        <v>365</v>
      </c>
    </row>
    <row r="222" spans="1:13" x14ac:dyDescent="0.35">
      <c r="A222" s="17">
        <v>45660</v>
      </c>
      <c r="B222" s="39">
        <v>57.19</v>
      </c>
      <c r="C222" s="39">
        <v>5.18</v>
      </c>
      <c r="D222" s="39">
        <v>12501006</v>
      </c>
      <c r="E222" s="39" t="s">
        <v>34</v>
      </c>
      <c r="F222" s="39">
        <v>1255</v>
      </c>
      <c r="G222" s="35">
        <v>0.95833333333333337</v>
      </c>
      <c r="H222" s="35">
        <v>2.0833333333333332E-2</v>
      </c>
      <c r="I222" s="36">
        <v>90</v>
      </c>
      <c r="J222" s="37" t="s">
        <v>35</v>
      </c>
      <c r="K222" s="67" t="s">
        <v>26</v>
      </c>
      <c r="L222" s="49" t="s">
        <v>369</v>
      </c>
      <c r="M222" s="49" t="s">
        <v>369</v>
      </c>
    </row>
    <row r="223" spans="1:13" x14ac:dyDescent="0.35">
      <c r="A223" s="17">
        <v>45660</v>
      </c>
      <c r="B223" s="39">
        <v>57.19</v>
      </c>
      <c r="C223" s="39">
        <v>5.18</v>
      </c>
      <c r="D223" s="39">
        <v>12501006</v>
      </c>
      <c r="E223" s="39" t="s">
        <v>34</v>
      </c>
      <c r="F223" s="39">
        <v>1255</v>
      </c>
      <c r="G223" s="35">
        <v>2.0833333333333332E-2</v>
      </c>
      <c r="H223" s="35">
        <v>4.1666666666666664E-2</v>
      </c>
      <c r="I223" s="36">
        <v>30</v>
      </c>
      <c r="J223" s="37" t="s">
        <v>35</v>
      </c>
      <c r="K223" s="67" t="s">
        <v>21</v>
      </c>
      <c r="L223" s="47" t="s">
        <v>370</v>
      </c>
      <c r="M223" s="47" t="s">
        <v>370</v>
      </c>
    </row>
    <row r="224" spans="1:13" x14ac:dyDescent="0.35">
      <c r="A224" s="17">
        <v>45660</v>
      </c>
      <c r="B224" s="39">
        <v>57.19</v>
      </c>
      <c r="C224" s="39">
        <v>5.18</v>
      </c>
      <c r="D224" s="39">
        <v>12501006</v>
      </c>
      <c r="E224" s="39" t="s">
        <v>34</v>
      </c>
      <c r="F224" s="39">
        <v>1255</v>
      </c>
      <c r="G224" s="35">
        <v>4.1666666666666664E-2</v>
      </c>
      <c r="H224" s="35">
        <v>8.1944444444444445E-2</v>
      </c>
      <c r="I224" s="36">
        <v>58</v>
      </c>
      <c r="J224" s="37" t="s">
        <v>35</v>
      </c>
      <c r="K224" s="67" t="s">
        <v>41</v>
      </c>
      <c r="L224" s="47" t="s">
        <v>371</v>
      </c>
      <c r="M224" s="47" t="s">
        <v>371</v>
      </c>
    </row>
    <row r="225" spans="1:13" x14ac:dyDescent="0.35">
      <c r="A225" s="17">
        <v>45660</v>
      </c>
      <c r="B225" s="39">
        <v>57.19</v>
      </c>
      <c r="C225" s="39">
        <v>5.18</v>
      </c>
      <c r="D225" s="45">
        <v>12501007</v>
      </c>
      <c r="E225" s="45" t="s">
        <v>285</v>
      </c>
      <c r="F225" s="45">
        <v>1255</v>
      </c>
      <c r="G225" s="35">
        <v>0.25208333333333333</v>
      </c>
      <c r="H225" s="35">
        <v>0.32291666666666669</v>
      </c>
      <c r="I225" s="36">
        <v>102</v>
      </c>
      <c r="J225" s="37" t="s">
        <v>35</v>
      </c>
      <c r="K225" s="67" t="s">
        <v>21</v>
      </c>
      <c r="L225" s="49" t="s">
        <v>372</v>
      </c>
      <c r="M225" s="49" t="s">
        <v>372</v>
      </c>
    </row>
    <row r="226" spans="1:13" x14ac:dyDescent="0.35">
      <c r="A226" s="17">
        <v>45661</v>
      </c>
      <c r="B226" s="39">
        <v>57</v>
      </c>
      <c r="C226" s="39">
        <v>4.75</v>
      </c>
      <c r="D226" s="39">
        <v>12501008</v>
      </c>
      <c r="E226" s="39" t="s">
        <v>156</v>
      </c>
      <c r="F226" s="39">
        <v>1170</v>
      </c>
      <c r="G226" s="99">
        <v>0.25347222222222221</v>
      </c>
      <c r="H226" s="35">
        <v>0.35416666666666669</v>
      </c>
      <c r="I226" s="36">
        <v>145</v>
      </c>
      <c r="J226" s="37" t="s">
        <v>35</v>
      </c>
      <c r="K226" s="67" t="s">
        <v>41</v>
      </c>
      <c r="L226" s="37"/>
      <c r="M226" s="49" t="s">
        <v>373</v>
      </c>
    </row>
    <row r="227" spans="1:13" x14ac:dyDescent="0.35">
      <c r="A227" s="17">
        <v>45661</v>
      </c>
      <c r="B227" s="39">
        <v>57</v>
      </c>
      <c r="C227" s="39">
        <v>4.75</v>
      </c>
      <c r="D227" s="39">
        <v>12501008</v>
      </c>
      <c r="E227" s="39" t="s">
        <v>156</v>
      </c>
      <c r="F227" s="39">
        <v>1170</v>
      </c>
      <c r="G227" s="99">
        <v>0.35416666666666669</v>
      </c>
      <c r="H227" s="35">
        <v>0.91666666666666663</v>
      </c>
      <c r="I227" s="36">
        <v>810</v>
      </c>
      <c r="J227" s="37" t="s">
        <v>14</v>
      </c>
      <c r="K227" s="67" t="s">
        <v>15</v>
      </c>
      <c r="L227" s="37" t="s">
        <v>16</v>
      </c>
      <c r="M227" s="47" t="s">
        <v>17</v>
      </c>
    </row>
    <row r="228" spans="1:13" x14ac:dyDescent="0.35">
      <c r="A228" s="17">
        <v>45662</v>
      </c>
      <c r="B228" s="39">
        <v>58</v>
      </c>
      <c r="C228" s="39">
        <v>4.46</v>
      </c>
      <c r="D228" s="39">
        <v>12501008</v>
      </c>
      <c r="E228" s="39" t="s">
        <v>156</v>
      </c>
      <c r="F228" s="39">
        <v>1170</v>
      </c>
      <c r="G228" s="35">
        <v>0.91666666666666663</v>
      </c>
      <c r="H228" s="35">
        <v>2.0833333333333332E-2</v>
      </c>
      <c r="I228" s="36">
        <v>150</v>
      </c>
      <c r="J228" s="37" t="s">
        <v>14</v>
      </c>
      <c r="K228" s="67" t="s">
        <v>15</v>
      </c>
      <c r="L228" s="37" t="s">
        <v>16</v>
      </c>
      <c r="M228" s="47" t="s">
        <v>17</v>
      </c>
    </row>
    <row r="229" spans="1:13" x14ac:dyDescent="0.35">
      <c r="A229" s="17">
        <v>45662</v>
      </c>
      <c r="B229" s="39">
        <v>58</v>
      </c>
      <c r="C229" s="39">
        <v>4.46</v>
      </c>
      <c r="D229" s="39">
        <v>12501008</v>
      </c>
      <c r="E229" s="39" t="s">
        <v>156</v>
      </c>
      <c r="F229" s="39">
        <v>1170</v>
      </c>
      <c r="G229" s="35">
        <v>2.0833333333333332E-2</v>
      </c>
      <c r="H229" s="35">
        <v>0.41458333333333336</v>
      </c>
      <c r="I229" s="36">
        <v>567</v>
      </c>
      <c r="J229" s="37" t="s">
        <v>14</v>
      </c>
      <c r="K229" s="67" t="s">
        <v>41</v>
      </c>
      <c r="L229" s="47" t="s">
        <v>374</v>
      </c>
      <c r="M229" s="47" t="s">
        <v>374</v>
      </c>
    </row>
    <row r="230" spans="1:13" x14ac:dyDescent="0.35">
      <c r="A230" s="17">
        <v>45662</v>
      </c>
      <c r="B230" s="39">
        <v>58</v>
      </c>
      <c r="C230" s="39">
        <v>4.46</v>
      </c>
      <c r="D230" s="45">
        <v>12501009</v>
      </c>
      <c r="E230" s="45" t="s">
        <v>126</v>
      </c>
      <c r="F230" s="45">
        <v>1040</v>
      </c>
      <c r="G230" s="35">
        <v>0.55902777777777779</v>
      </c>
      <c r="H230" s="35">
        <v>0.66666666666666663</v>
      </c>
      <c r="I230" s="36">
        <v>155</v>
      </c>
      <c r="J230" s="37" t="s">
        <v>14</v>
      </c>
      <c r="K230" s="67" t="s">
        <v>26</v>
      </c>
      <c r="L230" s="37" t="s">
        <v>362</v>
      </c>
      <c r="M230" s="47" t="s">
        <v>375</v>
      </c>
    </row>
    <row r="231" spans="1:13" x14ac:dyDescent="0.35">
      <c r="A231" s="17">
        <v>45662</v>
      </c>
      <c r="B231" s="39">
        <v>58</v>
      </c>
      <c r="C231" s="39">
        <v>4.46</v>
      </c>
      <c r="D231" s="39">
        <v>12501010</v>
      </c>
      <c r="E231" s="39" t="s">
        <v>47</v>
      </c>
      <c r="F231" s="39">
        <v>1040</v>
      </c>
      <c r="G231" s="35">
        <v>0.66805555555555551</v>
      </c>
      <c r="H231" s="35">
        <v>0.73055555555555551</v>
      </c>
      <c r="I231" s="36">
        <v>90</v>
      </c>
      <c r="J231" s="37" t="s">
        <v>35</v>
      </c>
      <c r="K231" s="67" t="s">
        <v>21</v>
      </c>
      <c r="L231" s="49" t="s">
        <v>376</v>
      </c>
      <c r="M231" s="49" t="s">
        <v>376</v>
      </c>
    </row>
    <row r="232" spans="1:13" x14ac:dyDescent="0.35">
      <c r="A232" s="17">
        <v>45662</v>
      </c>
      <c r="B232" s="39">
        <v>58</v>
      </c>
      <c r="C232" s="39">
        <v>4.46</v>
      </c>
      <c r="D232" s="39">
        <v>12501010</v>
      </c>
      <c r="E232" s="39" t="s">
        <v>47</v>
      </c>
      <c r="F232" s="39">
        <v>1040</v>
      </c>
      <c r="G232" s="35">
        <v>0.73055555555555551</v>
      </c>
      <c r="H232" s="35">
        <v>0.74305555555555558</v>
      </c>
      <c r="I232" s="36">
        <v>18</v>
      </c>
      <c r="J232" s="37" t="s">
        <v>35</v>
      </c>
      <c r="K232" s="67" t="s">
        <v>41</v>
      </c>
      <c r="L232" s="47" t="s">
        <v>377</v>
      </c>
      <c r="M232" s="47" t="s">
        <v>377</v>
      </c>
    </row>
    <row r="233" spans="1:13" x14ac:dyDescent="0.35">
      <c r="A233" s="17">
        <v>45662</v>
      </c>
      <c r="B233" s="39">
        <v>58</v>
      </c>
      <c r="C233" s="39">
        <v>4.46</v>
      </c>
      <c r="D233" s="45">
        <v>12501011</v>
      </c>
      <c r="E233" s="45" t="s">
        <v>47</v>
      </c>
      <c r="F233" s="45">
        <v>1040</v>
      </c>
      <c r="G233" s="35">
        <v>0.74444444444444446</v>
      </c>
      <c r="H233" s="35">
        <v>0.82638888888888884</v>
      </c>
      <c r="I233" s="36">
        <v>118</v>
      </c>
      <c r="J233" s="37" t="s">
        <v>25</v>
      </c>
      <c r="K233" s="67" t="s">
        <v>21</v>
      </c>
      <c r="L233" s="37" t="s">
        <v>83</v>
      </c>
      <c r="M233" s="60" t="s">
        <v>378</v>
      </c>
    </row>
    <row r="234" spans="1:13" x14ac:dyDescent="0.35">
      <c r="A234" s="17">
        <v>45663</v>
      </c>
      <c r="B234" s="39">
        <v>57.91</v>
      </c>
      <c r="C234" s="39">
        <v>5.3</v>
      </c>
      <c r="D234" s="39">
        <v>12501012</v>
      </c>
      <c r="E234" s="39" t="s">
        <v>208</v>
      </c>
      <c r="F234" s="39" t="s">
        <v>381</v>
      </c>
      <c r="G234" s="35">
        <v>0.75</v>
      </c>
      <c r="H234" s="35">
        <v>0.77083333333333337</v>
      </c>
      <c r="I234" s="36">
        <v>30</v>
      </c>
      <c r="J234" s="37" t="s">
        <v>51</v>
      </c>
      <c r="K234" s="67" t="s">
        <v>52</v>
      </c>
      <c r="L234" s="37" t="s">
        <v>53</v>
      </c>
      <c r="M234" s="47" t="s">
        <v>54</v>
      </c>
    </row>
    <row r="235" spans="1:13" x14ac:dyDescent="0.35">
      <c r="A235" s="17">
        <v>45663</v>
      </c>
      <c r="B235" s="39">
        <v>57.91</v>
      </c>
      <c r="C235" s="39">
        <v>5.3</v>
      </c>
      <c r="D235" s="39">
        <v>12501012</v>
      </c>
      <c r="E235" s="39" t="s">
        <v>208</v>
      </c>
      <c r="F235" s="39" t="s">
        <v>381</v>
      </c>
      <c r="G235" s="35">
        <v>0.77083333333333337</v>
      </c>
      <c r="H235" s="35">
        <v>0.80208333333333337</v>
      </c>
      <c r="I235" s="36">
        <v>45</v>
      </c>
      <c r="J235" s="37" t="s">
        <v>51</v>
      </c>
      <c r="K235" s="67" t="s">
        <v>19</v>
      </c>
      <c r="L235" s="47" t="s">
        <v>382</v>
      </c>
      <c r="M235" s="47" t="s">
        <v>382</v>
      </c>
    </row>
    <row r="236" spans="1:13" x14ac:dyDescent="0.35">
      <c r="A236" s="17">
        <v>45664</v>
      </c>
      <c r="B236" s="39">
        <v>56.02</v>
      </c>
      <c r="C236" s="39">
        <v>5.51</v>
      </c>
      <c r="D236" s="39">
        <v>12501013</v>
      </c>
      <c r="E236" s="39" t="s">
        <v>44</v>
      </c>
      <c r="F236" s="39">
        <v>1230</v>
      </c>
      <c r="G236" s="35">
        <v>0.91666666666666663</v>
      </c>
      <c r="H236" s="35">
        <v>0.97916666666666663</v>
      </c>
      <c r="I236" s="36">
        <v>90</v>
      </c>
      <c r="J236" s="37" t="s">
        <v>35</v>
      </c>
      <c r="K236" s="67" t="s">
        <v>26</v>
      </c>
      <c r="L236" s="37" t="s">
        <v>192</v>
      </c>
      <c r="M236" s="62" t="s">
        <v>385</v>
      </c>
    </row>
    <row r="237" spans="1:13" x14ac:dyDescent="0.35">
      <c r="A237" s="17">
        <v>45664</v>
      </c>
      <c r="B237" s="39">
        <v>56.02</v>
      </c>
      <c r="C237" s="39">
        <v>5.51</v>
      </c>
      <c r="D237" s="39">
        <v>12501013</v>
      </c>
      <c r="E237" s="39" t="s">
        <v>44</v>
      </c>
      <c r="F237" s="39">
        <v>1230</v>
      </c>
      <c r="G237" s="35">
        <v>0.97916666666666663</v>
      </c>
      <c r="H237" s="35">
        <v>0.98958333333333337</v>
      </c>
      <c r="I237" s="36">
        <v>15</v>
      </c>
      <c r="J237" s="37" t="s">
        <v>35</v>
      </c>
      <c r="K237" s="67" t="s">
        <v>21</v>
      </c>
      <c r="L237" s="47" t="s">
        <v>386</v>
      </c>
      <c r="M237" s="47" t="s">
        <v>386</v>
      </c>
    </row>
    <row r="238" spans="1:13" x14ac:dyDescent="0.35">
      <c r="A238" s="17">
        <v>45665</v>
      </c>
      <c r="B238" s="39">
        <v>55.41</v>
      </c>
      <c r="C238" s="39">
        <v>5.35</v>
      </c>
      <c r="D238" s="39">
        <v>12501014</v>
      </c>
      <c r="E238" s="39" t="s">
        <v>72</v>
      </c>
      <c r="F238" s="39" t="s">
        <v>387</v>
      </c>
      <c r="G238" s="35">
        <v>0.21249999999999999</v>
      </c>
      <c r="H238" s="35">
        <v>0.23333333333333334</v>
      </c>
      <c r="I238" s="36">
        <v>30</v>
      </c>
      <c r="J238" s="37" t="s">
        <v>51</v>
      </c>
      <c r="K238" s="67" t="s">
        <v>52</v>
      </c>
      <c r="L238" s="37" t="s">
        <v>53</v>
      </c>
      <c r="M238" s="58" t="s">
        <v>54</v>
      </c>
    </row>
    <row r="239" spans="1:13" x14ac:dyDescent="0.35">
      <c r="A239" s="17">
        <v>45665</v>
      </c>
      <c r="B239" s="39">
        <v>55.41</v>
      </c>
      <c r="C239" s="39">
        <v>5.35</v>
      </c>
      <c r="D239" s="39">
        <v>12501014</v>
      </c>
      <c r="E239" s="39" t="s">
        <v>72</v>
      </c>
      <c r="F239" s="39" t="s">
        <v>387</v>
      </c>
      <c r="G239" s="35">
        <v>0.23333333333333334</v>
      </c>
      <c r="H239" s="35">
        <v>0.24027777777777778</v>
      </c>
      <c r="I239" s="36">
        <v>10</v>
      </c>
      <c r="J239" s="37" t="s">
        <v>51</v>
      </c>
      <c r="K239" s="67" t="s">
        <v>52</v>
      </c>
      <c r="L239" s="37" t="s">
        <v>59</v>
      </c>
      <c r="M239" s="58" t="s">
        <v>59</v>
      </c>
    </row>
    <row r="240" spans="1:13" x14ac:dyDescent="0.35">
      <c r="A240" s="17">
        <v>45665</v>
      </c>
      <c r="B240" s="39">
        <v>55.41</v>
      </c>
      <c r="C240" s="39">
        <v>5.35</v>
      </c>
      <c r="D240" s="39">
        <v>12501014</v>
      </c>
      <c r="E240" s="39" t="s">
        <v>72</v>
      </c>
      <c r="F240" s="39" t="s">
        <v>387</v>
      </c>
      <c r="G240" s="35">
        <v>0.24027777777777778</v>
      </c>
      <c r="H240" s="35">
        <v>0.24861111111111112</v>
      </c>
      <c r="I240" s="36">
        <v>12</v>
      </c>
      <c r="J240" s="37" t="s">
        <v>51</v>
      </c>
      <c r="K240" s="67" t="s">
        <v>62</v>
      </c>
      <c r="L240" s="37" t="s">
        <v>130</v>
      </c>
      <c r="M240" s="58" t="s">
        <v>147</v>
      </c>
    </row>
    <row r="241" spans="1:13" x14ac:dyDescent="0.35">
      <c r="A241" s="17">
        <v>45666</v>
      </c>
      <c r="B241" s="39">
        <v>56.51</v>
      </c>
      <c r="C241" s="39">
        <v>5.21</v>
      </c>
      <c r="D241" s="39">
        <v>12501015</v>
      </c>
      <c r="E241" s="39" t="s">
        <v>116</v>
      </c>
      <c r="F241" s="39">
        <v>1270</v>
      </c>
      <c r="G241" s="35">
        <v>0.46250000000000002</v>
      </c>
      <c r="H241" s="35">
        <v>0.48333333333333334</v>
      </c>
      <c r="I241" s="36">
        <v>30</v>
      </c>
      <c r="J241" s="37" t="s">
        <v>51</v>
      </c>
      <c r="K241" s="67" t="s">
        <v>52</v>
      </c>
      <c r="L241" s="37" t="s">
        <v>53</v>
      </c>
      <c r="M241" s="58" t="s">
        <v>54</v>
      </c>
    </row>
    <row r="242" spans="1:13" x14ac:dyDescent="0.35">
      <c r="A242" s="17">
        <v>45666</v>
      </c>
      <c r="B242" s="39">
        <v>56.51</v>
      </c>
      <c r="C242" s="39">
        <v>5.21</v>
      </c>
      <c r="D242" s="39">
        <v>12501015</v>
      </c>
      <c r="E242" s="39" t="s">
        <v>116</v>
      </c>
      <c r="F242" s="39">
        <v>1270</v>
      </c>
      <c r="G242" s="35">
        <v>0.48333333333333334</v>
      </c>
      <c r="H242" s="35">
        <v>0.48749999999999999</v>
      </c>
      <c r="I242" s="36">
        <v>6</v>
      </c>
      <c r="J242" s="37" t="s">
        <v>51</v>
      </c>
      <c r="K242" s="67" t="s">
        <v>26</v>
      </c>
      <c r="L242" s="37" t="s">
        <v>32</v>
      </c>
      <c r="M242" s="58" t="s">
        <v>61</v>
      </c>
    </row>
    <row r="243" spans="1:13" x14ac:dyDescent="0.35">
      <c r="A243" s="17">
        <v>45667</v>
      </c>
      <c r="B243" s="39">
        <v>57.05</v>
      </c>
      <c r="C243" s="39">
        <v>5.15</v>
      </c>
      <c r="D243" s="39">
        <v>12501016</v>
      </c>
      <c r="E243" s="39" t="s">
        <v>159</v>
      </c>
      <c r="F243" s="39">
        <v>1230</v>
      </c>
      <c r="G243" s="35">
        <v>0.64236111111111116</v>
      </c>
      <c r="H243" s="35">
        <v>0.66319444444444442</v>
      </c>
      <c r="I243" s="36">
        <v>30</v>
      </c>
      <c r="J243" s="37" t="s">
        <v>51</v>
      </c>
      <c r="K243" s="67" t="s">
        <v>52</v>
      </c>
      <c r="L243" s="37" t="s">
        <v>53</v>
      </c>
      <c r="M243" s="58" t="s">
        <v>54</v>
      </c>
    </row>
    <row r="244" spans="1:13" x14ac:dyDescent="0.35">
      <c r="A244" s="17">
        <v>45667</v>
      </c>
      <c r="B244" s="39">
        <v>57.05</v>
      </c>
      <c r="C244" s="39">
        <v>5.15</v>
      </c>
      <c r="D244" s="39">
        <v>12501016</v>
      </c>
      <c r="E244" s="39" t="s">
        <v>159</v>
      </c>
      <c r="F244" s="39">
        <v>1230</v>
      </c>
      <c r="G244" s="35">
        <v>0.66319444444444442</v>
      </c>
      <c r="H244" s="35">
        <v>0.66874999999999996</v>
      </c>
      <c r="I244" s="36">
        <v>8</v>
      </c>
      <c r="J244" s="37" t="s">
        <v>51</v>
      </c>
      <c r="K244" s="67" t="s">
        <v>52</v>
      </c>
      <c r="L244" s="37" t="s">
        <v>59</v>
      </c>
      <c r="M244" s="58" t="s">
        <v>59</v>
      </c>
    </row>
    <row r="245" spans="1:13" x14ac:dyDescent="0.35">
      <c r="A245" s="17">
        <v>45667</v>
      </c>
      <c r="B245" s="39">
        <v>57.05</v>
      </c>
      <c r="C245" s="39">
        <v>5.15</v>
      </c>
      <c r="D245" s="39">
        <v>12501016</v>
      </c>
      <c r="E245" s="39" t="s">
        <v>159</v>
      </c>
      <c r="F245" s="39">
        <v>1230</v>
      </c>
      <c r="G245" s="35">
        <v>0.66874999999999996</v>
      </c>
      <c r="H245" s="35">
        <v>0.67708333333333337</v>
      </c>
      <c r="I245" s="36">
        <v>12</v>
      </c>
      <c r="J245" s="37" t="s">
        <v>51</v>
      </c>
      <c r="K245" s="67" t="s">
        <v>62</v>
      </c>
      <c r="L245" s="37" t="s">
        <v>130</v>
      </c>
      <c r="M245" s="58" t="s">
        <v>164</v>
      </c>
    </row>
    <row r="246" spans="1:13" x14ac:dyDescent="0.35">
      <c r="A246" s="17">
        <v>45668</v>
      </c>
      <c r="B246" s="45">
        <v>57.15</v>
      </c>
      <c r="C246" s="45">
        <v>5.36</v>
      </c>
      <c r="D246" s="45">
        <v>12501017</v>
      </c>
      <c r="E246" s="45" t="s">
        <v>69</v>
      </c>
      <c r="F246" s="45">
        <v>1260</v>
      </c>
      <c r="G246" s="35">
        <v>0.72222222222222221</v>
      </c>
      <c r="H246" s="35">
        <v>0.78125</v>
      </c>
      <c r="I246" s="36">
        <v>85</v>
      </c>
      <c r="J246" s="37" t="s">
        <v>14</v>
      </c>
      <c r="K246" s="67" t="s">
        <v>26</v>
      </c>
      <c r="L246" s="37" t="s">
        <v>362</v>
      </c>
      <c r="M246" s="58" t="s">
        <v>393</v>
      </c>
    </row>
    <row r="247" spans="1:13" x14ac:dyDescent="0.35">
      <c r="A247" s="17">
        <v>45670</v>
      </c>
      <c r="B247" s="45">
        <v>58</v>
      </c>
      <c r="C247" s="45">
        <v>5.45</v>
      </c>
      <c r="D247" s="39">
        <v>12501018</v>
      </c>
      <c r="E247" s="39" t="s">
        <v>57</v>
      </c>
      <c r="F247" s="39">
        <v>1250</v>
      </c>
      <c r="G247" s="35">
        <v>0.99305555555555558</v>
      </c>
      <c r="H247" s="35">
        <v>1.3888888888888888E-2</v>
      </c>
      <c r="I247" s="36">
        <v>30</v>
      </c>
      <c r="J247" s="37" t="s">
        <v>51</v>
      </c>
      <c r="K247" s="67" t="s">
        <v>52</v>
      </c>
      <c r="L247" s="37" t="s">
        <v>53</v>
      </c>
      <c r="M247" s="47" t="s">
        <v>54</v>
      </c>
    </row>
    <row r="248" spans="1:13" x14ac:dyDescent="0.35">
      <c r="A248" s="17">
        <v>45670</v>
      </c>
      <c r="B248" s="45">
        <v>57</v>
      </c>
      <c r="C248" s="45">
        <v>5.07</v>
      </c>
      <c r="D248" s="39">
        <v>12501018</v>
      </c>
      <c r="E248" s="39" t="s">
        <v>57</v>
      </c>
      <c r="F248" s="39">
        <v>1250</v>
      </c>
      <c r="G248" s="35">
        <v>1.3888888888888888E-2</v>
      </c>
      <c r="H248" s="35">
        <v>2.4305555555555556E-2</v>
      </c>
      <c r="I248" s="36">
        <v>15</v>
      </c>
      <c r="J248" s="37" t="s">
        <v>51</v>
      </c>
      <c r="K248" s="67" t="s">
        <v>52</v>
      </c>
      <c r="L248" s="37" t="s">
        <v>59</v>
      </c>
      <c r="M248" s="47" t="s">
        <v>59</v>
      </c>
    </row>
    <row r="249" spans="1:13" x14ac:dyDescent="0.35">
      <c r="A249" s="17">
        <v>45671</v>
      </c>
      <c r="B249" s="39">
        <v>57.21</v>
      </c>
      <c r="C249" s="39">
        <v>5.12</v>
      </c>
      <c r="D249" s="39">
        <v>12501019</v>
      </c>
      <c r="E249" s="39" t="s">
        <v>159</v>
      </c>
      <c r="F249" s="39">
        <v>1250</v>
      </c>
      <c r="G249" s="35">
        <v>0.16666666666666666</v>
      </c>
      <c r="H249" s="35">
        <v>0.1875</v>
      </c>
      <c r="I249" s="36">
        <v>30</v>
      </c>
      <c r="J249" s="80" t="s">
        <v>51</v>
      </c>
      <c r="K249" s="86" t="s">
        <v>52</v>
      </c>
      <c r="L249" s="80" t="s">
        <v>53</v>
      </c>
      <c r="M249" s="47" t="s">
        <v>54</v>
      </c>
    </row>
    <row r="250" spans="1:13" x14ac:dyDescent="0.35">
      <c r="A250" s="17">
        <v>45671</v>
      </c>
      <c r="B250" s="39">
        <v>57.21</v>
      </c>
      <c r="C250" s="39">
        <v>5.12</v>
      </c>
      <c r="D250" s="39">
        <v>12501019</v>
      </c>
      <c r="E250" s="39" t="s">
        <v>159</v>
      </c>
      <c r="F250" s="39">
        <v>1250</v>
      </c>
      <c r="G250" s="35">
        <v>0.1875</v>
      </c>
      <c r="H250" s="35">
        <v>0.20833333333333334</v>
      </c>
      <c r="I250" s="36">
        <v>30</v>
      </c>
      <c r="J250" s="80" t="s">
        <v>51</v>
      </c>
      <c r="K250" s="86" t="s">
        <v>52</v>
      </c>
      <c r="L250" s="80" t="s">
        <v>178</v>
      </c>
      <c r="M250" s="47" t="s">
        <v>390</v>
      </c>
    </row>
    <row r="251" spans="1:13" x14ac:dyDescent="0.35">
      <c r="A251" s="17">
        <v>45671</v>
      </c>
      <c r="B251" s="39">
        <v>57.21</v>
      </c>
      <c r="C251" s="39">
        <v>5.12</v>
      </c>
      <c r="D251" s="45">
        <v>12501020</v>
      </c>
      <c r="E251" s="45" t="s">
        <v>47</v>
      </c>
      <c r="F251" s="45">
        <v>1230</v>
      </c>
      <c r="G251" s="35">
        <v>0.2326388888888889</v>
      </c>
      <c r="H251" s="35">
        <v>0.30138888888888887</v>
      </c>
      <c r="I251" s="36">
        <v>99</v>
      </c>
      <c r="J251" s="80" t="s">
        <v>35</v>
      </c>
      <c r="K251" s="86" t="s">
        <v>21</v>
      </c>
      <c r="L251" s="49" t="s">
        <v>398</v>
      </c>
      <c r="M251" s="49" t="s">
        <v>398</v>
      </c>
    </row>
    <row r="252" spans="1:13" x14ac:dyDescent="0.35">
      <c r="A252" s="17">
        <v>45671</v>
      </c>
      <c r="B252" s="39">
        <v>57.21</v>
      </c>
      <c r="C252" s="39">
        <v>5.12</v>
      </c>
      <c r="D252" s="45">
        <v>12501021</v>
      </c>
      <c r="E252" s="45" t="s">
        <v>31</v>
      </c>
      <c r="F252" s="45">
        <v>1230</v>
      </c>
      <c r="G252" s="35">
        <v>0.4513888888888889</v>
      </c>
      <c r="H252" s="35">
        <v>0.77430555555555558</v>
      </c>
      <c r="I252" s="36">
        <v>465</v>
      </c>
      <c r="J252" s="80" t="s">
        <v>35</v>
      </c>
      <c r="K252" s="86" t="s">
        <v>41</v>
      </c>
      <c r="L252" s="49" t="s">
        <v>399</v>
      </c>
      <c r="M252" s="49" t="s">
        <v>399</v>
      </c>
    </row>
    <row r="253" spans="1:13" x14ac:dyDescent="0.35">
      <c r="A253" s="17">
        <v>45673</v>
      </c>
      <c r="B253" s="45">
        <v>57</v>
      </c>
      <c r="C253" s="45">
        <v>5.43</v>
      </c>
      <c r="D253" s="39">
        <v>12501022</v>
      </c>
      <c r="E253" s="39" t="s">
        <v>119</v>
      </c>
      <c r="F253" s="39">
        <v>1230</v>
      </c>
      <c r="G253" s="35">
        <v>0</v>
      </c>
      <c r="H253" s="35">
        <v>2.0833333333333332E-2</v>
      </c>
      <c r="I253" s="36">
        <v>30</v>
      </c>
      <c r="J253" s="80" t="s">
        <v>51</v>
      </c>
      <c r="K253" s="86" t="s">
        <v>52</v>
      </c>
      <c r="L253" s="80" t="s">
        <v>53</v>
      </c>
      <c r="M253" s="47" t="s">
        <v>54</v>
      </c>
    </row>
    <row r="254" spans="1:13" x14ac:dyDescent="0.35">
      <c r="A254" s="17">
        <v>45673</v>
      </c>
      <c r="B254" s="45">
        <v>57.02</v>
      </c>
      <c r="C254" s="45">
        <v>5.28</v>
      </c>
      <c r="D254" s="39">
        <v>12501022</v>
      </c>
      <c r="E254" s="39" t="s">
        <v>119</v>
      </c>
      <c r="F254" s="39">
        <v>1230</v>
      </c>
      <c r="G254" s="35">
        <v>2.0833333333333332E-2</v>
      </c>
      <c r="H254" s="35">
        <v>2.9166666666666667E-2</v>
      </c>
      <c r="I254" s="36">
        <v>12</v>
      </c>
      <c r="J254" s="80" t="s">
        <v>51</v>
      </c>
      <c r="K254" s="86" t="s">
        <v>26</v>
      </c>
      <c r="L254" s="80" t="s">
        <v>32</v>
      </c>
      <c r="M254" s="47" t="s">
        <v>61</v>
      </c>
    </row>
    <row r="255" spans="1:13" x14ac:dyDescent="0.35">
      <c r="A255" s="17">
        <v>45674</v>
      </c>
      <c r="B255" s="39">
        <v>57.03</v>
      </c>
      <c r="C255" s="39">
        <v>4.7300000000000004</v>
      </c>
      <c r="D255" s="39">
        <v>12501023</v>
      </c>
      <c r="E255" s="39" t="s">
        <v>93</v>
      </c>
      <c r="F255" s="39">
        <v>1260</v>
      </c>
      <c r="G255" s="35">
        <v>0.18055555555555555</v>
      </c>
      <c r="H255" s="35">
        <v>0.2013888888888889</v>
      </c>
      <c r="I255" s="36">
        <v>30</v>
      </c>
      <c r="J255" s="37" t="s">
        <v>51</v>
      </c>
      <c r="K255" s="67" t="s">
        <v>52</v>
      </c>
      <c r="L255" s="37" t="s">
        <v>53</v>
      </c>
      <c r="M255" s="58" t="s">
        <v>54</v>
      </c>
    </row>
    <row r="256" spans="1:13" x14ac:dyDescent="0.35">
      <c r="A256" s="17">
        <v>45674</v>
      </c>
      <c r="B256" s="39">
        <v>57.03</v>
      </c>
      <c r="C256" s="39">
        <v>4.7300000000000004</v>
      </c>
      <c r="D256" s="39">
        <v>12501023</v>
      </c>
      <c r="E256" s="39" t="s">
        <v>93</v>
      </c>
      <c r="F256" s="39">
        <v>1260</v>
      </c>
      <c r="G256" s="35">
        <v>0.2013888888888889</v>
      </c>
      <c r="H256" s="35">
        <v>0.21180555555555555</v>
      </c>
      <c r="I256" s="36">
        <v>15</v>
      </c>
      <c r="J256" s="37" t="s">
        <v>51</v>
      </c>
      <c r="K256" s="67" t="s">
        <v>52</v>
      </c>
      <c r="L256" s="37" t="s">
        <v>59</v>
      </c>
      <c r="M256" s="58" t="s">
        <v>59</v>
      </c>
    </row>
    <row r="257" spans="1:13" x14ac:dyDescent="0.35">
      <c r="A257" s="17">
        <v>45675</v>
      </c>
      <c r="B257" s="45">
        <v>56.74</v>
      </c>
      <c r="C257" s="45">
        <v>5.05</v>
      </c>
      <c r="D257" s="45">
        <v>12501024</v>
      </c>
      <c r="E257" s="45" t="s">
        <v>80</v>
      </c>
      <c r="F257" s="45">
        <v>1250</v>
      </c>
      <c r="G257" s="35">
        <v>0.4597222222222222</v>
      </c>
      <c r="H257" s="35">
        <v>0.48055555555555557</v>
      </c>
      <c r="I257" s="36">
        <v>30</v>
      </c>
      <c r="J257" s="37" t="s">
        <v>51</v>
      </c>
      <c r="K257" s="67" t="s">
        <v>52</v>
      </c>
      <c r="L257" s="37" t="s">
        <v>53</v>
      </c>
      <c r="M257" s="58" t="s">
        <v>54</v>
      </c>
    </row>
    <row r="258" spans="1:13" x14ac:dyDescent="0.35">
      <c r="A258" s="17">
        <v>45676</v>
      </c>
      <c r="B258" s="39">
        <v>56.74</v>
      </c>
      <c r="C258" s="39">
        <v>5.44</v>
      </c>
      <c r="D258" s="39">
        <v>12501025</v>
      </c>
      <c r="E258" s="39" t="s">
        <v>119</v>
      </c>
      <c r="F258" s="39">
        <v>1255</v>
      </c>
      <c r="G258" s="35">
        <v>0.70486111111111116</v>
      </c>
      <c r="H258" s="35">
        <v>0.72569444444444442</v>
      </c>
      <c r="I258" s="36">
        <v>30</v>
      </c>
      <c r="J258" s="37" t="s">
        <v>51</v>
      </c>
      <c r="K258" s="67" t="s">
        <v>52</v>
      </c>
      <c r="L258" s="37" t="s">
        <v>53</v>
      </c>
      <c r="M258" s="58" t="s">
        <v>54</v>
      </c>
    </row>
    <row r="259" spans="1:13" x14ac:dyDescent="0.35">
      <c r="A259" s="17">
        <v>45676</v>
      </c>
      <c r="B259" s="39">
        <v>56.74</v>
      </c>
      <c r="C259" s="39">
        <v>5.44</v>
      </c>
      <c r="D259" s="39">
        <v>12501025</v>
      </c>
      <c r="E259" s="39" t="s">
        <v>119</v>
      </c>
      <c r="F259" s="39">
        <v>1255</v>
      </c>
      <c r="G259" s="35">
        <v>0.72569444444444442</v>
      </c>
      <c r="H259" s="35">
        <v>0.73611111111111116</v>
      </c>
      <c r="I259" s="36">
        <v>15</v>
      </c>
      <c r="J259" s="37" t="s">
        <v>51</v>
      </c>
      <c r="K259" s="67" t="s">
        <v>52</v>
      </c>
      <c r="L259" s="37" t="s">
        <v>59</v>
      </c>
      <c r="M259" s="58" t="s">
        <v>59</v>
      </c>
    </row>
    <row r="260" spans="1:13" x14ac:dyDescent="0.35">
      <c r="A260" s="17">
        <v>45678</v>
      </c>
      <c r="B260" s="45">
        <v>57.05</v>
      </c>
      <c r="C260" s="45">
        <v>5.25</v>
      </c>
      <c r="D260" s="45">
        <v>12501026</v>
      </c>
      <c r="E260" s="45" t="s">
        <v>72</v>
      </c>
      <c r="F260" s="45">
        <v>1350</v>
      </c>
      <c r="G260" s="35">
        <v>0.96180555555555558</v>
      </c>
      <c r="H260" s="35">
        <v>0.98263888888888884</v>
      </c>
      <c r="I260" s="36">
        <v>30</v>
      </c>
      <c r="J260" s="37" t="s">
        <v>51</v>
      </c>
      <c r="K260" s="67" t="s">
        <v>52</v>
      </c>
      <c r="L260" s="37" t="s">
        <v>53</v>
      </c>
      <c r="M260" s="58" t="s">
        <v>54</v>
      </c>
    </row>
    <row r="261" spans="1:13" x14ac:dyDescent="0.35">
      <c r="A261" s="17">
        <v>45679</v>
      </c>
      <c r="B261" s="39">
        <v>56.9</v>
      </c>
      <c r="C261" s="39">
        <v>5.26</v>
      </c>
      <c r="D261" s="39">
        <v>12501027</v>
      </c>
      <c r="E261" s="39" t="s">
        <v>116</v>
      </c>
      <c r="F261" s="39" t="s">
        <v>414</v>
      </c>
      <c r="G261" s="35">
        <v>0.17708333333333334</v>
      </c>
      <c r="H261" s="35">
        <v>0.30208333333333331</v>
      </c>
      <c r="I261" s="36">
        <v>180</v>
      </c>
      <c r="J261" s="37" t="s">
        <v>25</v>
      </c>
      <c r="K261" s="67" t="s">
        <v>21</v>
      </c>
      <c r="L261" s="37" t="s">
        <v>83</v>
      </c>
      <c r="M261" s="101" t="s">
        <v>416</v>
      </c>
    </row>
    <row r="262" spans="1:13" x14ac:dyDescent="0.35">
      <c r="A262" s="17">
        <v>45679</v>
      </c>
      <c r="B262" s="39">
        <v>56.9</v>
      </c>
      <c r="C262" s="39">
        <v>5.26</v>
      </c>
      <c r="D262" s="39">
        <v>12501027</v>
      </c>
      <c r="E262" s="39" t="s">
        <v>116</v>
      </c>
      <c r="F262" s="39" t="s">
        <v>414</v>
      </c>
      <c r="G262" s="35">
        <v>0.30208333333333331</v>
      </c>
      <c r="H262" s="35">
        <v>0.3611111111111111</v>
      </c>
      <c r="I262" s="36">
        <v>85</v>
      </c>
      <c r="J262" s="37" t="s">
        <v>25</v>
      </c>
      <c r="K262" s="67" t="s">
        <v>41</v>
      </c>
      <c r="L262" s="100" t="s">
        <v>417</v>
      </c>
      <c r="M262" s="100" t="s">
        <v>417</v>
      </c>
    </row>
    <row r="263" spans="1:13" x14ac:dyDescent="0.35">
      <c r="A263" s="17">
        <v>45679</v>
      </c>
      <c r="B263" s="39">
        <v>56.9</v>
      </c>
      <c r="C263" s="39">
        <v>5.26</v>
      </c>
      <c r="D263" s="39">
        <v>12501027</v>
      </c>
      <c r="E263" s="39" t="s">
        <v>116</v>
      </c>
      <c r="F263" s="39" t="s">
        <v>414</v>
      </c>
      <c r="G263" s="35">
        <v>0.3611111111111111</v>
      </c>
      <c r="H263" s="35">
        <v>0.44444444444444442</v>
      </c>
      <c r="I263" s="36">
        <v>120</v>
      </c>
      <c r="J263" s="37" t="s">
        <v>25</v>
      </c>
      <c r="K263" s="67" t="s">
        <v>19</v>
      </c>
      <c r="L263" s="37" t="s">
        <v>418</v>
      </c>
      <c r="M263" s="100" t="s">
        <v>419</v>
      </c>
    </row>
    <row r="264" spans="1:13" x14ac:dyDescent="0.35">
      <c r="A264" s="17">
        <v>45680</v>
      </c>
      <c r="B264" s="39">
        <v>56.66</v>
      </c>
      <c r="C264" s="39">
        <v>5.25</v>
      </c>
      <c r="D264" s="39">
        <v>12501028</v>
      </c>
      <c r="E264" s="39" t="s">
        <v>80</v>
      </c>
      <c r="F264" s="39">
        <v>1250</v>
      </c>
      <c r="G264" s="35">
        <v>0.69097222222222221</v>
      </c>
      <c r="H264" s="35">
        <v>0.71180555555555558</v>
      </c>
      <c r="I264" s="36">
        <v>30</v>
      </c>
      <c r="J264" s="37" t="s">
        <v>51</v>
      </c>
      <c r="K264" s="67" t="s">
        <v>52</v>
      </c>
      <c r="L264" s="37" t="s">
        <v>53</v>
      </c>
      <c r="M264" s="100" t="s">
        <v>54</v>
      </c>
    </row>
    <row r="265" spans="1:13" x14ac:dyDescent="0.35">
      <c r="A265" s="17">
        <v>45680</v>
      </c>
      <c r="B265" s="39">
        <v>56.66</v>
      </c>
      <c r="C265" s="39">
        <v>5.25</v>
      </c>
      <c r="D265" s="39">
        <v>12501028</v>
      </c>
      <c r="E265" s="39" t="s">
        <v>80</v>
      </c>
      <c r="F265" s="39">
        <v>1250</v>
      </c>
      <c r="G265" s="35">
        <v>0.71180555555555558</v>
      </c>
      <c r="H265" s="35">
        <v>0.73611111111111116</v>
      </c>
      <c r="I265" s="36">
        <v>35</v>
      </c>
      <c r="J265" s="37" t="s">
        <v>51</v>
      </c>
      <c r="K265" s="67" t="s">
        <v>41</v>
      </c>
      <c r="L265" s="100" t="s">
        <v>420</v>
      </c>
      <c r="M265" s="100" t="s">
        <v>420</v>
      </c>
    </row>
    <row r="266" spans="1:13" x14ac:dyDescent="0.35">
      <c r="A266" s="17">
        <v>45682</v>
      </c>
      <c r="B266" s="45">
        <v>57</v>
      </c>
      <c r="C266" s="45">
        <v>5.47</v>
      </c>
      <c r="D266" s="39">
        <v>12501029</v>
      </c>
      <c r="E266" s="39" t="s">
        <v>57</v>
      </c>
      <c r="F266" s="39">
        <v>1250</v>
      </c>
      <c r="G266" s="35">
        <v>0.96180555555555558</v>
      </c>
      <c r="H266" s="35">
        <v>0.98263888888888884</v>
      </c>
      <c r="I266" s="36">
        <v>30</v>
      </c>
      <c r="J266" s="37" t="s">
        <v>51</v>
      </c>
      <c r="K266" s="67" t="s">
        <v>52</v>
      </c>
      <c r="L266" s="37" t="s">
        <v>53</v>
      </c>
      <c r="M266" s="47" t="s">
        <v>54</v>
      </c>
    </row>
    <row r="267" spans="1:13" x14ac:dyDescent="0.35">
      <c r="A267" s="17">
        <v>45682</v>
      </c>
      <c r="B267" s="39">
        <v>57.02</v>
      </c>
      <c r="C267" s="39">
        <v>5.39</v>
      </c>
      <c r="D267" s="39">
        <v>12501029</v>
      </c>
      <c r="E267" s="39" t="s">
        <v>57</v>
      </c>
      <c r="F267" s="39">
        <v>1250</v>
      </c>
      <c r="G267" s="35">
        <v>0.98263888888888884</v>
      </c>
      <c r="H267" s="35">
        <v>0.98819444444444449</v>
      </c>
      <c r="I267" s="36">
        <v>8</v>
      </c>
      <c r="J267" s="37" t="s">
        <v>51</v>
      </c>
      <c r="K267" s="67" t="s">
        <v>52</v>
      </c>
      <c r="L267" s="37" t="s">
        <v>59</v>
      </c>
      <c r="M267" s="47" t="s">
        <v>59</v>
      </c>
    </row>
    <row r="268" spans="1:13" x14ac:dyDescent="0.35">
      <c r="A268" s="17">
        <v>45682</v>
      </c>
      <c r="B268" s="39">
        <v>57.02</v>
      </c>
      <c r="C268" s="39">
        <v>5.39</v>
      </c>
      <c r="D268" s="39">
        <v>12501029</v>
      </c>
      <c r="E268" s="39" t="s">
        <v>57</v>
      </c>
      <c r="F268" s="39">
        <v>1250</v>
      </c>
      <c r="G268" s="35">
        <v>0.98819444444444449</v>
      </c>
      <c r="H268" s="35">
        <v>0.99652777777777779</v>
      </c>
      <c r="I268" s="36">
        <v>12</v>
      </c>
      <c r="J268" s="37" t="s">
        <v>51</v>
      </c>
      <c r="K268" s="67" t="s">
        <v>62</v>
      </c>
      <c r="L268" s="37" t="s">
        <v>130</v>
      </c>
      <c r="M268" s="47" t="s">
        <v>164</v>
      </c>
    </row>
    <row r="269" spans="1:13" x14ac:dyDescent="0.35">
      <c r="A269" s="17">
        <v>45683</v>
      </c>
      <c r="B269" s="45">
        <v>56.75</v>
      </c>
      <c r="C269" s="45">
        <v>5.28</v>
      </c>
      <c r="D269" s="45">
        <v>12501030</v>
      </c>
      <c r="E269" s="45" t="s">
        <v>116</v>
      </c>
      <c r="F269" s="45">
        <v>1250</v>
      </c>
      <c r="G269" s="35">
        <v>0.14583333333333334</v>
      </c>
      <c r="H269" s="35">
        <v>0.16666666666666666</v>
      </c>
      <c r="I269" s="36">
        <v>30</v>
      </c>
      <c r="J269" s="37" t="s">
        <v>51</v>
      </c>
      <c r="K269" s="67" t="s">
        <v>52</v>
      </c>
      <c r="L269" s="37" t="s">
        <v>53</v>
      </c>
      <c r="M269" s="47" t="s">
        <v>54</v>
      </c>
    </row>
    <row r="270" spans="1:13" x14ac:dyDescent="0.35">
      <c r="A270" s="17">
        <v>45684</v>
      </c>
      <c r="B270" s="39">
        <v>57.03</v>
      </c>
      <c r="C270" s="39">
        <v>5.0199999999999996</v>
      </c>
      <c r="D270" s="39">
        <v>12501031</v>
      </c>
      <c r="E270" s="39" t="s">
        <v>57</v>
      </c>
      <c r="F270" s="39" t="s">
        <v>88</v>
      </c>
      <c r="G270" s="35">
        <v>0.3923611111111111</v>
      </c>
      <c r="H270" s="35">
        <v>0.41319444444444442</v>
      </c>
      <c r="I270" s="36">
        <v>30</v>
      </c>
      <c r="J270" s="37" t="s">
        <v>51</v>
      </c>
      <c r="K270" s="67" t="s">
        <v>52</v>
      </c>
      <c r="L270" s="37" t="s">
        <v>53</v>
      </c>
      <c r="M270" s="47" t="s">
        <v>54</v>
      </c>
    </row>
    <row r="271" spans="1:13" x14ac:dyDescent="0.35">
      <c r="A271" s="17">
        <v>45684</v>
      </c>
      <c r="B271" s="39">
        <v>57.03</v>
      </c>
      <c r="C271" s="39">
        <v>5.0199999999999996</v>
      </c>
      <c r="D271" s="39">
        <v>12501031</v>
      </c>
      <c r="E271" s="39" t="s">
        <v>57</v>
      </c>
      <c r="F271" s="39" t="s">
        <v>88</v>
      </c>
      <c r="G271" s="35">
        <v>0.41319444444444442</v>
      </c>
      <c r="H271" s="35">
        <v>0.4201388888888889</v>
      </c>
      <c r="I271" s="36">
        <v>10</v>
      </c>
      <c r="J271" s="37" t="s">
        <v>51</v>
      </c>
      <c r="K271" s="67" t="s">
        <v>52</v>
      </c>
      <c r="L271" s="37" t="s">
        <v>59</v>
      </c>
      <c r="M271" s="47" t="s">
        <v>59</v>
      </c>
    </row>
    <row r="272" spans="1:13" x14ac:dyDescent="0.35">
      <c r="A272" s="17">
        <v>45684</v>
      </c>
      <c r="B272" s="39">
        <v>57.03</v>
      </c>
      <c r="C272" s="39">
        <v>5.0199999999999996</v>
      </c>
      <c r="D272" s="39">
        <v>12501031</v>
      </c>
      <c r="E272" s="39" t="s">
        <v>57</v>
      </c>
      <c r="F272" s="39" t="s">
        <v>88</v>
      </c>
      <c r="G272" s="35">
        <v>0.4201388888888889</v>
      </c>
      <c r="H272" s="35">
        <v>0.43055555555555558</v>
      </c>
      <c r="I272" s="36">
        <v>15</v>
      </c>
      <c r="J272" s="37" t="s">
        <v>51</v>
      </c>
      <c r="K272" s="67" t="s">
        <v>62</v>
      </c>
      <c r="L272" s="37" t="s">
        <v>130</v>
      </c>
      <c r="M272" s="47" t="s">
        <v>422</v>
      </c>
    </row>
    <row r="273" spans="1:13" x14ac:dyDescent="0.35">
      <c r="A273" s="17">
        <v>45685</v>
      </c>
      <c r="B273" s="39">
        <v>56.8</v>
      </c>
      <c r="C273" s="39">
        <v>5.4</v>
      </c>
      <c r="D273" s="45">
        <v>12501032</v>
      </c>
      <c r="E273" s="45" t="s">
        <v>93</v>
      </c>
      <c r="F273" s="45">
        <v>1250</v>
      </c>
      <c r="G273" s="35">
        <v>0.63194444444444442</v>
      </c>
      <c r="H273" s="35">
        <v>0.65277777777777779</v>
      </c>
      <c r="I273" s="36">
        <v>30</v>
      </c>
      <c r="J273" s="37" t="s">
        <v>51</v>
      </c>
      <c r="K273" s="67" t="s">
        <v>52</v>
      </c>
      <c r="L273" s="37" t="s">
        <v>53</v>
      </c>
      <c r="M273" s="58" t="s">
        <v>54</v>
      </c>
    </row>
    <row r="274" spans="1:13" x14ac:dyDescent="0.35">
      <c r="A274" s="17">
        <v>45685</v>
      </c>
      <c r="B274" s="39">
        <v>56.8</v>
      </c>
      <c r="C274" s="39">
        <v>5.4</v>
      </c>
      <c r="D274" s="39">
        <v>12501033</v>
      </c>
      <c r="E274" s="39" t="s">
        <v>47</v>
      </c>
      <c r="F274" s="39">
        <v>1250</v>
      </c>
      <c r="G274" s="35">
        <v>0.65347222222222223</v>
      </c>
      <c r="H274" s="35">
        <v>0.71527777777777779</v>
      </c>
      <c r="I274" s="36">
        <v>89</v>
      </c>
      <c r="J274" s="37" t="s">
        <v>35</v>
      </c>
      <c r="K274" s="67" t="s">
        <v>19</v>
      </c>
      <c r="L274" s="37" t="s">
        <v>418</v>
      </c>
      <c r="M274" s="62" t="s">
        <v>423</v>
      </c>
    </row>
    <row r="275" spans="1:13" x14ac:dyDescent="0.35">
      <c r="A275" s="17">
        <v>45685</v>
      </c>
      <c r="B275" s="39">
        <v>56.8</v>
      </c>
      <c r="C275" s="39">
        <v>5.4</v>
      </c>
      <c r="D275" s="39">
        <v>12501033</v>
      </c>
      <c r="E275" s="39" t="s">
        <v>47</v>
      </c>
      <c r="F275" s="39">
        <v>1250</v>
      </c>
      <c r="G275" s="35">
        <v>0.71527777777777779</v>
      </c>
      <c r="H275" s="35">
        <v>0.72916666666666663</v>
      </c>
      <c r="I275" s="36">
        <v>20</v>
      </c>
      <c r="J275" s="37" t="s">
        <v>35</v>
      </c>
      <c r="K275" s="67" t="s">
        <v>41</v>
      </c>
      <c r="L275" s="58" t="s">
        <v>424</v>
      </c>
      <c r="M275" s="58" t="s">
        <v>424</v>
      </c>
    </row>
    <row r="276" spans="1:13" x14ac:dyDescent="0.35">
      <c r="A276" s="17">
        <v>45685</v>
      </c>
      <c r="B276" s="39">
        <v>56.8</v>
      </c>
      <c r="C276" s="39">
        <v>5.4</v>
      </c>
      <c r="D276" s="39">
        <v>12501034</v>
      </c>
      <c r="E276" s="39" t="s">
        <v>47</v>
      </c>
      <c r="F276" s="39">
        <v>1250</v>
      </c>
      <c r="G276" s="35">
        <v>0.73055555555555551</v>
      </c>
      <c r="H276" s="35">
        <v>0.81388888888888888</v>
      </c>
      <c r="I276" s="36">
        <v>120</v>
      </c>
      <c r="J276" s="37" t="s">
        <v>25</v>
      </c>
      <c r="K276" s="67" t="s">
        <v>21</v>
      </c>
      <c r="L276" s="37" t="s">
        <v>83</v>
      </c>
      <c r="M276" s="92" t="s">
        <v>425</v>
      </c>
    </row>
    <row r="277" spans="1:13" x14ac:dyDescent="0.35">
      <c r="A277" s="17">
        <v>45685</v>
      </c>
      <c r="B277" s="39">
        <v>56.8</v>
      </c>
      <c r="C277" s="39">
        <v>5.4</v>
      </c>
      <c r="D277" s="39">
        <v>12501034</v>
      </c>
      <c r="E277" s="39" t="s">
        <v>47</v>
      </c>
      <c r="F277" s="39">
        <v>1250</v>
      </c>
      <c r="G277" s="35">
        <v>0.81388888888888888</v>
      </c>
      <c r="H277" s="35">
        <v>0.84027777777777779</v>
      </c>
      <c r="I277" s="36">
        <v>38</v>
      </c>
      <c r="J277" s="37" t="s">
        <v>25</v>
      </c>
      <c r="K277" s="67" t="s">
        <v>21</v>
      </c>
      <c r="L277" s="37" t="s">
        <v>22</v>
      </c>
      <c r="M277" s="58" t="s">
        <v>426</v>
      </c>
    </row>
    <row r="278" spans="1:13" x14ac:dyDescent="0.35">
      <c r="A278" s="17">
        <v>45686</v>
      </c>
      <c r="B278" s="39">
        <v>57.03</v>
      </c>
      <c r="C278" s="39">
        <v>5.3</v>
      </c>
      <c r="D278" s="39">
        <v>12501035</v>
      </c>
      <c r="E278" s="39" t="s">
        <v>167</v>
      </c>
      <c r="F278" s="39">
        <v>1250</v>
      </c>
      <c r="G278" s="35">
        <v>0.61458333333333337</v>
      </c>
      <c r="H278" s="35">
        <v>0.63541666666666663</v>
      </c>
      <c r="I278" s="36">
        <v>30</v>
      </c>
      <c r="J278" s="37" t="s">
        <v>14</v>
      </c>
      <c r="K278" s="67" t="s">
        <v>21</v>
      </c>
      <c r="L278" s="58" t="s">
        <v>429</v>
      </c>
      <c r="M278" s="58" t="s">
        <v>429</v>
      </c>
    </row>
    <row r="279" spans="1:13" x14ac:dyDescent="0.35">
      <c r="A279" s="17">
        <v>45686</v>
      </c>
      <c r="B279" s="39">
        <v>57.03</v>
      </c>
      <c r="C279" s="39">
        <v>5.3</v>
      </c>
      <c r="D279" s="39">
        <v>12501035</v>
      </c>
      <c r="E279" s="39" t="s">
        <v>167</v>
      </c>
      <c r="F279" s="39">
        <v>1250</v>
      </c>
      <c r="G279" s="35">
        <v>0.63541666666666663</v>
      </c>
      <c r="H279" s="35">
        <v>0.63888888888888884</v>
      </c>
      <c r="I279" s="36">
        <v>5</v>
      </c>
      <c r="J279" s="37" t="s">
        <v>14</v>
      </c>
      <c r="K279" s="67" t="s">
        <v>21</v>
      </c>
      <c r="L279" s="37" t="s">
        <v>74</v>
      </c>
      <c r="M279" s="58" t="s">
        <v>75</v>
      </c>
    </row>
    <row r="280" spans="1:13" x14ac:dyDescent="0.35">
      <c r="A280" s="17">
        <v>45687</v>
      </c>
      <c r="B280" s="39">
        <v>57</v>
      </c>
      <c r="C280" s="39">
        <v>5.29</v>
      </c>
      <c r="D280" s="39">
        <v>12501036</v>
      </c>
      <c r="E280" s="39" t="s">
        <v>57</v>
      </c>
      <c r="F280" s="39">
        <v>1240</v>
      </c>
      <c r="G280" s="35">
        <v>0.84722222222222221</v>
      </c>
      <c r="H280" s="35">
        <v>0.86805555555555558</v>
      </c>
      <c r="I280" s="36">
        <v>30</v>
      </c>
      <c r="J280" s="37" t="s">
        <v>51</v>
      </c>
      <c r="K280" s="67" t="s">
        <v>52</v>
      </c>
      <c r="L280" s="37" t="s">
        <v>53</v>
      </c>
      <c r="M280" s="58" t="s">
        <v>54</v>
      </c>
    </row>
    <row r="281" spans="1:13" x14ac:dyDescent="0.35">
      <c r="A281" s="17">
        <v>45687</v>
      </c>
      <c r="B281" s="39">
        <v>57</v>
      </c>
      <c r="C281" s="39">
        <v>5.29</v>
      </c>
      <c r="D281" s="39">
        <v>12501036</v>
      </c>
      <c r="E281" s="39" t="s">
        <v>57</v>
      </c>
      <c r="F281" s="39">
        <v>1240</v>
      </c>
      <c r="G281" s="35">
        <v>0.86805555555555558</v>
      </c>
      <c r="H281" s="35">
        <v>0.87152777777777779</v>
      </c>
      <c r="I281" s="36">
        <v>5</v>
      </c>
      <c r="J281" s="37" t="s">
        <v>51</v>
      </c>
      <c r="K281" s="67" t="s">
        <v>52</v>
      </c>
      <c r="L281" s="37" t="s">
        <v>59</v>
      </c>
      <c r="M281" s="58" t="s">
        <v>59</v>
      </c>
    </row>
    <row r="282" spans="1:13" x14ac:dyDescent="0.35">
      <c r="A282" s="17">
        <v>45687</v>
      </c>
      <c r="B282" s="39">
        <v>57</v>
      </c>
      <c r="C282" s="39">
        <v>5.29</v>
      </c>
      <c r="D282" s="39">
        <v>12501036</v>
      </c>
      <c r="E282" s="39" t="s">
        <v>57</v>
      </c>
      <c r="F282" s="39">
        <v>1240</v>
      </c>
      <c r="G282" s="35">
        <v>0.87152777777777779</v>
      </c>
      <c r="H282" s="35">
        <v>0.875</v>
      </c>
      <c r="I282" s="36">
        <v>5</v>
      </c>
      <c r="J282" s="37" t="s">
        <v>51</v>
      </c>
      <c r="K282" s="67" t="s">
        <v>21</v>
      </c>
      <c r="L282" s="37" t="s">
        <v>96</v>
      </c>
      <c r="M282" s="58" t="s">
        <v>206</v>
      </c>
    </row>
    <row r="283" spans="1:13" x14ac:dyDescent="0.35">
      <c r="A283" s="17">
        <v>45687</v>
      </c>
      <c r="B283" s="39">
        <v>57</v>
      </c>
      <c r="C283" s="39">
        <v>5.29</v>
      </c>
      <c r="D283" s="39">
        <v>12501036</v>
      </c>
      <c r="E283" s="39" t="s">
        <v>57</v>
      </c>
      <c r="F283" s="39">
        <v>1240</v>
      </c>
      <c r="G283" s="35">
        <v>0.875</v>
      </c>
      <c r="H283" s="35">
        <v>0.88194444444444442</v>
      </c>
      <c r="I283" s="36">
        <v>10</v>
      </c>
      <c r="J283" s="37" t="s">
        <v>51</v>
      </c>
      <c r="K283" s="67" t="s">
        <v>62</v>
      </c>
      <c r="L283" s="37" t="s">
        <v>130</v>
      </c>
      <c r="M283" s="58" t="s">
        <v>147</v>
      </c>
    </row>
    <row r="284" spans="1:13" x14ac:dyDescent="0.35">
      <c r="A284" s="17">
        <v>45687</v>
      </c>
      <c r="B284" s="39">
        <v>57</v>
      </c>
      <c r="C284" s="39">
        <v>5.29</v>
      </c>
      <c r="D284" s="39">
        <v>12501036</v>
      </c>
      <c r="E284" s="39" t="s">
        <v>57</v>
      </c>
      <c r="F284" s="39">
        <v>1240</v>
      </c>
      <c r="G284" s="35">
        <v>0.88194444444444442</v>
      </c>
      <c r="H284" s="35">
        <v>0.88888888888888884</v>
      </c>
      <c r="I284" s="36">
        <v>10</v>
      </c>
      <c r="J284" s="37" t="s">
        <v>51</v>
      </c>
      <c r="K284" s="67" t="s">
        <v>21</v>
      </c>
      <c r="L284" s="37" t="s">
        <v>55</v>
      </c>
      <c r="M284" s="58" t="s">
        <v>431</v>
      </c>
    </row>
    <row r="285" spans="1:13" x14ac:dyDescent="0.35">
      <c r="A285" s="17">
        <v>45689</v>
      </c>
      <c r="B285" s="39">
        <v>56.71</v>
      </c>
      <c r="C285" s="39">
        <v>5.49</v>
      </c>
      <c r="D285" s="39">
        <v>12501037</v>
      </c>
      <c r="E285" s="39" t="s">
        <v>119</v>
      </c>
      <c r="F285" s="39">
        <v>1240</v>
      </c>
      <c r="G285" s="35">
        <v>0.1076388888888889</v>
      </c>
      <c r="H285" s="35">
        <v>0.12847222222222221</v>
      </c>
      <c r="I285" s="36">
        <v>30</v>
      </c>
      <c r="J285" s="67" t="s">
        <v>51</v>
      </c>
      <c r="K285" s="67" t="s">
        <v>52</v>
      </c>
      <c r="L285" s="67" t="s">
        <v>53</v>
      </c>
      <c r="M285" s="47" t="s">
        <v>54</v>
      </c>
    </row>
    <row r="286" spans="1:13" x14ac:dyDescent="0.35">
      <c r="A286" s="17">
        <v>45689</v>
      </c>
      <c r="B286" s="39">
        <v>56.71</v>
      </c>
      <c r="C286" s="39">
        <v>5.49</v>
      </c>
      <c r="D286" s="39">
        <v>12501037</v>
      </c>
      <c r="E286" s="39" t="s">
        <v>119</v>
      </c>
      <c r="F286" s="39">
        <v>1240</v>
      </c>
      <c r="G286" s="35">
        <v>0.12847222222222221</v>
      </c>
      <c r="H286" s="35">
        <v>0.13194444444444445</v>
      </c>
      <c r="I286" s="36">
        <v>5</v>
      </c>
      <c r="J286" s="67" t="s">
        <v>51</v>
      </c>
      <c r="K286" s="67" t="s">
        <v>21</v>
      </c>
      <c r="L286" s="67" t="s">
        <v>74</v>
      </c>
      <c r="M286" s="47" t="s">
        <v>298</v>
      </c>
    </row>
    <row r="287" spans="1:13" x14ac:dyDescent="0.35">
      <c r="A287" s="17">
        <v>45690</v>
      </c>
      <c r="B287" s="39">
        <v>57.02</v>
      </c>
      <c r="C287" s="39">
        <v>5.23</v>
      </c>
      <c r="D287" s="39">
        <v>12502001</v>
      </c>
      <c r="E287" s="39" t="s">
        <v>116</v>
      </c>
      <c r="F287" s="39">
        <v>1255</v>
      </c>
      <c r="G287" s="35">
        <v>0.28472222222222221</v>
      </c>
      <c r="H287" s="35">
        <v>0.30555555555555558</v>
      </c>
      <c r="I287" s="36">
        <v>30</v>
      </c>
      <c r="J287" s="67" t="s">
        <v>51</v>
      </c>
      <c r="K287" s="67" t="s">
        <v>52</v>
      </c>
      <c r="L287" s="67" t="s">
        <v>53</v>
      </c>
      <c r="M287" s="47" t="s">
        <v>54</v>
      </c>
    </row>
    <row r="288" spans="1:13" x14ac:dyDescent="0.35">
      <c r="A288" s="17">
        <v>45690</v>
      </c>
      <c r="B288" s="39">
        <v>57.02</v>
      </c>
      <c r="C288" s="39">
        <v>5.23</v>
      </c>
      <c r="D288" s="39">
        <v>12502001</v>
      </c>
      <c r="E288" s="39" t="s">
        <v>116</v>
      </c>
      <c r="F288" s="39">
        <v>1255</v>
      </c>
      <c r="G288" s="35">
        <v>0.30555555555555558</v>
      </c>
      <c r="H288" s="35">
        <v>0.31597222222222221</v>
      </c>
      <c r="I288" s="36">
        <v>15</v>
      </c>
      <c r="J288" s="67" t="s">
        <v>51</v>
      </c>
      <c r="K288" s="67" t="s">
        <v>52</v>
      </c>
      <c r="L288" s="37" t="s">
        <v>59</v>
      </c>
      <c r="M288" s="47" t="s">
        <v>432</v>
      </c>
    </row>
    <row r="289" spans="1:13" x14ac:dyDescent="0.35">
      <c r="A289" s="17">
        <v>45690</v>
      </c>
      <c r="B289" s="39">
        <v>57.02</v>
      </c>
      <c r="C289" s="39">
        <v>5.23</v>
      </c>
      <c r="D289" s="39">
        <v>12502001</v>
      </c>
      <c r="E289" s="39" t="s">
        <v>116</v>
      </c>
      <c r="F289" s="39">
        <v>1255</v>
      </c>
      <c r="G289" s="35">
        <v>0.31597222222222221</v>
      </c>
      <c r="H289" s="35">
        <v>0.32500000000000001</v>
      </c>
      <c r="I289" s="36">
        <v>13</v>
      </c>
      <c r="J289" s="67" t="s">
        <v>51</v>
      </c>
      <c r="K289" s="67" t="s">
        <v>19</v>
      </c>
      <c r="L289" s="37" t="s">
        <v>143</v>
      </c>
      <c r="M289" s="47" t="s">
        <v>433</v>
      </c>
    </row>
    <row r="290" spans="1:13" x14ac:dyDescent="0.35">
      <c r="A290" s="17">
        <v>45690</v>
      </c>
      <c r="B290" s="39">
        <v>57.02</v>
      </c>
      <c r="C290" s="39">
        <v>5.23</v>
      </c>
      <c r="D290" s="39">
        <v>12502001</v>
      </c>
      <c r="E290" s="39" t="s">
        <v>116</v>
      </c>
      <c r="F290" s="39">
        <v>1255</v>
      </c>
      <c r="G290" s="35">
        <v>0.32500000000000001</v>
      </c>
      <c r="H290" s="35">
        <v>0.32777777777777778</v>
      </c>
      <c r="I290" s="36">
        <v>4</v>
      </c>
      <c r="J290" s="67" t="s">
        <v>51</v>
      </c>
      <c r="K290" s="67" t="s">
        <v>21</v>
      </c>
      <c r="L290" s="37" t="s">
        <v>74</v>
      </c>
      <c r="M290" s="47" t="s">
        <v>298</v>
      </c>
    </row>
    <row r="291" spans="1:13" x14ac:dyDescent="0.35">
      <c r="A291" s="17">
        <v>45691</v>
      </c>
      <c r="B291" s="45">
        <v>57.05</v>
      </c>
      <c r="C291" s="45">
        <v>5.57</v>
      </c>
      <c r="D291" s="45">
        <v>12502002</v>
      </c>
      <c r="E291" s="45" t="s">
        <v>69</v>
      </c>
      <c r="F291" s="45">
        <v>1340</v>
      </c>
      <c r="G291" s="35">
        <v>0.28125</v>
      </c>
      <c r="H291" s="35">
        <v>0.34027777777777779</v>
      </c>
      <c r="I291" s="36">
        <v>85</v>
      </c>
      <c r="J291" s="37" t="s">
        <v>14</v>
      </c>
      <c r="K291" s="67" t="s">
        <v>26</v>
      </c>
      <c r="L291" s="37" t="s">
        <v>67</v>
      </c>
      <c r="M291" s="47" t="s">
        <v>440</v>
      </c>
    </row>
    <row r="292" spans="1:13" x14ac:dyDescent="0.35">
      <c r="A292" s="17">
        <v>45692</v>
      </c>
      <c r="B292" s="39">
        <v>57.21</v>
      </c>
      <c r="C292" s="39">
        <v>5.21</v>
      </c>
      <c r="D292" s="39">
        <v>12502003</v>
      </c>
      <c r="E292" s="39" t="s">
        <v>122</v>
      </c>
      <c r="F292" s="39">
        <v>1260</v>
      </c>
      <c r="G292" s="35">
        <v>0.27083333333333331</v>
      </c>
      <c r="H292" s="35">
        <v>0.29166666666666669</v>
      </c>
      <c r="I292" s="36">
        <v>30</v>
      </c>
      <c r="J292" s="67" t="s">
        <v>51</v>
      </c>
      <c r="K292" s="67" t="s">
        <v>52</v>
      </c>
      <c r="L292" s="67" t="s">
        <v>53</v>
      </c>
      <c r="M292" s="47" t="s">
        <v>54</v>
      </c>
    </row>
    <row r="293" spans="1:13" x14ac:dyDescent="0.35">
      <c r="A293" s="17">
        <v>45692</v>
      </c>
      <c r="B293" s="39">
        <v>57.21</v>
      </c>
      <c r="C293" s="39">
        <v>5.21</v>
      </c>
      <c r="D293" s="39">
        <v>12502003</v>
      </c>
      <c r="E293" s="39" t="s">
        <v>122</v>
      </c>
      <c r="F293" s="39">
        <v>1260</v>
      </c>
      <c r="G293" s="35">
        <v>0.29166666666666669</v>
      </c>
      <c r="H293" s="35">
        <v>0.30555555555555558</v>
      </c>
      <c r="I293" s="36">
        <v>20</v>
      </c>
      <c r="J293" s="67" t="s">
        <v>51</v>
      </c>
      <c r="K293" s="67" t="s">
        <v>52</v>
      </c>
      <c r="L293" s="67" t="s">
        <v>178</v>
      </c>
      <c r="M293" s="47" t="s">
        <v>179</v>
      </c>
    </row>
    <row r="294" spans="1:13" x14ac:dyDescent="0.35">
      <c r="A294" s="17">
        <v>45692</v>
      </c>
      <c r="B294" s="39">
        <v>57.21</v>
      </c>
      <c r="C294" s="39">
        <v>5.21</v>
      </c>
      <c r="D294" s="39">
        <v>12502003</v>
      </c>
      <c r="E294" s="39" t="s">
        <v>122</v>
      </c>
      <c r="F294" s="39">
        <v>1260</v>
      </c>
      <c r="G294" s="35">
        <v>0.30555555555555558</v>
      </c>
      <c r="H294" s="35">
        <v>0.3125</v>
      </c>
      <c r="I294" s="36">
        <v>10</v>
      </c>
      <c r="J294" s="67" t="s">
        <v>51</v>
      </c>
      <c r="K294" s="67" t="s">
        <v>62</v>
      </c>
      <c r="L294" s="67" t="s">
        <v>130</v>
      </c>
      <c r="M294" s="47" t="s">
        <v>164</v>
      </c>
    </row>
    <row r="295" spans="1:13" x14ac:dyDescent="0.35">
      <c r="A295" s="17">
        <v>45692</v>
      </c>
      <c r="B295" s="39">
        <v>57.21</v>
      </c>
      <c r="C295" s="39">
        <v>5.21</v>
      </c>
      <c r="D295" s="39">
        <v>12502003</v>
      </c>
      <c r="E295" s="39" t="s">
        <v>122</v>
      </c>
      <c r="F295" s="39">
        <v>1260</v>
      </c>
      <c r="G295" s="35">
        <v>0.3125</v>
      </c>
      <c r="H295" s="35">
        <v>0.3611111111111111</v>
      </c>
      <c r="I295" s="36">
        <v>70</v>
      </c>
      <c r="J295" s="67" t="s">
        <v>51</v>
      </c>
      <c r="K295" s="67" t="s">
        <v>26</v>
      </c>
      <c r="L295" s="47" t="s">
        <v>441</v>
      </c>
      <c r="M295" s="47" t="s">
        <v>441</v>
      </c>
    </row>
    <row r="296" spans="1:13" x14ac:dyDescent="0.35">
      <c r="A296" s="17">
        <v>45693</v>
      </c>
      <c r="B296" s="39">
        <v>57.05</v>
      </c>
      <c r="C296" s="39">
        <v>5.54</v>
      </c>
      <c r="D296" s="39">
        <v>12502004</v>
      </c>
      <c r="E296" s="39" t="s">
        <v>80</v>
      </c>
      <c r="F296" s="39" t="s">
        <v>58</v>
      </c>
      <c r="G296" s="35">
        <v>0.50347222222222221</v>
      </c>
      <c r="H296" s="35">
        <v>0.52430555555555558</v>
      </c>
      <c r="I296" s="36">
        <v>30</v>
      </c>
      <c r="J296" s="67" t="s">
        <v>51</v>
      </c>
      <c r="K296" s="67" t="s">
        <v>445</v>
      </c>
      <c r="L296" s="67" t="s">
        <v>53</v>
      </c>
      <c r="M296" s="47" t="s">
        <v>54</v>
      </c>
    </row>
    <row r="297" spans="1:13" x14ac:dyDescent="0.35">
      <c r="A297" s="17">
        <v>45693</v>
      </c>
      <c r="B297" s="39">
        <v>57.05</v>
      </c>
      <c r="C297" s="39">
        <v>5.54</v>
      </c>
      <c r="D297" s="39">
        <v>12502004</v>
      </c>
      <c r="E297" s="39" t="s">
        <v>80</v>
      </c>
      <c r="F297" s="39" t="s">
        <v>58</v>
      </c>
      <c r="G297" s="35">
        <v>0.52430555555555558</v>
      </c>
      <c r="H297" s="35">
        <v>0.52777777777777779</v>
      </c>
      <c r="I297" s="36">
        <v>5</v>
      </c>
      <c r="J297" s="67" t="s">
        <v>446</v>
      </c>
      <c r="K297" s="67" t="s">
        <v>445</v>
      </c>
      <c r="L297" s="67" t="s">
        <v>206</v>
      </c>
      <c r="M297" s="47" t="s">
        <v>206</v>
      </c>
    </row>
    <row r="298" spans="1:13" x14ac:dyDescent="0.35">
      <c r="A298" s="17">
        <v>45694</v>
      </c>
      <c r="B298" s="39">
        <v>57.03</v>
      </c>
      <c r="C298" s="39">
        <v>5.27</v>
      </c>
      <c r="D298" s="39">
        <v>12502005</v>
      </c>
      <c r="E298" s="39" t="s">
        <v>72</v>
      </c>
      <c r="F298" s="39">
        <v>1250</v>
      </c>
      <c r="G298" s="35">
        <v>0.76388888888888884</v>
      </c>
      <c r="H298" s="35">
        <v>0.78472222222222221</v>
      </c>
      <c r="I298" s="36">
        <v>30</v>
      </c>
      <c r="J298" s="67" t="s">
        <v>51</v>
      </c>
      <c r="K298" s="67" t="s">
        <v>445</v>
      </c>
      <c r="L298" s="67" t="s">
        <v>53</v>
      </c>
      <c r="M298" s="47" t="s">
        <v>54</v>
      </c>
    </row>
    <row r="299" spans="1:13" x14ac:dyDescent="0.35">
      <c r="A299" s="17">
        <v>45694</v>
      </c>
      <c r="B299" s="39">
        <v>57.03</v>
      </c>
      <c r="C299" s="39">
        <v>5.27</v>
      </c>
      <c r="D299" s="39">
        <v>12502005</v>
      </c>
      <c r="E299" s="39" t="s">
        <v>72</v>
      </c>
      <c r="F299" s="39">
        <v>1250</v>
      </c>
      <c r="G299" s="35">
        <v>0.78472222222222221</v>
      </c>
      <c r="H299" s="35">
        <v>0.79513888888888884</v>
      </c>
      <c r="I299" s="36">
        <v>15</v>
      </c>
      <c r="J299" s="67" t="s">
        <v>52</v>
      </c>
      <c r="K299" s="67" t="s">
        <v>445</v>
      </c>
      <c r="L299" s="67" t="s">
        <v>59</v>
      </c>
      <c r="M299" s="47" t="s">
        <v>432</v>
      </c>
    </row>
    <row r="300" spans="1:13" x14ac:dyDescent="0.35">
      <c r="A300" s="17">
        <v>45694</v>
      </c>
      <c r="B300" s="39">
        <v>57.03</v>
      </c>
      <c r="C300" s="39">
        <v>5.27</v>
      </c>
      <c r="D300" s="39">
        <v>12502005</v>
      </c>
      <c r="E300" s="39" t="s">
        <v>72</v>
      </c>
      <c r="F300" s="39">
        <v>1250</v>
      </c>
      <c r="G300" s="35">
        <v>0.79513888888888884</v>
      </c>
      <c r="H300" s="35">
        <v>0.80555555555555558</v>
      </c>
      <c r="I300" s="36">
        <v>15</v>
      </c>
      <c r="J300" s="67" t="s">
        <v>446</v>
      </c>
      <c r="K300" s="67" t="s">
        <v>445</v>
      </c>
      <c r="L300" s="67" t="s">
        <v>74</v>
      </c>
      <c r="M300" s="47" t="s">
        <v>447</v>
      </c>
    </row>
    <row r="301" spans="1:13" x14ac:dyDescent="0.35">
      <c r="A301" s="17">
        <v>45696</v>
      </c>
      <c r="B301" s="103">
        <v>57</v>
      </c>
      <c r="C301" s="103">
        <v>5.66</v>
      </c>
      <c r="D301" s="103">
        <v>12502006</v>
      </c>
      <c r="E301" s="103" t="s">
        <v>141</v>
      </c>
      <c r="F301" s="103">
        <v>1250</v>
      </c>
      <c r="G301" s="35">
        <v>1.0416666666666666E-2</v>
      </c>
      <c r="H301" s="35">
        <v>3.125E-2</v>
      </c>
      <c r="I301" s="89">
        <v>30</v>
      </c>
      <c r="J301" s="67" t="s">
        <v>51</v>
      </c>
      <c r="K301" s="67" t="s">
        <v>445</v>
      </c>
      <c r="L301" s="67" t="s">
        <v>53</v>
      </c>
      <c r="M301" s="47" t="s">
        <v>54</v>
      </c>
    </row>
    <row r="302" spans="1:13" x14ac:dyDescent="0.35">
      <c r="A302" s="17">
        <v>45696</v>
      </c>
      <c r="B302" s="103">
        <v>57.16</v>
      </c>
      <c r="C302" s="103">
        <v>5.03</v>
      </c>
      <c r="D302" s="103">
        <v>12502007</v>
      </c>
      <c r="E302" s="103" t="s">
        <v>90</v>
      </c>
      <c r="F302" s="103">
        <v>1230</v>
      </c>
      <c r="G302" s="35">
        <v>0.375</v>
      </c>
      <c r="H302" s="35">
        <v>0.87847222222222221</v>
      </c>
      <c r="I302" s="89">
        <v>725</v>
      </c>
      <c r="J302" s="67" t="s">
        <v>448</v>
      </c>
      <c r="K302" s="67" t="s">
        <v>15</v>
      </c>
      <c r="L302" s="67" t="s">
        <v>448</v>
      </c>
      <c r="M302" s="47" t="s">
        <v>17</v>
      </c>
    </row>
    <row r="303" spans="1:13" x14ac:dyDescent="0.35">
      <c r="A303" s="17">
        <v>45697</v>
      </c>
      <c r="B303" s="39">
        <v>57.74</v>
      </c>
      <c r="C303" s="39">
        <v>5.16</v>
      </c>
      <c r="D303" s="45">
        <v>12502008</v>
      </c>
      <c r="E303" s="45" t="s">
        <v>34</v>
      </c>
      <c r="F303" s="45">
        <v>1010</v>
      </c>
      <c r="G303" s="35">
        <v>0.95138888888888884</v>
      </c>
      <c r="H303" s="35">
        <v>7.2916666666666671E-2</v>
      </c>
      <c r="I303" s="36">
        <v>175</v>
      </c>
      <c r="J303" s="67" t="s">
        <v>35</v>
      </c>
      <c r="K303" s="67" t="s">
        <v>26</v>
      </c>
      <c r="L303" s="67" t="s">
        <v>449</v>
      </c>
      <c r="M303" s="63" t="s">
        <v>450</v>
      </c>
    </row>
    <row r="304" spans="1:13" x14ac:dyDescent="0.35">
      <c r="A304" s="17">
        <v>45697</v>
      </c>
      <c r="B304" s="39">
        <v>57.74</v>
      </c>
      <c r="C304" s="39">
        <v>5.16</v>
      </c>
      <c r="D304" s="39">
        <v>12502009</v>
      </c>
      <c r="E304" s="39" t="s">
        <v>18</v>
      </c>
      <c r="F304" s="39">
        <v>1010</v>
      </c>
      <c r="G304" s="35">
        <v>0.61805555555555558</v>
      </c>
      <c r="H304" s="35">
        <v>0.63888888888888884</v>
      </c>
      <c r="I304" s="36">
        <v>30</v>
      </c>
      <c r="J304" s="67" t="s">
        <v>52</v>
      </c>
      <c r="K304" s="67" t="s">
        <v>445</v>
      </c>
      <c r="L304" s="67" t="s">
        <v>53</v>
      </c>
      <c r="M304" s="48" t="s">
        <v>54</v>
      </c>
    </row>
    <row r="305" spans="1:13" x14ac:dyDescent="0.35">
      <c r="A305" s="17">
        <v>45697</v>
      </c>
      <c r="B305" s="39">
        <v>57.74</v>
      </c>
      <c r="C305" s="39">
        <v>5.16</v>
      </c>
      <c r="D305" s="39">
        <v>12502009</v>
      </c>
      <c r="E305" s="39" t="s">
        <v>18</v>
      </c>
      <c r="F305" s="39">
        <v>1010</v>
      </c>
      <c r="G305" s="35">
        <v>0.63888888888888884</v>
      </c>
      <c r="H305" s="35">
        <v>0.64236111111111116</v>
      </c>
      <c r="I305" s="36">
        <v>5</v>
      </c>
      <c r="J305" s="67" t="s">
        <v>446</v>
      </c>
      <c r="K305" s="67" t="s">
        <v>445</v>
      </c>
      <c r="L305" s="67" t="s">
        <v>22</v>
      </c>
      <c r="M305" s="48" t="s">
        <v>451</v>
      </c>
    </row>
    <row r="306" spans="1:13" x14ac:dyDescent="0.35">
      <c r="A306" s="17">
        <v>45698</v>
      </c>
      <c r="B306" s="45">
        <v>57.03</v>
      </c>
      <c r="C306" s="45">
        <v>5.38</v>
      </c>
      <c r="D306" s="45">
        <v>12502010</v>
      </c>
      <c r="E306" s="45" t="s">
        <v>103</v>
      </c>
      <c r="F306" s="45">
        <v>1250</v>
      </c>
      <c r="G306" s="35">
        <v>0.45833333333333331</v>
      </c>
      <c r="H306" s="35">
        <v>0.53819444444444442</v>
      </c>
      <c r="I306" s="36">
        <v>115</v>
      </c>
      <c r="J306" s="86" t="s">
        <v>25</v>
      </c>
      <c r="K306" s="86" t="s">
        <v>445</v>
      </c>
      <c r="L306" s="86" t="s">
        <v>456</v>
      </c>
      <c r="M306" s="60" t="s">
        <v>227</v>
      </c>
    </row>
    <row r="307" spans="1:13" x14ac:dyDescent="0.35">
      <c r="A307" s="17">
        <v>45699</v>
      </c>
      <c r="B307" s="39">
        <v>57.03</v>
      </c>
      <c r="C307" s="39">
        <v>5.46</v>
      </c>
      <c r="D307" s="39">
        <v>12502011</v>
      </c>
      <c r="E307" s="39" t="s">
        <v>93</v>
      </c>
      <c r="F307" s="39">
        <v>1240</v>
      </c>
      <c r="G307" s="35">
        <v>0.67361111111111116</v>
      </c>
      <c r="H307" s="35">
        <v>0.69444444444444442</v>
      </c>
      <c r="I307" s="36">
        <v>30</v>
      </c>
      <c r="J307" s="86" t="s">
        <v>51</v>
      </c>
      <c r="K307" s="86" t="s">
        <v>445</v>
      </c>
      <c r="L307" s="86" t="s">
        <v>53</v>
      </c>
      <c r="M307" s="47" t="s">
        <v>54</v>
      </c>
    </row>
    <row r="308" spans="1:13" x14ac:dyDescent="0.35">
      <c r="A308" s="17">
        <v>45699</v>
      </c>
      <c r="B308" s="39">
        <v>57.03</v>
      </c>
      <c r="C308" s="39">
        <v>5.46</v>
      </c>
      <c r="D308" s="39">
        <v>12502011</v>
      </c>
      <c r="E308" s="39" t="s">
        <v>93</v>
      </c>
      <c r="F308" s="39">
        <v>1240</v>
      </c>
      <c r="G308" s="35">
        <v>0.69444444444444442</v>
      </c>
      <c r="H308" s="35">
        <v>0.70833333333333337</v>
      </c>
      <c r="I308" s="36">
        <v>20</v>
      </c>
      <c r="J308" s="86" t="s">
        <v>51</v>
      </c>
      <c r="K308" s="86" t="s">
        <v>19</v>
      </c>
      <c r="L308" s="47" t="s">
        <v>457</v>
      </c>
      <c r="M308" s="47" t="s">
        <v>457</v>
      </c>
    </row>
    <row r="309" spans="1:13" x14ac:dyDescent="0.35">
      <c r="A309" s="17">
        <v>45700</v>
      </c>
      <c r="B309" s="45">
        <v>56.86</v>
      </c>
      <c r="C309" s="45">
        <v>5.49</v>
      </c>
      <c r="D309" s="39">
        <v>12502012</v>
      </c>
      <c r="E309" s="39" t="s">
        <v>57</v>
      </c>
      <c r="F309" s="39" t="s">
        <v>458</v>
      </c>
      <c r="G309" s="35">
        <v>0.9291666666666667</v>
      </c>
      <c r="H309" s="35">
        <v>0.95</v>
      </c>
      <c r="I309" s="36">
        <v>30</v>
      </c>
      <c r="J309" s="67" t="s">
        <v>51</v>
      </c>
      <c r="K309" s="104" t="s">
        <v>445</v>
      </c>
      <c r="L309" s="67" t="s">
        <v>53</v>
      </c>
      <c r="M309" s="47" t="s">
        <v>54</v>
      </c>
    </row>
    <row r="310" spans="1:13" x14ac:dyDescent="0.35">
      <c r="A310" s="17">
        <v>45701</v>
      </c>
      <c r="B310" s="39">
        <v>56.9</v>
      </c>
      <c r="C310" s="39">
        <v>5.53</v>
      </c>
      <c r="D310" s="39">
        <v>12502012</v>
      </c>
      <c r="E310" s="39" t="s">
        <v>57</v>
      </c>
      <c r="F310" s="39" t="s">
        <v>458</v>
      </c>
      <c r="G310" s="35">
        <v>0.95</v>
      </c>
      <c r="H310" s="35">
        <v>0.9604166666666667</v>
      </c>
      <c r="I310" s="36">
        <v>15</v>
      </c>
      <c r="J310" s="67" t="s">
        <v>52</v>
      </c>
      <c r="K310" s="104" t="s">
        <v>445</v>
      </c>
      <c r="L310" s="67" t="s">
        <v>59</v>
      </c>
      <c r="M310" s="47" t="s">
        <v>432</v>
      </c>
    </row>
    <row r="311" spans="1:13" x14ac:dyDescent="0.35">
      <c r="A311" s="17">
        <v>45701</v>
      </c>
      <c r="B311" s="39">
        <v>56.9</v>
      </c>
      <c r="C311" s="39">
        <v>5.53</v>
      </c>
      <c r="D311" s="39">
        <v>12502012</v>
      </c>
      <c r="E311" s="39" t="s">
        <v>57</v>
      </c>
      <c r="F311" s="39" t="s">
        <v>458</v>
      </c>
      <c r="G311" s="35">
        <v>0.9604166666666667</v>
      </c>
      <c r="H311" s="35">
        <v>0.96388888888888891</v>
      </c>
      <c r="I311" s="36">
        <v>5</v>
      </c>
      <c r="J311" s="67" t="s">
        <v>446</v>
      </c>
      <c r="K311" s="104" t="s">
        <v>26</v>
      </c>
      <c r="L311" s="67" t="s">
        <v>32</v>
      </c>
      <c r="M311" s="47" t="s">
        <v>61</v>
      </c>
    </row>
    <row r="312" spans="1:13" x14ac:dyDescent="0.35">
      <c r="A312" s="17">
        <v>45701</v>
      </c>
      <c r="B312" s="39">
        <v>56.9</v>
      </c>
      <c r="C312" s="39">
        <v>5.53</v>
      </c>
      <c r="D312" s="39">
        <v>12502012</v>
      </c>
      <c r="E312" s="39" t="s">
        <v>57</v>
      </c>
      <c r="F312" s="39" t="s">
        <v>458</v>
      </c>
      <c r="G312" s="35">
        <v>0.96388888888888891</v>
      </c>
      <c r="H312" s="35">
        <v>0.96736111111111112</v>
      </c>
      <c r="I312" s="36">
        <v>5</v>
      </c>
      <c r="J312" s="67" t="s">
        <v>446</v>
      </c>
      <c r="K312" s="104" t="s">
        <v>41</v>
      </c>
      <c r="L312" s="67" t="s">
        <v>91</v>
      </c>
      <c r="M312" s="47" t="s">
        <v>459</v>
      </c>
    </row>
    <row r="313" spans="1:13" x14ac:dyDescent="0.35">
      <c r="A313" s="17">
        <v>45702</v>
      </c>
      <c r="B313" s="39">
        <v>57.1</v>
      </c>
      <c r="C313" s="39">
        <v>5.18</v>
      </c>
      <c r="D313" s="39">
        <v>12502013</v>
      </c>
      <c r="E313" s="39" t="s">
        <v>80</v>
      </c>
      <c r="F313" s="39" t="s">
        <v>460</v>
      </c>
      <c r="G313" s="35">
        <v>0.16458333333333333</v>
      </c>
      <c r="H313" s="35">
        <v>0.18541666666666667</v>
      </c>
      <c r="I313" s="36">
        <v>30</v>
      </c>
      <c r="J313" s="67" t="s">
        <v>51</v>
      </c>
      <c r="K313" s="104" t="s">
        <v>445</v>
      </c>
      <c r="L313" s="67" t="s">
        <v>53</v>
      </c>
      <c r="M313" s="47" t="s">
        <v>54</v>
      </c>
    </row>
    <row r="314" spans="1:13" x14ac:dyDescent="0.35">
      <c r="A314" s="17">
        <v>45702</v>
      </c>
      <c r="B314" s="39">
        <v>57.1</v>
      </c>
      <c r="C314" s="39">
        <v>5.18</v>
      </c>
      <c r="D314" s="39">
        <v>12502013</v>
      </c>
      <c r="E314" s="39" t="s">
        <v>80</v>
      </c>
      <c r="F314" s="39" t="s">
        <v>460</v>
      </c>
      <c r="G314" s="35">
        <v>0.18541666666666667</v>
      </c>
      <c r="H314" s="35">
        <v>0.18819444444444444</v>
      </c>
      <c r="I314" s="36">
        <v>4</v>
      </c>
      <c r="J314" s="67" t="s">
        <v>446</v>
      </c>
      <c r="K314" s="104" t="s">
        <v>26</v>
      </c>
      <c r="L314" s="67" t="s">
        <v>32</v>
      </c>
      <c r="M314" s="47" t="s">
        <v>61</v>
      </c>
    </row>
    <row r="315" spans="1:13" x14ac:dyDescent="0.35">
      <c r="A315" s="17">
        <v>45703</v>
      </c>
      <c r="B315" s="39">
        <v>56.87</v>
      </c>
      <c r="C315" s="39">
        <v>5.26</v>
      </c>
      <c r="D315" s="39">
        <v>12502014</v>
      </c>
      <c r="E315" s="39" t="s">
        <v>116</v>
      </c>
      <c r="F315" s="39">
        <v>1250</v>
      </c>
      <c r="G315" s="35">
        <v>0.4236111111111111</v>
      </c>
      <c r="H315" s="35">
        <v>0.44444444444444442</v>
      </c>
      <c r="I315" s="36">
        <v>30</v>
      </c>
      <c r="J315" s="67" t="s">
        <v>51</v>
      </c>
      <c r="K315" s="104" t="s">
        <v>445</v>
      </c>
      <c r="L315" s="67" t="s">
        <v>53</v>
      </c>
      <c r="M315" s="47" t="s">
        <v>54</v>
      </c>
    </row>
    <row r="316" spans="1:13" x14ac:dyDescent="0.35">
      <c r="A316" s="17">
        <v>45703</v>
      </c>
      <c r="B316" s="39">
        <v>56.87</v>
      </c>
      <c r="C316" s="39">
        <v>5.26</v>
      </c>
      <c r="D316" s="39">
        <v>12502014</v>
      </c>
      <c r="E316" s="39" t="s">
        <v>116</v>
      </c>
      <c r="F316" s="39">
        <v>1250</v>
      </c>
      <c r="G316" s="35">
        <v>0.44444444444444442</v>
      </c>
      <c r="H316" s="35">
        <v>0.4548611111111111</v>
      </c>
      <c r="I316" s="36">
        <v>15</v>
      </c>
      <c r="J316" s="67" t="s">
        <v>52</v>
      </c>
      <c r="K316" s="104" t="s">
        <v>445</v>
      </c>
      <c r="L316" s="67" t="s">
        <v>59</v>
      </c>
      <c r="M316" s="47" t="s">
        <v>432</v>
      </c>
    </row>
    <row r="317" spans="1:13" x14ac:dyDescent="0.35">
      <c r="A317" s="17">
        <v>45703</v>
      </c>
      <c r="B317" s="39">
        <v>56.87</v>
      </c>
      <c r="C317" s="39">
        <v>5.26</v>
      </c>
      <c r="D317" s="39">
        <v>12502014</v>
      </c>
      <c r="E317" s="39" t="s">
        <v>116</v>
      </c>
      <c r="F317" s="39">
        <v>1250</v>
      </c>
      <c r="G317" s="35">
        <v>0.4548611111111111</v>
      </c>
      <c r="H317" s="35">
        <v>0.46527777777777779</v>
      </c>
      <c r="I317" s="36">
        <v>15</v>
      </c>
      <c r="J317" s="67" t="s">
        <v>446</v>
      </c>
      <c r="K317" s="104" t="s">
        <v>445</v>
      </c>
      <c r="L317" s="67" t="s">
        <v>74</v>
      </c>
      <c r="M317" s="47" t="s">
        <v>461</v>
      </c>
    </row>
    <row r="318" spans="1:13" x14ac:dyDescent="0.35">
      <c r="A318" s="17">
        <v>45703</v>
      </c>
      <c r="B318" s="39">
        <v>56.87</v>
      </c>
      <c r="C318" s="39">
        <v>5.26</v>
      </c>
      <c r="D318" s="39">
        <v>12502014</v>
      </c>
      <c r="E318" s="39" t="s">
        <v>116</v>
      </c>
      <c r="F318" s="39">
        <v>1250</v>
      </c>
      <c r="G318" s="35">
        <v>0.46527777777777779</v>
      </c>
      <c r="H318" s="35">
        <v>0.46875</v>
      </c>
      <c r="I318" s="36">
        <v>5</v>
      </c>
      <c r="J318" s="67" t="s">
        <v>446</v>
      </c>
      <c r="K318" s="105" t="s">
        <v>26</v>
      </c>
      <c r="L318" s="67" t="s">
        <v>32</v>
      </c>
      <c r="M318" s="47" t="s">
        <v>32</v>
      </c>
    </row>
    <row r="319" spans="1:13" x14ac:dyDescent="0.35">
      <c r="A319" s="17">
        <v>45704</v>
      </c>
      <c r="B319" s="45">
        <v>57.02</v>
      </c>
      <c r="C319" s="45">
        <v>5.51</v>
      </c>
      <c r="D319" s="45">
        <v>12502015</v>
      </c>
      <c r="E319" s="45" t="s">
        <v>119</v>
      </c>
      <c r="F319" s="45" t="s">
        <v>462</v>
      </c>
      <c r="G319" s="35">
        <v>0.70833333333333337</v>
      </c>
      <c r="H319" s="35">
        <v>0.72569444444444442</v>
      </c>
      <c r="I319" s="36">
        <v>25</v>
      </c>
      <c r="J319" s="67" t="s">
        <v>51</v>
      </c>
      <c r="K319" s="104" t="s">
        <v>445</v>
      </c>
      <c r="L319" s="67" t="s">
        <v>53</v>
      </c>
      <c r="M319" s="47" t="s">
        <v>54</v>
      </c>
    </row>
    <row r="320" spans="1:13" x14ac:dyDescent="0.35">
      <c r="A320" s="17">
        <v>45705</v>
      </c>
      <c r="B320" s="45">
        <v>57.03</v>
      </c>
      <c r="C320" s="45">
        <v>5.47</v>
      </c>
      <c r="D320" s="45">
        <v>12502016</v>
      </c>
      <c r="E320" s="45" t="s">
        <v>341</v>
      </c>
      <c r="F320" s="45">
        <v>1230</v>
      </c>
      <c r="G320" s="35">
        <v>0.13194444444444445</v>
      </c>
      <c r="H320" s="35">
        <v>0.19444444444444445</v>
      </c>
      <c r="I320" s="36">
        <v>90</v>
      </c>
      <c r="J320" s="67" t="s">
        <v>463</v>
      </c>
      <c r="K320" s="104" t="s">
        <v>41</v>
      </c>
      <c r="L320" s="67" t="s">
        <v>464</v>
      </c>
      <c r="M320" s="47" t="s">
        <v>465</v>
      </c>
    </row>
    <row r="321" spans="1:13" x14ac:dyDescent="0.35">
      <c r="A321" s="17">
        <v>45706</v>
      </c>
      <c r="B321" s="85">
        <v>57.02</v>
      </c>
      <c r="C321" s="85">
        <v>5.46</v>
      </c>
      <c r="D321" s="85">
        <v>12502017</v>
      </c>
      <c r="E321" s="85" t="s">
        <v>116</v>
      </c>
      <c r="F321" s="85">
        <v>1250</v>
      </c>
      <c r="G321" s="35">
        <v>0.34722222222222221</v>
      </c>
      <c r="H321" s="35">
        <v>0.36805555555555558</v>
      </c>
      <c r="I321" s="36">
        <v>30</v>
      </c>
      <c r="J321" s="67" t="s">
        <v>51</v>
      </c>
      <c r="K321" s="104" t="s">
        <v>445</v>
      </c>
      <c r="L321" s="67" t="s">
        <v>53</v>
      </c>
      <c r="M321" s="47" t="s">
        <v>54</v>
      </c>
    </row>
    <row r="322" spans="1:13" x14ac:dyDescent="0.35">
      <c r="A322" s="17">
        <v>45706</v>
      </c>
      <c r="B322" s="85">
        <v>57.02</v>
      </c>
      <c r="C322" s="85">
        <v>5.46</v>
      </c>
      <c r="D322" s="85">
        <v>12502017</v>
      </c>
      <c r="E322" s="85" t="s">
        <v>116</v>
      </c>
      <c r="F322" s="85">
        <v>1250</v>
      </c>
      <c r="G322" s="35">
        <v>0.36805555555555558</v>
      </c>
      <c r="H322" s="35">
        <v>0.38194444444444442</v>
      </c>
      <c r="I322" s="36">
        <v>20</v>
      </c>
      <c r="J322" s="67" t="s">
        <v>446</v>
      </c>
      <c r="K322" s="104" t="s">
        <v>26</v>
      </c>
      <c r="L322" s="47" t="s">
        <v>474</v>
      </c>
      <c r="M322" s="47" t="s">
        <v>474</v>
      </c>
    </row>
    <row r="323" spans="1:13" x14ac:dyDescent="0.35">
      <c r="A323" s="17">
        <v>45707</v>
      </c>
      <c r="B323" s="39">
        <v>56.93</v>
      </c>
      <c r="C323" s="39">
        <v>5.44</v>
      </c>
      <c r="D323" s="39">
        <v>12502018</v>
      </c>
      <c r="E323" s="39" t="s">
        <v>72</v>
      </c>
      <c r="F323" s="39">
        <v>1250</v>
      </c>
      <c r="G323" s="35">
        <v>0.60763888888888884</v>
      </c>
      <c r="H323" s="35">
        <v>0.62847222222222221</v>
      </c>
      <c r="I323" s="36">
        <v>30</v>
      </c>
      <c r="J323" s="67" t="s">
        <v>51</v>
      </c>
      <c r="K323" s="104" t="s">
        <v>445</v>
      </c>
      <c r="L323" s="67" t="s">
        <v>53</v>
      </c>
      <c r="M323" s="47" t="s">
        <v>54</v>
      </c>
    </row>
    <row r="324" spans="1:13" x14ac:dyDescent="0.35">
      <c r="A324" s="17">
        <v>45707</v>
      </c>
      <c r="B324" s="39">
        <v>56.93</v>
      </c>
      <c r="C324" s="39">
        <v>5.44</v>
      </c>
      <c r="D324" s="39">
        <v>12502018</v>
      </c>
      <c r="E324" s="39" t="s">
        <v>72</v>
      </c>
      <c r="F324" s="39">
        <v>1250</v>
      </c>
      <c r="G324" s="35">
        <v>0.62847222222222221</v>
      </c>
      <c r="H324" s="35">
        <v>0.63402777777777775</v>
      </c>
      <c r="I324" s="36">
        <v>8</v>
      </c>
      <c r="J324" s="67" t="s">
        <v>52</v>
      </c>
      <c r="K324" s="104" t="s">
        <v>445</v>
      </c>
      <c r="L324" s="67" t="s">
        <v>59</v>
      </c>
      <c r="M324" s="47" t="s">
        <v>59</v>
      </c>
    </row>
    <row r="325" spans="1:13" x14ac:dyDescent="0.35">
      <c r="A325" s="17">
        <v>45707</v>
      </c>
      <c r="B325" s="39">
        <v>56.93</v>
      </c>
      <c r="C325" s="39">
        <v>5.44</v>
      </c>
      <c r="D325" s="39">
        <v>12502018</v>
      </c>
      <c r="E325" s="39" t="s">
        <v>72</v>
      </c>
      <c r="F325" s="39">
        <v>1250</v>
      </c>
      <c r="G325" s="35">
        <v>0.63402777777777775</v>
      </c>
      <c r="H325" s="35">
        <v>0.64236111111111116</v>
      </c>
      <c r="I325" s="36">
        <v>12</v>
      </c>
      <c r="J325" s="67" t="s">
        <v>52</v>
      </c>
      <c r="K325" s="104" t="s">
        <v>62</v>
      </c>
      <c r="L325" s="67" t="s">
        <v>130</v>
      </c>
      <c r="M325" s="47" t="s">
        <v>131</v>
      </c>
    </row>
    <row r="326" spans="1:13" x14ac:dyDescent="0.35">
      <c r="A326" s="17">
        <v>45708</v>
      </c>
      <c r="B326" s="39">
        <v>57</v>
      </c>
      <c r="C326" s="39">
        <v>5.39</v>
      </c>
      <c r="D326" s="39">
        <v>12502019</v>
      </c>
      <c r="E326" s="39" t="s">
        <v>141</v>
      </c>
      <c r="F326" s="39">
        <v>1260</v>
      </c>
      <c r="G326" s="35">
        <v>0.86805555555555558</v>
      </c>
      <c r="H326" s="35">
        <v>0.88888888888888884</v>
      </c>
      <c r="I326" s="36">
        <v>30</v>
      </c>
      <c r="J326" s="67" t="s">
        <v>51</v>
      </c>
      <c r="K326" s="104" t="s">
        <v>445</v>
      </c>
      <c r="L326" s="67" t="s">
        <v>53</v>
      </c>
      <c r="M326" s="47" t="s">
        <v>54</v>
      </c>
    </row>
    <row r="327" spans="1:13" x14ac:dyDescent="0.35">
      <c r="A327" s="17">
        <v>45708</v>
      </c>
      <c r="B327" s="39">
        <v>57</v>
      </c>
      <c r="C327" s="39">
        <v>5.39</v>
      </c>
      <c r="D327" s="39">
        <v>12502019</v>
      </c>
      <c r="E327" s="39" t="s">
        <v>141</v>
      </c>
      <c r="F327" s="39">
        <v>1260</v>
      </c>
      <c r="G327" s="35">
        <v>0.88888888888888884</v>
      </c>
      <c r="H327" s="35">
        <v>0.89930555555555558</v>
      </c>
      <c r="I327" s="36">
        <v>15</v>
      </c>
      <c r="J327" s="67" t="s">
        <v>446</v>
      </c>
      <c r="K327" s="104" t="s">
        <v>19</v>
      </c>
      <c r="L327" s="47" t="s">
        <v>480</v>
      </c>
      <c r="M327" s="47" t="s">
        <v>480</v>
      </c>
    </row>
    <row r="328" spans="1:13" x14ac:dyDescent="0.35">
      <c r="A328" s="17">
        <v>45710</v>
      </c>
      <c r="B328" s="45">
        <v>57</v>
      </c>
      <c r="C328" s="45">
        <v>5.69</v>
      </c>
      <c r="D328" s="39">
        <v>12502020</v>
      </c>
      <c r="E328" s="39" t="s">
        <v>57</v>
      </c>
      <c r="F328" s="39" t="s">
        <v>487</v>
      </c>
      <c r="G328" s="35">
        <v>0.12847222222222221</v>
      </c>
      <c r="H328" s="35">
        <v>0.14930555555555555</v>
      </c>
      <c r="I328" s="36">
        <v>30</v>
      </c>
      <c r="J328" s="67" t="s">
        <v>51</v>
      </c>
      <c r="K328" s="104" t="s">
        <v>445</v>
      </c>
      <c r="L328" s="67" t="s">
        <v>53</v>
      </c>
      <c r="M328" s="47" t="s">
        <v>54</v>
      </c>
    </row>
    <row r="329" spans="1:13" x14ac:dyDescent="0.35">
      <c r="A329" s="17">
        <v>45710</v>
      </c>
      <c r="B329" s="39">
        <v>57.03</v>
      </c>
      <c r="C329" s="39">
        <v>5.31</v>
      </c>
      <c r="D329" s="39">
        <v>12502020</v>
      </c>
      <c r="E329" s="39" t="s">
        <v>57</v>
      </c>
      <c r="F329" s="39" t="s">
        <v>487</v>
      </c>
      <c r="G329" s="35">
        <v>0.14930555555555555</v>
      </c>
      <c r="H329" s="35">
        <v>0.15486111111111112</v>
      </c>
      <c r="I329" s="36">
        <v>8</v>
      </c>
      <c r="J329" s="67" t="s">
        <v>52</v>
      </c>
      <c r="K329" s="104" t="s">
        <v>445</v>
      </c>
      <c r="L329" s="67" t="s">
        <v>59</v>
      </c>
      <c r="M329" s="47" t="s">
        <v>432</v>
      </c>
    </row>
    <row r="330" spans="1:13" x14ac:dyDescent="0.35">
      <c r="A330" s="17">
        <v>45710</v>
      </c>
      <c r="B330" s="39">
        <v>57.03</v>
      </c>
      <c r="C330" s="39">
        <v>5.31</v>
      </c>
      <c r="D330" s="39">
        <v>12502020</v>
      </c>
      <c r="E330" s="39" t="s">
        <v>57</v>
      </c>
      <c r="F330" s="39" t="s">
        <v>487</v>
      </c>
      <c r="G330" s="35">
        <v>0.15486111111111112</v>
      </c>
      <c r="H330" s="35">
        <v>0.16319444444444445</v>
      </c>
      <c r="I330" s="36">
        <v>12</v>
      </c>
      <c r="J330" s="67" t="s">
        <v>52</v>
      </c>
      <c r="K330" s="104" t="s">
        <v>62</v>
      </c>
      <c r="L330" s="67" t="s">
        <v>130</v>
      </c>
      <c r="M330" s="47" t="s">
        <v>147</v>
      </c>
    </row>
    <row r="331" spans="1:13" x14ac:dyDescent="0.35">
      <c r="A331" s="17">
        <v>45711</v>
      </c>
      <c r="B331" s="39">
        <v>57.03</v>
      </c>
      <c r="C331" s="39">
        <v>5.35</v>
      </c>
      <c r="D331" s="39">
        <v>12502021</v>
      </c>
      <c r="E331" s="39" t="s">
        <v>119</v>
      </c>
      <c r="F331" s="39">
        <v>1250</v>
      </c>
      <c r="G331" s="35">
        <v>0.36944444444444446</v>
      </c>
      <c r="H331" s="35">
        <v>0.39027777777777778</v>
      </c>
      <c r="I331" s="36">
        <v>30</v>
      </c>
      <c r="J331" s="67" t="s">
        <v>51</v>
      </c>
      <c r="K331" s="104" t="s">
        <v>445</v>
      </c>
      <c r="L331" s="67" t="s">
        <v>53</v>
      </c>
      <c r="M331" s="47" t="s">
        <v>54</v>
      </c>
    </row>
    <row r="332" spans="1:13" x14ac:dyDescent="0.35">
      <c r="A332" s="17">
        <v>45711</v>
      </c>
      <c r="B332" s="39">
        <v>57.03</v>
      </c>
      <c r="C332" s="39">
        <v>5.35</v>
      </c>
      <c r="D332" s="39">
        <v>12502021</v>
      </c>
      <c r="E332" s="39" t="s">
        <v>119</v>
      </c>
      <c r="F332" s="39">
        <v>1250</v>
      </c>
      <c r="G332" s="35">
        <v>0.39027777777777778</v>
      </c>
      <c r="H332" s="35">
        <v>0.42708333333333331</v>
      </c>
      <c r="I332" s="36">
        <v>53</v>
      </c>
      <c r="J332" s="67" t="s">
        <v>446</v>
      </c>
      <c r="K332" s="104" t="s">
        <v>41</v>
      </c>
      <c r="L332" s="67" t="s">
        <v>124</v>
      </c>
      <c r="M332" s="47" t="s">
        <v>488</v>
      </c>
    </row>
    <row r="333" spans="1:13" x14ac:dyDescent="0.35">
      <c r="A333" s="17">
        <v>45712</v>
      </c>
      <c r="B333" s="39">
        <v>57.43</v>
      </c>
      <c r="C333" s="39">
        <v>5.3</v>
      </c>
      <c r="D333" s="45">
        <v>12502022</v>
      </c>
      <c r="E333" s="45" t="s">
        <v>122</v>
      </c>
      <c r="F333" s="45">
        <v>1250</v>
      </c>
      <c r="G333" s="35">
        <v>0.375</v>
      </c>
      <c r="H333" s="35">
        <v>0.47916666666666669</v>
      </c>
      <c r="I333" s="36">
        <v>150</v>
      </c>
      <c r="J333" s="67" t="s">
        <v>25</v>
      </c>
      <c r="K333" s="104" t="s">
        <v>445</v>
      </c>
      <c r="L333" s="67" t="s">
        <v>456</v>
      </c>
      <c r="M333" s="112" t="s">
        <v>227</v>
      </c>
    </row>
    <row r="334" spans="1:13" x14ac:dyDescent="0.35">
      <c r="A334" s="17">
        <v>45712</v>
      </c>
      <c r="B334" s="39">
        <v>57.43</v>
      </c>
      <c r="C334" s="39">
        <v>5.3</v>
      </c>
      <c r="D334" s="45">
        <v>12502023</v>
      </c>
      <c r="E334" s="45" t="s">
        <v>285</v>
      </c>
      <c r="F334" s="45">
        <v>1230</v>
      </c>
      <c r="G334" s="35">
        <v>0.68402777777777779</v>
      </c>
      <c r="H334" s="35">
        <v>0.74652777777777779</v>
      </c>
      <c r="I334" s="36">
        <v>90</v>
      </c>
      <c r="J334" s="67" t="s">
        <v>25</v>
      </c>
      <c r="K334" s="104" t="s">
        <v>445</v>
      </c>
      <c r="L334" s="67" t="s">
        <v>492</v>
      </c>
      <c r="M334" s="112" t="s">
        <v>258</v>
      </c>
    </row>
    <row r="335" spans="1:13" x14ac:dyDescent="0.35">
      <c r="A335" s="17">
        <v>45714</v>
      </c>
      <c r="B335" s="113">
        <v>57.12</v>
      </c>
      <c r="C335" s="39">
        <v>5.5</v>
      </c>
      <c r="D335" s="39">
        <v>12502024</v>
      </c>
      <c r="E335" s="39" t="s">
        <v>72</v>
      </c>
      <c r="F335" s="39" t="s">
        <v>58</v>
      </c>
      <c r="G335" s="35">
        <v>0.96875</v>
      </c>
      <c r="H335" s="35">
        <v>0.98958333333333337</v>
      </c>
      <c r="I335" s="36">
        <v>30</v>
      </c>
      <c r="J335" s="67" t="s">
        <v>51</v>
      </c>
      <c r="K335" s="104" t="s">
        <v>445</v>
      </c>
      <c r="L335" s="67" t="s">
        <v>53</v>
      </c>
      <c r="M335" s="47" t="s">
        <v>54</v>
      </c>
    </row>
    <row r="336" spans="1:13" x14ac:dyDescent="0.35">
      <c r="A336" s="17">
        <v>45714</v>
      </c>
      <c r="B336" s="113">
        <v>57.12</v>
      </c>
      <c r="C336" s="39">
        <v>5.5</v>
      </c>
      <c r="D336" s="39">
        <v>12502024</v>
      </c>
      <c r="E336" s="39" t="s">
        <v>72</v>
      </c>
      <c r="F336" s="39" t="s">
        <v>58</v>
      </c>
      <c r="G336" s="35">
        <v>0.98958333333333337</v>
      </c>
      <c r="H336" s="35">
        <v>0.99305555555555558</v>
      </c>
      <c r="I336" s="36">
        <v>5</v>
      </c>
      <c r="J336" s="67" t="s">
        <v>446</v>
      </c>
      <c r="K336" s="105" t="s">
        <v>26</v>
      </c>
      <c r="L336" s="67" t="s">
        <v>32</v>
      </c>
      <c r="M336" s="47" t="s">
        <v>61</v>
      </c>
    </row>
    <row r="337" spans="1:13" x14ac:dyDescent="0.35">
      <c r="A337" s="17">
        <v>45715</v>
      </c>
      <c r="B337" s="39">
        <v>57.29</v>
      </c>
      <c r="C337" s="39">
        <v>4.87</v>
      </c>
      <c r="D337" s="39">
        <v>12502025</v>
      </c>
      <c r="E337" s="39" t="s">
        <v>119</v>
      </c>
      <c r="F337" s="39" t="s">
        <v>494</v>
      </c>
      <c r="G337" s="35">
        <v>0.19791666666666666</v>
      </c>
      <c r="H337" s="35">
        <v>0.21875</v>
      </c>
      <c r="I337" s="36">
        <v>30</v>
      </c>
      <c r="J337" s="67" t="s">
        <v>51</v>
      </c>
      <c r="K337" s="104" t="s">
        <v>445</v>
      </c>
      <c r="L337" s="67" t="s">
        <v>53</v>
      </c>
      <c r="M337" s="47" t="s">
        <v>54</v>
      </c>
    </row>
    <row r="338" spans="1:13" x14ac:dyDescent="0.35">
      <c r="A338" s="17">
        <v>45715</v>
      </c>
      <c r="B338" s="39">
        <v>57.29</v>
      </c>
      <c r="C338" s="39">
        <v>4.87</v>
      </c>
      <c r="D338" s="39">
        <v>12502025</v>
      </c>
      <c r="E338" s="39" t="s">
        <v>119</v>
      </c>
      <c r="F338" s="39" t="s">
        <v>494</v>
      </c>
      <c r="G338" s="35">
        <v>0.21875</v>
      </c>
      <c r="H338" s="35">
        <v>0.22430555555555556</v>
      </c>
      <c r="I338" s="36">
        <v>8</v>
      </c>
      <c r="J338" s="67" t="s">
        <v>52</v>
      </c>
      <c r="K338" s="104" t="s">
        <v>445</v>
      </c>
      <c r="L338" s="67" t="s">
        <v>59</v>
      </c>
      <c r="M338" s="47" t="s">
        <v>432</v>
      </c>
    </row>
    <row r="339" spans="1:13" x14ac:dyDescent="0.35">
      <c r="A339" s="17">
        <v>45715</v>
      </c>
      <c r="B339" s="39">
        <v>57.29</v>
      </c>
      <c r="C339" s="39">
        <v>4.87</v>
      </c>
      <c r="D339" s="39">
        <v>12502025</v>
      </c>
      <c r="E339" s="39" t="s">
        <v>119</v>
      </c>
      <c r="F339" s="39" t="s">
        <v>494</v>
      </c>
      <c r="G339" s="35">
        <v>0.22430555555555556</v>
      </c>
      <c r="H339" s="35">
        <v>0.2326388888888889</v>
      </c>
      <c r="I339" s="36">
        <v>12</v>
      </c>
      <c r="J339" s="67" t="s">
        <v>52</v>
      </c>
      <c r="K339" s="104" t="s">
        <v>62</v>
      </c>
      <c r="L339" s="67" t="s">
        <v>130</v>
      </c>
      <c r="M339" s="47" t="s">
        <v>250</v>
      </c>
    </row>
    <row r="340" spans="1:13" x14ac:dyDescent="0.35">
      <c r="A340" s="17">
        <v>45715</v>
      </c>
      <c r="B340" s="39">
        <v>57.29</v>
      </c>
      <c r="C340" s="39">
        <v>4.87</v>
      </c>
      <c r="D340" s="45">
        <v>12502026</v>
      </c>
      <c r="E340" s="45" t="s">
        <v>311</v>
      </c>
      <c r="F340" s="45">
        <v>1250</v>
      </c>
      <c r="G340" s="35">
        <v>0.65833333333333333</v>
      </c>
      <c r="H340" s="35">
        <v>0.68263888888888891</v>
      </c>
      <c r="I340" s="36">
        <v>35</v>
      </c>
      <c r="J340" s="67" t="s">
        <v>463</v>
      </c>
      <c r="K340" s="104" t="s">
        <v>445</v>
      </c>
      <c r="L340" s="47" t="s">
        <v>495</v>
      </c>
      <c r="M340" s="47" t="s">
        <v>495</v>
      </c>
    </row>
    <row r="341" spans="1:13" x14ac:dyDescent="0.35">
      <c r="A341" s="17">
        <v>45715</v>
      </c>
      <c r="B341" s="39">
        <v>57.29</v>
      </c>
      <c r="C341" s="39">
        <v>4.87</v>
      </c>
      <c r="D341" s="45">
        <v>12502027</v>
      </c>
      <c r="E341" s="45" t="s">
        <v>175</v>
      </c>
      <c r="F341" s="45">
        <v>1250</v>
      </c>
      <c r="G341" s="35">
        <v>0.8125</v>
      </c>
      <c r="H341" s="35">
        <v>0.88194444444444442</v>
      </c>
      <c r="I341" s="36">
        <v>100</v>
      </c>
      <c r="J341" s="67" t="s">
        <v>25</v>
      </c>
      <c r="K341" s="104" t="s">
        <v>445</v>
      </c>
      <c r="L341" s="67" t="s">
        <v>492</v>
      </c>
      <c r="M341" s="60" t="s">
        <v>258</v>
      </c>
    </row>
    <row r="342" spans="1:13" x14ac:dyDescent="0.35">
      <c r="A342" s="17">
        <v>45716</v>
      </c>
      <c r="B342" s="39">
        <v>57.81</v>
      </c>
      <c r="C342" s="39">
        <v>5.18</v>
      </c>
      <c r="D342" s="39">
        <v>12502028</v>
      </c>
      <c r="E342" s="39" t="s">
        <v>24</v>
      </c>
      <c r="F342" s="39">
        <v>1250</v>
      </c>
      <c r="G342" s="35">
        <v>0.11805555555555555</v>
      </c>
      <c r="H342" s="35">
        <v>0.2013888888888889</v>
      </c>
      <c r="I342" s="36">
        <v>120</v>
      </c>
      <c r="J342" s="67" t="s">
        <v>25</v>
      </c>
      <c r="K342" s="104" t="s">
        <v>445</v>
      </c>
      <c r="L342" s="67" t="s">
        <v>492</v>
      </c>
      <c r="M342" s="60" t="s">
        <v>258</v>
      </c>
    </row>
    <row r="343" spans="1:13" x14ac:dyDescent="0.35">
      <c r="A343" s="17">
        <v>45716</v>
      </c>
      <c r="B343" s="39">
        <v>57.81</v>
      </c>
      <c r="C343" s="39">
        <v>5.18</v>
      </c>
      <c r="D343" s="39">
        <v>12502028</v>
      </c>
      <c r="E343" s="39" t="s">
        <v>24</v>
      </c>
      <c r="F343" s="39">
        <v>1250</v>
      </c>
      <c r="G343" s="35">
        <v>0.2013888888888889</v>
      </c>
      <c r="H343" s="35">
        <v>0.20833333333333334</v>
      </c>
      <c r="I343" s="36">
        <v>10</v>
      </c>
      <c r="J343" s="67" t="s">
        <v>446</v>
      </c>
      <c r="K343" s="104" t="s">
        <v>445</v>
      </c>
      <c r="L343" s="67" t="s">
        <v>74</v>
      </c>
      <c r="M343" s="47" t="s">
        <v>298</v>
      </c>
    </row>
    <row r="344" spans="1:13" x14ac:dyDescent="0.35">
      <c r="A344" s="17">
        <v>45717</v>
      </c>
      <c r="B344" s="39">
        <v>57.85</v>
      </c>
      <c r="C344" s="39">
        <v>5.24</v>
      </c>
      <c r="D344" s="39">
        <v>12502029</v>
      </c>
      <c r="E344" s="39" t="s">
        <v>80</v>
      </c>
      <c r="F344" s="39">
        <v>1255</v>
      </c>
      <c r="G344" s="35">
        <v>0.41666666666666669</v>
      </c>
      <c r="H344" s="35">
        <v>0.47916666666666669</v>
      </c>
      <c r="I344" s="36">
        <v>90</v>
      </c>
      <c r="J344" s="67" t="s">
        <v>463</v>
      </c>
      <c r="K344" s="104" t="s">
        <v>283</v>
      </c>
      <c r="L344" s="67" t="s">
        <v>283</v>
      </c>
      <c r="M344" s="47" t="s">
        <v>498</v>
      </c>
    </row>
    <row r="345" spans="1:13" x14ac:dyDescent="0.35">
      <c r="A345" s="17">
        <v>45717</v>
      </c>
      <c r="B345" s="39">
        <v>57.85</v>
      </c>
      <c r="C345" s="39">
        <v>5.24</v>
      </c>
      <c r="D345" s="39">
        <v>12502029</v>
      </c>
      <c r="E345" s="39" t="s">
        <v>80</v>
      </c>
      <c r="F345" s="39">
        <v>1255</v>
      </c>
      <c r="G345" s="35">
        <v>0.47916666666666669</v>
      </c>
      <c r="H345" s="35">
        <v>0.7895833333333333</v>
      </c>
      <c r="I345" s="36">
        <v>447</v>
      </c>
      <c r="J345" s="104" t="s">
        <v>15</v>
      </c>
      <c r="K345" s="104" t="s">
        <v>15</v>
      </c>
      <c r="L345" s="67" t="s">
        <v>448</v>
      </c>
      <c r="M345" s="47" t="s">
        <v>499</v>
      </c>
    </row>
    <row r="346" spans="1:13" x14ac:dyDescent="0.35">
      <c r="A346" s="17">
        <v>45719</v>
      </c>
      <c r="B346" s="45">
        <v>56</v>
      </c>
      <c r="C346" s="45">
        <v>5.71</v>
      </c>
      <c r="D346" s="39">
        <v>12503001</v>
      </c>
      <c r="E346" s="39" t="s">
        <v>501</v>
      </c>
      <c r="F346" s="39">
        <v>1350</v>
      </c>
      <c r="G346" s="35">
        <v>2.0833333333333332E-2</v>
      </c>
      <c r="H346" s="35">
        <v>4.1666666666666664E-2</v>
      </c>
      <c r="I346" s="36">
        <v>30</v>
      </c>
      <c r="J346" s="67" t="s">
        <v>51</v>
      </c>
      <c r="K346" s="104" t="s">
        <v>445</v>
      </c>
      <c r="L346" s="67" t="s">
        <v>53</v>
      </c>
      <c r="M346" s="114" t="s">
        <v>54</v>
      </c>
    </row>
    <row r="347" spans="1:13" x14ac:dyDescent="0.35">
      <c r="A347" s="17">
        <v>45719</v>
      </c>
      <c r="B347" s="39">
        <v>56.71</v>
      </c>
      <c r="C347" s="39">
        <v>5.41</v>
      </c>
      <c r="D347" s="39">
        <v>12503001</v>
      </c>
      <c r="E347" s="39" t="s">
        <v>501</v>
      </c>
      <c r="F347" s="39">
        <v>1350</v>
      </c>
      <c r="G347" s="35">
        <v>4.1666666666666664E-2</v>
      </c>
      <c r="H347" s="35">
        <v>5.2083333333333336E-2</v>
      </c>
      <c r="I347" s="36">
        <v>15</v>
      </c>
      <c r="J347" s="67" t="s">
        <v>52</v>
      </c>
      <c r="K347" s="104" t="s">
        <v>445</v>
      </c>
      <c r="L347" s="67" t="s">
        <v>59</v>
      </c>
      <c r="M347" s="114" t="s">
        <v>432</v>
      </c>
    </row>
    <row r="348" spans="1:13" x14ac:dyDescent="0.35">
      <c r="A348" s="17">
        <v>45719</v>
      </c>
      <c r="B348" s="39">
        <v>56.71</v>
      </c>
      <c r="C348" s="39">
        <v>5.41</v>
      </c>
      <c r="D348" s="39">
        <v>12503001</v>
      </c>
      <c r="E348" s="39" t="s">
        <v>501</v>
      </c>
      <c r="F348" s="39">
        <v>1350</v>
      </c>
      <c r="G348" s="35">
        <v>5.2083333333333336E-2</v>
      </c>
      <c r="H348" s="35">
        <v>6.25E-2</v>
      </c>
      <c r="I348" s="36">
        <v>15</v>
      </c>
      <c r="J348" s="67" t="s">
        <v>446</v>
      </c>
      <c r="K348" s="104" t="s">
        <v>41</v>
      </c>
      <c r="L348" s="67" t="s">
        <v>124</v>
      </c>
      <c r="M348" s="114" t="s">
        <v>502</v>
      </c>
    </row>
    <row r="349" spans="1:13" x14ac:dyDescent="0.35">
      <c r="A349" s="17">
        <v>45720</v>
      </c>
      <c r="B349" s="45">
        <v>57.02</v>
      </c>
      <c r="C349" s="45">
        <v>5.45</v>
      </c>
      <c r="D349" s="45">
        <v>12503002</v>
      </c>
      <c r="E349" s="45" t="s">
        <v>57</v>
      </c>
      <c r="F349" s="45">
        <v>1260</v>
      </c>
      <c r="G349" s="35">
        <v>0.27777777777777779</v>
      </c>
      <c r="H349" s="35">
        <v>0.2986111111111111</v>
      </c>
      <c r="I349" s="36">
        <v>30</v>
      </c>
      <c r="J349" s="67" t="s">
        <v>51</v>
      </c>
      <c r="K349" s="67" t="s">
        <v>445</v>
      </c>
      <c r="L349" s="67" t="s">
        <v>53</v>
      </c>
      <c r="M349" s="47" t="s">
        <v>54</v>
      </c>
    </row>
    <row r="350" spans="1:13" x14ac:dyDescent="0.35">
      <c r="A350" s="17">
        <v>45721</v>
      </c>
      <c r="B350" s="39">
        <v>56.98</v>
      </c>
      <c r="C350" s="39">
        <v>5.61</v>
      </c>
      <c r="D350" s="39">
        <v>12503003</v>
      </c>
      <c r="E350" s="39" t="s">
        <v>141</v>
      </c>
      <c r="F350" s="39">
        <v>1260</v>
      </c>
      <c r="G350" s="35">
        <v>0.53472222222222221</v>
      </c>
      <c r="H350" s="35">
        <v>0.55555555555555558</v>
      </c>
      <c r="I350" s="36">
        <v>30</v>
      </c>
      <c r="J350" s="67" t="s">
        <v>51</v>
      </c>
      <c r="K350" s="104" t="s">
        <v>445</v>
      </c>
      <c r="L350" s="67" t="s">
        <v>53</v>
      </c>
      <c r="M350" s="114" t="s">
        <v>54</v>
      </c>
    </row>
    <row r="351" spans="1:13" x14ac:dyDescent="0.35">
      <c r="A351" s="17">
        <v>45721</v>
      </c>
      <c r="B351" s="39">
        <v>56.98</v>
      </c>
      <c r="C351" s="39">
        <v>5.61</v>
      </c>
      <c r="D351" s="39">
        <v>12503003</v>
      </c>
      <c r="E351" s="39" t="s">
        <v>141</v>
      </c>
      <c r="F351" s="39">
        <v>1260</v>
      </c>
      <c r="G351" s="35">
        <v>0.55555555555555558</v>
      </c>
      <c r="H351" s="35">
        <v>0.56180555555555556</v>
      </c>
      <c r="I351" s="36">
        <v>9</v>
      </c>
      <c r="J351" s="67" t="s">
        <v>52</v>
      </c>
      <c r="K351" s="104" t="s">
        <v>445</v>
      </c>
      <c r="L351" s="67" t="s">
        <v>59</v>
      </c>
      <c r="M351" s="114" t="s">
        <v>432</v>
      </c>
    </row>
    <row r="352" spans="1:13" x14ac:dyDescent="0.35">
      <c r="A352" s="17">
        <v>45721</v>
      </c>
      <c r="B352" s="39">
        <v>56.98</v>
      </c>
      <c r="C352" s="39">
        <v>5.61</v>
      </c>
      <c r="D352" s="39">
        <v>12503003</v>
      </c>
      <c r="E352" s="39" t="s">
        <v>141</v>
      </c>
      <c r="F352" s="39">
        <v>1260</v>
      </c>
      <c r="G352" s="35">
        <v>0.56180555555555556</v>
      </c>
      <c r="H352" s="35">
        <v>0.56736111111111109</v>
      </c>
      <c r="I352" s="36">
        <v>8</v>
      </c>
      <c r="J352" s="67" t="s">
        <v>52</v>
      </c>
      <c r="K352" s="104" t="s">
        <v>62</v>
      </c>
      <c r="L352" s="67" t="s">
        <v>130</v>
      </c>
      <c r="M352" s="114" t="s">
        <v>268</v>
      </c>
    </row>
    <row r="353" spans="1:13" x14ac:dyDescent="0.35">
      <c r="A353" s="17">
        <v>45722</v>
      </c>
      <c r="B353" s="45">
        <v>57</v>
      </c>
      <c r="C353" s="45">
        <v>5.33</v>
      </c>
      <c r="D353" s="45">
        <v>12503004</v>
      </c>
      <c r="E353" s="45" t="s">
        <v>141</v>
      </c>
      <c r="F353" s="45">
        <v>1255</v>
      </c>
      <c r="G353" s="35">
        <v>0.79583333333333328</v>
      </c>
      <c r="H353" s="35">
        <v>0.81666666666666665</v>
      </c>
      <c r="I353" s="36">
        <v>30</v>
      </c>
      <c r="J353" s="67" t="s">
        <v>51</v>
      </c>
      <c r="K353" s="104" t="s">
        <v>445</v>
      </c>
      <c r="L353" s="67" t="s">
        <v>53</v>
      </c>
      <c r="M353" s="47" t="s">
        <v>54</v>
      </c>
    </row>
    <row r="354" spans="1:13" x14ac:dyDescent="0.35">
      <c r="A354" s="17">
        <v>45723</v>
      </c>
      <c r="B354" s="45">
        <v>57.05</v>
      </c>
      <c r="C354" s="45">
        <v>5.37</v>
      </c>
      <c r="D354" s="45">
        <v>12503005</v>
      </c>
      <c r="E354" s="45" t="s">
        <v>101</v>
      </c>
      <c r="F354" s="45" t="s">
        <v>58</v>
      </c>
      <c r="G354" s="35">
        <v>0.89236111111111116</v>
      </c>
      <c r="H354" s="35">
        <v>0.91666666666666663</v>
      </c>
      <c r="I354" s="36">
        <v>35</v>
      </c>
      <c r="J354" s="67" t="s">
        <v>35</v>
      </c>
      <c r="K354" s="104" t="s">
        <v>41</v>
      </c>
      <c r="L354" s="47" t="s">
        <v>505</v>
      </c>
      <c r="M354" s="47" t="s">
        <v>505</v>
      </c>
    </row>
    <row r="355" spans="1:13" x14ac:dyDescent="0.35">
      <c r="A355" s="17">
        <v>45724</v>
      </c>
      <c r="B355" s="45">
        <v>57.05</v>
      </c>
      <c r="C355" s="45">
        <v>5.37</v>
      </c>
      <c r="D355" s="45">
        <v>12503005</v>
      </c>
      <c r="E355" s="45" t="s">
        <v>101</v>
      </c>
      <c r="F355" s="45" t="s">
        <v>58</v>
      </c>
      <c r="G355" s="35">
        <v>0.91666666666666663</v>
      </c>
      <c r="H355" s="35">
        <v>0.95486111111111116</v>
      </c>
      <c r="I355" s="36">
        <v>55</v>
      </c>
      <c r="J355" s="67" t="s">
        <v>35</v>
      </c>
      <c r="K355" s="104" t="s">
        <v>41</v>
      </c>
      <c r="L355" s="47" t="s">
        <v>505</v>
      </c>
      <c r="M355" s="47" t="s">
        <v>505</v>
      </c>
    </row>
    <row r="356" spans="1:13" x14ac:dyDescent="0.35">
      <c r="A356" s="17">
        <v>45724</v>
      </c>
      <c r="B356" s="39">
        <v>57.14</v>
      </c>
      <c r="C356" s="39">
        <v>5.31</v>
      </c>
      <c r="D356" s="45">
        <v>12503006</v>
      </c>
      <c r="E356" s="45" t="s">
        <v>173</v>
      </c>
      <c r="F356" s="45">
        <v>1250</v>
      </c>
      <c r="G356" s="35">
        <v>6.9444444444444441E-3</v>
      </c>
      <c r="H356" s="35">
        <v>6.9444444444444448E-2</v>
      </c>
      <c r="I356" s="36">
        <v>90</v>
      </c>
      <c r="J356" s="67" t="s">
        <v>35</v>
      </c>
      <c r="K356" s="104" t="s">
        <v>445</v>
      </c>
      <c r="L356" s="114" t="s">
        <v>506</v>
      </c>
      <c r="M356" s="114" t="s">
        <v>506</v>
      </c>
    </row>
    <row r="357" spans="1:13" x14ac:dyDescent="0.35">
      <c r="A357" s="17">
        <v>45724</v>
      </c>
      <c r="B357" s="39">
        <v>57.14</v>
      </c>
      <c r="C357" s="39">
        <v>5.31</v>
      </c>
      <c r="D357" s="45">
        <v>12503007</v>
      </c>
      <c r="E357" s="45" t="s">
        <v>47</v>
      </c>
      <c r="F357" s="45">
        <v>1250</v>
      </c>
      <c r="G357" s="35">
        <v>7.0833333333333331E-2</v>
      </c>
      <c r="H357" s="35">
        <v>0.13194444444444445</v>
      </c>
      <c r="I357" s="36">
        <v>88</v>
      </c>
      <c r="J357" s="67" t="s">
        <v>35</v>
      </c>
      <c r="K357" s="104" t="s">
        <v>445</v>
      </c>
      <c r="L357" s="114" t="s">
        <v>507</v>
      </c>
      <c r="M357" s="114" t="s">
        <v>507</v>
      </c>
    </row>
    <row r="358" spans="1:13" x14ac:dyDescent="0.35">
      <c r="A358" s="17">
        <v>45724</v>
      </c>
      <c r="B358" s="39">
        <v>57.14</v>
      </c>
      <c r="C358" s="39">
        <v>5.31</v>
      </c>
      <c r="D358" s="45">
        <v>12503008</v>
      </c>
      <c r="E358" s="45" t="s">
        <v>189</v>
      </c>
      <c r="F358" s="45">
        <v>1250</v>
      </c>
      <c r="G358" s="35">
        <v>0.375</v>
      </c>
      <c r="H358" s="35">
        <v>0.4375</v>
      </c>
      <c r="I358" s="36">
        <v>90</v>
      </c>
      <c r="J358" s="67" t="s">
        <v>35</v>
      </c>
      <c r="K358" s="104" t="s">
        <v>41</v>
      </c>
      <c r="L358" s="67" t="s">
        <v>508</v>
      </c>
      <c r="M358" s="114" t="s">
        <v>509</v>
      </c>
    </row>
    <row r="359" spans="1:13" x14ac:dyDescent="0.35">
      <c r="A359" s="17">
        <v>45725</v>
      </c>
      <c r="B359" s="45">
        <v>57.35</v>
      </c>
      <c r="C359" s="45">
        <v>5.08</v>
      </c>
      <c r="D359" s="45">
        <v>12503009</v>
      </c>
      <c r="E359" s="45" t="s">
        <v>141</v>
      </c>
      <c r="F359" s="45">
        <v>1250</v>
      </c>
      <c r="G359" s="35">
        <v>0.68611111111111112</v>
      </c>
      <c r="H359" s="35">
        <v>0.7055555555555556</v>
      </c>
      <c r="I359" s="36">
        <v>28</v>
      </c>
      <c r="J359" s="67" t="s">
        <v>51</v>
      </c>
      <c r="K359" s="104" t="s">
        <v>445</v>
      </c>
      <c r="L359" s="67" t="s">
        <v>53</v>
      </c>
      <c r="M359" s="114" t="s">
        <v>54</v>
      </c>
    </row>
    <row r="360" spans="1:13" x14ac:dyDescent="0.35">
      <c r="A360" s="17">
        <v>45726</v>
      </c>
      <c r="B360" s="39">
        <v>56.93</v>
      </c>
      <c r="C360" s="39">
        <v>5.49</v>
      </c>
      <c r="D360" s="39">
        <v>12503010</v>
      </c>
      <c r="E360" s="39" t="s">
        <v>101</v>
      </c>
      <c r="F360" s="39">
        <v>1250</v>
      </c>
      <c r="G360" s="35">
        <v>0.83472222222222225</v>
      </c>
      <c r="H360" s="35">
        <v>0.85555555555555551</v>
      </c>
      <c r="I360" s="36">
        <v>30</v>
      </c>
      <c r="J360" s="67" t="s">
        <v>51</v>
      </c>
      <c r="K360" s="104" t="s">
        <v>445</v>
      </c>
      <c r="L360" s="67" t="s">
        <v>53</v>
      </c>
      <c r="M360" s="114" t="s">
        <v>54</v>
      </c>
    </row>
    <row r="361" spans="1:13" x14ac:dyDescent="0.35">
      <c r="A361" s="17">
        <v>45726</v>
      </c>
      <c r="B361" s="39">
        <v>56.93</v>
      </c>
      <c r="C361" s="39">
        <v>5.49</v>
      </c>
      <c r="D361" s="39">
        <v>12503010</v>
      </c>
      <c r="E361" s="39" t="s">
        <v>101</v>
      </c>
      <c r="F361" s="39">
        <v>1250</v>
      </c>
      <c r="G361" s="35">
        <v>0.85555555555555551</v>
      </c>
      <c r="H361" s="35">
        <v>0.86111111111111116</v>
      </c>
      <c r="I361" s="36">
        <v>8</v>
      </c>
      <c r="J361" s="67" t="s">
        <v>52</v>
      </c>
      <c r="K361" s="104" t="s">
        <v>445</v>
      </c>
      <c r="L361" s="67" t="s">
        <v>59</v>
      </c>
      <c r="M361" s="114" t="s">
        <v>432</v>
      </c>
    </row>
    <row r="362" spans="1:13" x14ac:dyDescent="0.35">
      <c r="A362" s="17">
        <v>45726</v>
      </c>
      <c r="B362" s="39">
        <v>56.93</v>
      </c>
      <c r="C362" s="39">
        <v>5.49</v>
      </c>
      <c r="D362" s="39">
        <v>12503010</v>
      </c>
      <c r="E362" s="39" t="s">
        <v>101</v>
      </c>
      <c r="F362" s="39">
        <v>1250</v>
      </c>
      <c r="G362" s="35">
        <v>0.86111111111111116</v>
      </c>
      <c r="H362" s="35">
        <v>0.86944444444444446</v>
      </c>
      <c r="I362" s="36">
        <v>12</v>
      </c>
      <c r="J362" s="67" t="s">
        <v>52</v>
      </c>
      <c r="K362" s="104" t="s">
        <v>62</v>
      </c>
      <c r="L362" s="67" t="s">
        <v>130</v>
      </c>
      <c r="M362" s="114" t="s">
        <v>250</v>
      </c>
    </row>
    <row r="363" spans="1:13" x14ac:dyDescent="0.35">
      <c r="A363" s="17">
        <v>45728</v>
      </c>
      <c r="B363" s="39">
        <v>57.05</v>
      </c>
      <c r="C363" s="39">
        <v>5.4</v>
      </c>
      <c r="D363" s="45">
        <v>12503011</v>
      </c>
      <c r="E363" s="45" t="s">
        <v>72</v>
      </c>
      <c r="F363" s="45">
        <v>1230</v>
      </c>
      <c r="G363" s="35">
        <v>7.9861111111111105E-2</v>
      </c>
      <c r="H363" s="35">
        <v>0.10069444444444445</v>
      </c>
      <c r="I363" s="36">
        <v>30</v>
      </c>
      <c r="J363" s="67" t="s">
        <v>51</v>
      </c>
      <c r="K363" s="104" t="s">
        <v>445</v>
      </c>
      <c r="L363" s="67" t="s">
        <v>53</v>
      </c>
      <c r="M363" s="114" t="s">
        <v>54</v>
      </c>
    </row>
    <row r="364" spans="1:13" x14ac:dyDescent="0.35">
      <c r="A364" s="17">
        <v>45728</v>
      </c>
      <c r="B364" s="39">
        <v>57.05</v>
      </c>
      <c r="C364" s="39">
        <v>5.4</v>
      </c>
      <c r="D364" s="45">
        <v>12503012</v>
      </c>
      <c r="E364" s="45" t="s">
        <v>357</v>
      </c>
      <c r="F364" s="45">
        <v>1250</v>
      </c>
      <c r="G364" s="35">
        <v>0.72916666666666663</v>
      </c>
      <c r="H364" s="35">
        <v>0.80208333333333337</v>
      </c>
      <c r="I364" s="36">
        <v>105</v>
      </c>
      <c r="J364" s="67" t="s">
        <v>35</v>
      </c>
      <c r="K364" s="104" t="s">
        <v>19</v>
      </c>
      <c r="L364" s="114" t="s">
        <v>95</v>
      </c>
      <c r="M364" s="114" t="s">
        <v>95</v>
      </c>
    </row>
    <row r="365" spans="1:13" x14ac:dyDescent="0.35">
      <c r="A365" s="17">
        <v>45729</v>
      </c>
      <c r="B365" s="39">
        <v>57</v>
      </c>
      <c r="C365" s="39">
        <v>5.34</v>
      </c>
      <c r="D365" s="39">
        <v>12503013</v>
      </c>
      <c r="E365" s="39" t="s">
        <v>82</v>
      </c>
      <c r="F365" s="39">
        <v>1250</v>
      </c>
      <c r="G365" s="35">
        <v>0.83680555555555558</v>
      </c>
      <c r="H365" s="35">
        <v>0.89930555555555558</v>
      </c>
      <c r="I365" s="36">
        <v>90</v>
      </c>
      <c r="J365" s="86" t="s">
        <v>463</v>
      </c>
      <c r="K365" s="116" t="s">
        <v>26</v>
      </c>
      <c r="L365" s="86" t="s">
        <v>331</v>
      </c>
      <c r="M365" s="47" t="s">
        <v>517</v>
      </c>
    </row>
    <row r="366" spans="1:13" x14ac:dyDescent="0.35">
      <c r="A366" s="17">
        <v>45729</v>
      </c>
      <c r="B366" s="39">
        <v>57</v>
      </c>
      <c r="C366" s="39">
        <v>5.34</v>
      </c>
      <c r="D366" s="39">
        <v>12503013</v>
      </c>
      <c r="E366" s="39" t="s">
        <v>82</v>
      </c>
      <c r="F366" s="39">
        <v>1250</v>
      </c>
      <c r="G366" s="35">
        <v>0.89930555555555558</v>
      </c>
      <c r="H366" s="35">
        <v>0.91666666666666663</v>
      </c>
      <c r="I366" s="36">
        <v>25</v>
      </c>
      <c r="J366" s="86" t="s">
        <v>463</v>
      </c>
      <c r="K366" s="116" t="s">
        <v>445</v>
      </c>
      <c r="L366" s="86" t="s">
        <v>55</v>
      </c>
      <c r="M366" s="47" t="s">
        <v>518</v>
      </c>
    </row>
    <row r="367" spans="1:13" x14ac:dyDescent="0.35">
      <c r="A367" s="17">
        <v>45730</v>
      </c>
      <c r="B367" s="39">
        <v>56.33</v>
      </c>
      <c r="C367" s="39">
        <v>5.32</v>
      </c>
      <c r="D367" s="39">
        <v>12503013</v>
      </c>
      <c r="E367" s="39" t="s">
        <v>82</v>
      </c>
      <c r="F367" s="39">
        <v>1250</v>
      </c>
      <c r="G367" s="35">
        <v>0.91666666666666663</v>
      </c>
      <c r="H367" s="35">
        <v>0.92291666666666672</v>
      </c>
      <c r="I367" s="36">
        <v>9</v>
      </c>
      <c r="J367" s="67" t="s">
        <v>446</v>
      </c>
      <c r="K367" s="104" t="s">
        <v>445</v>
      </c>
      <c r="L367" s="67" t="s">
        <v>55</v>
      </c>
      <c r="M367" s="47" t="s">
        <v>518</v>
      </c>
    </row>
    <row r="368" spans="1:13" x14ac:dyDescent="0.35">
      <c r="A368" s="17">
        <v>45730</v>
      </c>
      <c r="B368" s="39">
        <v>56.33</v>
      </c>
      <c r="C368" s="39">
        <v>5.32</v>
      </c>
      <c r="D368" s="45">
        <v>12503014</v>
      </c>
      <c r="E368" s="45" t="s">
        <v>24</v>
      </c>
      <c r="F368" s="45">
        <v>1335</v>
      </c>
      <c r="G368" s="35">
        <v>0.11805555555555555</v>
      </c>
      <c r="H368" s="35">
        <v>0.2013888888888889</v>
      </c>
      <c r="I368" s="36">
        <v>120</v>
      </c>
      <c r="J368" s="36" t="s">
        <v>25</v>
      </c>
      <c r="K368" s="104" t="s">
        <v>445</v>
      </c>
      <c r="L368" s="67" t="s">
        <v>456</v>
      </c>
      <c r="M368" s="60" t="s">
        <v>521</v>
      </c>
    </row>
    <row r="369" spans="1:13" x14ac:dyDescent="0.35">
      <c r="A369" s="17">
        <v>45730</v>
      </c>
      <c r="B369" s="39">
        <v>56.33</v>
      </c>
      <c r="C369" s="39">
        <v>5.32</v>
      </c>
      <c r="D369" s="45">
        <v>12503015</v>
      </c>
      <c r="E369" s="45" t="s">
        <v>522</v>
      </c>
      <c r="F369" s="45">
        <v>1335</v>
      </c>
      <c r="G369" s="35">
        <v>0.84375</v>
      </c>
      <c r="H369" s="35">
        <v>0.90625</v>
      </c>
      <c r="I369" s="36">
        <v>90</v>
      </c>
      <c r="J369" s="36" t="s">
        <v>35</v>
      </c>
      <c r="K369" s="104" t="s">
        <v>445</v>
      </c>
      <c r="L369" s="67" t="s">
        <v>287</v>
      </c>
      <c r="M369" s="49" t="s">
        <v>95</v>
      </c>
    </row>
    <row r="370" spans="1:13" x14ac:dyDescent="0.35">
      <c r="A370" s="17">
        <v>45731</v>
      </c>
      <c r="B370" s="39">
        <v>57.03</v>
      </c>
      <c r="C370" s="39">
        <v>5.48</v>
      </c>
      <c r="D370" s="39">
        <v>12503016</v>
      </c>
      <c r="E370" s="39" t="s">
        <v>452</v>
      </c>
      <c r="F370" s="39">
        <v>1250</v>
      </c>
      <c r="G370" s="35">
        <v>0.4201388888888889</v>
      </c>
      <c r="H370" s="35">
        <v>0.50347222222222221</v>
      </c>
      <c r="I370" s="36">
        <v>120</v>
      </c>
      <c r="J370" s="67" t="s">
        <v>25</v>
      </c>
      <c r="K370" s="104" t="s">
        <v>445</v>
      </c>
      <c r="L370" s="67" t="s">
        <v>456</v>
      </c>
      <c r="M370" s="60" t="s">
        <v>523</v>
      </c>
    </row>
    <row r="371" spans="1:13" x14ac:dyDescent="0.35">
      <c r="A371" s="17">
        <v>45731</v>
      </c>
      <c r="B371" s="39">
        <v>57.03</v>
      </c>
      <c r="C371" s="39">
        <v>5.48</v>
      </c>
      <c r="D371" s="39">
        <v>12503016</v>
      </c>
      <c r="E371" s="39" t="s">
        <v>452</v>
      </c>
      <c r="F371" s="39">
        <v>1250</v>
      </c>
      <c r="G371" s="35">
        <v>0.50347222222222221</v>
      </c>
      <c r="H371" s="35">
        <v>0.54166666666666663</v>
      </c>
      <c r="I371" s="36">
        <v>55</v>
      </c>
      <c r="J371" s="67" t="s">
        <v>446</v>
      </c>
      <c r="K371" s="104" t="s">
        <v>41</v>
      </c>
      <c r="L371" s="67" t="s">
        <v>524</v>
      </c>
      <c r="M371" s="47" t="s">
        <v>525</v>
      </c>
    </row>
    <row r="372" spans="1:13" x14ac:dyDescent="0.35">
      <c r="A372" s="17">
        <v>45732</v>
      </c>
      <c r="B372" s="39">
        <v>57.03</v>
      </c>
      <c r="C372" s="39">
        <v>5.35</v>
      </c>
      <c r="D372" s="39">
        <v>12503017</v>
      </c>
      <c r="E372" s="39" t="s">
        <v>57</v>
      </c>
      <c r="F372" s="39" t="s">
        <v>458</v>
      </c>
      <c r="G372" s="35">
        <v>0.72222222222222221</v>
      </c>
      <c r="H372" s="35">
        <v>0.74305555555555558</v>
      </c>
      <c r="I372" s="36">
        <v>30</v>
      </c>
      <c r="J372" s="67" t="s">
        <v>51</v>
      </c>
      <c r="K372" s="104" t="s">
        <v>445</v>
      </c>
      <c r="L372" s="67" t="s">
        <v>53</v>
      </c>
      <c r="M372" s="47" t="s">
        <v>54</v>
      </c>
    </row>
    <row r="373" spans="1:13" x14ac:dyDescent="0.35">
      <c r="A373" s="17">
        <v>45732</v>
      </c>
      <c r="B373" s="39">
        <v>57.03</v>
      </c>
      <c r="C373" s="39">
        <v>5.35</v>
      </c>
      <c r="D373" s="39">
        <v>12503017</v>
      </c>
      <c r="E373" s="39" t="s">
        <v>57</v>
      </c>
      <c r="F373" s="39" t="s">
        <v>458</v>
      </c>
      <c r="G373" s="35">
        <v>0.74305555555555558</v>
      </c>
      <c r="H373" s="35">
        <v>0.84027777777777779</v>
      </c>
      <c r="I373" s="36">
        <v>140</v>
      </c>
      <c r="J373" s="67" t="s">
        <v>446</v>
      </c>
      <c r="K373" s="104" t="s">
        <v>19</v>
      </c>
      <c r="L373" s="67" t="s">
        <v>143</v>
      </c>
      <c r="M373" s="47" t="s">
        <v>526</v>
      </c>
    </row>
    <row r="374" spans="1:13" x14ac:dyDescent="0.35">
      <c r="A374" s="17">
        <v>45733</v>
      </c>
      <c r="B374" s="45">
        <v>56.97</v>
      </c>
      <c r="C374" s="45">
        <v>5.51</v>
      </c>
      <c r="D374" s="45">
        <v>12503018</v>
      </c>
      <c r="E374" s="45" t="s">
        <v>18</v>
      </c>
      <c r="F374" s="45">
        <v>1255</v>
      </c>
      <c r="G374" s="35">
        <v>0.23749999999999999</v>
      </c>
      <c r="H374" s="35">
        <v>0.38194444444444442</v>
      </c>
      <c r="I374" s="36">
        <v>208</v>
      </c>
      <c r="J374" s="67" t="s">
        <v>35</v>
      </c>
      <c r="K374" s="104" t="s">
        <v>19</v>
      </c>
      <c r="L374" s="67" t="s">
        <v>535</v>
      </c>
      <c r="M374" s="49" t="s">
        <v>536</v>
      </c>
    </row>
    <row r="375" spans="1:13" x14ac:dyDescent="0.35">
      <c r="A375" s="17">
        <v>45734</v>
      </c>
      <c r="B375" s="39">
        <v>57.4</v>
      </c>
      <c r="C375" s="39">
        <v>5.35</v>
      </c>
      <c r="D375" s="45">
        <v>12503019</v>
      </c>
      <c r="E375" s="45" t="s">
        <v>522</v>
      </c>
      <c r="F375" s="45">
        <v>1260</v>
      </c>
      <c r="G375" s="35">
        <v>1.2500000000000001E-2</v>
      </c>
      <c r="H375" s="35">
        <v>0.11736111111111111</v>
      </c>
      <c r="I375" s="36">
        <v>151</v>
      </c>
      <c r="J375" s="67" t="s">
        <v>35</v>
      </c>
      <c r="K375" s="104" t="s">
        <v>19</v>
      </c>
      <c r="L375" s="67" t="s">
        <v>535</v>
      </c>
      <c r="M375" s="49" t="s">
        <v>536</v>
      </c>
    </row>
    <row r="376" spans="1:13" x14ac:dyDescent="0.35">
      <c r="A376" s="17">
        <v>45734</v>
      </c>
      <c r="B376" s="39">
        <v>57.4</v>
      </c>
      <c r="C376" s="39">
        <v>5.35</v>
      </c>
      <c r="D376" s="39">
        <v>12503020</v>
      </c>
      <c r="E376" s="39" t="s">
        <v>44</v>
      </c>
      <c r="F376" s="39" t="s">
        <v>538</v>
      </c>
      <c r="G376" s="35">
        <v>0.24722222222222223</v>
      </c>
      <c r="H376" s="35">
        <v>0.30972222222222223</v>
      </c>
      <c r="I376" s="36">
        <v>90</v>
      </c>
      <c r="J376" s="67" t="s">
        <v>463</v>
      </c>
      <c r="K376" s="105" t="s">
        <v>26</v>
      </c>
      <c r="L376" s="67" t="s">
        <v>539</v>
      </c>
      <c r="M376" s="47" t="s">
        <v>540</v>
      </c>
    </row>
    <row r="377" spans="1:13" x14ac:dyDescent="0.35">
      <c r="A377" s="17">
        <v>45734</v>
      </c>
      <c r="B377" s="39">
        <v>57.4</v>
      </c>
      <c r="C377" s="39">
        <v>5.35</v>
      </c>
      <c r="D377" s="39">
        <v>12503020</v>
      </c>
      <c r="E377" s="39" t="s">
        <v>44</v>
      </c>
      <c r="F377" s="39" t="s">
        <v>538</v>
      </c>
      <c r="G377" s="35">
        <v>0.30972222222222223</v>
      </c>
      <c r="H377" s="35">
        <v>0.32500000000000001</v>
      </c>
      <c r="I377" s="36">
        <v>22</v>
      </c>
      <c r="J377" s="67" t="s">
        <v>446</v>
      </c>
      <c r="K377" s="104" t="s">
        <v>26</v>
      </c>
      <c r="L377" s="67" t="s">
        <v>331</v>
      </c>
      <c r="M377" s="47" t="s">
        <v>541</v>
      </c>
    </row>
    <row r="378" spans="1:13" x14ac:dyDescent="0.35">
      <c r="A378" s="17">
        <v>45735</v>
      </c>
      <c r="B378" s="39">
        <v>56.52</v>
      </c>
      <c r="C378" s="39">
        <v>5.6</v>
      </c>
      <c r="D378" s="39">
        <v>12503021</v>
      </c>
      <c r="E378" s="39" t="s">
        <v>82</v>
      </c>
      <c r="F378" s="39" t="s">
        <v>387</v>
      </c>
      <c r="G378" s="35">
        <v>0.36458333333333331</v>
      </c>
      <c r="H378" s="35">
        <v>0.39930555555555558</v>
      </c>
      <c r="I378" s="36">
        <v>50</v>
      </c>
      <c r="J378" s="67" t="s">
        <v>463</v>
      </c>
      <c r="K378" s="104" t="s">
        <v>26</v>
      </c>
      <c r="L378" s="67" t="s">
        <v>543</v>
      </c>
      <c r="M378" s="47" t="s">
        <v>544</v>
      </c>
    </row>
    <row r="379" spans="1:13" x14ac:dyDescent="0.35">
      <c r="A379" s="17">
        <v>45735</v>
      </c>
      <c r="B379" s="39">
        <v>56.52</v>
      </c>
      <c r="C379" s="39">
        <v>5.6</v>
      </c>
      <c r="D379" s="39">
        <v>12503021</v>
      </c>
      <c r="E379" s="39" t="s">
        <v>82</v>
      </c>
      <c r="F379" s="39" t="s">
        <v>387</v>
      </c>
      <c r="G379" s="35">
        <v>0.39930555555555558</v>
      </c>
      <c r="H379" s="35">
        <v>0.40972222222222221</v>
      </c>
      <c r="I379" s="36">
        <v>15</v>
      </c>
      <c r="J379" s="67" t="s">
        <v>446</v>
      </c>
      <c r="K379" s="104" t="s">
        <v>41</v>
      </c>
      <c r="L379" s="67" t="s">
        <v>454</v>
      </c>
      <c r="M379" s="47" t="s">
        <v>545</v>
      </c>
    </row>
    <row r="380" spans="1:13" x14ac:dyDescent="0.35">
      <c r="A380" s="17">
        <v>45736</v>
      </c>
      <c r="B380" s="45">
        <v>56.3</v>
      </c>
      <c r="C380" s="45">
        <v>5.35</v>
      </c>
      <c r="D380" s="45">
        <v>12503022</v>
      </c>
      <c r="E380" s="45" t="s">
        <v>503</v>
      </c>
      <c r="F380" s="45">
        <v>1335</v>
      </c>
      <c r="G380" s="35">
        <v>0.62222222222222223</v>
      </c>
      <c r="H380" s="35">
        <v>0.6430555555555556</v>
      </c>
      <c r="I380" s="36">
        <v>30</v>
      </c>
      <c r="J380" s="67" t="s">
        <v>51</v>
      </c>
      <c r="K380" s="104" t="s">
        <v>445</v>
      </c>
      <c r="L380" s="67" t="s">
        <v>53</v>
      </c>
      <c r="M380" s="47" t="s">
        <v>54</v>
      </c>
    </row>
    <row r="381" spans="1:13" x14ac:dyDescent="0.35">
      <c r="A381" s="17">
        <v>45738</v>
      </c>
      <c r="B381" s="45">
        <v>57</v>
      </c>
      <c r="C381" s="45">
        <v>5.62</v>
      </c>
      <c r="D381" s="39">
        <v>12503023</v>
      </c>
      <c r="E381" s="39" t="s">
        <v>549</v>
      </c>
      <c r="F381" s="39">
        <v>1335</v>
      </c>
      <c r="G381" s="35">
        <v>0.94444444444444442</v>
      </c>
      <c r="H381" s="35">
        <v>0.96527777777777779</v>
      </c>
      <c r="I381" s="36">
        <v>30</v>
      </c>
      <c r="J381" s="67" t="s">
        <v>51</v>
      </c>
      <c r="K381" s="104" t="s">
        <v>445</v>
      </c>
      <c r="L381" s="67" t="s">
        <v>53</v>
      </c>
      <c r="M381" s="47" t="s">
        <v>54</v>
      </c>
    </row>
    <row r="382" spans="1:13" x14ac:dyDescent="0.35">
      <c r="A382" s="17">
        <v>45738</v>
      </c>
      <c r="B382" s="39">
        <v>57.2</v>
      </c>
      <c r="C382" s="39">
        <v>4.97</v>
      </c>
      <c r="D382" s="39">
        <v>12503023</v>
      </c>
      <c r="E382" s="39" t="s">
        <v>549</v>
      </c>
      <c r="F382" s="39">
        <v>1335</v>
      </c>
      <c r="G382" s="35">
        <v>0.96527777777777779</v>
      </c>
      <c r="H382" s="35">
        <v>6.9444444444444441E-3</v>
      </c>
      <c r="I382" s="36">
        <v>60</v>
      </c>
      <c r="J382" s="67" t="s">
        <v>52</v>
      </c>
      <c r="K382" s="104" t="s">
        <v>445</v>
      </c>
      <c r="L382" s="67" t="s">
        <v>73</v>
      </c>
      <c r="M382" s="47" t="s">
        <v>550</v>
      </c>
    </row>
    <row r="383" spans="1:13" x14ac:dyDescent="0.35">
      <c r="A383" s="17">
        <v>45738</v>
      </c>
      <c r="B383" s="39">
        <v>57.2</v>
      </c>
      <c r="C383" s="39">
        <v>4.97</v>
      </c>
      <c r="D383" s="39">
        <v>12503023</v>
      </c>
      <c r="E383" s="39" t="s">
        <v>549</v>
      </c>
      <c r="F383" s="39">
        <v>1335</v>
      </c>
      <c r="G383" s="35">
        <v>6.9444444444444441E-3</v>
      </c>
      <c r="H383" s="35">
        <v>2.4305555555555556E-2</v>
      </c>
      <c r="I383" s="36">
        <v>25</v>
      </c>
      <c r="J383" s="67" t="s">
        <v>446</v>
      </c>
      <c r="K383" s="104" t="s">
        <v>26</v>
      </c>
      <c r="L383" s="67" t="s">
        <v>543</v>
      </c>
      <c r="M383" s="47" t="s">
        <v>551</v>
      </c>
    </row>
    <row r="384" spans="1:13" x14ac:dyDescent="0.35">
      <c r="A384" s="17">
        <v>45738</v>
      </c>
      <c r="B384" s="39">
        <v>57.2</v>
      </c>
      <c r="C384" s="39">
        <v>4.97</v>
      </c>
      <c r="D384" s="45">
        <v>12503024</v>
      </c>
      <c r="E384" s="45" t="s">
        <v>24</v>
      </c>
      <c r="F384" s="45">
        <v>1250</v>
      </c>
      <c r="G384" s="35">
        <v>0.24513888888888888</v>
      </c>
      <c r="H384" s="35">
        <v>0.68402777777777779</v>
      </c>
      <c r="I384" s="36">
        <v>632</v>
      </c>
      <c r="J384" s="67" t="s">
        <v>35</v>
      </c>
      <c r="K384" s="104" t="s">
        <v>552</v>
      </c>
      <c r="L384" s="67" t="s">
        <v>553</v>
      </c>
      <c r="M384" s="117" t="s">
        <v>554</v>
      </c>
    </row>
    <row r="385" spans="1:13" x14ac:dyDescent="0.35">
      <c r="A385" s="17">
        <v>45738</v>
      </c>
      <c r="B385" s="39">
        <v>57.2</v>
      </c>
      <c r="C385" s="39">
        <v>4.97</v>
      </c>
      <c r="D385" s="45">
        <v>12503025</v>
      </c>
      <c r="E385" s="45" t="s">
        <v>47</v>
      </c>
      <c r="F385" s="45">
        <v>1250</v>
      </c>
      <c r="G385" s="35">
        <v>0.6875</v>
      </c>
      <c r="H385" s="35">
        <v>0.81736111111111109</v>
      </c>
      <c r="I385" s="36">
        <v>187</v>
      </c>
      <c r="J385" s="67" t="s">
        <v>35</v>
      </c>
      <c r="K385" s="104" t="s">
        <v>41</v>
      </c>
      <c r="L385" s="67" t="s">
        <v>555</v>
      </c>
      <c r="M385" s="117" t="s">
        <v>556</v>
      </c>
    </row>
    <row r="386" spans="1:13" x14ac:dyDescent="0.35">
      <c r="A386" s="17">
        <v>45740</v>
      </c>
      <c r="B386" s="45">
        <v>57</v>
      </c>
      <c r="C386" s="45">
        <v>5.71</v>
      </c>
      <c r="D386" s="39">
        <v>12503026</v>
      </c>
      <c r="E386" s="39" t="s">
        <v>72</v>
      </c>
      <c r="F386" s="39">
        <v>1250</v>
      </c>
      <c r="G386" s="35">
        <v>5.4166666666666669E-2</v>
      </c>
      <c r="H386" s="35">
        <v>7.4999999999999997E-2</v>
      </c>
      <c r="I386" s="36">
        <v>30</v>
      </c>
      <c r="J386" s="67" t="s">
        <v>51</v>
      </c>
      <c r="K386" s="104" t="s">
        <v>445</v>
      </c>
      <c r="L386" s="67" t="s">
        <v>53</v>
      </c>
      <c r="M386" s="47" t="s">
        <v>54</v>
      </c>
    </row>
    <row r="387" spans="1:13" x14ac:dyDescent="0.35">
      <c r="A387" s="17">
        <v>45740</v>
      </c>
      <c r="B387" s="45">
        <v>57.07</v>
      </c>
      <c r="C387" s="45">
        <v>5.38</v>
      </c>
      <c r="D387" s="39">
        <v>12503026</v>
      </c>
      <c r="E387" s="39" t="s">
        <v>72</v>
      </c>
      <c r="F387" s="39">
        <v>1250</v>
      </c>
      <c r="G387" s="35">
        <v>7.4999999999999997E-2</v>
      </c>
      <c r="H387" s="35">
        <v>7.9861111111111105E-2</v>
      </c>
      <c r="I387" s="36">
        <v>7</v>
      </c>
      <c r="J387" s="67" t="s">
        <v>446</v>
      </c>
      <c r="K387" s="104" t="s">
        <v>41</v>
      </c>
      <c r="L387" s="67" t="s">
        <v>124</v>
      </c>
      <c r="M387" s="47" t="s">
        <v>557</v>
      </c>
    </row>
    <row r="388" spans="1:13" x14ac:dyDescent="0.35">
      <c r="A388" s="17">
        <v>45741</v>
      </c>
      <c r="B388" s="39">
        <v>57.03</v>
      </c>
      <c r="C388" s="39">
        <v>5.39</v>
      </c>
      <c r="D388" s="39">
        <v>12503027</v>
      </c>
      <c r="E388" s="39" t="s">
        <v>80</v>
      </c>
      <c r="F388" s="39" t="s">
        <v>58</v>
      </c>
      <c r="G388" s="35">
        <v>0.20277777777777778</v>
      </c>
      <c r="H388" s="35">
        <v>0.49305555555555558</v>
      </c>
      <c r="I388" s="36">
        <v>418</v>
      </c>
      <c r="J388" s="67" t="s">
        <v>35</v>
      </c>
      <c r="K388" s="104" t="s">
        <v>41</v>
      </c>
      <c r="L388" s="67" t="s">
        <v>454</v>
      </c>
      <c r="M388" s="49" t="s">
        <v>40</v>
      </c>
    </row>
    <row r="389" spans="1:13" x14ac:dyDescent="0.35">
      <c r="A389" s="17">
        <v>45741</v>
      </c>
      <c r="B389" s="39">
        <v>57.03</v>
      </c>
      <c r="C389" s="39">
        <v>5.39</v>
      </c>
      <c r="D389" s="39">
        <v>12503027</v>
      </c>
      <c r="E389" s="39" t="s">
        <v>80</v>
      </c>
      <c r="F389" s="39" t="s">
        <v>58</v>
      </c>
      <c r="G389" s="35">
        <v>0.49305555555555558</v>
      </c>
      <c r="H389" s="35">
        <v>0.51388888888888884</v>
      </c>
      <c r="I389" s="36">
        <v>30</v>
      </c>
      <c r="J389" s="67" t="s">
        <v>446</v>
      </c>
      <c r="K389" s="104" t="s">
        <v>26</v>
      </c>
      <c r="L389" s="67" t="s">
        <v>331</v>
      </c>
      <c r="M389" s="47" t="s">
        <v>560</v>
      </c>
    </row>
    <row r="390" spans="1:13" x14ac:dyDescent="0.35">
      <c r="A390" s="17">
        <v>45742</v>
      </c>
      <c r="B390" s="45">
        <v>57.14</v>
      </c>
      <c r="C390" s="45">
        <v>5.33</v>
      </c>
      <c r="D390" s="45">
        <v>12503028</v>
      </c>
      <c r="E390" s="45" t="s">
        <v>141</v>
      </c>
      <c r="F390" s="45">
        <v>1250</v>
      </c>
      <c r="G390" s="35">
        <v>0.74305555555555558</v>
      </c>
      <c r="H390" s="35">
        <v>0.76388888888888884</v>
      </c>
      <c r="I390" s="36">
        <v>30</v>
      </c>
      <c r="J390" s="67" t="s">
        <v>51</v>
      </c>
      <c r="K390" s="104" t="s">
        <v>445</v>
      </c>
      <c r="L390" s="67" t="s">
        <v>53</v>
      </c>
      <c r="M390" s="47" t="s">
        <v>54</v>
      </c>
    </row>
    <row r="391" spans="1:13" x14ac:dyDescent="0.35">
      <c r="A391" s="17">
        <v>45744</v>
      </c>
      <c r="B391" s="45">
        <v>57</v>
      </c>
      <c r="C391" s="45">
        <v>5.46</v>
      </c>
      <c r="D391" s="39">
        <v>12503029</v>
      </c>
      <c r="E391" s="39" t="s">
        <v>496</v>
      </c>
      <c r="F391" s="39">
        <v>1250</v>
      </c>
      <c r="G391" s="35">
        <v>9.930555555555555E-2</v>
      </c>
      <c r="H391" s="35">
        <v>0.12013888888888889</v>
      </c>
      <c r="I391" s="36">
        <v>30</v>
      </c>
      <c r="J391" s="67" t="s">
        <v>51</v>
      </c>
      <c r="K391" s="104" t="s">
        <v>445</v>
      </c>
      <c r="L391" s="67" t="s">
        <v>53</v>
      </c>
      <c r="M391" s="47" t="s">
        <v>54</v>
      </c>
    </row>
    <row r="392" spans="1:13" x14ac:dyDescent="0.35">
      <c r="A392" s="17">
        <v>45744</v>
      </c>
      <c r="B392" s="45">
        <v>57.07</v>
      </c>
      <c r="C392" s="45">
        <v>5.4</v>
      </c>
      <c r="D392" s="39">
        <v>12503029</v>
      </c>
      <c r="E392" s="39" t="s">
        <v>496</v>
      </c>
      <c r="F392" s="39">
        <v>1250</v>
      </c>
      <c r="G392" s="35">
        <v>0.12013888888888889</v>
      </c>
      <c r="H392" s="35">
        <v>0.12777777777777777</v>
      </c>
      <c r="I392" s="36">
        <v>11</v>
      </c>
      <c r="J392" s="67" t="s">
        <v>52</v>
      </c>
      <c r="K392" s="104" t="s">
        <v>445</v>
      </c>
      <c r="L392" s="67" t="s">
        <v>59</v>
      </c>
      <c r="M392" s="47" t="s">
        <v>59</v>
      </c>
    </row>
    <row r="393" spans="1:13" x14ac:dyDescent="0.35">
      <c r="A393" s="17">
        <v>45745</v>
      </c>
      <c r="B393" s="39">
        <v>57.08</v>
      </c>
      <c r="C393" s="39">
        <v>5.4</v>
      </c>
      <c r="D393" s="39">
        <v>12503030</v>
      </c>
      <c r="E393" s="39" t="s">
        <v>503</v>
      </c>
      <c r="F393" s="39" t="s">
        <v>88</v>
      </c>
      <c r="G393" s="35">
        <v>0.47569444444444442</v>
      </c>
      <c r="H393" s="35">
        <v>0.49652777777777779</v>
      </c>
      <c r="I393" s="36">
        <v>30</v>
      </c>
      <c r="J393" s="67" t="s">
        <v>51</v>
      </c>
      <c r="K393" s="104" t="s">
        <v>445</v>
      </c>
      <c r="L393" s="67" t="s">
        <v>53</v>
      </c>
      <c r="M393" s="47" t="s">
        <v>54</v>
      </c>
    </row>
    <row r="394" spans="1:13" x14ac:dyDescent="0.35">
      <c r="A394" s="17">
        <v>45745</v>
      </c>
      <c r="B394" s="39">
        <v>57.08</v>
      </c>
      <c r="C394" s="39">
        <v>5.4</v>
      </c>
      <c r="D394" s="39">
        <v>12503030</v>
      </c>
      <c r="E394" s="39" t="s">
        <v>503</v>
      </c>
      <c r="F394" s="39" t="s">
        <v>88</v>
      </c>
      <c r="G394" s="35">
        <v>0.49652777777777779</v>
      </c>
      <c r="H394" s="35">
        <v>0.52569444444444446</v>
      </c>
      <c r="I394" s="36">
        <v>42</v>
      </c>
      <c r="J394" s="67" t="s">
        <v>446</v>
      </c>
      <c r="K394" s="105" t="s">
        <v>19</v>
      </c>
      <c r="L394" s="67" t="s">
        <v>143</v>
      </c>
      <c r="M394" s="47" t="s">
        <v>565</v>
      </c>
    </row>
    <row r="395" spans="1:13" x14ac:dyDescent="0.35">
      <c r="A395" s="17">
        <v>45746</v>
      </c>
      <c r="B395" s="39">
        <v>57.02</v>
      </c>
      <c r="C395" s="39">
        <v>5.34</v>
      </c>
      <c r="D395" s="39">
        <v>12503031</v>
      </c>
      <c r="E395" s="39" t="s">
        <v>452</v>
      </c>
      <c r="F395" s="39">
        <v>1250</v>
      </c>
      <c r="G395" s="35">
        <v>6.25E-2</v>
      </c>
      <c r="H395" s="35">
        <v>0.125</v>
      </c>
      <c r="I395" s="36">
        <v>90</v>
      </c>
      <c r="J395" s="67" t="s">
        <v>35</v>
      </c>
      <c r="K395" s="104" t="s">
        <v>445</v>
      </c>
      <c r="L395" s="49" t="s">
        <v>566</v>
      </c>
      <c r="M395" s="49" t="s">
        <v>566</v>
      </c>
    </row>
    <row r="396" spans="1:13" x14ac:dyDescent="0.35">
      <c r="A396" s="17">
        <v>45746</v>
      </c>
      <c r="B396" s="39">
        <v>57.02</v>
      </c>
      <c r="C396" s="39">
        <v>5.34</v>
      </c>
      <c r="D396" s="39">
        <v>12503031</v>
      </c>
      <c r="E396" s="39" t="s">
        <v>452</v>
      </c>
      <c r="F396" s="39">
        <v>1250</v>
      </c>
      <c r="G396" s="35">
        <v>0.125</v>
      </c>
      <c r="H396" s="35">
        <v>0.12777777777777777</v>
      </c>
      <c r="I396" s="36">
        <v>4</v>
      </c>
      <c r="J396" s="67" t="s">
        <v>446</v>
      </c>
      <c r="K396" s="104" t="s">
        <v>445</v>
      </c>
      <c r="L396" s="47" t="s">
        <v>567</v>
      </c>
      <c r="M396" s="47" t="s">
        <v>567</v>
      </c>
    </row>
    <row r="397" spans="1:13" x14ac:dyDescent="0.35">
      <c r="A397" s="17">
        <v>45747</v>
      </c>
      <c r="B397" s="39">
        <v>57.02</v>
      </c>
      <c r="C397" s="39">
        <v>5.55</v>
      </c>
      <c r="D397" s="39">
        <v>12503032</v>
      </c>
      <c r="E397" s="39" t="s">
        <v>119</v>
      </c>
      <c r="F397" s="39">
        <v>1250</v>
      </c>
      <c r="G397" s="35">
        <v>0.31944444444444442</v>
      </c>
      <c r="H397" s="35">
        <v>0.34027777777777779</v>
      </c>
      <c r="I397" s="36">
        <v>30</v>
      </c>
      <c r="J397" s="67" t="s">
        <v>51</v>
      </c>
      <c r="K397" s="104" t="s">
        <v>445</v>
      </c>
      <c r="L397" s="67" t="s">
        <v>53</v>
      </c>
      <c r="M397" s="47" t="s">
        <v>54</v>
      </c>
    </row>
    <row r="398" spans="1:13" x14ac:dyDescent="0.35">
      <c r="A398" s="17">
        <v>45747</v>
      </c>
      <c r="B398" s="39">
        <v>57.02</v>
      </c>
      <c r="C398" s="39">
        <v>5.55</v>
      </c>
      <c r="D398" s="39">
        <v>12503032</v>
      </c>
      <c r="E398" s="39" t="s">
        <v>119</v>
      </c>
      <c r="F398" s="39">
        <v>1250</v>
      </c>
      <c r="G398" s="35">
        <v>0.34027777777777779</v>
      </c>
      <c r="H398" s="35">
        <v>0.3611111111111111</v>
      </c>
      <c r="I398" s="36">
        <v>30</v>
      </c>
      <c r="J398" s="67" t="s">
        <v>52</v>
      </c>
      <c r="K398" s="104" t="s">
        <v>445</v>
      </c>
      <c r="L398" s="67" t="s">
        <v>178</v>
      </c>
      <c r="M398" s="47" t="s">
        <v>571</v>
      </c>
    </row>
    <row r="399" spans="1:13" x14ac:dyDescent="0.35">
      <c r="A399" s="17">
        <v>45748</v>
      </c>
      <c r="B399" s="39">
        <v>57.03</v>
      </c>
      <c r="C399" s="39">
        <v>5.38</v>
      </c>
      <c r="D399" s="39">
        <v>12503033</v>
      </c>
      <c r="E399" s="39" t="s">
        <v>496</v>
      </c>
      <c r="F399" s="39">
        <v>1255</v>
      </c>
      <c r="G399" s="35">
        <v>0.67361111111111116</v>
      </c>
      <c r="H399" s="35">
        <v>0.69444444444444442</v>
      </c>
      <c r="I399" s="36">
        <v>30</v>
      </c>
      <c r="J399" s="67" t="s">
        <v>51</v>
      </c>
      <c r="K399" s="104" t="s">
        <v>445</v>
      </c>
      <c r="L399" s="67" t="s">
        <v>53</v>
      </c>
      <c r="M399" s="47" t="s">
        <v>54</v>
      </c>
    </row>
    <row r="400" spans="1:13" x14ac:dyDescent="0.35">
      <c r="A400" s="17">
        <v>45748</v>
      </c>
      <c r="B400" s="39">
        <v>57.03</v>
      </c>
      <c r="C400" s="39">
        <v>5.38</v>
      </c>
      <c r="D400" s="39">
        <v>12503033</v>
      </c>
      <c r="E400" s="39" t="s">
        <v>496</v>
      </c>
      <c r="F400" s="39">
        <v>1255</v>
      </c>
      <c r="G400" s="35">
        <v>0.69444444444444442</v>
      </c>
      <c r="H400" s="35">
        <v>0.72638888888888886</v>
      </c>
      <c r="I400" s="36">
        <v>46</v>
      </c>
      <c r="J400" s="67" t="s">
        <v>446</v>
      </c>
      <c r="K400" s="104" t="s">
        <v>19</v>
      </c>
      <c r="L400" s="67" t="s">
        <v>561</v>
      </c>
      <c r="M400" s="47" t="s">
        <v>572</v>
      </c>
    </row>
    <row r="401" spans="1:13" x14ac:dyDescent="0.35">
      <c r="A401" s="17">
        <v>45749</v>
      </c>
      <c r="B401" s="39">
        <v>57.03</v>
      </c>
      <c r="C401" s="39">
        <v>5.38</v>
      </c>
      <c r="D401" s="39">
        <v>12504001</v>
      </c>
      <c r="E401" s="39" t="s">
        <v>93</v>
      </c>
      <c r="F401" s="39">
        <v>1255</v>
      </c>
      <c r="G401" s="35">
        <v>0.80208333333333337</v>
      </c>
      <c r="H401" s="35">
        <v>0.85069444444444442</v>
      </c>
      <c r="I401" s="36">
        <v>70</v>
      </c>
      <c r="J401" s="67" t="s">
        <v>35</v>
      </c>
      <c r="K401" s="104" t="s">
        <v>445</v>
      </c>
      <c r="L401" s="49" t="s">
        <v>576</v>
      </c>
      <c r="M401" s="49" t="s">
        <v>574</v>
      </c>
    </row>
    <row r="402" spans="1:13" x14ac:dyDescent="0.35">
      <c r="A402" s="17">
        <v>45749</v>
      </c>
      <c r="B402" s="39">
        <v>57.03</v>
      </c>
      <c r="C402" s="39">
        <v>5.38</v>
      </c>
      <c r="D402" s="39">
        <v>12504001</v>
      </c>
      <c r="E402" s="39" t="s">
        <v>93</v>
      </c>
      <c r="F402" s="39">
        <v>1255</v>
      </c>
      <c r="G402" s="35">
        <v>0.85069444444444442</v>
      </c>
      <c r="H402" s="35">
        <v>0.88541666666666663</v>
      </c>
      <c r="I402" s="36">
        <v>50</v>
      </c>
      <c r="J402" s="67" t="s">
        <v>446</v>
      </c>
      <c r="K402" s="104" t="s">
        <v>41</v>
      </c>
      <c r="L402" s="67" t="s">
        <v>124</v>
      </c>
      <c r="M402" s="47" t="s">
        <v>575</v>
      </c>
    </row>
    <row r="403" spans="1:13" x14ac:dyDescent="0.35">
      <c r="A403" s="17">
        <v>45751</v>
      </c>
      <c r="B403" s="45">
        <v>56.95</v>
      </c>
      <c r="C403" s="45">
        <v>5.57</v>
      </c>
      <c r="D403" s="39">
        <v>12504002</v>
      </c>
      <c r="E403" s="39" t="s">
        <v>101</v>
      </c>
      <c r="F403" s="39" t="s">
        <v>494</v>
      </c>
      <c r="G403" s="35">
        <v>0.96527777777777779</v>
      </c>
      <c r="H403" s="35">
        <v>0.99652777777777779</v>
      </c>
      <c r="I403" s="36">
        <v>45</v>
      </c>
      <c r="J403" s="67" t="s">
        <v>35</v>
      </c>
      <c r="K403" s="104" t="s">
        <v>41</v>
      </c>
      <c r="L403" s="67" t="s">
        <v>577</v>
      </c>
      <c r="M403" s="49" t="s">
        <v>578</v>
      </c>
    </row>
    <row r="404" spans="1:13" x14ac:dyDescent="0.35">
      <c r="A404" s="17">
        <v>45751</v>
      </c>
      <c r="B404" s="45">
        <v>57.05</v>
      </c>
      <c r="C404" s="45">
        <v>5.48</v>
      </c>
      <c r="D404" s="39">
        <v>12504002</v>
      </c>
      <c r="E404" s="39" t="s">
        <v>101</v>
      </c>
      <c r="F404" s="39" t="s">
        <v>494</v>
      </c>
      <c r="G404" s="35">
        <v>0.99652777777777779</v>
      </c>
      <c r="H404" s="35">
        <v>0</v>
      </c>
      <c r="I404" s="36">
        <v>5</v>
      </c>
      <c r="J404" s="67" t="s">
        <v>446</v>
      </c>
      <c r="K404" s="104" t="s">
        <v>41</v>
      </c>
      <c r="L404" s="67" t="s">
        <v>577</v>
      </c>
      <c r="M404" s="47" t="s">
        <v>579</v>
      </c>
    </row>
    <row r="405" spans="1:13" x14ac:dyDescent="0.35">
      <c r="A405" s="17">
        <v>45752</v>
      </c>
      <c r="B405" s="39">
        <v>57.05</v>
      </c>
      <c r="C405" s="39">
        <v>5.32</v>
      </c>
      <c r="D405" s="39">
        <v>12504003</v>
      </c>
      <c r="E405" s="39" t="s">
        <v>72</v>
      </c>
      <c r="F405" s="39">
        <v>1250</v>
      </c>
      <c r="G405" s="35">
        <v>0.20833333333333334</v>
      </c>
      <c r="H405" s="35">
        <v>0.22916666666666666</v>
      </c>
      <c r="I405" s="36">
        <v>30</v>
      </c>
      <c r="J405" s="67" t="s">
        <v>51</v>
      </c>
      <c r="K405" s="67" t="s">
        <v>445</v>
      </c>
      <c r="L405" s="67" t="s">
        <v>53</v>
      </c>
      <c r="M405" s="47" t="s">
        <v>54</v>
      </c>
    </row>
    <row r="406" spans="1:13" x14ac:dyDescent="0.35">
      <c r="A406" s="17">
        <v>45752</v>
      </c>
      <c r="B406" s="39">
        <v>57.05</v>
      </c>
      <c r="C406" s="39">
        <v>5.32</v>
      </c>
      <c r="D406" s="39">
        <v>12504003</v>
      </c>
      <c r="E406" s="39" t="s">
        <v>72</v>
      </c>
      <c r="F406" s="39">
        <v>1250</v>
      </c>
      <c r="G406" s="35">
        <v>0.22916666666666666</v>
      </c>
      <c r="H406" s="35">
        <v>0.23472222222222222</v>
      </c>
      <c r="I406" s="36">
        <v>8</v>
      </c>
      <c r="J406" s="67" t="s">
        <v>52</v>
      </c>
      <c r="K406" s="67" t="s">
        <v>445</v>
      </c>
      <c r="L406" s="67" t="s">
        <v>59</v>
      </c>
      <c r="M406" s="47" t="s">
        <v>432</v>
      </c>
    </row>
    <row r="407" spans="1:13" x14ac:dyDescent="0.35">
      <c r="A407" s="17">
        <v>45752</v>
      </c>
      <c r="B407" s="39">
        <v>57.05</v>
      </c>
      <c r="C407" s="39">
        <v>5.32</v>
      </c>
      <c r="D407" s="39">
        <v>12504003</v>
      </c>
      <c r="E407" s="39" t="s">
        <v>72</v>
      </c>
      <c r="F407" s="39">
        <v>1250</v>
      </c>
      <c r="G407" s="35">
        <v>0.23472222222222222</v>
      </c>
      <c r="H407" s="35">
        <v>0.24305555555555555</v>
      </c>
      <c r="I407" s="36">
        <v>12</v>
      </c>
      <c r="J407" s="67" t="s">
        <v>52</v>
      </c>
      <c r="K407" s="67" t="s">
        <v>62</v>
      </c>
      <c r="L407" s="67" t="s">
        <v>130</v>
      </c>
      <c r="M407" s="47" t="s">
        <v>164</v>
      </c>
    </row>
    <row r="408" spans="1:13" x14ac:dyDescent="0.35">
      <c r="A408" s="17">
        <v>45753</v>
      </c>
      <c r="B408" s="39">
        <v>57.05</v>
      </c>
      <c r="C408" s="39">
        <v>5.27</v>
      </c>
      <c r="D408" s="39">
        <v>12504004</v>
      </c>
      <c r="E408" s="39" t="s">
        <v>57</v>
      </c>
      <c r="F408" s="39">
        <v>1250</v>
      </c>
      <c r="G408" s="35">
        <v>0.46944444444444444</v>
      </c>
      <c r="H408" s="35">
        <v>0.49027777777777776</v>
      </c>
      <c r="I408" s="36">
        <v>30</v>
      </c>
      <c r="J408" s="67" t="s">
        <v>51</v>
      </c>
      <c r="K408" s="67" t="s">
        <v>445</v>
      </c>
      <c r="L408" s="67" t="s">
        <v>53</v>
      </c>
      <c r="M408" s="47" t="s">
        <v>54</v>
      </c>
    </row>
    <row r="409" spans="1:13" x14ac:dyDescent="0.35">
      <c r="A409" s="17">
        <v>45753</v>
      </c>
      <c r="B409" s="39">
        <v>57.05</v>
      </c>
      <c r="C409" s="39">
        <v>5.27</v>
      </c>
      <c r="D409" s="39">
        <v>12504004</v>
      </c>
      <c r="E409" s="39" t="s">
        <v>57</v>
      </c>
      <c r="F409" s="39">
        <v>1250</v>
      </c>
      <c r="G409" s="35">
        <v>0.49027777777777776</v>
      </c>
      <c r="H409" s="35">
        <v>0.53611111111111109</v>
      </c>
      <c r="I409" s="36">
        <v>66</v>
      </c>
      <c r="J409" s="67" t="s">
        <v>446</v>
      </c>
      <c r="K409" s="104" t="s">
        <v>19</v>
      </c>
      <c r="L409" s="67" t="s">
        <v>143</v>
      </c>
      <c r="M409" s="47" t="s">
        <v>581</v>
      </c>
    </row>
    <row r="410" spans="1:13" x14ac:dyDescent="0.35">
      <c r="A410" s="17">
        <v>45753</v>
      </c>
      <c r="B410" s="39">
        <v>57.05</v>
      </c>
      <c r="C410" s="39">
        <v>5.27</v>
      </c>
      <c r="D410" s="39">
        <v>12504004</v>
      </c>
      <c r="E410" s="39" t="s">
        <v>57</v>
      </c>
      <c r="F410" s="39">
        <v>1250</v>
      </c>
      <c r="G410" s="35">
        <v>0.53611111111111109</v>
      </c>
      <c r="H410" s="35">
        <v>0.58263888888888893</v>
      </c>
      <c r="I410" s="36">
        <v>67</v>
      </c>
      <c r="J410" s="67" t="s">
        <v>446</v>
      </c>
      <c r="K410" s="104" t="s">
        <v>41</v>
      </c>
      <c r="L410" s="67" t="s">
        <v>512</v>
      </c>
      <c r="M410" s="47" t="s">
        <v>582</v>
      </c>
    </row>
    <row r="411" spans="1:13" x14ac:dyDescent="0.35">
      <c r="A411" s="17">
        <v>45754</v>
      </c>
      <c r="B411" s="45">
        <v>57.05</v>
      </c>
      <c r="C411" s="45">
        <v>5.54</v>
      </c>
      <c r="D411" s="45">
        <v>12504005</v>
      </c>
      <c r="E411" s="45" t="s">
        <v>114</v>
      </c>
      <c r="F411" s="45" t="s">
        <v>494</v>
      </c>
      <c r="G411" s="35">
        <v>0.35347222222222224</v>
      </c>
      <c r="H411" s="35">
        <v>0.91388888888888886</v>
      </c>
      <c r="I411" s="36">
        <v>807</v>
      </c>
      <c r="J411" s="67" t="s">
        <v>448</v>
      </c>
      <c r="K411" s="104" t="s">
        <v>15</v>
      </c>
      <c r="L411" s="67" t="s">
        <v>448</v>
      </c>
      <c r="M411" s="49" t="s">
        <v>17</v>
      </c>
    </row>
    <row r="412" spans="1:13" x14ac:dyDescent="0.35">
      <c r="A412" s="17">
        <v>45755</v>
      </c>
      <c r="B412" s="39">
        <v>57.08</v>
      </c>
      <c r="C412" s="39">
        <v>5.42</v>
      </c>
      <c r="D412" s="39">
        <v>12504006</v>
      </c>
      <c r="E412" s="39" t="s">
        <v>38</v>
      </c>
      <c r="F412" s="39">
        <v>1010</v>
      </c>
      <c r="G412" s="35">
        <v>0.18402777777777779</v>
      </c>
      <c r="H412" s="35">
        <v>0.22569444444444445</v>
      </c>
      <c r="I412" s="36">
        <v>60</v>
      </c>
      <c r="J412" s="67" t="s">
        <v>35</v>
      </c>
      <c r="K412" s="104" t="s">
        <v>19</v>
      </c>
      <c r="L412" s="49" t="s">
        <v>584</v>
      </c>
      <c r="M412" s="49" t="s">
        <v>584</v>
      </c>
    </row>
    <row r="413" spans="1:13" x14ac:dyDescent="0.35">
      <c r="A413" s="17">
        <v>45755</v>
      </c>
      <c r="B413" s="39">
        <v>57.08</v>
      </c>
      <c r="C413" s="39">
        <v>5.42</v>
      </c>
      <c r="D413" s="39">
        <v>12504006</v>
      </c>
      <c r="E413" s="39" t="s">
        <v>38</v>
      </c>
      <c r="F413" s="39">
        <v>1010</v>
      </c>
      <c r="G413" s="35">
        <v>0.22569444444444445</v>
      </c>
      <c r="H413" s="35">
        <v>0.2673611111111111</v>
      </c>
      <c r="I413" s="36">
        <v>60</v>
      </c>
      <c r="J413" s="67" t="s">
        <v>446</v>
      </c>
      <c r="K413" s="104" t="s">
        <v>445</v>
      </c>
      <c r="L413" s="47" t="s">
        <v>585</v>
      </c>
      <c r="M413" s="47" t="s">
        <v>585</v>
      </c>
    </row>
    <row r="414" spans="1:13" x14ac:dyDescent="0.35">
      <c r="A414" s="17">
        <v>45756</v>
      </c>
      <c r="B414" s="45">
        <v>56.93</v>
      </c>
      <c r="C414" s="45">
        <v>5.54</v>
      </c>
      <c r="D414" s="45">
        <v>12504007</v>
      </c>
      <c r="E414" s="45" t="s">
        <v>72</v>
      </c>
      <c r="F414" s="45" t="s">
        <v>58</v>
      </c>
      <c r="G414" s="35">
        <v>0.50208333333333333</v>
      </c>
      <c r="H414" s="35">
        <v>0.52013888888888893</v>
      </c>
      <c r="I414" s="36">
        <v>26</v>
      </c>
      <c r="J414" s="67" t="s">
        <v>51</v>
      </c>
      <c r="K414" s="67" t="s">
        <v>445</v>
      </c>
      <c r="L414" s="67" t="s">
        <v>53</v>
      </c>
      <c r="M414" s="47" t="s">
        <v>54</v>
      </c>
    </row>
    <row r="415" spans="1:13" x14ac:dyDescent="0.35">
      <c r="A415" s="17">
        <v>45757</v>
      </c>
      <c r="B415" s="39">
        <v>57.02</v>
      </c>
      <c r="C415" s="39">
        <v>5.53</v>
      </c>
      <c r="D415" s="39">
        <v>12504008</v>
      </c>
      <c r="E415" s="39" t="s">
        <v>72</v>
      </c>
      <c r="F415" s="39">
        <v>1260</v>
      </c>
      <c r="G415" s="35">
        <v>0.71875</v>
      </c>
      <c r="H415" s="35">
        <v>0.73958333333333337</v>
      </c>
      <c r="I415" s="36">
        <v>30</v>
      </c>
      <c r="J415" s="67" t="s">
        <v>51</v>
      </c>
      <c r="K415" s="67" t="s">
        <v>445</v>
      </c>
      <c r="L415" s="67" t="s">
        <v>53</v>
      </c>
      <c r="M415" s="47" t="s">
        <v>54</v>
      </c>
    </row>
    <row r="416" spans="1:13" x14ac:dyDescent="0.35">
      <c r="A416" s="17">
        <v>45757</v>
      </c>
      <c r="B416" s="39">
        <v>57.02</v>
      </c>
      <c r="C416" s="39">
        <v>5.53</v>
      </c>
      <c r="D416" s="39">
        <v>12504008</v>
      </c>
      <c r="E416" s="39" t="s">
        <v>72</v>
      </c>
      <c r="F416" s="39">
        <v>1260</v>
      </c>
      <c r="G416" s="35">
        <v>0.73958333333333337</v>
      </c>
      <c r="H416" s="35">
        <v>0.74513888888888891</v>
      </c>
      <c r="I416" s="36">
        <v>8</v>
      </c>
      <c r="J416" s="67" t="s">
        <v>52</v>
      </c>
      <c r="K416" s="67" t="s">
        <v>445</v>
      </c>
      <c r="L416" s="67" t="s">
        <v>59</v>
      </c>
      <c r="M416" s="47" t="s">
        <v>432</v>
      </c>
    </row>
    <row r="417" spans="1:13" x14ac:dyDescent="0.35">
      <c r="A417" s="17">
        <v>45757</v>
      </c>
      <c r="B417" s="39">
        <v>57.02</v>
      </c>
      <c r="C417" s="39">
        <v>5.53</v>
      </c>
      <c r="D417" s="39">
        <v>12504008</v>
      </c>
      <c r="E417" s="39" t="s">
        <v>72</v>
      </c>
      <c r="F417" s="39">
        <v>1260</v>
      </c>
      <c r="G417" s="35">
        <v>0.74513888888888891</v>
      </c>
      <c r="H417" s="35">
        <v>0.75347222222222221</v>
      </c>
      <c r="I417" s="36">
        <v>12</v>
      </c>
      <c r="J417" s="67" t="s">
        <v>52</v>
      </c>
      <c r="K417" s="67" t="s">
        <v>62</v>
      </c>
      <c r="L417" s="67" t="s">
        <v>130</v>
      </c>
      <c r="M417" s="47" t="s">
        <v>131</v>
      </c>
    </row>
    <row r="418" spans="1:13" x14ac:dyDescent="0.35">
      <c r="A418" s="17">
        <v>45757</v>
      </c>
      <c r="B418" s="39">
        <v>57.02</v>
      </c>
      <c r="C418" s="39">
        <v>5.53</v>
      </c>
      <c r="D418" s="39">
        <v>12504008</v>
      </c>
      <c r="E418" s="39" t="s">
        <v>72</v>
      </c>
      <c r="F418" s="39">
        <v>1260</v>
      </c>
      <c r="G418" s="35">
        <v>0.75347222222222221</v>
      </c>
      <c r="H418" s="35">
        <v>0.76041666666666663</v>
      </c>
      <c r="I418" s="36">
        <v>10</v>
      </c>
      <c r="J418" s="67" t="s">
        <v>446</v>
      </c>
      <c r="K418" s="104" t="s">
        <v>19</v>
      </c>
      <c r="L418" s="67" t="s">
        <v>149</v>
      </c>
      <c r="M418" s="47" t="s">
        <v>586</v>
      </c>
    </row>
    <row r="419" spans="1:13" x14ac:dyDescent="0.35">
      <c r="A419" s="17">
        <v>45757</v>
      </c>
      <c r="B419" s="39">
        <v>57.02</v>
      </c>
      <c r="C419" s="39">
        <v>5.53</v>
      </c>
      <c r="D419" s="39">
        <v>12504008</v>
      </c>
      <c r="E419" s="39" t="s">
        <v>72</v>
      </c>
      <c r="F419" s="39">
        <v>1260</v>
      </c>
      <c r="G419" s="35">
        <v>0.76041666666666663</v>
      </c>
      <c r="H419" s="35">
        <v>0.77430555555555558</v>
      </c>
      <c r="I419" s="36">
        <v>20</v>
      </c>
      <c r="J419" s="67" t="s">
        <v>446</v>
      </c>
      <c r="K419" s="104" t="s">
        <v>41</v>
      </c>
      <c r="L419" s="67" t="s">
        <v>524</v>
      </c>
      <c r="M419" s="47" t="s">
        <v>587</v>
      </c>
    </row>
    <row r="420" spans="1:13" x14ac:dyDescent="0.35">
      <c r="A420" s="17">
        <v>45758</v>
      </c>
      <c r="B420" s="45">
        <v>57.33</v>
      </c>
      <c r="C420" s="45">
        <v>5.56</v>
      </c>
      <c r="D420" s="45">
        <v>12504009</v>
      </c>
      <c r="E420" s="45" t="s">
        <v>18</v>
      </c>
      <c r="F420" s="45">
        <v>1175</v>
      </c>
      <c r="G420" s="35">
        <v>0.19027777777777777</v>
      </c>
      <c r="H420" s="35">
        <v>0.25069444444444444</v>
      </c>
      <c r="I420" s="36">
        <v>87</v>
      </c>
      <c r="J420" s="67" t="s">
        <v>35</v>
      </c>
      <c r="K420" s="104" t="s">
        <v>19</v>
      </c>
      <c r="L420" s="67" t="s">
        <v>535</v>
      </c>
      <c r="M420" s="49" t="s">
        <v>589</v>
      </c>
    </row>
    <row r="421" spans="1:13" x14ac:dyDescent="0.35">
      <c r="A421" s="17">
        <v>45759</v>
      </c>
      <c r="B421" s="18">
        <v>57.069767441860463</v>
      </c>
      <c r="C421" s="18">
        <v>5.4587050359712226</v>
      </c>
      <c r="D421" s="15">
        <v>12504010</v>
      </c>
      <c r="E421" s="15" t="s">
        <v>119</v>
      </c>
      <c r="F421" s="15" t="s">
        <v>591</v>
      </c>
      <c r="G421" s="4">
        <v>0.47430555555555554</v>
      </c>
      <c r="H421" s="4">
        <v>0.49513888888888891</v>
      </c>
      <c r="I421" s="5">
        <f t="shared" ref="I421:I424" si="75">IF(H421=0,"",(IF(H421&gt;G421,(H421-G421)*1440,(H421-G421+1)*1440)))</f>
        <v>30.000000000000053</v>
      </c>
      <c r="J421" s="12" t="s">
        <v>51</v>
      </c>
      <c r="K421" s="12" t="s">
        <v>445</v>
      </c>
      <c r="L421" s="12" t="s">
        <v>53</v>
      </c>
      <c r="M421" s="6" t="s">
        <v>54</v>
      </c>
    </row>
    <row r="422" spans="1:13" x14ac:dyDescent="0.35">
      <c r="A422" s="17">
        <v>45759</v>
      </c>
      <c r="B422" s="18">
        <v>57.069767441860463</v>
      </c>
      <c r="C422" s="18">
        <v>5.4587050359712226</v>
      </c>
      <c r="D422" s="15">
        <v>12504010</v>
      </c>
      <c r="E422" s="15" t="s">
        <v>119</v>
      </c>
      <c r="F422" s="15" t="s">
        <v>591</v>
      </c>
      <c r="G422" s="4">
        <v>0.49513888888888891</v>
      </c>
      <c r="H422" s="4">
        <v>0.50069444444444444</v>
      </c>
      <c r="I422" s="5">
        <f t="shared" si="75"/>
        <v>7.9999999999999716</v>
      </c>
      <c r="J422" s="12" t="s">
        <v>52</v>
      </c>
      <c r="K422" s="12" t="s">
        <v>445</v>
      </c>
      <c r="L422" s="12" t="s">
        <v>59</v>
      </c>
      <c r="M422" s="6" t="s">
        <v>432</v>
      </c>
    </row>
    <row r="423" spans="1:13" x14ac:dyDescent="0.35">
      <c r="A423" s="17">
        <v>45759</v>
      </c>
      <c r="B423" s="18">
        <v>57.069767441860463</v>
      </c>
      <c r="C423" s="18">
        <v>5.4587050359712226</v>
      </c>
      <c r="D423" s="15">
        <v>12504010</v>
      </c>
      <c r="E423" s="15" t="s">
        <v>119</v>
      </c>
      <c r="F423" s="15" t="s">
        <v>591</v>
      </c>
      <c r="G423" s="4">
        <v>0.50069444444444444</v>
      </c>
      <c r="H423" s="4">
        <v>0.50902777777777775</v>
      </c>
      <c r="I423" s="5">
        <f t="shared" si="75"/>
        <v>11.999999999999957</v>
      </c>
      <c r="J423" s="12" t="s">
        <v>52</v>
      </c>
      <c r="K423" s="12" t="s">
        <v>62</v>
      </c>
      <c r="L423" s="12" t="s">
        <v>130</v>
      </c>
      <c r="M423" s="6" t="s">
        <v>268</v>
      </c>
    </row>
    <row r="424" spans="1:13" x14ac:dyDescent="0.35">
      <c r="A424" s="17">
        <v>45760</v>
      </c>
      <c r="B424" s="10">
        <v>57.31707317073171</v>
      </c>
      <c r="C424" s="10">
        <v>5.5410056657223796</v>
      </c>
      <c r="D424" s="8">
        <v>12504011</v>
      </c>
      <c r="E424" s="8" t="s">
        <v>80</v>
      </c>
      <c r="F424" s="8">
        <v>1260</v>
      </c>
      <c r="G424" s="4">
        <v>0.71875</v>
      </c>
      <c r="H424" s="4">
        <v>0.73819444444444449</v>
      </c>
      <c r="I424" s="5">
        <f t="shared" si="75"/>
        <v>28.00000000000006</v>
      </c>
      <c r="J424" s="12" t="s">
        <v>51</v>
      </c>
      <c r="K424" s="12" t="s">
        <v>445</v>
      </c>
      <c r="L424" s="12" t="s">
        <v>53</v>
      </c>
      <c r="M424" s="6" t="s">
        <v>54</v>
      </c>
    </row>
    <row r="425" spans="1:13" x14ac:dyDescent="0.35">
      <c r="A425" s="17">
        <v>45762</v>
      </c>
      <c r="B425" s="45">
        <v>57</v>
      </c>
      <c r="C425" s="45">
        <v>5.45</v>
      </c>
      <c r="D425" s="39">
        <v>12504012</v>
      </c>
      <c r="E425" s="39" t="s">
        <v>569</v>
      </c>
      <c r="F425" s="39">
        <v>1350</v>
      </c>
      <c r="G425" s="35">
        <v>5.9027777777777776E-2</v>
      </c>
      <c r="H425" s="35">
        <v>7.9861111111111105E-2</v>
      </c>
      <c r="I425" s="36">
        <v>30</v>
      </c>
      <c r="J425" s="67" t="s">
        <v>51</v>
      </c>
      <c r="K425" s="67" t="s">
        <v>445</v>
      </c>
      <c r="L425" s="67" t="s">
        <v>53</v>
      </c>
      <c r="M425" s="47" t="s">
        <v>54</v>
      </c>
    </row>
    <row r="426" spans="1:13" x14ac:dyDescent="0.35">
      <c r="A426" s="17">
        <v>45762</v>
      </c>
      <c r="B426" s="45">
        <v>56.97</v>
      </c>
      <c r="C426" s="45">
        <v>5.18</v>
      </c>
      <c r="D426" s="39">
        <v>12504012</v>
      </c>
      <c r="E426" s="39" t="s">
        <v>569</v>
      </c>
      <c r="F426" s="39">
        <v>1350</v>
      </c>
      <c r="G426" s="35">
        <v>7.9861111111111105E-2</v>
      </c>
      <c r="H426" s="35">
        <v>0.10069444444444445</v>
      </c>
      <c r="I426" s="36">
        <v>30</v>
      </c>
      <c r="J426" s="67" t="s">
        <v>52</v>
      </c>
      <c r="K426" s="67" t="s">
        <v>445</v>
      </c>
      <c r="L426" s="67" t="s">
        <v>178</v>
      </c>
      <c r="M426" s="47" t="s">
        <v>598</v>
      </c>
    </row>
    <row r="427" spans="1:13" x14ac:dyDescent="0.35">
      <c r="A427" s="17">
        <v>45763</v>
      </c>
      <c r="B427" s="45">
        <v>57.07</v>
      </c>
      <c r="C427" s="45">
        <v>5.47</v>
      </c>
      <c r="D427" s="45">
        <v>12504013</v>
      </c>
      <c r="E427" s="45" t="s">
        <v>496</v>
      </c>
      <c r="F427" s="45" t="s">
        <v>264</v>
      </c>
      <c r="G427" s="35">
        <v>0.44097222222222221</v>
      </c>
      <c r="H427" s="35">
        <v>0.46180555555555558</v>
      </c>
      <c r="I427" s="36">
        <v>30</v>
      </c>
      <c r="J427" s="67" t="s">
        <v>51</v>
      </c>
      <c r="K427" s="67" t="s">
        <v>445</v>
      </c>
      <c r="L427" s="67" t="s">
        <v>53</v>
      </c>
      <c r="M427" s="47" t="s">
        <v>54</v>
      </c>
    </row>
    <row r="428" spans="1:13" x14ac:dyDescent="0.35">
      <c r="A428" s="17">
        <v>45764</v>
      </c>
      <c r="B428" s="39">
        <v>57.19</v>
      </c>
      <c r="C428" s="39">
        <v>5.33</v>
      </c>
      <c r="D428" s="39">
        <v>12504014</v>
      </c>
      <c r="E428" s="39" t="s">
        <v>501</v>
      </c>
      <c r="F428" s="39">
        <v>1250</v>
      </c>
      <c r="G428" s="35">
        <v>0.79027777777777775</v>
      </c>
      <c r="H428" s="35">
        <v>0.81111111111111112</v>
      </c>
      <c r="I428" s="36">
        <v>30</v>
      </c>
      <c r="J428" s="67" t="s">
        <v>51</v>
      </c>
      <c r="K428" s="67" t="s">
        <v>445</v>
      </c>
      <c r="L428" s="67" t="s">
        <v>53</v>
      </c>
      <c r="M428" s="47" t="s">
        <v>54</v>
      </c>
    </row>
    <row r="429" spans="1:13" x14ac:dyDescent="0.35">
      <c r="A429" s="17">
        <v>45764</v>
      </c>
      <c r="B429" s="39">
        <v>57.19</v>
      </c>
      <c r="C429" s="39">
        <v>5.33</v>
      </c>
      <c r="D429" s="39">
        <v>12504014</v>
      </c>
      <c r="E429" s="39" t="s">
        <v>501</v>
      </c>
      <c r="F429" s="39">
        <v>1250</v>
      </c>
      <c r="G429" s="35">
        <v>0.81111111111111112</v>
      </c>
      <c r="H429" s="35">
        <v>0.82152777777777775</v>
      </c>
      <c r="I429" s="36">
        <v>15</v>
      </c>
      <c r="J429" s="67" t="s">
        <v>52</v>
      </c>
      <c r="K429" s="67" t="s">
        <v>445</v>
      </c>
      <c r="L429" s="67" t="s">
        <v>59</v>
      </c>
      <c r="M429" s="47" t="s">
        <v>432</v>
      </c>
    </row>
    <row r="430" spans="1:13" x14ac:dyDescent="0.35">
      <c r="A430" s="17">
        <v>45764</v>
      </c>
      <c r="B430" s="39">
        <v>57.19</v>
      </c>
      <c r="C430" s="39">
        <v>5.33</v>
      </c>
      <c r="D430" s="39">
        <v>12504014</v>
      </c>
      <c r="E430" s="39" t="s">
        <v>501</v>
      </c>
      <c r="F430" s="39">
        <v>1250</v>
      </c>
      <c r="G430" s="35">
        <v>0.82152777777777775</v>
      </c>
      <c r="H430" s="35">
        <v>0.88541666666666663</v>
      </c>
      <c r="I430" s="36">
        <v>92</v>
      </c>
      <c r="J430" s="67" t="s">
        <v>446</v>
      </c>
      <c r="K430" s="104" t="s">
        <v>41</v>
      </c>
      <c r="L430" s="67" t="s">
        <v>524</v>
      </c>
      <c r="M430" s="47" t="s">
        <v>601</v>
      </c>
    </row>
    <row r="431" spans="1:13" x14ac:dyDescent="0.35">
      <c r="A431" s="17">
        <v>45764</v>
      </c>
      <c r="B431" s="39">
        <v>57.19</v>
      </c>
      <c r="C431" s="39">
        <v>5.33</v>
      </c>
      <c r="D431" s="39">
        <v>12504014</v>
      </c>
      <c r="E431" s="39" t="s">
        <v>501</v>
      </c>
      <c r="F431" s="39">
        <v>1250</v>
      </c>
      <c r="G431" s="35">
        <v>0.88541666666666663</v>
      </c>
      <c r="H431" s="35">
        <v>0.91666666666666663</v>
      </c>
      <c r="I431" s="36">
        <v>45</v>
      </c>
      <c r="J431" s="67" t="s">
        <v>446</v>
      </c>
      <c r="K431" s="104" t="s">
        <v>19</v>
      </c>
      <c r="L431" s="47" t="s">
        <v>602</v>
      </c>
      <c r="M431" s="47" t="s">
        <v>602</v>
      </c>
    </row>
    <row r="432" spans="1:13" x14ac:dyDescent="0.35">
      <c r="A432" s="17">
        <v>45765</v>
      </c>
      <c r="B432" s="45">
        <v>57.11</v>
      </c>
      <c r="C432" s="45">
        <v>5.59</v>
      </c>
      <c r="D432" s="39">
        <v>12504014</v>
      </c>
      <c r="E432" s="39" t="s">
        <v>501</v>
      </c>
      <c r="F432" s="39">
        <v>1250</v>
      </c>
      <c r="G432" s="35">
        <v>0.91666666666666663</v>
      </c>
      <c r="H432" s="35">
        <v>8.3333333333333329E-2</v>
      </c>
      <c r="I432" s="36">
        <v>240</v>
      </c>
      <c r="J432" s="67" t="s">
        <v>446</v>
      </c>
      <c r="K432" s="104" t="s">
        <v>19</v>
      </c>
      <c r="L432" s="47" t="s">
        <v>602</v>
      </c>
      <c r="M432" s="47" t="s">
        <v>602</v>
      </c>
    </row>
    <row r="433" spans="1:13" x14ac:dyDescent="0.35">
      <c r="A433" s="17">
        <v>45766</v>
      </c>
      <c r="B433" s="45">
        <v>57.6</v>
      </c>
      <c r="C433" s="45">
        <v>5.32</v>
      </c>
      <c r="D433" s="45">
        <v>12504015</v>
      </c>
      <c r="E433" s="45" t="s">
        <v>156</v>
      </c>
      <c r="F433" s="45">
        <v>1250</v>
      </c>
      <c r="G433" s="35">
        <v>0.99652777777777779</v>
      </c>
      <c r="H433" s="35">
        <v>1.5972222222222221E-2</v>
      </c>
      <c r="I433" s="36">
        <v>28</v>
      </c>
      <c r="J433" s="86" t="s">
        <v>51</v>
      </c>
      <c r="K433" s="86" t="s">
        <v>445</v>
      </c>
      <c r="L433" s="86" t="s">
        <v>53</v>
      </c>
      <c r="M433" s="47" t="s">
        <v>605</v>
      </c>
    </row>
    <row r="434" spans="1:13" x14ac:dyDescent="0.35">
      <c r="A434" s="17">
        <v>45767</v>
      </c>
      <c r="B434" s="39">
        <v>57.3</v>
      </c>
      <c r="C434" s="39">
        <v>5.22</v>
      </c>
      <c r="D434" s="39">
        <v>12504016</v>
      </c>
      <c r="E434" s="39" t="s">
        <v>501</v>
      </c>
      <c r="F434" s="39">
        <v>1240</v>
      </c>
      <c r="G434" s="35">
        <v>0.33680555555555558</v>
      </c>
      <c r="H434" s="35">
        <v>0.3576388888888889</v>
      </c>
      <c r="I434" s="36">
        <v>30</v>
      </c>
      <c r="J434" s="86" t="s">
        <v>51</v>
      </c>
      <c r="K434" s="116" t="s">
        <v>445</v>
      </c>
      <c r="L434" s="86" t="s">
        <v>53</v>
      </c>
      <c r="M434" s="47" t="s">
        <v>54</v>
      </c>
    </row>
    <row r="435" spans="1:13" x14ac:dyDescent="0.35">
      <c r="A435" s="17">
        <v>45767</v>
      </c>
      <c r="B435" s="39">
        <v>57.3</v>
      </c>
      <c r="C435" s="39">
        <v>5.22</v>
      </c>
      <c r="D435" s="39">
        <v>12504016</v>
      </c>
      <c r="E435" s="39" t="s">
        <v>501</v>
      </c>
      <c r="F435" s="39">
        <v>1240</v>
      </c>
      <c r="G435" s="35">
        <v>0.3576388888888889</v>
      </c>
      <c r="H435" s="35">
        <v>0.36666666666666664</v>
      </c>
      <c r="I435" s="36">
        <v>13</v>
      </c>
      <c r="J435" s="86" t="s">
        <v>52</v>
      </c>
      <c r="K435" s="116" t="s">
        <v>445</v>
      </c>
      <c r="L435" s="86" t="s">
        <v>59</v>
      </c>
      <c r="M435" s="47" t="s">
        <v>432</v>
      </c>
    </row>
    <row r="436" spans="1:13" x14ac:dyDescent="0.35">
      <c r="A436" s="17">
        <v>45768</v>
      </c>
      <c r="B436" s="39">
        <v>57</v>
      </c>
      <c r="C436" s="39">
        <v>5.44</v>
      </c>
      <c r="D436" s="39">
        <v>12504017</v>
      </c>
      <c r="E436" s="39" t="s">
        <v>501</v>
      </c>
      <c r="F436" s="39" t="s">
        <v>608</v>
      </c>
      <c r="G436" s="35">
        <v>0.70138888888888884</v>
      </c>
      <c r="H436" s="35">
        <v>0.72222222222222221</v>
      </c>
      <c r="I436" s="36">
        <v>30</v>
      </c>
      <c r="J436" s="67" t="s">
        <v>51</v>
      </c>
      <c r="K436" s="67" t="s">
        <v>445</v>
      </c>
      <c r="L436" s="67" t="s">
        <v>53</v>
      </c>
      <c r="M436" s="47" t="s">
        <v>54</v>
      </c>
    </row>
    <row r="437" spans="1:13" x14ac:dyDescent="0.35">
      <c r="A437" s="17">
        <v>45768</v>
      </c>
      <c r="B437" s="39">
        <v>57</v>
      </c>
      <c r="C437" s="39">
        <v>5.44</v>
      </c>
      <c r="D437" s="39">
        <v>12504017</v>
      </c>
      <c r="E437" s="39" t="s">
        <v>501</v>
      </c>
      <c r="F437" s="39" t="s">
        <v>608</v>
      </c>
      <c r="G437" s="35">
        <v>0.72222222222222221</v>
      </c>
      <c r="H437" s="35">
        <v>0.72916666666666663</v>
      </c>
      <c r="I437" s="36">
        <v>10</v>
      </c>
      <c r="J437" s="67" t="s">
        <v>52</v>
      </c>
      <c r="K437" s="67" t="s">
        <v>445</v>
      </c>
      <c r="L437" s="67" t="s">
        <v>178</v>
      </c>
      <c r="M437" s="47" t="s">
        <v>598</v>
      </c>
    </row>
    <row r="438" spans="1:13" x14ac:dyDescent="0.35">
      <c r="A438" s="17">
        <v>45768</v>
      </c>
      <c r="B438" s="39">
        <v>57</v>
      </c>
      <c r="C438" s="39">
        <v>5.44</v>
      </c>
      <c r="D438" s="39">
        <v>12504017</v>
      </c>
      <c r="E438" s="39" t="s">
        <v>501</v>
      </c>
      <c r="F438" s="39" t="s">
        <v>608</v>
      </c>
      <c r="G438" s="35">
        <v>0.72916666666666663</v>
      </c>
      <c r="H438" s="35">
        <v>0.73611111111111116</v>
      </c>
      <c r="I438" s="36">
        <v>10</v>
      </c>
      <c r="J438" s="67" t="s">
        <v>52</v>
      </c>
      <c r="K438" s="67" t="s">
        <v>62</v>
      </c>
      <c r="L438" s="67" t="s">
        <v>130</v>
      </c>
      <c r="M438" s="47" t="s">
        <v>422</v>
      </c>
    </row>
    <row r="439" spans="1:13" x14ac:dyDescent="0.35">
      <c r="A439" s="17">
        <v>45770</v>
      </c>
      <c r="B439" s="45">
        <v>57.02</v>
      </c>
      <c r="C439" s="45">
        <v>5.28</v>
      </c>
      <c r="D439" s="45">
        <v>12504018</v>
      </c>
      <c r="E439" s="45" t="s">
        <v>501</v>
      </c>
      <c r="F439" s="45">
        <v>1250</v>
      </c>
      <c r="G439" s="35">
        <v>5.2083333333333336E-2</v>
      </c>
      <c r="H439" s="35">
        <v>7.2916666666666671E-2</v>
      </c>
      <c r="I439" s="36">
        <v>30</v>
      </c>
      <c r="J439" s="67" t="s">
        <v>51</v>
      </c>
      <c r="K439" s="104" t="s">
        <v>445</v>
      </c>
      <c r="L439" s="67" t="s">
        <v>53</v>
      </c>
      <c r="M439" s="47" t="s">
        <v>54</v>
      </c>
    </row>
    <row r="440" spans="1:13" x14ac:dyDescent="0.35">
      <c r="A440" s="17">
        <v>45771</v>
      </c>
      <c r="B440" s="39">
        <v>57.06</v>
      </c>
      <c r="C440" s="39">
        <v>4.91</v>
      </c>
      <c r="D440" s="39">
        <v>12504019</v>
      </c>
      <c r="E440" s="39" t="s">
        <v>496</v>
      </c>
      <c r="F440" s="39">
        <v>1250</v>
      </c>
      <c r="G440" s="35">
        <v>0.41041666666666665</v>
      </c>
      <c r="H440" s="35">
        <v>0.43125000000000002</v>
      </c>
      <c r="I440" s="36">
        <v>30</v>
      </c>
      <c r="J440" s="67" t="s">
        <v>51</v>
      </c>
      <c r="K440" s="104" t="s">
        <v>445</v>
      </c>
      <c r="L440" s="67" t="s">
        <v>53</v>
      </c>
      <c r="M440" s="47" t="s">
        <v>54</v>
      </c>
    </row>
    <row r="441" spans="1:13" x14ac:dyDescent="0.35">
      <c r="A441" s="17">
        <v>45771</v>
      </c>
      <c r="B441" s="39">
        <v>57.06</v>
      </c>
      <c r="C441" s="39">
        <v>4.91</v>
      </c>
      <c r="D441" s="39">
        <v>12504019</v>
      </c>
      <c r="E441" s="39" t="s">
        <v>496</v>
      </c>
      <c r="F441" s="39">
        <v>1250</v>
      </c>
      <c r="G441" s="35">
        <v>0.43125000000000002</v>
      </c>
      <c r="H441" s="35">
        <v>0.44166666666666665</v>
      </c>
      <c r="I441" s="36">
        <v>15</v>
      </c>
      <c r="J441" s="67" t="s">
        <v>52</v>
      </c>
      <c r="K441" s="104" t="s">
        <v>445</v>
      </c>
      <c r="L441" s="67" t="s">
        <v>59</v>
      </c>
      <c r="M441" s="47" t="s">
        <v>432</v>
      </c>
    </row>
    <row r="442" spans="1:13" x14ac:dyDescent="0.35">
      <c r="A442" s="17">
        <v>45771</v>
      </c>
      <c r="B442" s="39">
        <v>57.06</v>
      </c>
      <c r="C442" s="39">
        <v>4.91</v>
      </c>
      <c r="D442" s="39">
        <v>12504019</v>
      </c>
      <c r="E442" s="39" t="s">
        <v>496</v>
      </c>
      <c r="F442" s="39">
        <v>1250</v>
      </c>
      <c r="G442" s="35">
        <v>0.44166666666666665</v>
      </c>
      <c r="H442" s="35">
        <v>0.44513888888888886</v>
      </c>
      <c r="I442" s="36">
        <v>5</v>
      </c>
      <c r="J442" s="67" t="s">
        <v>446</v>
      </c>
      <c r="K442" s="104" t="s">
        <v>26</v>
      </c>
      <c r="L442" s="67" t="s">
        <v>32</v>
      </c>
      <c r="M442" s="47" t="s">
        <v>61</v>
      </c>
    </row>
    <row r="443" spans="1:13" x14ac:dyDescent="0.35">
      <c r="A443" s="17">
        <v>45771</v>
      </c>
      <c r="B443" s="39">
        <v>57.06</v>
      </c>
      <c r="C443" s="39">
        <v>4.91</v>
      </c>
      <c r="D443" s="39">
        <v>12504020</v>
      </c>
      <c r="E443" s="39" t="s">
        <v>43</v>
      </c>
      <c r="F443" s="39">
        <v>1250</v>
      </c>
      <c r="G443" s="35">
        <v>0.84375</v>
      </c>
      <c r="H443" s="35">
        <v>0.90625</v>
      </c>
      <c r="I443" s="36">
        <v>90</v>
      </c>
      <c r="J443" s="67" t="s">
        <v>463</v>
      </c>
      <c r="K443" s="104" t="s">
        <v>26</v>
      </c>
      <c r="L443" s="67" t="s">
        <v>539</v>
      </c>
      <c r="M443" s="47" t="s">
        <v>611</v>
      </c>
    </row>
    <row r="444" spans="1:13" x14ac:dyDescent="0.35">
      <c r="A444" s="17">
        <v>45771</v>
      </c>
      <c r="B444" s="39">
        <v>57.06</v>
      </c>
      <c r="C444" s="39">
        <v>4.91</v>
      </c>
      <c r="D444" s="39">
        <v>12504020</v>
      </c>
      <c r="E444" s="39" t="s">
        <v>43</v>
      </c>
      <c r="F444" s="39">
        <v>1250</v>
      </c>
      <c r="G444" s="35">
        <v>0.90625</v>
      </c>
      <c r="H444" s="35">
        <v>0.91597222222222219</v>
      </c>
      <c r="I444" s="36">
        <v>14</v>
      </c>
      <c r="J444" s="67" t="s">
        <v>446</v>
      </c>
      <c r="K444" s="104" t="s">
        <v>41</v>
      </c>
      <c r="L444" s="67" t="s">
        <v>454</v>
      </c>
      <c r="M444" s="47" t="s">
        <v>612</v>
      </c>
    </row>
    <row r="445" spans="1:13" x14ac:dyDescent="0.35">
      <c r="A445" s="17">
        <v>45772</v>
      </c>
      <c r="B445" s="45">
        <v>57.23</v>
      </c>
      <c r="C445" s="45">
        <v>5.42</v>
      </c>
      <c r="D445" s="45">
        <v>12504021</v>
      </c>
      <c r="E445" s="45" t="s">
        <v>38</v>
      </c>
      <c r="F445" s="45">
        <v>1250</v>
      </c>
      <c r="G445" s="35">
        <v>0.15625</v>
      </c>
      <c r="H445" s="35">
        <v>0.21875</v>
      </c>
      <c r="I445" s="36">
        <v>90</v>
      </c>
      <c r="J445" s="67" t="s">
        <v>35</v>
      </c>
      <c r="K445" s="104" t="s">
        <v>19</v>
      </c>
      <c r="L445" s="67" t="s">
        <v>94</v>
      </c>
      <c r="M445" s="47" t="s">
        <v>95</v>
      </c>
    </row>
    <row r="446" spans="1:13" x14ac:dyDescent="0.35">
      <c r="A446" s="17">
        <v>45773</v>
      </c>
      <c r="B446" s="39">
        <v>57.02</v>
      </c>
      <c r="C446" s="39">
        <v>5.57</v>
      </c>
      <c r="D446" s="39">
        <v>12504022</v>
      </c>
      <c r="E446" s="39" t="s">
        <v>501</v>
      </c>
      <c r="F446" s="39" t="s">
        <v>614</v>
      </c>
      <c r="G446" s="35">
        <v>0.54861111111111116</v>
      </c>
      <c r="H446" s="35">
        <v>0.56944444444444442</v>
      </c>
      <c r="I446" s="36">
        <v>30</v>
      </c>
      <c r="J446" s="67" t="s">
        <v>51</v>
      </c>
      <c r="K446" s="104" t="s">
        <v>445</v>
      </c>
      <c r="L446" s="67" t="s">
        <v>53</v>
      </c>
      <c r="M446" s="47" t="s">
        <v>54</v>
      </c>
    </row>
    <row r="447" spans="1:13" x14ac:dyDescent="0.35">
      <c r="A447" s="17">
        <v>45773</v>
      </c>
      <c r="B447" s="39">
        <v>57.02</v>
      </c>
      <c r="C447" s="39">
        <v>5.57</v>
      </c>
      <c r="D447" s="39">
        <v>12504022</v>
      </c>
      <c r="E447" s="39" t="s">
        <v>501</v>
      </c>
      <c r="F447" s="39" t="s">
        <v>614</v>
      </c>
      <c r="G447" s="35">
        <v>0.56944444444444442</v>
      </c>
      <c r="H447" s="35">
        <v>0.57499999999999996</v>
      </c>
      <c r="I447" s="36">
        <v>8</v>
      </c>
      <c r="J447" s="67" t="s">
        <v>52</v>
      </c>
      <c r="K447" s="104" t="s">
        <v>445</v>
      </c>
      <c r="L447" s="67" t="s">
        <v>59</v>
      </c>
      <c r="M447" s="47" t="s">
        <v>432</v>
      </c>
    </row>
    <row r="448" spans="1:13" x14ac:dyDescent="0.35">
      <c r="A448" s="17">
        <v>45773</v>
      </c>
      <c r="B448" s="39">
        <v>57.02</v>
      </c>
      <c r="C448" s="39">
        <v>5.57</v>
      </c>
      <c r="D448" s="39">
        <v>12504022</v>
      </c>
      <c r="E448" s="39" t="s">
        <v>501</v>
      </c>
      <c r="F448" s="39" t="s">
        <v>614</v>
      </c>
      <c r="G448" s="35">
        <v>0.57499999999999996</v>
      </c>
      <c r="H448" s="35">
        <v>0.58333333333333337</v>
      </c>
      <c r="I448" s="36">
        <v>12</v>
      </c>
      <c r="J448" s="67" t="s">
        <v>52</v>
      </c>
      <c r="K448" s="104" t="s">
        <v>62</v>
      </c>
      <c r="L448" s="67" t="s">
        <v>130</v>
      </c>
      <c r="M448" s="47" t="s">
        <v>147</v>
      </c>
    </row>
    <row r="449" spans="1:13" x14ac:dyDescent="0.35">
      <c r="A449" s="17">
        <v>45774</v>
      </c>
      <c r="B449" s="39">
        <v>57.08</v>
      </c>
      <c r="C449" s="39">
        <v>5.24</v>
      </c>
      <c r="D449" s="39">
        <v>12504023</v>
      </c>
      <c r="E449" s="39" t="s">
        <v>468</v>
      </c>
      <c r="F449" s="39">
        <v>1230</v>
      </c>
      <c r="G449" s="35">
        <v>8.3333333333333329E-2</v>
      </c>
      <c r="H449" s="35">
        <v>0.11458333333333333</v>
      </c>
      <c r="I449" s="36">
        <v>45</v>
      </c>
      <c r="J449" s="67" t="s">
        <v>463</v>
      </c>
      <c r="K449" s="104" t="s">
        <v>26</v>
      </c>
      <c r="L449" s="67" t="s">
        <v>615</v>
      </c>
      <c r="M449" s="47" t="s">
        <v>616</v>
      </c>
    </row>
    <row r="450" spans="1:13" x14ac:dyDescent="0.35">
      <c r="A450" s="17">
        <v>45774</v>
      </c>
      <c r="B450" s="39">
        <v>57.08</v>
      </c>
      <c r="C450" s="39">
        <v>5.24</v>
      </c>
      <c r="D450" s="39">
        <v>12504023</v>
      </c>
      <c r="E450" s="39" t="s">
        <v>468</v>
      </c>
      <c r="F450" s="39">
        <v>1230</v>
      </c>
      <c r="G450" s="35">
        <v>0.11458333333333333</v>
      </c>
      <c r="H450" s="35">
        <v>0.14583333333333334</v>
      </c>
      <c r="I450" s="36">
        <v>45</v>
      </c>
      <c r="J450" s="67" t="s">
        <v>446</v>
      </c>
      <c r="K450" s="104" t="s">
        <v>41</v>
      </c>
      <c r="L450" s="67" t="s">
        <v>454</v>
      </c>
      <c r="M450" s="47" t="s">
        <v>617</v>
      </c>
    </row>
    <row r="451" spans="1:13" x14ac:dyDescent="0.35">
      <c r="A451" s="17">
        <v>45774</v>
      </c>
      <c r="B451" s="39">
        <v>57.08</v>
      </c>
      <c r="C451" s="39">
        <v>5.24</v>
      </c>
      <c r="D451" s="39">
        <v>12504023</v>
      </c>
      <c r="E451" s="39" t="s">
        <v>468</v>
      </c>
      <c r="F451" s="39">
        <v>1230</v>
      </c>
      <c r="G451" s="35">
        <v>0.14583333333333334</v>
      </c>
      <c r="H451" s="35">
        <v>0.16666666666666666</v>
      </c>
      <c r="I451" s="36">
        <v>30</v>
      </c>
      <c r="J451" s="67" t="s">
        <v>446</v>
      </c>
      <c r="K451" s="104" t="s">
        <v>19</v>
      </c>
      <c r="L451" s="67" t="s">
        <v>85</v>
      </c>
      <c r="M451" s="47" t="s">
        <v>618</v>
      </c>
    </row>
    <row r="452" spans="1:13" x14ac:dyDescent="0.35">
      <c r="A452" s="17">
        <v>45774</v>
      </c>
      <c r="B452" s="39">
        <v>57.08</v>
      </c>
      <c r="C452" s="39">
        <v>5.24</v>
      </c>
      <c r="D452" s="45">
        <v>12504024</v>
      </c>
      <c r="E452" s="45" t="s">
        <v>175</v>
      </c>
      <c r="F452" s="45">
        <v>1250</v>
      </c>
      <c r="G452" s="35">
        <v>0.30555555555555558</v>
      </c>
      <c r="H452" s="35">
        <v>0.3659722222222222</v>
      </c>
      <c r="I452" s="36">
        <v>87</v>
      </c>
      <c r="J452" s="67" t="s">
        <v>25</v>
      </c>
      <c r="K452" s="104" t="s">
        <v>445</v>
      </c>
      <c r="L452" s="67" t="s">
        <v>456</v>
      </c>
      <c r="M452" s="60" t="s">
        <v>619</v>
      </c>
    </row>
    <row r="453" spans="1:13" x14ac:dyDescent="0.35">
      <c r="A453" s="17">
        <v>45775</v>
      </c>
      <c r="B453" s="45">
        <v>56.85</v>
      </c>
      <c r="C453" s="45">
        <v>5.0599999999999996</v>
      </c>
      <c r="D453" s="45">
        <v>12504025</v>
      </c>
      <c r="E453" s="45" t="s">
        <v>496</v>
      </c>
      <c r="F453" s="45">
        <v>1250</v>
      </c>
      <c r="G453" s="35">
        <v>0.69791666666666663</v>
      </c>
      <c r="H453" s="35">
        <v>0.71527777777777779</v>
      </c>
      <c r="I453" s="36">
        <v>25</v>
      </c>
      <c r="J453" s="67" t="s">
        <v>51</v>
      </c>
      <c r="K453" s="104" t="s">
        <v>445</v>
      </c>
      <c r="L453" s="67" t="s">
        <v>53</v>
      </c>
      <c r="M453" s="47" t="s">
        <v>54</v>
      </c>
    </row>
    <row r="454" spans="1:13" x14ac:dyDescent="0.35">
      <c r="A454" s="17">
        <v>45776</v>
      </c>
      <c r="B454" s="45">
        <v>57.12</v>
      </c>
      <c r="C454" s="45">
        <v>5.58</v>
      </c>
      <c r="D454" s="45">
        <v>12504026</v>
      </c>
      <c r="E454" s="45" t="s">
        <v>116</v>
      </c>
      <c r="F454" s="45">
        <v>12701250</v>
      </c>
      <c r="G454" s="35">
        <v>0.82430555555555551</v>
      </c>
      <c r="H454" s="35">
        <v>0.90277777777777779</v>
      </c>
      <c r="I454" s="36">
        <v>113</v>
      </c>
      <c r="J454" s="86" t="s">
        <v>35</v>
      </c>
      <c r="K454" s="116" t="s">
        <v>552</v>
      </c>
      <c r="L454" s="86" t="s">
        <v>622</v>
      </c>
      <c r="M454" s="49" t="s">
        <v>623</v>
      </c>
    </row>
    <row r="455" spans="1:13" x14ac:dyDescent="0.35">
      <c r="A455" s="17">
        <v>45778</v>
      </c>
      <c r="B455" s="39">
        <v>57.08</v>
      </c>
      <c r="C455" s="39">
        <v>5.0999999999999996</v>
      </c>
      <c r="D455" s="45">
        <v>12504027</v>
      </c>
      <c r="E455" s="45" t="s">
        <v>501</v>
      </c>
      <c r="F455" s="45">
        <v>1250</v>
      </c>
      <c r="G455" s="35">
        <v>0.22569444444444445</v>
      </c>
      <c r="H455" s="35">
        <v>0.24652777777777779</v>
      </c>
      <c r="I455" s="36">
        <v>30</v>
      </c>
      <c r="J455" s="67" t="s">
        <v>51</v>
      </c>
      <c r="K455" s="104" t="s">
        <v>445</v>
      </c>
      <c r="L455" s="67" t="s">
        <v>53</v>
      </c>
      <c r="M455" s="47" t="s">
        <v>54</v>
      </c>
    </row>
    <row r="456" spans="1:13" x14ac:dyDescent="0.35">
      <c r="A456" s="17">
        <v>45779</v>
      </c>
      <c r="B456" s="39">
        <v>57.05</v>
      </c>
      <c r="C456" s="39">
        <v>5.25</v>
      </c>
      <c r="D456" s="39">
        <v>12505001</v>
      </c>
      <c r="E456" s="39" t="s">
        <v>72</v>
      </c>
      <c r="F456" s="39">
        <v>1260</v>
      </c>
      <c r="G456" s="35">
        <v>0.50694444444444442</v>
      </c>
      <c r="H456" s="35">
        <v>0.52777777777777779</v>
      </c>
      <c r="I456" s="36">
        <v>30</v>
      </c>
      <c r="J456" s="86" t="s">
        <v>51</v>
      </c>
      <c r="K456" s="116" t="s">
        <v>445</v>
      </c>
      <c r="L456" s="86" t="s">
        <v>53</v>
      </c>
      <c r="M456" s="47" t="s">
        <v>54</v>
      </c>
    </row>
    <row r="457" spans="1:13" x14ac:dyDescent="0.35">
      <c r="A457" s="17">
        <v>45779</v>
      </c>
      <c r="B457" s="39">
        <v>57.05</v>
      </c>
      <c r="C457" s="39">
        <v>5.25</v>
      </c>
      <c r="D457" s="39">
        <v>12505001</v>
      </c>
      <c r="E457" s="39" t="s">
        <v>72</v>
      </c>
      <c r="F457" s="39">
        <v>1260</v>
      </c>
      <c r="G457" s="35">
        <v>0.52777777777777779</v>
      </c>
      <c r="H457" s="35">
        <v>0.53819444444444442</v>
      </c>
      <c r="I457" s="36">
        <v>15</v>
      </c>
      <c r="J457" s="86" t="s">
        <v>52</v>
      </c>
      <c r="K457" s="116" t="s">
        <v>445</v>
      </c>
      <c r="L457" s="86" t="s">
        <v>59</v>
      </c>
      <c r="M457" s="47" t="s">
        <v>432</v>
      </c>
    </row>
    <row r="458" spans="1:13" x14ac:dyDescent="0.35">
      <c r="A458" s="17">
        <v>45780</v>
      </c>
      <c r="B458" s="39">
        <v>56.9</v>
      </c>
      <c r="C458" s="39">
        <v>5.49</v>
      </c>
      <c r="D458" s="39">
        <v>12505002</v>
      </c>
      <c r="E458" s="39" t="s">
        <v>98</v>
      </c>
      <c r="F458" s="39">
        <v>1260</v>
      </c>
      <c r="G458" s="35">
        <v>0.38194444444444442</v>
      </c>
      <c r="H458" s="35">
        <v>0.58333333333333337</v>
      </c>
      <c r="I458" s="36">
        <v>290</v>
      </c>
      <c r="J458" s="67" t="s">
        <v>448</v>
      </c>
      <c r="K458" s="104" t="s">
        <v>15</v>
      </c>
      <c r="L458" s="67" t="s">
        <v>448</v>
      </c>
      <c r="M458" s="47" t="s">
        <v>17</v>
      </c>
    </row>
    <row r="459" spans="1:13" x14ac:dyDescent="0.35">
      <c r="A459" s="17">
        <v>45780</v>
      </c>
      <c r="B459" s="39">
        <v>56.9</v>
      </c>
      <c r="C459" s="39">
        <v>5.49</v>
      </c>
      <c r="D459" s="39">
        <v>12505002</v>
      </c>
      <c r="E459" s="39" t="s">
        <v>98</v>
      </c>
      <c r="F459" s="39">
        <v>1260</v>
      </c>
      <c r="G459" s="35">
        <v>0.58333333333333337</v>
      </c>
      <c r="H459" s="35">
        <v>0.65972222222222221</v>
      </c>
      <c r="I459" s="36">
        <v>110</v>
      </c>
      <c r="J459" s="67" t="s">
        <v>446</v>
      </c>
      <c r="K459" s="104" t="s">
        <v>41</v>
      </c>
      <c r="L459" s="67" t="s">
        <v>454</v>
      </c>
      <c r="M459" s="47" t="s">
        <v>626</v>
      </c>
    </row>
    <row r="460" spans="1:13" x14ac:dyDescent="0.35">
      <c r="A460" s="17">
        <v>45781</v>
      </c>
      <c r="B460" s="45">
        <v>57.31</v>
      </c>
      <c r="C460" s="45">
        <v>5.35</v>
      </c>
      <c r="D460" s="45">
        <v>12505003</v>
      </c>
      <c r="E460" s="45" t="s">
        <v>57</v>
      </c>
      <c r="F460" s="45" t="s">
        <v>458</v>
      </c>
      <c r="G460" s="35">
        <v>0.86111111111111116</v>
      </c>
      <c r="H460" s="35">
        <v>0.88194444444444442</v>
      </c>
      <c r="I460" s="36">
        <v>30</v>
      </c>
      <c r="J460" s="67" t="s">
        <v>51</v>
      </c>
      <c r="K460" s="104" t="s">
        <v>445</v>
      </c>
      <c r="L460" s="67" t="s">
        <v>53</v>
      </c>
      <c r="M460" s="47" t="s">
        <v>54</v>
      </c>
    </row>
    <row r="461" spans="1:13" x14ac:dyDescent="0.35">
      <c r="A461" s="17">
        <v>45783</v>
      </c>
      <c r="B461" s="39">
        <v>56.1</v>
      </c>
      <c r="C461" s="39">
        <v>5.52</v>
      </c>
      <c r="D461" s="39">
        <v>12505004</v>
      </c>
      <c r="E461" s="39" t="s">
        <v>72</v>
      </c>
      <c r="F461" s="39" t="s">
        <v>630</v>
      </c>
      <c r="G461" s="35">
        <v>9.0277777777777776E-2</v>
      </c>
      <c r="H461" s="35">
        <v>0.1111111111111111</v>
      </c>
      <c r="I461" s="36">
        <v>30</v>
      </c>
      <c r="J461" s="67" t="s">
        <v>51</v>
      </c>
      <c r="K461" s="67" t="s">
        <v>445</v>
      </c>
      <c r="L461" s="67" t="s">
        <v>53</v>
      </c>
      <c r="M461" s="47" t="s">
        <v>54</v>
      </c>
    </row>
    <row r="462" spans="1:13" x14ac:dyDescent="0.35">
      <c r="A462" s="17">
        <v>45783</v>
      </c>
      <c r="B462" s="39">
        <v>56.1</v>
      </c>
      <c r="C462" s="39">
        <v>5.52</v>
      </c>
      <c r="D462" s="39">
        <v>12505004</v>
      </c>
      <c r="E462" s="39" t="s">
        <v>72</v>
      </c>
      <c r="F462" s="39" t="s">
        <v>630</v>
      </c>
      <c r="G462" s="35">
        <v>0.1111111111111111</v>
      </c>
      <c r="H462" s="35">
        <v>0.11666666666666667</v>
      </c>
      <c r="I462" s="36">
        <v>8</v>
      </c>
      <c r="J462" s="67" t="s">
        <v>52</v>
      </c>
      <c r="K462" s="67" t="s">
        <v>445</v>
      </c>
      <c r="L462" s="67" t="s">
        <v>59</v>
      </c>
      <c r="M462" s="47" t="s">
        <v>432</v>
      </c>
    </row>
    <row r="463" spans="1:13" x14ac:dyDescent="0.35">
      <c r="A463" s="17">
        <v>45783</v>
      </c>
      <c r="B463" s="39">
        <v>56.1</v>
      </c>
      <c r="C463" s="39">
        <v>5.52</v>
      </c>
      <c r="D463" s="39">
        <v>12505004</v>
      </c>
      <c r="E463" s="39" t="s">
        <v>72</v>
      </c>
      <c r="F463" s="39" t="s">
        <v>630</v>
      </c>
      <c r="G463" s="35">
        <v>0.11666666666666667</v>
      </c>
      <c r="H463" s="35">
        <v>0.125</v>
      </c>
      <c r="I463" s="36">
        <v>12</v>
      </c>
      <c r="J463" s="67" t="s">
        <v>52</v>
      </c>
      <c r="K463" s="67" t="s">
        <v>62</v>
      </c>
      <c r="L463" s="67" t="s">
        <v>130</v>
      </c>
      <c r="M463" s="47" t="s">
        <v>131</v>
      </c>
    </row>
    <row r="464" spans="1:13" x14ac:dyDescent="0.35">
      <c r="A464" s="17">
        <v>45783</v>
      </c>
      <c r="B464" s="39">
        <v>56.1</v>
      </c>
      <c r="C464" s="39">
        <v>5.52</v>
      </c>
      <c r="D464" s="45">
        <v>12505005</v>
      </c>
      <c r="E464" s="45" t="s">
        <v>167</v>
      </c>
      <c r="F464" s="45">
        <v>1260</v>
      </c>
      <c r="G464" s="35">
        <v>0.84722222222222221</v>
      </c>
      <c r="H464" s="35">
        <v>0.88541666666666663</v>
      </c>
      <c r="I464" s="36">
        <v>55</v>
      </c>
      <c r="J464" s="67" t="s">
        <v>35</v>
      </c>
      <c r="K464" s="67" t="s">
        <v>445</v>
      </c>
      <c r="L464" s="67" t="s">
        <v>632</v>
      </c>
      <c r="M464" s="49" t="s">
        <v>631</v>
      </c>
    </row>
    <row r="465" spans="1:13" x14ac:dyDescent="0.35">
      <c r="A465" s="17">
        <v>45784</v>
      </c>
      <c r="B465" s="85">
        <v>56.91</v>
      </c>
      <c r="C465" s="85">
        <v>5.68</v>
      </c>
      <c r="D465" s="39">
        <v>12505006</v>
      </c>
      <c r="E465" s="39" t="s">
        <v>104</v>
      </c>
      <c r="F465" s="39">
        <v>1260</v>
      </c>
      <c r="G465" s="35">
        <v>0.18402777777777779</v>
      </c>
      <c r="H465" s="35">
        <v>0.2048611111111111</v>
      </c>
      <c r="I465" s="36">
        <v>30</v>
      </c>
      <c r="J465" s="67" t="s">
        <v>51</v>
      </c>
      <c r="K465" s="104" t="s">
        <v>445</v>
      </c>
      <c r="L465" s="67" t="s">
        <v>53</v>
      </c>
      <c r="M465" s="47" t="s">
        <v>54</v>
      </c>
    </row>
    <row r="466" spans="1:13" x14ac:dyDescent="0.35">
      <c r="A466" s="17">
        <v>45785</v>
      </c>
      <c r="B466" s="39">
        <v>57.03</v>
      </c>
      <c r="C466" s="39">
        <v>5.37</v>
      </c>
      <c r="D466" s="39">
        <v>12505006</v>
      </c>
      <c r="E466" s="39" t="s">
        <v>104</v>
      </c>
      <c r="F466" s="39">
        <v>1260</v>
      </c>
      <c r="G466" s="35">
        <v>0.2048611111111111</v>
      </c>
      <c r="H466" s="35">
        <v>0.21041666666666667</v>
      </c>
      <c r="I466" s="36">
        <v>8</v>
      </c>
      <c r="J466" s="67" t="s">
        <v>52</v>
      </c>
      <c r="K466" s="104" t="s">
        <v>445</v>
      </c>
      <c r="L466" s="67" t="s">
        <v>59</v>
      </c>
      <c r="M466" s="47" t="s">
        <v>59</v>
      </c>
    </row>
    <row r="467" spans="1:13" x14ac:dyDescent="0.35">
      <c r="A467" s="17">
        <v>45785</v>
      </c>
      <c r="B467" s="39">
        <v>57.03</v>
      </c>
      <c r="C467" s="39">
        <v>5.37</v>
      </c>
      <c r="D467" s="39">
        <v>12505006</v>
      </c>
      <c r="E467" s="39" t="s">
        <v>104</v>
      </c>
      <c r="F467" s="39">
        <v>1260</v>
      </c>
      <c r="G467" s="35">
        <v>0.21041666666666667</v>
      </c>
      <c r="H467" s="35">
        <v>0.21875</v>
      </c>
      <c r="I467" s="36">
        <v>12</v>
      </c>
      <c r="J467" s="67" t="s">
        <v>52</v>
      </c>
      <c r="K467" s="104" t="s">
        <v>62</v>
      </c>
      <c r="L467" s="67" t="s">
        <v>130</v>
      </c>
      <c r="M467" s="47" t="s">
        <v>147</v>
      </c>
    </row>
    <row r="468" spans="1:13" x14ac:dyDescent="0.35">
      <c r="A468" s="17">
        <v>45786</v>
      </c>
      <c r="B468" s="45">
        <v>57.03</v>
      </c>
      <c r="C468" s="45">
        <v>5.47</v>
      </c>
      <c r="D468" s="45">
        <v>12505007</v>
      </c>
      <c r="E468" s="45" t="s">
        <v>159</v>
      </c>
      <c r="F468" s="45">
        <v>1170</v>
      </c>
      <c r="G468" s="35">
        <v>0.36805555555555558</v>
      </c>
      <c r="H468" s="35">
        <v>0.45833333333333331</v>
      </c>
      <c r="I468" s="36">
        <v>130</v>
      </c>
      <c r="J468" s="67" t="s">
        <v>463</v>
      </c>
      <c r="K468" s="104" t="s">
        <v>26</v>
      </c>
      <c r="L468" s="67" t="s">
        <v>543</v>
      </c>
      <c r="M468" s="47" t="s">
        <v>636</v>
      </c>
    </row>
    <row r="469" spans="1:13" x14ac:dyDescent="0.35">
      <c r="A469" s="17">
        <v>45787</v>
      </c>
      <c r="B469" s="45">
        <v>57.05</v>
      </c>
      <c r="C469" s="45">
        <v>5.62</v>
      </c>
      <c r="D469" s="45">
        <v>12505008</v>
      </c>
      <c r="E469" s="45" t="s">
        <v>156</v>
      </c>
      <c r="F469" s="45">
        <v>1260</v>
      </c>
      <c r="G469" s="35">
        <v>0.32430555555555557</v>
      </c>
      <c r="H469" s="35">
        <v>0.44097222222222221</v>
      </c>
      <c r="I469" s="36">
        <v>168</v>
      </c>
      <c r="J469" s="67" t="s">
        <v>35</v>
      </c>
      <c r="K469" s="104" t="s">
        <v>552</v>
      </c>
      <c r="L469" s="67" t="s">
        <v>553</v>
      </c>
      <c r="M469" s="49" t="s">
        <v>637</v>
      </c>
    </row>
    <row r="470" spans="1:13" x14ac:dyDescent="0.35">
      <c r="A470" s="17">
        <v>45788</v>
      </c>
      <c r="B470" s="39">
        <v>56.88</v>
      </c>
      <c r="C470" s="39">
        <v>5.42</v>
      </c>
      <c r="D470" s="39">
        <v>12505009</v>
      </c>
      <c r="E470" s="39" t="s">
        <v>141</v>
      </c>
      <c r="F470" s="39">
        <v>1260</v>
      </c>
      <c r="G470" s="35">
        <v>0.70486111111111116</v>
      </c>
      <c r="H470" s="35">
        <v>0.72569444444444442</v>
      </c>
      <c r="I470" s="36">
        <v>30</v>
      </c>
      <c r="J470" s="67" t="s">
        <v>51</v>
      </c>
      <c r="K470" s="67" t="s">
        <v>445</v>
      </c>
      <c r="L470" s="67" t="s">
        <v>53</v>
      </c>
      <c r="M470" s="47" t="s">
        <v>54</v>
      </c>
    </row>
    <row r="471" spans="1:13" x14ac:dyDescent="0.35">
      <c r="A471" s="17">
        <v>45788</v>
      </c>
      <c r="B471" s="39">
        <v>56.88</v>
      </c>
      <c r="C471" s="39">
        <v>5.42</v>
      </c>
      <c r="D471" s="39">
        <v>12505009</v>
      </c>
      <c r="E471" s="39" t="s">
        <v>141</v>
      </c>
      <c r="F471" s="39">
        <v>1260</v>
      </c>
      <c r="G471" s="35">
        <v>0.72569444444444442</v>
      </c>
      <c r="H471" s="35">
        <v>0.73958333333333337</v>
      </c>
      <c r="I471" s="36">
        <v>20</v>
      </c>
      <c r="J471" s="67" t="s">
        <v>446</v>
      </c>
      <c r="K471" s="67" t="s">
        <v>26</v>
      </c>
      <c r="L471" s="67" t="s">
        <v>331</v>
      </c>
      <c r="M471" s="47" t="s">
        <v>638</v>
      </c>
    </row>
    <row r="472" spans="1:13" x14ac:dyDescent="0.35">
      <c r="A472" s="17">
        <v>45790</v>
      </c>
      <c r="B472" s="45">
        <v>56.86</v>
      </c>
      <c r="C472" s="45">
        <v>5.59</v>
      </c>
      <c r="D472" s="39">
        <v>12505010</v>
      </c>
      <c r="E472" s="39" t="s">
        <v>72</v>
      </c>
      <c r="F472" s="39">
        <v>1255</v>
      </c>
      <c r="G472" s="35">
        <v>0.97916666666666663</v>
      </c>
      <c r="H472" s="35">
        <v>0</v>
      </c>
      <c r="I472" s="36">
        <v>30</v>
      </c>
      <c r="J472" s="86" t="s">
        <v>51</v>
      </c>
      <c r="K472" s="116" t="s">
        <v>445</v>
      </c>
      <c r="L472" s="86" t="s">
        <v>53</v>
      </c>
      <c r="M472" s="47" t="s">
        <v>54</v>
      </c>
    </row>
    <row r="473" spans="1:13" x14ac:dyDescent="0.35">
      <c r="A473" s="17">
        <v>45790</v>
      </c>
      <c r="B473" s="45">
        <v>57.02</v>
      </c>
      <c r="C473" s="45">
        <v>5.56</v>
      </c>
      <c r="D473" s="39">
        <v>12505010</v>
      </c>
      <c r="E473" s="39" t="s">
        <v>72</v>
      </c>
      <c r="F473" s="39">
        <v>1255</v>
      </c>
      <c r="G473" s="35">
        <v>0</v>
      </c>
      <c r="H473" s="35">
        <v>1.0416666666666666E-2</v>
      </c>
      <c r="I473" s="36">
        <v>15</v>
      </c>
      <c r="J473" s="86" t="s">
        <v>52</v>
      </c>
      <c r="K473" s="116" t="s">
        <v>445</v>
      </c>
      <c r="L473" s="86" t="s">
        <v>59</v>
      </c>
      <c r="M473" s="47" t="s">
        <v>432</v>
      </c>
    </row>
    <row r="474" spans="1:13" x14ac:dyDescent="0.35">
      <c r="A474" s="17">
        <v>45791</v>
      </c>
      <c r="B474" s="45">
        <v>57.17</v>
      </c>
      <c r="C474" s="45">
        <v>5.37</v>
      </c>
      <c r="D474" s="45">
        <v>12505011</v>
      </c>
      <c r="E474" s="45" t="s">
        <v>496</v>
      </c>
      <c r="F474" s="45">
        <v>1250</v>
      </c>
      <c r="G474" s="35">
        <v>0.31458333333333333</v>
      </c>
      <c r="H474" s="35">
        <v>0.33541666666666664</v>
      </c>
      <c r="I474" s="36">
        <v>30</v>
      </c>
      <c r="J474" s="67" t="s">
        <v>51</v>
      </c>
      <c r="K474" s="104" t="s">
        <v>445</v>
      </c>
      <c r="L474" s="67" t="s">
        <v>53</v>
      </c>
      <c r="M474" s="47" t="s">
        <v>54</v>
      </c>
    </row>
    <row r="475" spans="1:13" x14ac:dyDescent="0.35">
      <c r="A475" s="17">
        <v>45792</v>
      </c>
      <c r="B475" s="39">
        <v>57.09</v>
      </c>
      <c r="C475" s="39">
        <v>5.25</v>
      </c>
      <c r="D475" s="45">
        <v>12505012</v>
      </c>
      <c r="E475" s="45" t="s">
        <v>103</v>
      </c>
      <c r="F475" s="45">
        <v>1260</v>
      </c>
      <c r="G475" s="35">
        <v>0.15625</v>
      </c>
      <c r="H475" s="35">
        <v>0.21875</v>
      </c>
      <c r="I475" s="36">
        <v>90</v>
      </c>
      <c r="J475" s="67" t="s">
        <v>35</v>
      </c>
      <c r="K475" s="104" t="s">
        <v>62</v>
      </c>
      <c r="L475" s="67" t="s">
        <v>236</v>
      </c>
      <c r="M475" s="49" t="s">
        <v>641</v>
      </c>
    </row>
    <row r="476" spans="1:13" x14ac:dyDescent="0.35">
      <c r="A476" s="17">
        <v>45792</v>
      </c>
      <c r="B476" s="39">
        <v>57.09</v>
      </c>
      <c r="C476" s="39">
        <v>5.25</v>
      </c>
      <c r="D476" s="45">
        <v>12505013</v>
      </c>
      <c r="E476" s="45" t="s">
        <v>43</v>
      </c>
      <c r="F476" s="45">
        <v>1230</v>
      </c>
      <c r="G476" s="35">
        <v>0.53819444444444442</v>
      </c>
      <c r="H476" s="35">
        <v>0.64930555555555558</v>
      </c>
      <c r="I476" s="36">
        <v>160</v>
      </c>
      <c r="J476" s="67" t="s">
        <v>25</v>
      </c>
      <c r="K476" s="104" t="s">
        <v>445</v>
      </c>
      <c r="L476" s="67" t="s">
        <v>456</v>
      </c>
      <c r="M476" s="60" t="s">
        <v>323</v>
      </c>
    </row>
    <row r="477" spans="1:13" x14ac:dyDescent="0.35">
      <c r="A477" s="17">
        <v>45794</v>
      </c>
      <c r="B477" s="39">
        <v>57.97</v>
      </c>
      <c r="C477" s="39">
        <v>5.07</v>
      </c>
      <c r="D477" s="45">
        <v>12505014</v>
      </c>
      <c r="E477" s="45" t="s">
        <v>104</v>
      </c>
      <c r="F477" s="45">
        <v>1235</v>
      </c>
      <c r="G477" s="35">
        <v>0.95833333333333337</v>
      </c>
      <c r="H477" s="35">
        <v>0.97916666666666663</v>
      </c>
      <c r="I477" s="36">
        <v>30</v>
      </c>
      <c r="J477" s="67" t="s">
        <v>51</v>
      </c>
      <c r="K477" s="67" t="s">
        <v>445</v>
      </c>
      <c r="L477" s="67" t="s">
        <v>53</v>
      </c>
      <c r="M477" s="47" t="s">
        <v>54</v>
      </c>
    </row>
    <row r="478" spans="1:13" x14ac:dyDescent="0.35">
      <c r="A478" s="17">
        <v>45794</v>
      </c>
      <c r="B478" s="39">
        <v>57.97</v>
      </c>
      <c r="C478" s="39">
        <v>5.07</v>
      </c>
      <c r="D478" s="45">
        <v>12505015</v>
      </c>
      <c r="E478" s="45" t="s">
        <v>357</v>
      </c>
      <c r="F478" s="45">
        <v>1250</v>
      </c>
      <c r="G478" s="35">
        <v>0.65277777777777779</v>
      </c>
      <c r="H478" s="35">
        <v>0.72569444444444442</v>
      </c>
      <c r="I478" s="36">
        <v>105</v>
      </c>
      <c r="J478" s="67" t="s">
        <v>463</v>
      </c>
      <c r="K478" s="67" t="s">
        <v>41</v>
      </c>
      <c r="L478" s="67" t="s">
        <v>464</v>
      </c>
      <c r="M478" s="47" t="s">
        <v>644</v>
      </c>
    </row>
    <row r="479" spans="1:13" x14ac:dyDescent="0.35">
      <c r="A479" s="17">
        <v>45796</v>
      </c>
      <c r="B479" s="39">
        <v>57.19</v>
      </c>
      <c r="C479" s="39">
        <v>5.13</v>
      </c>
      <c r="D479" s="45">
        <v>12505016</v>
      </c>
      <c r="E479" s="45" t="s">
        <v>503</v>
      </c>
      <c r="F479" s="45">
        <v>1350</v>
      </c>
      <c r="G479" s="35">
        <v>0.98958333333333337</v>
      </c>
      <c r="H479" s="35">
        <v>1.0416666666666666E-2</v>
      </c>
      <c r="I479" s="36">
        <v>30</v>
      </c>
      <c r="J479" s="67" t="s">
        <v>51</v>
      </c>
      <c r="K479" s="67" t="s">
        <v>445</v>
      </c>
      <c r="L479" s="67" t="s">
        <v>53</v>
      </c>
      <c r="M479" s="47" t="s">
        <v>54</v>
      </c>
    </row>
    <row r="480" spans="1:13" x14ac:dyDescent="0.35">
      <c r="A480" s="17">
        <v>45796</v>
      </c>
      <c r="B480" s="39">
        <v>57.19</v>
      </c>
      <c r="C480" s="39">
        <v>5.13</v>
      </c>
      <c r="D480" s="45">
        <v>12505017</v>
      </c>
      <c r="E480" s="45" t="s">
        <v>313</v>
      </c>
      <c r="F480" s="45" t="s">
        <v>88</v>
      </c>
      <c r="G480" s="35">
        <v>0.73263888888888884</v>
      </c>
      <c r="H480" s="35">
        <v>0.91666666666666663</v>
      </c>
      <c r="I480" s="36">
        <v>265</v>
      </c>
      <c r="J480" s="67" t="s">
        <v>463</v>
      </c>
      <c r="K480" s="67" t="s">
        <v>283</v>
      </c>
      <c r="L480" s="67" t="s">
        <v>283</v>
      </c>
      <c r="M480" s="47" t="s">
        <v>286</v>
      </c>
    </row>
    <row r="481" spans="1:13" x14ac:dyDescent="0.35">
      <c r="A481" s="17">
        <v>45797</v>
      </c>
      <c r="B481" s="39">
        <v>57.07</v>
      </c>
      <c r="C481" s="39">
        <v>5.55</v>
      </c>
      <c r="D481" s="45">
        <v>12505017</v>
      </c>
      <c r="E481" s="45" t="s">
        <v>313</v>
      </c>
      <c r="F481" s="45" t="s">
        <v>88</v>
      </c>
      <c r="G481" s="35">
        <v>0.91666666666666663</v>
      </c>
      <c r="H481" s="35">
        <v>0.17569444444444443</v>
      </c>
      <c r="I481" s="36">
        <v>373</v>
      </c>
      <c r="J481" s="67" t="s">
        <v>446</v>
      </c>
      <c r="K481" s="67" t="s">
        <v>283</v>
      </c>
      <c r="L481" s="67" t="s">
        <v>283</v>
      </c>
      <c r="M481" s="47" t="s">
        <v>284</v>
      </c>
    </row>
    <row r="482" spans="1:13" x14ac:dyDescent="0.35">
      <c r="A482" s="17">
        <v>45797</v>
      </c>
      <c r="B482" s="39">
        <v>57.07</v>
      </c>
      <c r="C482" s="39">
        <v>5.55</v>
      </c>
      <c r="D482" s="39">
        <v>12505018</v>
      </c>
      <c r="E482" s="39" t="s">
        <v>47</v>
      </c>
      <c r="F482" s="39">
        <v>1230</v>
      </c>
      <c r="G482" s="35">
        <v>0.1763888888888889</v>
      </c>
      <c r="H482" s="35">
        <v>0.25972222222222224</v>
      </c>
      <c r="I482" s="36">
        <v>120</v>
      </c>
      <c r="J482" s="67" t="s">
        <v>25</v>
      </c>
      <c r="K482" s="67" t="s">
        <v>445</v>
      </c>
      <c r="L482" s="67" t="s">
        <v>492</v>
      </c>
      <c r="M482" s="60" t="s">
        <v>647</v>
      </c>
    </row>
    <row r="483" spans="1:13" x14ac:dyDescent="0.35">
      <c r="A483" s="17">
        <v>45797</v>
      </c>
      <c r="B483" s="39">
        <v>57.07</v>
      </c>
      <c r="C483" s="39">
        <v>5.55</v>
      </c>
      <c r="D483" s="39">
        <v>12505018</v>
      </c>
      <c r="E483" s="39" t="s">
        <v>47</v>
      </c>
      <c r="F483" s="39">
        <v>1230</v>
      </c>
      <c r="G483" s="35">
        <v>0.25972222222222224</v>
      </c>
      <c r="H483" s="35">
        <v>0.2673611111111111</v>
      </c>
      <c r="I483" s="36">
        <v>11</v>
      </c>
      <c r="J483" s="67" t="s">
        <v>446</v>
      </c>
      <c r="K483" s="67" t="s">
        <v>283</v>
      </c>
      <c r="L483" s="67" t="s">
        <v>283</v>
      </c>
      <c r="M483" s="47" t="s">
        <v>648</v>
      </c>
    </row>
    <row r="484" spans="1:13" x14ac:dyDescent="0.35">
      <c r="A484" s="17">
        <v>45798</v>
      </c>
      <c r="B484" s="45">
        <v>57.07</v>
      </c>
      <c r="C484" s="45">
        <v>5.25</v>
      </c>
      <c r="D484" s="45">
        <v>12505019</v>
      </c>
      <c r="E484" s="45" t="s">
        <v>98</v>
      </c>
      <c r="F484" s="45">
        <v>1230</v>
      </c>
      <c r="G484" s="35">
        <v>0.12847222222222221</v>
      </c>
      <c r="H484" s="35">
        <v>0.42708333333333331</v>
      </c>
      <c r="I484" s="36">
        <v>430</v>
      </c>
      <c r="J484" s="67" t="s">
        <v>463</v>
      </c>
      <c r="K484" s="67" t="s">
        <v>283</v>
      </c>
      <c r="L484" s="67" t="s">
        <v>283</v>
      </c>
      <c r="M484" s="47" t="s">
        <v>286</v>
      </c>
    </row>
    <row r="485" spans="1:13" x14ac:dyDescent="0.35">
      <c r="A485" s="17">
        <v>45799</v>
      </c>
      <c r="B485" s="39">
        <v>57.1</v>
      </c>
      <c r="C485" s="39">
        <v>5.44</v>
      </c>
      <c r="D485" s="39">
        <v>12505020</v>
      </c>
      <c r="E485" s="39" t="s">
        <v>468</v>
      </c>
      <c r="F485" s="39">
        <v>1010</v>
      </c>
      <c r="G485" s="35">
        <v>0.9243055555555556</v>
      </c>
      <c r="H485" s="35">
        <v>0.94513888888888886</v>
      </c>
      <c r="I485" s="36">
        <v>30</v>
      </c>
      <c r="J485" s="67" t="s">
        <v>51</v>
      </c>
      <c r="K485" s="67" t="s">
        <v>445</v>
      </c>
      <c r="L485" s="67" t="s">
        <v>53</v>
      </c>
      <c r="M485" s="47" t="s">
        <v>652</v>
      </c>
    </row>
    <row r="486" spans="1:13" x14ac:dyDescent="0.35">
      <c r="A486" s="17">
        <v>45799</v>
      </c>
      <c r="B486" s="39">
        <v>57.1</v>
      </c>
      <c r="C486" s="39">
        <v>5.44</v>
      </c>
      <c r="D486" s="39">
        <v>12505020</v>
      </c>
      <c r="E486" s="39" t="s">
        <v>468</v>
      </c>
      <c r="F486" s="39">
        <v>1010</v>
      </c>
      <c r="G486" s="35">
        <v>0.94513888888888886</v>
      </c>
      <c r="H486" s="35">
        <v>1.0416666666666666E-2</v>
      </c>
      <c r="I486" s="36">
        <v>94</v>
      </c>
      <c r="J486" s="67" t="s">
        <v>446</v>
      </c>
      <c r="K486" s="104" t="s">
        <v>445</v>
      </c>
      <c r="L486" s="67" t="s">
        <v>74</v>
      </c>
      <c r="M486" s="47" t="s">
        <v>653</v>
      </c>
    </row>
    <row r="487" spans="1:13" x14ac:dyDescent="0.35">
      <c r="A487" s="17">
        <v>45799</v>
      </c>
      <c r="B487" s="39">
        <v>57.1</v>
      </c>
      <c r="C487" s="39">
        <v>5.44</v>
      </c>
      <c r="D487" s="45">
        <v>12505021</v>
      </c>
      <c r="E487" s="45" t="s">
        <v>285</v>
      </c>
      <c r="F487" s="45">
        <v>1010</v>
      </c>
      <c r="G487" s="35">
        <v>0.21527777777777779</v>
      </c>
      <c r="H487" s="35">
        <v>0.29652777777777778</v>
      </c>
      <c r="I487" s="36">
        <v>117</v>
      </c>
      <c r="J487" s="67" t="s">
        <v>25</v>
      </c>
      <c r="K487" s="104" t="s">
        <v>445</v>
      </c>
      <c r="L487" s="67" t="s">
        <v>456</v>
      </c>
      <c r="M487" s="60" t="s">
        <v>654</v>
      </c>
    </row>
    <row r="488" spans="1:13" x14ac:dyDescent="0.35">
      <c r="A488" s="17">
        <v>45800</v>
      </c>
      <c r="B488" s="45">
        <v>57.1</v>
      </c>
      <c r="C488" s="45">
        <v>5.39</v>
      </c>
      <c r="D488" s="39">
        <v>12505022</v>
      </c>
      <c r="E488" s="39" t="s">
        <v>114</v>
      </c>
      <c r="F488" s="39">
        <v>1010</v>
      </c>
      <c r="G488" s="35">
        <v>0.2638888888888889</v>
      </c>
      <c r="H488" s="35">
        <v>0.28472222222222221</v>
      </c>
      <c r="I488" s="36">
        <v>30</v>
      </c>
      <c r="J488" s="67" t="s">
        <v>51</v>
      </c>
      <c r="K488" s="67" t="s">
        <v>445</v>
      </c>
      <c r="L488" s="67" t="s">
        <v>53</v>
      </c>
      <c r="M488" s="47" t="s">
        <v>54</v>
      </c>
    </row>
    <row r="489" spans="1:13" x14ac:dyDescent="0.35">
      <c r="A489" s="17">
        <v>45800</v>
      </c>
      <c r="B489" s="45">
        <v>56.46</v>
      </c>
      <c r="C489" s="45">
        <v>5.45</v>
      </c>
      <c r="D489" s="39">
        <v>12505022</v>
      </c>
      <c r="E489" s="39" t="s">
        <v>114</v>
      </c>
      <c r="F489" s="39">
        <v>1010</v>
      </c>
      <c r="G489" s="35">
        <v>0.28472222222222221</v>
      </c>
      <c r="H489" s="35">
        <v>0.38194444444444442</v>
      </c>
      <c r="I489" s="36">
        <v>140</v>
      </c>
      <c r="J489" s="67" t="s">
        <v>446</v>
      </c>
      <c r="K489" s="67" t="s">
        <v>283</v>
      </c>
      <c r="L489" s="67" t="s">
        <v>283</v>
      </c>
      <c r="M489" s="47" t="s">
        <v>284</v>
      </c>
    </row>
    <row r="490" spans="1:13" x14ac:dyDescent="0.35">
      <c r="A490" s="17">
        <v>45801</v>
      </c>
      <c r="B490" s="45">
        <v>56.97</v>
      </c>
      <c r="C490" s="45">
        <v>5.32</v>
      </c>
      <c r="D490" s="45">
        <v>12505023</v>
      </c>
      <c r="E490" s="45" t="s">
        <v>98</v>
      </c>
      <c r="F490" s="45">
        <v>1260</v>
      </c>
      <c r="G490" s="35">
        <v>0.25347222222222221</v>
      </c>
      <c r="H490" s="35">
        <v>0.38055555555555554</v>
      </c>
      <c r="I490" s="36">
        <v>183</v>
      </c>
      <c r="J490" s="67" t="s">
        <v>463</v>
      </c>
      <c r="K490" s="67" t="s">
        <v>283</v>
      </c>
      <c r="L490" s="67" t="s">
        <v>283</v>
      </c>
      <c r="M490" s="47" t="s">
        <v>286</v>
      </c>
    </row>
    <row r="491" spans="1:13" x14ac:dyDescent="0.35">
      <c r="A491" s="17">
        <v>45802</v>
      </c>
      <c r="B491" s="39">
        <v>57.03</v>
      </c>
      <c r="C491" s="39">
        <v>5.2</v>
      </c>
      <c r="D491" s="45">
        <v>12505024</v>
      </c>
      <c r="E491" s="45" t="s">
        <v>156</v>
      </c>
      <c r="F491" s="45">
        <v>1250</v>
      </c>
      <c r="G491" s="35">
        <v>0.2951388888888889</v>
      </c>
      <c r="H491" s="35">
        <v>0.41666666666666669</v>
      </c>
      <c r="I491" s="36">
        <v>175</v>
      </c>
      <c r="J491" s="67" t="s">
        <v>463</v>
      </c>
      <c r="K491" s="67" t="s">
        <v>283</v>
      </c>
      <c r="L491" s="67" t="s">
        <v>283</v>
      </c>
      <c r="M491" s="47" t="s">
        <v>286</v>
      </c>
    </row>
    <row r="492" spans="1:13" x14ac:dyDescent="0.35">
      <c r="A492" s="17">
        <v>45803</v>
      </c>
      <c r="B492" s="39">
        <v>57.09</v>
      </c>
      <c r="C492" s="39">
        <v>5.17</v>
      </c>
      <c r="D492" s="45">
        <v>12505025</v>
      </c>
      <c r="E492" s="45" t="s">
        <v>87</v>
      </c>
      <c r="F492" s="45">
        <v>1250</v>
      </c>
      <c r="G492" s="35">
        <v>0.95</v>
      </c>
      <c r="H492" s="35">
        <v>0.10416666666666667</v>
      </c>
      <c r="I492" s="36">
        <v>222</v>
      </c>
      <c r="J492" s="67" t="s">
        <v>463</v>
      </c>
      <c r="K492" s="67" t="s">
        <v>26</v>
      </c>
      <c r="L492" s="67" t="s">
        <v>331</v>
      </c>
      <c r="M492" s="47" t="s">
        <v>661</v>
      </c>
    </row>
    <row r="493" spans="1:13" x14ac:dyDescent="0.35">
      <c r="A493" s="17">
        <v>45803</v>
      </c>
      <c r="B493" s="39">
        <v>57.09</v>
      </c>
      <c r="C493" s="39">
        <v>5.17</v>
      </c>
      <c r="D493" s="45">
        <v>12505026</v>
      </c>
      <c r="E493" s="45" t="s">
        <v>47</v>
      </c>
      <c r="F493" s="45">
        <v>1250</v>
      </c>
      <c r="G493" s="35">
        <v>0.10555555555555556</v>
      </c>
      <c r="H493" s="35">
        <v>0.18402777777777779</v>
      </c>
      <c r="I493" s="36">
        <v>113</v>
      </c>
      <c r="J493" s="67" t="s">
        <v>25</v>
      </c>
      <c r="K493" s="104" t="s">
        <v>445</v>
      </c>
      <c r="L493" s="67" t="s">
        <v>492</v>
      </c>
      <c r="M493" s="60" t="s">
        <v>209</v>
      </c>
    </row>
    <row r="494" spans="1:13" x14ac:dyDescent="0.35">
      <c r="A494" s="17">
        <v>45804</v>
      </c>
      <c r="B494" s="39">
        <v>57.02</v>
      </c>
      <c r="C494" s="39">
        <v>5.31</v>
      </c>
      <c r="D494" s="39">
        <v>12505027</v>
      </c>
      <c r="E494" s="39" t="s">
        <v>119</v>
      </c>
      <c r="F494" s="39">
        <v>1250</v>
      </c>
      <c r="G494" s="35">
        <v>0.40416666666666667</v>
      </c>
      <c r="H494" s="35">
        <v>0.42499999999999999</v>
      </c>
      <c r="I494" s="36">
        <v>30</v>
      </c>
      <c r="J494" s="67" t="s">
        <v>51</v>
      </c>
      <c r="K494" s="67" t="s">
        <v>445</v>
      </c>
      <c r="L494" s="67" t="s">
        <v>53</v>
      </c>
      <c r="M494" s="47" t="s">
        <v>54</v>
      </c>
    </row>
    <row r="495" spans="1:13" x14ac:dyDescent="0.35">
      <c r="A495" s="17">
        <v>45804</v>
      </c>
      <c r="B495" s="39">
        <v>57.02</v>
      </c>
      <c r="C495" s="39">
        <v>5.31</v>
      </c>
      <c r="D495" s="39">
        <v>12505027</v>
      </c>
      <c r="E495" s="39" t="s">
        <v>119</v>
      </c>
      <c r="F495" s="39">
        <v>1250</v>
      </c>
      <c r="G495" s="35">
        <v>0.42499999999999999</v>
      </c>
      <c r="H495" s="35">
        <v>0.43055555555555558</v>
      </c>
      <c r="I495" s="36">
        <v>8</v>
      </c>
      <c r="J495" s="67" t="s">
        <v>446</v>
      </c>
      <c r="K495" s="104" t="s">
        <v>19</v>
      </c>
      <c r="L495" s="47" t="s">
        <v>662</v>
      </c>
      <c r="M495" s="47" t="s">
        <v>662</v>
      </c>
    </row>
    <row r="496" spans="1:13" x14ac:dyDescent="0.35">
      <c r="A496" s="17">
        <v>45805</v>
      </c>
      <c r="B496" s="39">
        <v>57.05</v>
      </c>
      <c r="C496" s="39">
        <v>5.12</v>
      </c>
      <c r="D496" s="39">
        <v>12505028</v>
      </c>
      <c r="E496" s="39" t="s">
        <v>57</v>
      </c>
      <c r="F496" s="39">
        <v>1255</v>
      </c>
      <c r="G496" s="35">
        <v>0.63541666666666663</v>
      </c>
      <c r="H496" s="35">
        <v>0.65625</v>
      </c>
      <c r="I496" s="36">
        <v>30</v>
      </c>
      <c r="J496" s="67" t="s">
        <v>51</v>
      </c>
      <c r="K496" s="67" t="s">
        <v>445</v>
      </c>
      <c r="L496" s="67" t="s">
        <v>53</v>
      </c>
      <c r="M496" s="47" t="s">
        <v>54</v>
      </c>
    </row>
    <row r="497" spans="1:13" x14ac:dyDescent="0.35">
      <c r="A497" s="17">
        <v>45805</v>
      </c>
      <c r="B497" s="39">
        <v>57.05</v>
      </c>
      <c r="C497" s="39">
        <v>5.12</v>
      </c>
      <c r="D497" s="39">
        <v>12505028</v>
      </c>
      <c r="E497" s="39" t="s">
        <v>57</v>
      </c>
      <c r="F497" s="39">
        <v>1255</v>
      </c>
      <c r="G497" s="35">
        <v>0.65625</v>
      </c>
      <c r="H497" s="35">
        <v>0.66666666666666663</v>
      </c>
      <c r="I497" s="36">
        <v>15</v>
      </c>
      <c r="J497" s="67" t="s">
        <v>52</v>
      </c>
      <c r="K497" s="104" t="s">
        <v>445</v>
      </c>
      <c r="L497" s="67" t="s">
        <v>59</v>
      </c>
      <c r="M497" s="47" t="s">
        <v>432</v>
      </c>
    </row>
    <row r="498" spans="1:13" x14ac:dyDescent="0.35">
      <c r="A498" s="17">
        <v>45806</v>
      </c>
      <c r="B498" s="45">
        <v>57</v>
      </c>
      <c r="C498" s="45">
        <v>5.13</v>
      </c>
      <c r="D498" s="45">
        <v>12505029</v>
      </c>
      <c r="E498" s="45" t="s">
        <v>379</v>
      </c>
      <c r="F498" s="45">
        <v>1230</v>
      </c>
      <c r="G498" s="35">
        <v>0.21666666666666667</v>
      </c>
      <c r="H498" s="35">
        <v>0.91666666666666663</v>
      </c>
      <c r="I498" s="36">
        <v>1008</v>
      </c>
      <c r="J498" s="67" t="s">
        <v>448</v>
      </c>
      <c r="K498" s="104" t="s">
        <v>15</v>
      </c>
      <c r="L498" s="67" t="s">
        <v>448</v>
      </c>
      <c r="M498" s="49" t="s">
        <v>664</v>
      </c>
    </row>
    <row r="499" spans="1:13" x14ac:dyDescent="0.35">
      <c r="A499" s="17">
        <v>45807</v>
      </c>
      <c r="B499" s="45">
        <v>57</v>
      </c>
      <c r="C499" s="45">
        <v>5.13</v>
      </c>
      <c r="D499" s="45">
        <v>12505029</v>
      </c>
      <c r="E499" s="45" t="s">
        <v>379</v>
      </c>
      <c r="F499" s="45">
        <v>1230</v>
      </c>
      <c r="G499" s="35">
        <v>0.91666666666666663</v>
      </c>
      <c r="H499" s="35">
        <v>0.91666666666666663</v>
      </c>
      <c r="I499" s="36">
        <v>1440</v>
      </c>
      <c r="J499" s="67" t="s">
        <v>448</v>
      </c>
      <c r="K499" s="104" t="s">
        <v>15</v>
      </c>
      <c r="L499" s="67" t="s">
        <v>448</v>
      </c>
      <c r="M499" s="49" t="s">
        <v>664</v>
      </c>
    </row>
    <row r="500" spans="1:13" x14ac:dyDescent="0.35">
      <c r="A500" s="17">
        <v>45808</v>
      </c>
      <c r="B500" s="45">
        <v>57</v>
      </c>
      <c r="C500" s="45">
        <v>5.13</v>
      </c>
      <c r="D500" s="45">
        <v>12505029</v>
      </c>
      <c r="E500" s="45" t="s">
        <v>379</v>
      </c>
      <c r="F500" s="45">
        <v>1230</v>
      </c>
      <c r="G500" s="35">
        <v>0.91666666666666663</v>
      </c>
      <c r="H500" s="35">
        <v>0.91666666666666663</v>
      </c>
      <c r="I500" s="36">
        <v>1440</v>
      </c>
      <c r="J500" s="67" t="s">
        <v>448</v>
      </c>
      <c r="K500" s="104" t="s">
        <v>15</v>
      </c>
      <c r="L500" s="67" t="s">
        <v>448</v>
      </c>
      <c r="M500" s="49" t="s">
        <v>664</v>
      </c>
    </row>
    <row r="501" spans="1:13" x14ac:dyDescent="0.35">
      <c r="A501" s="17">
        <v>45809</v>
      </c>
      <c r="B501" s="45">
        <v>57</v>
      </c>
      <c r="C501" s="45">
        <v>5.13</v>
      </c>
      <c r="D501" s="45">
        <v>12505029</v>
      </c>
      <c r="E501" s="45" t="s">
        <v>379</v>
      </c>
      <c r="F501" s="45">
        <v>1230</v>
      </c>
      <c r="G501" s="35">
        <v>0.91666666666666663</v>
      </c>
      <c r="H501" s="35">
        <v>0.91666666666666663</v>
      </c>
      <c r="I501" s="36">
        <v>1440</v>
      </c>
      <c r="J501" s="67" t="s">
        <v>448</v>
      </c>
      <c r="K501" s="104" t="s">
        <v>15</v>
      </c>
      <c r="L501" s="67" t="s">
        <v>448</v>
      </c>
      <c r="M501" s="47" t="s">
        <v>664</v>
      </c>
    </row>
    <row r="502" spans="1:13" x14ac:dyDescent="0.35">
      <c r="A502" s="17">
        <v>45810</v>
      </c>
      <c r="B502" s="45">
        <v>57</v>
      </c>
      <c r="C502" s="45">
        <v>5.13</v>
      </c>
      <c r="D502" s="45">
        <v>12505029</v>
      </c>
      <c r="E502" s="45" t="s">
        <v>379</v>
      </c>
      <c r="F502" s="45">
        <v>1230</v>
      </c>
      <c r="G502" s="35">
        <v>0.91666666666666663</v>
      </c>
      <c r="H502" s="35">
        <v>0.91666666666666663</v>
      </c>
      <c r="I502" s="36">
        <v>1440</v>
      </c>
      <c r="J502" s="67" t="s">
        <v>448</v>
      </c>
      <c r="K502" s="104" t="s">
        <v>15</v>
      </c>
      <c r="L502" s="67" t="s">
        <v>448</v>
      </c>
      <c r="M502" s="47" t="s">
        <v>664</v>
      </c>
    </row>
    <row r="503" spans="1:13" x14ac:dyDescent="0.35">
      <c r="A503" s="17">
        <v>45811</v>
      </c>
      <c r="B503" s="45">
        <v>57</v>
      </c>
      <c r="C503" s="45">
        <v>5.13</v>
      </c>
      <c r="D503" s="45">
        <v>12505029</v>
      </c>
      <c r="E503" s="45" t="s">
        <v>379</v>
      </c>
      <c r="F503" s="45">
        <v>1230</v>
      </c>
      <c r="G503" s="35">
        <v>0.91666666666666663</v>
      </c>
      <c r="H503" s="35">
        <v>0.59305555555555556</v>
      </c>
      <c r="I503" s="36">
        <v>974</v>
      </c>
      <c r="J503" s="67" t="s">
        <v>448</v>
      </c>
      <c r="K503" s="104" t="s">
        <v>15</v>
      </c>
      <c r="L503" s="67" t="s">
        <v>448</v>
      </c>
      <c r="M503" s="47" t="s">
        <v>664</v>
      </c>
    </row>
    <row r="504" spans="1:13" x14ac:dyDescent="0.35">
      <c r="A504" s="17">
        <v>45811</v>
      </c>
      <c r="B504" s="45">
        <v>58</v>
      </c>
      <c r="C504" s="45">
        <v>4.8600000000000003</v>
      </c>
      <c r="D504" s="45">
        <v>12506001</v>
      </c>
      <c r="E504" s="45" t="s">
        <v>47</v>
      </c>
      <c r="F504" s="45">
        <v>1035</v>
      </c>
      <c r="G504" s="35">
        <v>0.59444444444444444</v>
      </c>
      <c r="H504" s="35">
        <v>0.65694444444444444</v>
      </c>
      <c r="I504" s="36">
        <v>90</v>
      </c>
      <c r="J504" s="67" t="s">
        <v>35</v>
      </c>
      <c r="K504" s="104" t="s">
        <v>445</v>
      </c>
      <c r="L504" s="67"/>
      <c r="M504" s="49" t="s">
        <v>665</v>
      </c>
    </row>
    <row r="505" spans="1:13" x14ac:dyDescent="0.35">
      <c r="A505" s="17">
        <v>45812</v>
      </c>
      <c r="B505" s="39">
        <v>58</v>
      </c>
      <c r="C505" s="39">
        <v>5.36</v>
      </c>
      <c r="D505" s="39">
        <v>12506002</v>
      </c>
      <c r="E505" s="39" t="s">
        <v>69</v>
      </c>
      <c r="F505" s="39" t="s">
        <v>381</v>
      </c>
      <c r="G505" s="35">
        <v>0.89375000000000004</v>
      </c>
      <c r="H505" s="35">
        <v>0.9145833333333333</v>
      </c>
      <c r="I505" s="36">
        <v>30</v>
      </c>
      <c r="J505" s="67" t="s">
        <v>51</v>
      </c>
      <c r="K505" s="104" t="s">
        <v>445</v>
      </c>
      <c r="L505" s="67" t="s">
        <v>53</v>
      </c>
      <c r="M505" s="47" t="s">
        <v>54</v>
      </c>
    </row>
    <row r="506" spans="1:13" x14ac:dyDescent="0.35">
      <c r="A506" s="17">
        <v>45812</v>
      </c>
      <c r="B506" s="39">
        <v>58</v>
      </c>
      <c r="C506" s="39">
        <v>5.36</v>
      </c>
      <c r="D506" s="39">
        <v>12506002</v>
      </c>
      <c r="E506" s="39" t="s">
        <v>69</v>
      </c>
      <c r="F506" s="39" t="s">
        <v>381</v>
      </c>
      <c r="G506" s="35">
        <v>0.9145833333333333</v>
      </c>
      <c r="H506" s="35">
        <v>0.91666666666666663</v>
      </c>
      <c r="I506" s="36">
        <v>3</v>
      </c>
      <c r="J506" s="67" t="s">
        <v>448</v>
      </c>
      <c r="K506" s="104" t="s">
        <v>15</v>
      </c>
      <c r="L506" s="67" t="s">
        <v>448</v>
      </c>
      <c r="M506" s="47" t="s">
        <v>666</v>
      </c>
    </row>
    <row r="507" spans="1:13" x14ac:dyDescent="0.35">
      <c r="A507" s="17">
        <v>45813</v>
      </c>
      <c r="B507" s="39">
        <v>57.04</v>
      </c>
      <c r="C507" s="39">
        <v>4.97</v>
      </c>
      <c r="D507" s="39">
        <v>12506002</v>
      </c>
      <c r="E507" s="39" t="s">
        <v>69</v>
      </c>
      <c r="F507" s="39" t="s">
        <v>381</v>
      </c>
      <c r="G507" s="35">
        <v>0.91666666666666663</v>
      </c>
      <c r="H507" s="35">
        <v>0.97222222222222221</v>
      </c>
      <c r="I507" s="36">
        <v>80</v>
      </c>
      <c r="J507" s="67" t="s">
        <v>448</v>
      </c>
      <c r="K507" s="104" t="s">
        <v>15</v>
      </c>
      <c r="L507" s="67" t="s">
        <v>448</v>
      </c>
      <c r="M507" s="47" t="s">
        <v>666</v>
      </c>
    </row>
    <row r="508" spans="1:13" x14ac:dyDescent="0.35">
      <c r="A508" s="17">
        <v>45813</v>
      </c>
      <c r="B508" s="39">
        <v>57.04</v>
      </c>
      <c r="C508" s="39">
        <v>4.97</v>
      </c>
      <c r="D508" s="39">
        <v>12506003</v>
      </c>
      <c r="E508" s="39" t="s">
        <v>452</v>
      </c>
      <c r="F508" s="39">
        <v>1230</v>
      </c>
      <c r="G508" s="35">
        <v>0.56736111111111109</v>
      </c>
      <c r="H508" s="35">
        <v>0.91666666666666663</v>
      </c>
      <c r="I508" s="36">
        <v>503</v>
      </c>
      <c r="J508" s="67" t="s">
        <v>448</v>
      </c>
      <c r="K508" s="104" t="s">
        <v>15</v>
      </c>
      <c r="L508" s="67" t="s">
        <v>448</v>
      </c>
      <c r="M508" s="47" t="s">
        <v>667</v>
      </c>
    </row>
    <row r="509" spans="1:13" x14ac:dyDescent="0.35">
      <c r="A509" s="17">
        <v>45814</v>
      </c>
      <c r="B509" s="39">
        <v>58</v>
      </c>
      <c r="C509" s="39">
        <v>5.08</v>
      </c>
      <c r="D509" s="39">
        <v>12506003</v>
      </c>
      <c r="E509" s="39" t="s">
        <v>452</v>
      </c>
      <c r="F509" s="39">
        <v>1230</v>
      </c>
      <c r="G509" s="35">
        <v>0.91666666666666663</v>
      </c>
      <c r="H509" s="35">
        <v>0.51388888888888884</v>
      </c>
      <c r="I509" s="36">
        <v>860</v>
      </c>
      <c r="J509" s="67" t="s">
        <v>448</v>
      </c>
      <c r="K509" s="104" t="s">
        <v>15</v>
      </c>
      <c r="L509" s="67" t="s">
        <v>448</v>
      </c>
      <c r="M509" s="47" t="s">
        <v>668</v>
      </c>
    </row>
    <row r="510" spans="1:13" x14ac:dyDescent="0.35">
      <c r="A510" s="17">
        <v>45814</v>
      </c>
      <c r="B510" s="39">
        <v>58</v>
      </c>
      <c r="C510" s="39">
        <v>5.08</v>
      </c>
      <c r="D510" s="39">
        <v>12506004</v>
      </c>
      <c r="E510" s="39" t="s">
        <v>126</v>
      </c>
      <c r="F510" s="39">
        <v>1040</v>
      </c>
      <c r="G510" s="35">
        <v>0.60416666666666663</v>
      </c>
      <c r="H510" s="35">
        <v>0.66666666666666663</v>
      </c>
      <c r="I510" s="36">
        <v>90</v>
      </c>
      <c r="J510" s="67" t="s">
        <v>35</v>
      </c>
      <c r="K510" s="104" t="s">
        <v>283</v>
      </c>
      <c r="L510" s="67" t="s">
        <v>671</v>
      </c>
      <c r="M510" s="49" t="s">
        <v>669</v>
      </c>
    </row>
    <row r="511" spans="1:13" x14ac:dyDescent="0.35">
      <c r="A511" s="17">
        <v>45814</v>
      </c>
      <c r="B511" s="39">
        <v>58</v>
      </c>
      <c r="C511" s="39">
        <v>5.08</v>
      </c>
      <c r="D511" s="39">
        <v>12506004</v>
      </c>
      <c r="E511" s="39" t="s">
        <v>126</v>
      </c>
      <c r="F511" s="39">
        <v>1040</v>
      </c>
      <c r="G511" s="35">
        <v>0.66666666666666663</v>
      </c>
      <c r="H511" s="35">
        <v>0.80902777777777779</v>
      </c>
      <c r="I511" s="36">
        <v>205</v>
      </c>
      <c r="J511" s="67" t="s">
        <v>448</v>
      </c>
      <c r="K511" s="104" t="s">
        <v>15</v>
      </c>
      <c r="L511" s="67" t="s">
        <v>448</v>
      </c>
      <c r="M511" s="47" t="s">
        <v>668</v>
      </c>
    </row>
    <row r="512" spans="1:13" x14ac:dyDescent="0.35">
      <c r="A512" s="17">
        <v>45815</v>
      </c>
      <c r="B512" s="45">
        <v>57.53</v>
      </c>
      <c r="C512" s="45">
        <v>5.14</v>
      </c>
      <c r="D512" s="45">
        <v>12506005</v>
      </c>
      <c r="E512" s="45" t="s">
        <v>226</v>
      </c>
      <c r="F512" s="45">
        <v>1035</v>
      </c>
      <c r="G512" s="35">
        <v>0.31944444444444442</v>
      </c>
      <c r="H512" s="35">
        <v>0.38194444444444442</v>
      </c>
      <c r="I512" s="36">
        <v>90</v>
      </c>
      <c r="J512" s="67" t="s">
        <v>448</v>
      </c>
      <c r="K512" s="104" t="s">
        <v>15</v>
      </c>
      <c r="L512" s="67" t="s">
        <v>448</v>
      </c>
      <c r="M512" s="47" t="s">
        <v>668</v>
      </c>
    </row>
    <row r="513" spans="1:13" x14ac:dyDescent="0.35">
      <c r="A513" s="17">
        <v>45816</v>
      </c>
      <c r="B513" s="39">
        <v>57</v>
      </c>
      <c r="C513" s="39">
        <v>5.22</v>
      </c>
      <c r="D513" s="39">
        <v>12506006</v>
      </c>
      <c r="E513" s="39" t="s">
        <v>116</v>
      </c>
      <c r="F513" s="39">
        <v>1250</v>
      </c>
      <c r="G513" s="35">
        <v>0.59027777777777779</v>
      </c>
      <c r="H513" s="35">
        <v>0.61111111111111116</v>
      </c>
      <c r="I513" s="36">
        <v>30</v>
      </c>
      <c r="J513" s="67" t="s">
        <v>51</v>
      </c>
      <c r="K513" s="104" t="s">
        <v>445</v>
      </c>
      <c r="L513" s="67" t="s">
        <v>53</v>
      </c>
      <c r="M513" s="47" t="s">
        <v>54</v>
      </c>
    </row>
    <row r="514" spans="1:13" x14ac:dyDescent="0.35">
      <c r="A514" s="17">
        <v>45816</v>
      </c>
      <c r="B514" s="39">
        <v>57</v>
      </c>
      <c r="C514" s="39">
        <v>5.22</v>
      </c>
      <c r="D514" s="39">
        <v>12506006</v>
      </c>
      <c r="E514" s="39" t="s">
        <v>116</v>
      </c>
      <c r="F514" s="39">
        <v>1250</v>
      </c>
      <c r="G514" s="35">
        <v>0.61111111111111116</v>
      </c>
      <c r="H514" s="35">
        <v>0.91666666666666663</v>
      </c>
      <c r="I514" s="36">
        <v>440</v>
      </c>
      <c r="J514" s="67" t="s">
        <v>446</v>
      </c>
      <c r="K514" s="104" t="s">
        <v>26</v>
      </c>
      <c r="L514" s="67" t="s">
        <v>543</v>
      </c>
      <c r="M514" s="47" t="s">
        <v>670</v>
      </c>
    </row>
    <row r="515" spans="1:13" x14ac:dyDescent="0.35">
      <c r="A515" s="17">
        <v>45817</v>
      </c>
      <c r="B515" s="39">
        <v>57.5</v>
      </c>
      <c r="C515" s="39">
        <v>5.47</v>
      </c>
      <c r="D515" s="39">
        <v>12506006</v>
      </c>
      <c r="E515" s="39" t="s">
        <v>116</v>
      </c>
      <c r="F515" s="39">
        <v>1250</v>
      </c>
      <c r="G515" s="35">
        <v>0.91666666666666663</v>
      </c>
      <c r="H515" s="35">
        <v>9.375E-2</v>
      </c>
      <c r="I515" s="36">
        <v>255</v>
      </c>
      <c r="J515" s="67" t="s">
        <v>446</v>
      </c>
      <c r="K515" s="104" t="s">
        <v>26</v>
      </c>
      <c r="L515" s="67" t="s">
        <v>543</v>
      </c>
      <c r="M515" s="47" t="s">
        <v>670</v>
      </c>
    </row>
    <row r="516" spans="1:13" x14ac:dyDescent="0.35">
      <c r="A516" s="17">
        <v>45817</v>
      </c>
      <c r="B516" s="39">
        <v>57.5</v>
      </c>
      <c r="C516" s="39">
        <v>5.47</v>
      </c>
      <c r="D516" s="45">
        <v>12506007</v>
      </c>
      <c r="E516" s="45" t="s">
        <v>47</v>
      </c>
      <c r="F516" s="45">
        <v>920</v>
      </c>
      <c r="G516" s="35">
        <v>9.5138888888888884E-2</v>
      </c>
      <c r="H516" s="35">
        <v>0.16666666666666666</v>
      </c>
      <c r="I516" s="36">
        <v>103</v>
      </c>
      <c r="J516" s="67" t="s">
        <v>35</v>
      </c>
      <c r="K516" s="67" t="s">
        <v>445</v>
      </c>
      <c r="L516" s="49" t="s">
        <v>676</v>
      </c>
      <c r="M516" s="49" t="s">
        <v>676</v>
      </c>
    </row>
    <row r="517" spans="1:13" x14ac:dyDescent="0.35">
      <c r="A517" s="17">
        <v>45817</v>
      </c>
      <c r="B517" s="39">
        <v>57.5</v>
      </c>
      <c r="C517" s="39">
        <v>5.47</v>
      </c>
      <c r="D517" s="39">
        <v>12506008</v>
      </c>
      <c r="E517" s="39" t="s">
        <v>47</v>
      </c>
      <c r="F517" s="39">
        <v>920</v>
      </c>
      <c r="G517" s="35">
        <v>0.1673611111111111</v>
      </c>
      <c r="H517" s="35">
        <v>0.25</v>
      </c>
      <c r="I517" s="36">
        <v>119</v>
      </c>
      <c r="J517" s="67" t="s">
        <v>35</v>
      </c>
      <c r="K517" s="67" t="s">
        <v>445</v>
      </c>
      <c r="L517" s="67" t="s">
        <v>287</v>
      </c>
      <c r="M517" s="49" t="s">
        <v>95</v>
      </c>
    </row>
    <row r="518" spans="1:13" x14ac:dyDescent="0.35">
      <c r="A518" s="17">
        <v>45817</v>
      </c>
      <c r="B518" s="39">
        <v>57.5</v>
      </c>
      <c r="C518" s="39">
        <v>5.47</v>
      </c>
      <c r="D518" s="39">
        <v>12506008</v>
      </c>
      <c r="E518" s="39" t="s">
        <v>47</v>
      </c>
      <c r="F518" s="39">
        <v>920</v>
      </c>
      <c r="G518" s="35">
        <v>0.25</v>
      </c>
      <c r="H518" s="35">
        <v>0.26805555555555555</v>
      </c>
      <c r="I518" s="36">
        <v>26</v>
      </c>
      <c r="J518" s="67" t="s">
        <v>446</v>
      </c>
      <c r="K518" s="104" t="s">
        <v>26</v>
      </c>
      <c r="L518" s="67" t="s">
        <v>32</v>
      </c>
      <c r="M518" s="47" t="s">
        <v>61</v>
      </c>
    </row>
    <row r="519" spans="1:13" x14ac:dyDescent="0.35">
      <c r="A519" s="17">
        <v>45818</v>
      </c>
      <c r="B519" s="39">
        <v>57.11</v>
      </c>
      <c r="C519" s="39">
        <v>4.76</v>
      </c>
      <c r="D519" s="45">
        <v>12506009</v>
      </c>
      <c r="E519" s="45" t="s">
        <v>167</v>
      </c>
      <c r="F519" s="45">
        <v>1255</v>
      </c>
      <c r="G519" s="35">
        <v>6.9444444444444441E-3</v>
      </c>
      <c r="H519" s="35">
        <v>0.13750000000000001</v>
      </c>
      <c r="I519" s="36">
        <v>188</v>
      </c>
      <c r="J519" s="67" t="s">
        <v>463</v>
      </c>
      <c r="K519" s="104" t="s">
        <v>26</v>
      </c>
      <c r="L519" s="67" t="s">
        <v>543</v>
      </c>
      <c r="M519" s="47" t="s">
        <v>678</v>
      </c>
    </row>
    <row r="520" spans="1:13" x14ac:dyDescent="0.35">
      <c r="A520" s="17">
        <v>45818</v>
      </c>
      <c r="B520" s="39">
        <v>57.11</v>
      </c>
      <c r="C520" s="39">
        <v>4.76</v>
      </c>
      <c r="D520" s="39">
        <v>12506010</v>
      </c>
      <c r="E520" s="39" t="s">
        <v>311</v>
      </c>
      <c r="F520" s="39">
        <v>1255</v>
      </c>
      <c r="G520" s="35">
        <v>0.54861111111111116</v>
      </c>
      <c r="H520" s="35">
        <v>0.625</v>
      </c>
      <c r="I520" s="36">
        <v>110</v>
      </c>
      <c r="J520" s="67" t="s">
        <v>463</v>
      </c>
      <c r="K520" s="104" t="s">
        <v>26</v>
      </c>
      <c r="L520" s="67" t="s">
        <v>543</v>
      </c>
      <c r="M520" s="47" t="s">
        <v>679</v>
      </c>
    </row>
    <row r="521" spans="1:13" x14ac:dyDescent="0.35">
      <c r="A521" s="17">
        <v>45818</v>
      </c>
      <c r="B521" s="39">
        <v>57.11</v>
      </c>
      <c r="C521" s="39">
        <v>4.76</v>
      </c>
      <c r="D521" s="39">
        <v>12506010</v>
      </c>
      <c r="E521" s="39" t="s">
        <v>311</v>
      </c>
      <c r="F521" s="39">
        <v>1255</v>
      </c>
      <c r="G521" s="35">
        <v>0.625</v>
      </c>
      <c r="H521" s="35">
        <v>0.70486111111111116</v>
      </c>
      <c r="I521" s="36">
        <v>115</v>
      </c>
      <c r="J521" s="67" t="s">
        <v>446</v>
      </c>
      <c r="K521" s="104" t="s">
        <v>445</v>
      </c>
      <c r="L521" s="67"/>
      <c r="M521" s="47" t="s">
        <v>680</v>
      </c>
    </row>
    <row r="522" spans="1:13" x14ac:dyDescent="0.35">
      <c r="A522" s="17">
        <v>45820</v>
      </c>
      <c r="B522" s="45">
        <v>57</v>
      </c>
      <c r="C522" s="45">
        <v>5.28</v>
      </c>
      <c r="D522" s="39">
        <v>12506011</v>
      </c>
      <c r="E522" s="39" t="s">
        <v>57</v>
      </c>
      <c r="F522" s="39">
        <v>1230</v>
      </c>
      <c r="G522" s="35">
        <v>0.97916666666666663</v>
      </c>
      <c r="H522" s="35">
        <v>0</v>
      </c>
      <c r="I522" s="36">
        <v>30</v>
      </c>
      <c r="J522" s="67" t="s">
        <v>51</v>
      </c>
      <c r="K522" s="104" t="s">
        <v>445</v>
      </c>
      <c r="L522" s="67" t="s">
        <v>53</v>
      </c>
      <c r="M522" s="47" t="s">
        <v>54</v>
      </c>
    </row>
    <row r="523" spans="1:13" x14ac:dyDescent="0.35">
      <c r="A523" s="17">
        <v>45820</v>
      </c>
      <c r="B523" s="39">
        <v>57.11</v>
      </c>
      <c r="C523" s="39">
        <v>5.19</v>
      </c>
      <c r="D523" s="39">
        <v>12506011</v>
      </c>
      <c r="E523" s="39" t="s">
        <v>57</v>
      </c>
      <c r="F523" s="39">
        <v>1230</v>
      </c>
      <c r="G523" s="35">
        <v>0</v>
      </c>
      <c r="H523" s="35">
        <v>1.5972222222222221E-2</v>
      </c>
      <c r="I523" s="36">
        <v>23</v>
      </c>
      <c r="J523" s="67" t="s">
        <v>52</v>
      </c>
      <c r="K523" s="67" t="s">
        <v>62</v>
      </c>
      <c r="L523" s="67" t="s">
        <v>130</v>
      </c>
      <c r="M523" s="47" t="s">
        <v>147</v>
      </c>
    </row>
    <row r="524" spans="1:13" x14ac:dyDescent="0.35">
      <c r="A524" s="17">
        <v>45820</v>
      </c>
      <c r="B524" s="39">
        <v>57.11</v>
      </c>
      <c r="C524" s="39">
        <v>5.19</v>
      </c>
      <c r="D524" s="39">
        <v>12506012</v>
      </c>
      <c r="E524" s="39" t="s">
        <v>160</v>
      </c>
      <c r="F524" s="39">
        <v>1250</v>
      </c>
      <c r="G524" s="35">
        <v>0.31805555555555554</v>
      </c>
      <c r="H524" s="35">
        <v>0.38055555555555554</v>
      </c>
      <c r="I524" s="36">
        <v>90</v>
      </c>
      <c r="J524" s="67" t="s">
        <v>35</v>
      </c>
      <c r="K524" s="67" t="s">
        <v>62</v>
      </c>
      <c r="L524" s="67" t="s">
        <v>190</v>
      </c>
      <c r="M524" s="49" t="s">
        <v>684</v>
      </c>
    </row>
    <row r="525" spans="1:13" x14ac:dyDescent="0.35">
      <c r="A525" s="17">
        <v>45820</v>
      </c>
      <c r="B525" s="39">
        <v>57.11</v>
      </c>
      <c r="C525" s="39">
        <v>5.19</v>
      </c>
      <c r="D525" s="39">
        <v>12506012</v>
      </c>
      <c r="E525" s="39" t="s">
        <v>160</v>
      </c>
      <c r="F525" s="39">
        <v>1250</v>
      </c>
      <c r="G525" s="35">
        <v>0.38055555555555554</v>
      </c>
      <c r="H525" s="35">
        <v>0.3888888888888889</v>
      </c>
      <c r="I525" s="36">
        <v>12</v>
      </c>
      <c r="J525" s="67" t="s">
        <v>446</v>
      </c>
      <c r="K525" s="67" t="s">
        <v>19</v>
      </c>
      <c r="L525" s="47" t="s">
        <v>685</v>
      </c>
      <c r="M525" s="47" t="s">
        <v>685</v>
      </c>
    </row>
    <row r="526" spans="1:13" x14ac:dyDescent="0.35">
      <c r="A526" s="17">
        <v>45821</v>
      </c>
      <c r="B526" s="39">
        <v>57.06</v>
      </c>
      <c r="C526" s="39">
        <v>5.15</v>
      </c>
      <c r="D526" s="39">
        <v>12506013</v>
      </c>
      <c r="E526" s="39" t="s">
        <v>72</v>
      </c>
      <c r="F526" s="39">
        <v>1250</v>
      </c>
      <c r="G526" s="35">
        <v>0.65972222222222221</v>
      </c>
      <c r="H526" s="35">
        <v>0.68055555555555558</v>
      </c>
      <c r="I526" s="36">
        <v>30</v>
      </c>
      <c r="J526" s="67" t="s">
        <v>51</v>
      </c>
      <c r="K526" s="104" t="s">
        <v>445</v>
      </c>
      <c r="L526" s="67" t="s">
        <v>53</v>
      </c>
      <c r="M526" s="47" t="s">
        <v>54</v>
      </c>
    </row>
    <row r="527" spans="1:13" x14ac:dyDescent="0.35">
      <c r="A527" s="17">
        <v>45821</v>
      </c>
      <c r="B527" s="39">
        <v>57.06</v>
      </c>
      <c r="C527" s="39">
        <v>5.15</v>
      </c>
      <c r="D527" s="39">
        <v>12506013</v>
      </c>
      <c r="E527" s="39" t="s">
        <v>72</v>
      </c>
      <c r="F527" s="39">
        <v>1250</v>
      </c>
      <c r="G527" s="35">
        <v>0.68055555555555558</v>
      </c>
      <c r="H527" s="35">
        <v>0.69097222222222221</v>
      </c>
      <c r="I527" s="36">
        <v>15</v>
      </c>
      <c r="J527" s="67" t="s">
        <v>52</v>
      </c>
      <c r="K527" s="104" t="s">
        <v>445</v>
      </c>
      <c r="L527" s="67" t="s">
        <v>59</v>
      </c>
      <c r="M527" s="47" t="s">
        <v>432</v>
      </c>
    </row>
    <row r="528" spans="1:13" x14ac:dyDescent="0.35">
      <c r="A528" s="17">
        <v>45821</v>
      </c>
      <c r="B528" s="39">
        <v>57.06</v>
      </c>
      <c r="C528" s="39">
        <v>5.15</v>
      </c>
      <c r="D528" s="39">
        <v>12506013</v>
      </c>
      <c r="E528" s="39" t="s">
        <v>72</v>
      </c>
      <c r="F528" s="39">
        <v>1250</v>
      </c>
      <c r="G528" s="35">
        <v>0.69097222222222221</v>
      </c>
      <c r="H528" s="35">
        <v>0.69791666666666663</v>
      </c>
      <c r="I528" s="36">
        <v>10</v>
      </c>
      <c r="J528" s="67" t="s">
        <v>446</v>
      </c>
      <c r="K528" s="67" t="s">
        <v>19</v>
      </c>
      <c r="L528" s="120" t="s">
        <v>688</v>
      </c>
      <c r="M528" s="120" t="s">
        <v>688</v>
      </c>
    </row>
    <row r="529" spans="1:13" x14ac:dyDescent="0.35">
      <c r="A529" s="17">
        <v>45821</v>
      </c>
      <c r="B529" s="39">
        <v>57.06</v>
      </c>
      <c r="C529" s="39">
        <v>5.15</v>
      </c>
      <c r="D529" s="45">
        <v>12506014</v>
      </c>
      <c r="E529" s="45" t="s">
        <v>34</v>
      </c>
      <c r="F529" s="45">
        <v>1235</v>
      </c>
      <c r="G529" s="35">
        <v>0.76736111111111116</v>
      </c>
      <c r="H529" s="35">
        <v>0.84722222222222221</v>
      </c>
      <c r="I529" s="36">
        <v>115</v>
      </c>
      <c r="J529" s="67" t="s">
        <v>25</v>
      </c>
      <c r="K529" s="67" t="s">
        <v>445</v>
      </c>
      <c r="L529" s="67" t="s">
        <v>456</v>
      </c>
      <c r="M529" s="60" t="s">
        <v>654</v>
      </c>
    </row>
    <row r="530" spans="1:13" x14ac:dyDescent="0.35">
      <c r="A530" s="17">
        <v>45821</v>
      </c>
      <c r="B530" s="39">
        <v>57.06</v>
      </c>
      <c r="C530" s="39">
        <v>5.15</v>
      </c>
      <c r="D530" s="45">
        <v>12506015</v>
      </c>
      <c r="E530" s="45" t="s">
        <v>173</v>
      </c>
      <c r="F530" s="45">
        <v>1235</v>
      </c>
      <c r="G530" s="35">
        <v>0.90416666666666667</v>
      </c>
      <c r="H530" s="35">
        <v>0.91666666666666663</v>
      </c>
      <c r="I530" s="36">
        <v>18</v>
      </c>
      <c r="J530" s="67" t="s">
        <v>463</v>
      </c>
      <c r="K530" s="67" t="s">
        <v>445</v>
      </c>
      <c r="L530" s="47" t="s">
        <v>689</v>
      </c>
      <c r="M530" s="47" t="s">
        <v>689</v>
      </c>
    </row>
    <row r="531" spans="1:13" x14ac:dyDescent="0.35">
      <c r="A531" s="17">
        <v>45822</v>
      </c>
      <c r="B531" s="39">
        <v>57.06</v>
      </c>
      <c r="C531" s="39">
        <v>5.15</v>
      </c>
      <c r="D531" s="45">
        <v>12506015</v>
      </c>
      <c r="E531" s="45" t="s">
        <v>173</v>
      </c>
      <c r="F531" s="45">
        <v>1235</v>
      </c>
      <c r="G531" s="35">
        <v>0.91666666666666663</v>
      </c>
      <c r="H531" s="35">
        <v>0.98611111111111116</v>
      </c>
      <c r="I531" s="36">
        <v>100</v>
      </c>
      <c r="J531" s="67" t="s">
        <v>446</v>
      </c>
      <c r="K531" s="67" t="s">
        <v>445</v>
      </c>
      <c r="L531" s="47" t="s">
        <v>691</v>
      </c>
      <c r="M531" s="47" t="s">
        <v>691</v>
      </c>
    </row>
    <row r="532" spans="1:13" x14ac:dyDescent="0.35">
      <c r="A532" s="17">
        <v>45823</v>
      </c>
      <c r="B532" s="39">
        <v>57.2</v>
      </c>
      <c r="C532" s="39">
        <v>4.8899999999999997</v>
      </c>
      <c r="D532" s="39">
        <v>12506016</v>
      </c>
      <c r="E532" s="39" t="s">
        <v>57</v>
      </c>
      <c r="F532" s="39">
        <v>1230</v>
      </c>
      <c r="G532" s="35">
        <v>0.27777777777777779</v>
      </c>
      <c r="H532" s="35">
        <v>0.2986111111111111</v>
      </c>
      <c r="I532" s="36">
        <v>30</v>
      </c>
      <c r="J532" s="67" t="s">
        <v>51</v>
      </c>
      <c r="K532" s="67" t="s">
        <v>445</v>
      </c>
      <c r="L532" s="67" t="s">
        <v>53</v>
      </c>
      <c r="M532" s="47" t="s">
        <v>54</v>
      </c>
    </row>
    <row r="533" spans="1:13" x14ac:dyDescent="0.35">
      <c r="A533" s="17">
        <v>45823</v>
      </c>
      <c r="B533" s="39">
        <v>57.2</v>
      </c>
      <c r="C533" s="39">
        <v>4.8899999999999997</v>
      </c>
      <c r="D533" s="39">
        <v>12506016</v>
      </c>
      <c r="E533" s="39" t="s">
        <v>57</v>
      </c>
      <c r="F533" s="39">
        <v>1230</v>
      </c>
      <c r="G533" s="35">
        <v>0.2986111111111111</v>
      </c>
      <c r="H533" s="35">
        <v>0.30902777777777779</v>
      </c>
      <c r="I533" s="36">
        <v>15</v>
      </c>
      <c r="J533" s="67" t="s">
        <v>52</v>
      </c>
      <c r="K533" s="104" t="s">
        <v>445</v>
      </c>
      <c r="L533" s="67" t="s">
        <v>59</v>
      </c>
      <c r="M533" s="60" t="s">
        <v>432</v>
      </c>
    </row>
    <row r="534" spans="1:13" x14ac:dyDescent="0.35">
      <c r="A534" s="17">
        <v>45823</v>
      </c>
      <c r="B534" s="39">
        <v>57.2</v>
      </c>
      <c r="C534" s="39">
        <v>4.8899999999999997</v>
      </c>
      <c r="D534" s="39">
        <v>12506016</v>
      </c>
      <c r="E534" s="39" t="s">
        <v>57</v>
      </c>
      <c r="F534" s="39">
        <v>1230</v>
      </c>
      <c r="G534" s="35">
        <v>0.30902777777777779</v>
      </c>
      <c r="H534" s="35">
        <v>0.3215277777777778</v>
      </c>
      <c r="I534" s="36">
        <v>18</v>
      </c>
      <c r="J534" s="67" t="s">
        <v>446</v>
      </c>
      <c r="K534" s="67" t="s">
        <v>41</v>
      </c>
      <c r="L534" s="67" t="s">
        <v>454</v>
      </c>
      <c r="M534" s="47" t="s">
        <v>692</v>
      </c>
    </row>
    <row r="535" spans="1:13" x14ac:dyDescent="0.35">
      <c r="A535" s="17">
        <v>45823</v>
      </c>
      <c r="B535" s="39">
        <v>57.2</v>
      </c>
      <c r="C535" s="39">
        <v>4.8899999999999997</v>
      </c>
      <c r="D535" s="39">
        <v>12506017</v>
      </c>
      <c r="E535" s="39" t="s">
        <v>31</v>
      </c>
      <c r="F535" s="39">
        <v>1240</v>
      </c>
      <c r="G535" s="35">
        <v>0.48402777777777778</v>
      </c>
      <c r="H535" s="35">
        <v>0.54652777777777772</v>
      </c>
      <c r="I535" s="36">
        <v>90</v>
      </c>
      <c r="J535" s="67" t="s">
        <v>35</v>
      </c>
      <c r="K535" s="67" t="s">
        <v>62</v>
      </c>
      <c r="L535" s="67" t="s">
        <v>190</v>
      </c>
      <c r="M535" s="47" t="s">
        <v>693</v>
      </c>
    </row>
    <row r="536" spans="1:13" x14ac:dyDescent="0.35">
      <c r="A536" s="17">
        <v>45823</v>
      </c>
      <c r="B536" s="39">
        <v>57.2</v>
      </c>
      <c r="C536" s="39">
        <v>4.8899999999999997</v>
      </c>
      <c r="D536" s="39">
        <v>12506017</v>
      </c>
      <c r="E536" s="39" t="s">
        <v>31</v>
      </c>
      <c r="F536" s="39">
        <v>1240</v>
      </c>
      <c r="G536" s="35">
        <v>0.54652777777777772</v>
      </c>
      <c r="H536" s="35">
        <v>0.55833333333333335</v>
      </c>
      <c r="I536" s="36">
        <v>17</v>
      </c>
      <c r="J536" s="67" t="s">
        <v>446</v>
      </c>
      <c r="K536" s="67" t="s">
        <v>41</v>
      </c>
      <c r="L536" s="67" t="s">
        <v>512</v>
      </c>
      <c r="M536" s="47" t="s">
        <v>694</v>
      </c>
    </row>
    <row r="537" spans="1:13" x14ac:dyDescent="0.35">
      <c r="A537" s="17">
        <v>45823</v>
      </c>
      <c r="B537" s="39">
        <v>57.2</v>
      </c>
      <c r="C537" s="39">
        <v>4.8899999999999997</v>
      </c>
      <c r="D537" s="45">
        <v>12506018</v>
      </c>
      <c r="E537" s="45" t="s">
        <v>44</v>
      </c>
      <c r="F537" s="45">
        <v>1240</v>
      </c>
      <c r="G537" s="35">
        <v>0.67708333333333337</v>
      </c>
      <c r="H537" s="35">
        <v>0.73958333333333337</v>
      </c>
      <c r="I537" s="36">
        <v>90</v>
      </c>
      <c r="J537" s="67" t="s">
        <v>35</v>
      </c>
      <c r="K537" s="67" t="s">
        <v>26</v>
      </c>
      <c r="L537" s="67" t="s">
        <v>529</v>
      </c>
      <c r="M537" s="47" t="s">
        <v>695</v>
      </c>
    </row>
    <row r="538" spans="1:13" x14ac:dyDescent="0.35">
      <c r="A538" s="17">
        <v>45823</v>
      </c>
      <c r="B538" s="39">
        <v>57.2</v>
      </c>
      <c r="C538" s="39">
        <v>4.8899999999999997</v>
      </c>
      <c r="D538" s="39">
        <v>12506019</v>
      </c>
      <c r="E538" s="39" t="s">
        <v>47</v>
      </c>
      <c r="F538" s="39">
        <v>1260</v>
      </c>
      <c r="G538" s="35">
        <v>0.74027777777777781</v>
      </c>
      <c r="H538" s="35">
        <v>0.80277777777777781</v>
      </c>
      <c r="I538" s="36">
        <v>90</v>
      </c>
      <c r="J538" s="67" t="s">
        <v>35</v>
      </c>
      <c r="K538" s="67" t="s">
        <v>445</v>
      </c>
      <c r="L538" s="47" t="s">
        <v>696</v>
      </c>
      <c r="M538" s="47" t="s">
        <v>696</v>
      </c>
    </row>
    <row r="539" spans="1:13" x14ac:dyDescent="0.35">
      <c r="A539" s="17">
        <v>45823</v>
      </c>
      <c r="B539" s="39">
        <v>57.2</v>
      </c>
      <c r="C539" s="39">
        <v>4.8899999999999997</v>
      </c>
      <c r="D539" s="39">
        <v>12506019</v>
      </c>
      <c r="E539" s="39" t="s">
        <v>47</v>
      </c>
      <c r="F539" s="39">
        <v>1260</v>
      </c>
      <c r="G539" s="35">
        <v>0.80277777777777781</v>
      </c>
      <c r="H539" s="35">
        <v>0.86111111111111116</v>
      </c>
      <c r="I539" s="36">
        <v>84</v>
      </c>
      <c r="J539" s="67" t="s">
        <v>446</v>
      </c>
      <c r="K539" s="104" t="s">
        <v>19</v>
      </c>
      <c r="L539" s="67" t="s">
        <v>143</v>
      </c>
      <c r="M539" s="60" t="s">
        <v>697</v>
      </c>
    </row>
    <row r="540" spans="1:13" x14ac:dyDescent="0.35">
      <c r="A540" s="17">
        <v>45825</v>
      </c>
      <c r="B540" s="45">
        <v>57</v>
      </c>
      <c r="C540" s="45">
        <v>5.36</v>
      </c>
      <c r="D540" s="45">
        <v>12506020</v>
      </c>
      <c r="E540" s="45" t="s">
        <v>57</v>
      </c>
      <c r="F540" s="45" t="s">
        <v>494</v>
      </c>
      <c r="G540" s="35">
        <v>0.1111111111111111</v>
      </c>
      <c r="H540" s="35">
        <v>0.13055555555555556</v>
      </c>
      <c r="I540" s="36">
        <v>28</v>
      </c>
      <c r="J540" s="67" t="s">
        <v>51</v>
      </c>
      <c r="K540" s="67" t="s">
        <v>445</v>
      </c>
      <c r="L540" s="67" t="s">
        <v>53</v>
      </c>
      <c r="M540" s="47" t="s">
        <v>54</v>
      </c>
    </row>
    <row r="541" spans="1:13" x14ac:dyDescent="0.35">
      <c r="A541" s="17">
        <v>45825</v>
      </c>
      <c r="B541" s="39">
        <v>57.32</v>
      </c>
      <c r="C541" s="39">
        <v>4.99</v>
      </c>
      <c r="D541" s="39">
        <v>12506021</v>
      </c>
      <c r="E541" s="39" t="s">
        <v>226</v>
      </c>
      <c r="F541" s="39">
        <v>1260</v>
      </c>
      <c r="G541" s="35">
        <v>0.49583333333333335</v>
      </c>
      <c r="H541" s="35">
        <v>0.55833333333333335</v>
      </c>
      <c r="I541" s="36">
        <v>90</v>
      </c>
      <c r="J541" s="67" t="s">
        <v>35</v>
      </c>
      <c r="K541" s="67" t="s">
        <v>161</v>
      </c>
      <c r="L541" s="49" t="s">
        <v>702</v>
      </c>
      <c r="M541" s="49" t="s">
        <v>702</v>
      </c>
    </row>
    <row r="542" spans="1:13" x14ac:dyDescent="0.35">
      <c r="A542" s="17">
        <v>45825</v>
      </c>
      <c r="B542" s="39">
        <v>57.32</v>
      </c>
      <c r="C542" s="39">
        <v>4.99</v>
      </c>
      <c r="D542" s="39">
        <v>12506021</v>
      </c>
      <c r="E542" s="39" t="s">
        <v>226</v>
      </c>
      <c r="F542" s="39">
        <v>1260</v>
      </c>
      <c r="G542" s="35">
        <v>0.55833333333333335</v>
      </c>
      <c r="H542" s="35">
        <v>0.56597222222222221</v>
      </c>
      <c r="I542" s="36">
        <v>11</v>
      </c>
      <c r="J542" s="67" t="s">
        <v>446</v>
      </c>
      <c r="K542" s="67" t="s">
        <v>445</v>
      </c>
      <c r="L542" s="67" t="s">
        <v>74</v>
      </c>
      <c r="M542" s="47" t="s">
        <v>74</v>
      </c>
    </row>
    <row r="543" spans="1:13" x14ac:dyDescent="0.35">
      <c r="A543" s="122">
        <v>45826</v>
      </c>
      <c r="B543" s="45">
        <v>57.06</v>
      </c>
      <c r="C543" s="45">
        <v>5.13</v>
      </c>
      <c r="D543" s="45">
        <v>12506022</v>
      </c>
      <c r="E543" s="45" t="s">
        <v>452</v>
      </c>
      <c r="F543" s="45">
        <v>1250</v>
      </c>
      <c r="G543" s="35">
        <v>0.12152777777777778</v>
      </c>
      <c r="H543" s="35">
        <v>0.2590277777777778</v>
      </c>
      <c r="I543" s="36">
        <v>198</v>
      </c>
      <c r="J543" s="67" t="s">
        <v>35</v>
      </c>
      <c r="K543" s="104" t="s">
        <v>62</v>
      </c>
      <c r="L543" s="67" t="s">
        <v>236</v>
      </c>
      <c r="M543" s="49" t="s">
        <v>706</v>
      </c>
    </row>
    <row r="544" spans="1:13" x14ac:dyDescent="0.35">
      <c r="A544" s="123">
        <v>45827</v>
      </c>
      <c r="B544" s="39">
        <v>57.09</v>
      </c>
      <c r="C544" s="39">
        <v>5.1100000000000003</v>
      </c>
      <c r="D544" s="45">
        <v>12506023</v>
      </c>
      <c r="E544" s="45" t="s">
        <v>208</v>
      </c>
      <c r="F544" s="45">
        <v>1230</v>
      </c>
      <c r="G544" s="35">
        <v>4.5138888888888888E-2</v>
      </c>
      <c r="H544" s="35">
        <v>9.6527777777777782E-2</v>
      </c>
      <c r="I544" s="36">
        <v>74</v>
      </c>
      <c r="J544" s="67" t="s">
        <v>35</v>
      </c>
      <c r="K544" s="104" t="s">
        <v>19</v>
      </c>
      <c r="L544" s="67" t="s">
        <v>94</v>
      </c>
      <c r="M544" s="49" t="s">
        <v>707</v>
      </c>
    </row>
    <row r="545" spans="1:13" x14ac:dyDescent="0.35">
      <c r="A545" s="123">
        <v>45827</v>
      </c>
      <c r="B545" s="39">
        <v>57.09</v>
      </c>
      <c r="C545" s="39">
        <v>5.1100000000000003</v>
      </c>
      <c r="D545" s="45">
        <v>12506024</v>
      </c>
      <c r="E545" s="45" t="s">
        <v>189</v>
      </c>
      <c r="F545" s="45">
        <v>1230</v>
      </c>
      <c r="G545" s="35">
        <v>0.3576388888888889</v>
      </c>
      <c r="H545" s="35">
        <v>0.49652777777777779</v>
      </c>
      <c r="I545" s="36">
        <v>200</v>
      </c>
      <c r="J545" s="67" t="s">
        <v>35</v>
      </c>
      <c r="K545" s="104" t="s">
        <v>445</v>
      </c>
      <c r="L545" s="67" t="s">
        <v>234</v>
      </c>
      <c r="M545" s="49" t="s">
        <v>708</v>
      </c>
    </row>
    <row r="546" spans="1:13" x14ac:dyDescent="0.35">
      <c r="A546" s="123">
        <v>45827</v>
      </c>
      <c r="B546" s="39">
        <v>57.09</v>
      </c>
      <c r="C546" s="39">
        <v>5.1100000000000003</v>
      </c>
      <c r="D546" s="39">
        <v>12506025</v>
      </c>
      <c r="E546" s="39" t="s">
        <v>44</v>
      </c>
      <c r="F546" s="45">
        <v>1335</v>
      </c>
      <c r="G546" s="35">
        <v>0.6020833333333333</v>
      </c>
      <c r="H546" s="35">
        <v>0.6645833333333333</v>
      </c>
      <c r="I546" s="36">
        <v>90</v>
      </c>
      <c r="J546" s="67" t="s">
        <v>35</v>
      </c>
      <c r="K546" s="104" t="s">
        <v>445</v>
      </c>
      <c r="L546" s="49" t="s">
        <v>198</v>
      </c>
      <c r="M546" s="49" t="s">
        <v>198</v>
      </c>
    </row>
    <row r="547" spans="1:13" x14ac:dyDescent="0.35">
      <c r="A547" s="123">
        <v>45827</v>
      </c>
      <c r="B547" s="39">
        <v>57.09</v>
      </c>
      <c r="C547" s="39">
        <v>5.1100000000000003</v>
      </c>
      <c r="D547" s="39">
        <v>12506025</v>
      </c>
      <c r="E547" s="39" t="s">
        <v>44</v>
      </c>
      <c r="F547" s="45">
        <v>1335</v>
      </c>
      <c r="G547" s="35">
        <v>0.6645833333333333</v>
      </c>
      <c r="H547" s="35">
        <v>0.69097222222222221</v>
      </c>
      <c r="I547" s="36">
        <v>38</v>
      </c>
      <c r="J547" s="67" t="s">
        <v>446</v>
      </c>
      <c r="K547" s="104" t="s">
        <v>246</v>
      </c>
      <c r="L547" s="47" t="s">
        <v>709</v>
      </c>
      <c r="M547" s="47" t="s">
        <v>709</v>
      </c>
    </row>
    <row r="548" spans="1:13" x14ac:dyDescent="0.35">
      <c r="A548" s="123">
        <v>45829</v>
      </c>
      <c r="B548" s="45">
        <v>57</v>
      </c>
      <c r="C548" s="45">
        <v>5.4</v>
      </c>
      <c r="D548" s="45">
        <v>12506026</v>
      </c>
      <c r="E548" s="45" t="s">
        <v>501</v>
      </c>
      <c r="F548" s="45">
        <v>1335</v>
      </c>
      <c r="G548" s="35">
        <v>0.98472222222222228</v>
      </c>
      <c r="H548" s="35">
        <v>5.5555555555555558E-3</v>
      </c>
      <c r="I548" s="36">
        <v>30</v>
      </c>
      <c r="J548" s="67" t="s">
        <v>51</v>
      </c>
      <c r="K548" s="67" t="s">
        <v>445</v>
      </c>
      <c r="L548" s="67" t="s">
        <v>53</v>
      </c>
      <c r="M548" s="47" t="s">
        <v>54</v>
      </c>
    </row>
    <row r="549" spans="1:13" x14ac:dyDescent="0.35">
      <c r="A549" s="123">
        <v>45829</v>
      </c>
      <c r="B549" s="39">
        <v>57.17</v>
      </c>
      <c r="C549" s="39">
        <v>4.88</v>
      </c>
      <c r="D549" s="45">
        <v>12506027</v>
      </c>
      <c r="E549" s="45" t="s">
        <v>175</v>
      </c>
      <c r="F549" s="45">
        <v>1250</v>
      </c>
      <c r="G549" s="35">
        <v>0.15625</v>
      </c>
      <c r="H549" s="35">
        <v>0.25416666666666665</v>
      </c>
      <c r="I549" s="36">
        <v>141</v>
      </c>
      <c r="J549" s="67" t="s">
        <v>35</v>
      </c>
      <c r="K549" s="104" t="s">
        <v>19</v>
      </c>
      <c r="L549" s="67" t="s">
        <v>39</v>
      </c>
      <c r="M549" s="49" t="s">
        <v>710</v>
      </c>
    </row>
    <row r="550" spans="1:13" x14ac:dyDescent="0.35">
      <c r="A550" s="123">
        <v>45829</v>
      </c>
      <c r="B550" s="39">
        <v>57.17</v>
      </c>
      <c r="C550" s="39">
        <v>4.88</v>
      </c>
      <c r="D550" s="45">
        <v>12506028</v>
      </c>
      <c r="E550" s="45" t="s">
        <v>47</v>
      </c>
      <c r="F550" s="45">
        <v>1250</v>
      </c>
      <c r="G550" s="35">
        <v>0.25694444444444442</v>
      </c>
      <c r="H550" s="35">
        <v>0.36666666666666664</v>
      </c>
      <c r="I550" s="36">
        <v>158</v>
      </c>
      <c r="J550" s="67" t="s">
        <v>25</v>
      </c>
      <c r="K550" s="104" t="s">
        <v>445</v>
      </c>
      <c r="L550" s="67" t="s">
        <v>492</v>
      </c>
      <c r="M550" s="60" t="s">
        <v>209</v>
      </c>
    </row>
    <row r="551" spans="1:13" x14ac:dyDescent="0.35">
      <c r="A551" s="123">
        <v>45829</v>
      </c>
      <c r="B551" s="39">
        <v>57.17</v>
      </c>
      <c r="C551" s="39">
        <v>4.88</v>
      </c>
      <c r="D551" s="45">
        <v>12506029</v>
      </c>
      <c r="E551" s="45" t="s">
        <v>47</v>
      </c>
      <c r="F551" s="45">
        <v>1250</v>
      </c>
      <c r="G551" s="35">
        <v>0.36736111111111114</v>
      </c>
      <c r="H551" s="35">
        <v>0.46180555555555558</v>
      </c>
      <c r="I551" s="36">
        <v>136</v>
      </c>
      <c r="J551" s="67" t="s">
        <v>25</v>
      </c>
      <c r="K551" s="104" t="s">
        <v>445</v>
      </c>
      <c r="L551" s="67" t="s">
        <v>492</v>
      </c>
      <c r="M551" s="60" t="s">
        <v>209</v>
      </c>
    </row>
    <row r="552" spans="1:13" x14ac:dyDescent="0.35">
      <c r="A552" s="123">
        <v>45830</v>
      </c>
      <c r="B552" s="39">
        <v>57.03</v>
      </c>
      <c r="C552" s="39">
        <v>5.48</v>
      </c>
      <c r="D552" s="39">
        <v>12506030</v>
      </c>
      <c r="E552" s="39" t="s">
        <v>72</v>
      </c>
      <c r="F552" s="39">
        <v>1250</v>
      </c>
      <c r="G552" s="35">
        <v>0.75694444444444442</v>
      </c>
      <c r="H552" s="35">
        <v>0.77777777777777779</v>
      </c>
      <c r="I552" s="36">
        <v>30</v>
      </c>
      <c r="J552" s="67" t="s">
        <v>51</v>
      </c>
      <c r="K552" s="67" t="s">
        <v>445</v>
      </c>
      <c r="L552" s="67" t="s">
        <v>53</v>
      </c>
      <c r="M552" s="47" t="s">
        <v>54</v>
      </c>
    </row>
    <row r="553" spans="1:13" x14ac:dyDescent="0.35">
      <c r="A553" s="123">
        <v>45830</v>
      </c>
      <c r="B553" s="39">
        <v>57.03</v>
      </c>
      <c r="C553" s="39">
        <v>5.48</v>
      </c>
      <c r="D553" s="39">
        <v>12506030</v>
      </c>
      <c r="E553" s="39" t="s">
        <v>72</v>
      </c>
      <c r="F553" s="39">
        <v>1250</v>
      </c>
      <c r="G553" s="35">
        <v>0.77777777777777779</v>
      </c>
      <c r="H553" s="35">
        <v>0.78819444444444442</v>
      </c>
      <c r="I553" s="36">
        <v>15</v>
      </c>
      <c r="J553" s="67" t="s">
        <v>52</v>
      </c>
      <c r="K553" s="104" t="s">
        <v>445</v>
      </c>
      <c r="L553" s="67" t="s">
        <v>59</v>
      </c>
      <c r="M553" s="47" t="s">
        <v>432</v>
      </c>
    </row>
    <row r="554" spans="1:13" x14ac:dyDescent="0.35">
      <c r="A554" s="123">
        <v>45832</v>
      </c>
      <c r="B554" s="45">
        <v>56.9</v>
      </c>
      <c r="C554" s="45">
        <v>5.23</v>
      </c>
      <c r="D554" s="39">
        <v>12506031</v>
      </c>
      <c r="E554" s="39" t="s">
        <v>80</v>
      </c>
      <c r="F554" s="39" t="s">
        <v>715</v>
      </c>
      <c r="G554" s="35">
        <v>9.0277777777777776E-2</v>
      </c>
      <c r="H554" s="35">
        <v>0.1111111111111111</v>
      </c>
      <c r="I554" s="36">
        <v>30</v>
      </c>
      <c r="J554" s="67" t="s">
        <v>51</v>
      </c>
      <c r="K554" s="67" t="s">
        <v>445</v>
      </c>
      <c r="L554" s="67" t="s">
        <v>53</v>
      </c>
      <c r="M554" s="47" t="s">
        <v>54</v>
      </c>
    </row>
    <row r="555" spans="1:13" x14ac:dyDescent="0.35">
      <c r="A555" s="123">
        <v>45832</v>
      </c>
      <c r="B555" s="45">
        <v>56.97</v>
      </c>
      <c r="C555" s="45">
        <v>5.22</v>
      </c>
      <c r="D555" s="39">
        <v>12506031</v>
      </c>
      <c r="E555" s="39" t="s">
        <v>80</v>
      </c>
      <c r="F555" s="39" t="s">
        <v>715</v>
      </c>
      <c r="G555" s="35">
        <v>0.1111111111111111</v>
      </c>
      <c r="H555" s="35">
        <v>0.15625</v>
      </c>
      <c r="I555" s="36">
        <v>65</v>
      </c>
      <c r="J555" s="67" t="s">
        <v>446</v>
      </c>
      <c r="K555" s="104" t="s">
        <v>26</v>
      </c>
      <c r="L555" s="67" t="s">
        <v>67</v>
      </c>
      <c r="M555" s="47" t="s">
        <v>716</v>
      </c>
    </row>
    <row r="556" spans="1:13" x14ac:dyDescent="0.35">
      <c r="A556" s="123">
        <v>45833</v>
      </c>
      <c r="B556" s="39">
        <v>57.49</v>
      </c>
      <c r="C556" s="39">
        <v>5.35</v>
      </c>
      <c r="D556" s="39">
        <v>12506032</v>
      </c>
      <c r="E556" s="39" t="s">
        <v>119</v>
      </c>
      <c r="F556" s="39" t="s">
        <v>263</v>
      </c>
      <c r="G556" s="35">
        <v>0.44791666666666669</v>
      </c>
      <c r="H556" s="35">
        <v>0.46875</v>
      </c>
      <c r="I556" s="36">
        <v>30</v>
      </c>
      <c r="J556" s="67" t="s">
        <v>51</v>
      </c>
      <c r="K556" s="67" t="s">
        <v>445</v>
      </c>
      <c r="L556" s="67" t="s">
        <v>53</v>
      </c>
      <c r="M556" s="47" t="s">
        <v>54</v>
      </c>
    </row>
    <row r="557" spans="1:13" x14ac:dyDescent="0.35">
      <c r="A557" s="123">
        <v>45833</v>
      </c>
      <c r="B557" s="39">
        <v>57.49</v>
      </c>
      <c r="C557" s="39">
        <v>5.35</v>
      </c>
      <c r="D557" s="39">
        <v>12506032</v>
      </c>
      <c r="E557" s="39" t="s">
        <v>119</v>
      </c>
      <c r="F557" s="39" t="s">
        <v>263</v>
      </c>
      <c r="G557" s="35">
        <v>0.46875</v>
      </c>
      <c r="H557" s="35">
        <v>0.47569444444444442</v>
      </c>
      <c r="I557" s="36">
        <v>10</v>
      </c>
      <c r="J557" s="67" t="s">
        <v>52</v>
      </c>
      <c r="K557" s="104" t="s">
        <v>445</v>
      </c>
      <c r="L557" s="67" t="s">
        <v>59</v>
      </c>
      <c r="M557" s="47" t="s">
        <v>432</v>
      </c>
    </row>
    <row r="558" spans="1:13" x14ac:dyDescent="0.35">
      <c r="A558" s="125">
        <v>45834</v>
      </c>
      <c r="B558" s="45">
        <v>58</v>
      </c>
      <c r="C558" s="45">
        <v>5.33</v>
      </c>
      <c r="D558" s="45">
        <v>12506033</v>
      </c>
      <c r="E558" s="45" t="s">
        <v>57</v>
      </c>
      <c r="F558" s="45">
        <v>1250</v>
      </c>
      <c r="G558" s="35">
        <v>0.71527777777777779</v>
      </c>
      <c r="H558" s="35">
        <v>0.73611111111111116</v>
      </c>
      <c r="I558" s="36">
        <v>30</v>
      </c>
      <c r="J558" s="67" t="s">
        <v>51</v>
      </c>
      <c r="K558" s="67" t="s">
        <v>445</v>
      </c>
      <c r="L558" s="67" t="s">
        <v>53</v>
      </c>
      <c r="M558" s="47" t="s">
        <v>54</v>
      </c>
    </row>
    <row r="559" spans="1:13" x14ac:dyDescent="0.35">
      <c r="A559" s="123">
        <v>45836</v>
      </c>
      <c r="B559" s="45">
        <v>58</v>
      </c>
      <c r="C559" s="45">
        <v>5.44</v>
      </c>
      <c r="D559" s="39">
        <v>12506034</v>
      </c>
      <c r="E559" s="39" t="s">
        <v>72</v>
      </c>
      <c r="F559" s="39">
        <v>1240</v>
      </c>
      <c r="G559" s="35">
        <v>1.7361111111111112E-2</v>
      </c>
      <c r="H559" s="35">
        <v>3.8194444444444448E-2</v>
      </c>
      <c r="I559" s="36">
        <v>30</v>
      </c>
      <c r="J559" s="67" t="s">
        <v>51</v>
      </c>
      <c r="K559" s="67" t="s">
        <v>445</v>
      </c>
      <c r="L559" s="67" t="s">
        <v>53</v>
      </c>
      <c r="M559" s="47" t="s">
        <v>54</v>
      </c>
    </row>
    <row r="560" spans="1:13" x14ac:dyDescent="0.35">
      <c r="A560" s="123">
        <v>45836</v>
      </c>
      <c r="B560" s="39">
        <v>58</v>
      </c>
      <c r="C560" s="39">
        <v>4.9400000000000004</v>
      </c>
      <c r="D560" s="39">
        <v>12506034</v>
      </c>
      <c r="E560" s="39" t="s">
        <v>72</v>
      </c>
      <c r="F560" s="39">
        <v>1240</v>
      </c>
      <c r="G560" s="35">
        <v>3.8194444444444448E-2</v>
      </c>
      <c r="H560" s="35">
        <v>4.8611111111111112E-2</v>
      </c>
      <c r="I560" s="36">
        <v>15</v>
      </c>
      <c r="J560" s="67" t="s">
        <v>52</v>
      </c>
      <c r="K560" s="104" t="s">
        <v>445</v>
      </c>
      <c r="L560" s="67" t="s">
        <v>59</v>
      </c>
      <c r="M560" s="47" t="s">
        <v>432</v>
      </c>
    </row>
    <row r="561" spans="1:13" x14ac:dyDescent="0.35">
      <c r="A561" s="123">
        <v>45836</v>
      </c>
      <c r="B561" s="39">
        <v>58</v>
      </c>
      <c r="C561" s="39">
        <v>4.9400000000000004</v>
      </c>
      <c r="D561" s="39">
        <v>12506035</v>
      </c>
      <c r="E561" s="39" t="s">
        <v>160</v>
      </c>
      <c r="F561" s="39">
        <v>1230</v>
      </c>
      <c r="G561" s="35">
        <v>0.36805555555555558</v>
      </c>
      <c r="H561" s="35">
        <v>0.4513888888888889</v>
      </c>
      <c r="I561" s="36">
        <v>120</v>
      </c>
      <c r="J561" s="67" t="s">
        <v>25</v>
      </c>
      <c r="K561" s="104" t="s">
        <v>445</v>
      </c>
      <c r="L561" s="67" t="s">
        <v>456</v>
      </c>
      <c r="M561" s="60" t="s">
        <v>654</v>
      </c>
    </row>
    <row r="562" spans="1:13" x14ac:dyDescent="0.35">
      <c r="A562" s="123">
        <v>45836</v>
      </c>
      <c r="B562" s="39">
        <v>58</v>
      </c>
      <c r="C562" s="39">
        <v>4.9400000000000004</v>
      </c>
      <c r="D562" s="39">
        <v>12506035</v>
      </c>
      <c r="E562" s="39" t="s">
        <v>160</v>
      </c>
      <c r="F562" s="39">
        <v>1230</v>
      </c>
      <c r="G562" s="35">
        <v>0.4513888888888889</v>
      </c>
      <c r="H562" s="35">
        <v>0.54166666666666663</v>
      </c>
      <c r="I562" s="36">
        <v>130</v>
      </c>
      <c r="J562" s="67" t="s">
        <v>446</v>
      </c>
      <c r="K562" s="104" t="s">
        <v>445</v>
      </c>
      <c r="L562" s="67" t="s">
        <v>650</v>
      </c>
      <c r="M562" s="47" t="s">
        <v>293</v>
      </c>
    </row>
    <row r="563" spans="1:13" x14ac:dyDescent="0.35">
      <c r="A563" s="123">
        <v>45836</v>
      </c>
      <c r="B563" s="39">
        <v>58</v>
      </c>
      <c r="C563" s="39">
        <v>4.9400000000000004</v>
      </c>
      <c r="D563" s="45">
        <v>12506036</v>
      </c>
      <c r="E563" s="45" t="s">
        <v>173</v>
      </c>
      <c r="F563" s="45">
        <v>1250</v>
      </c>
      <c r="G563" s="35">
        <v>0.60763888888888884</v>
      </c>
      <c r="H563" s="35">
        <v>0.66666666666666663</v>
      </c>
      <c r="I563" s="36">
        <v>85</v>
      </c>
      <c r="J563" s="67" t="s">
        <v>463</v>
      </c>
      <c r="K563" s="104" t="s">
        <v>26</v>
      </c>
      <c r="L563" s="67" t="s">
        <v>539</v>
      </c>
      <c r="M563" s="47" t="s">
        <v>720</v>
      </c>
    </row>
    <row r="564" spans="1:13" x14ac:dyDescent="0.35">
      <c r="A564" s="123">
        <v>45837</v>
      </c>
      <c r="B564" s="128">
        <v>57.59</v>
      </c>
      <c r="C564" s="128">
        <v>5.07</v>
      </c>
      <c r="D564" s="39">
        <v>12506037</v>
      </c>
      <c r="E564" s="39" t="s">
        <v>156</v>
      </c>
      <c r="F564" s="39">
        <v>1250</v>
      </c>
      <c r="G564" s="35">
        <v>0.55555555555555558</v>
      </c>
      <c r="H564" s="35">
        <v>0.63888888888888884</v>
      </c>
      <c r="I564" s="36">
        <v>120</v>
      </c>
      <c r="J564" s="67" t="s">
        <v>25</v>
      </c>
      <c r="K564" s="104" t="s">
        <v>445</v>
      </c>
      <c r="L564" s="67" t="s">
        <v>456</v>
      </c>
      <c r="M564" s="60" t="s">
        <v>84</v>
      </c>
    </row>
    <row r="565" spans="1:13" x14ac:dyDescent="0.35">
      <c r="A565" s="123">
        <v>45837</v>
      </c>
      <c r="B565" s="128">
        <v>57.59</v>
      </c>
      <c r="C565" s="128">
        <v>5.07</v>
      </c>
      <c r="D565" s="39">
        <v>12506037</v>
      </c>
      <c r="E565" s="39" t="s">
        <v>156</v>
      </c>
      <c r="F565" s="39">
        <v>1250</v>
      </c>
      <c r="G565" s="35">
        <v>0.63888888888888884</v>
      </c>
      <c r="H565" s="35">
        <v>0.65972222222222221</v>
      </c>
      <c r="I565" s="36">
        <v>30</v>
      </c>
      <c r="J565" s="67" t="s">
        <v>446</v>
      </c>
      <c r="K565" s="104" t="s">
        <v>283</v>
      </c>
      <c r="L565" s="67" t="s">
        <v>283</v>
      </c>
      <c r="M565" s="47" t="s">
        <v>721</v>
      </c>
    </row>
    <row r="566" spans="1:13" x14ac:dyDescent="0.35">
      <c r="A566" s="123">
        <v>45839</v>
      </c>
      <c r="B566" s="39">
        <v>57.26</v>
      </c>
      <c r="C566" s="39">
        <v>4.8899999999999997</v>
      </c>
      <c r="D566" s="39">
        <v>12506038</v>
      </c>
      <c r="E566" s="39" t="s">
        <v>116</v>
      </c>
      <c r="F566" s="39">
        <v>1230</v>
      </c>
      <c r="G566" s="35">
        <v>0.94444444444444442</v>
      </c>
      <c r="H566" s="35">
        <v>0.96527777777777779</v>
      </c>
      <c r="I566" s="36">
        <v>30</v>
      </c>
      <c r="J566" s="86" t="s">
        <v>51</v>
      </c>
      <c r="K566" s="86" t="s">
        <v>445</v>
      </c>
      <c r="L566" s="86" t="s">
        <v>53</v>
      </c>
      <c r="M566" s="47" t="s">
        <v>54</v>
      </c>
    </row>
    <row r="567" spans="1:13" x14ac:dyDescent="0.35">
      <c r="A567" s="123">
        <v>45839</v>
      </c>
      <c r="B567" s="39">
        <v>57.26</v>
      </c>
      <c r="C567" s="39">
        <v>4.8899999999999997</v>
      </c>
      <c r="D567" s="39">
        <v>12506038</v>
      </c>
      <c r="E567" s="39" t="s">
        <v>116</v>
      </c>
      <c r="F567" s="39">
        <v>1230</v>
      </c>
      <c r="G567" s="35">
        <v>0.96527777777777779</v>
      </c>
      <c r="H567" s="35">
        <v>0.15416666666666667</v>
      </c>
      <c r="I567" s="36">
        <v>272</v>
      </c>
      <c r="J567" s="86" t="s">
        <v>446</v>
      </c>
      <c r="K567" s="86" t="s">
        <v>283</v>
      </c>
      <c r="L567" s="86" t="s">
        <v>283</v>
      </c>
      <c r="M567" s="47" t="s">
        <v>284</v>
      </c>
    </row>
    <row r="568" spans="1:13" x14ac:dyDescent="0.35">
      <c r="A568" s="123">
        <v>45839</v>
      </c>
      <c r="B568" s="39">
        <v>57.26</v>
      </c>
      <c r="C568" s="39">
        <v>4.8899999999999997</v>
      </c>
      <c r="D568" s="39">
        <v>12507001</v>
      </c>
      <c r="E568" s="39" t="s">
        <v>170</v>
      </c>
      <c r="F568" s="39">
        <v>1230</v>
      </c>
      <c r="G568" s="35">
        <v>0.63541666666666663</v>
      </c>
      <c r="H568" s="35">
        <v>0.875</v>
      </c>
      <c r="I568" s="36">
        <v>345</v>
      </c>
      <c r="J568" s="86" t="s">
        <v>463</v>
      </c>
      <c r="K568" s="86" t="s">
        <v>283</v>
      </c>
      <c r="L568" s="86" t="s">
        <v>283</v>
      </c>
      <c r="M568" s="47" t="s">
        <v>286</v>
      </c>
    </row>
    <row r="569" spans="1:13" x14ac:dyDescent="0.35">
      <c r="A569" s="123">
        <v>45839</v>
      </c>
      <c r="B569" s="39">
        <v>57.26</v>
      </c>
      <c r="C569" s="39">
        <v>4.8899999999999997</v>
      </c>
      <c r="D569" s="39">
        <v>12507001</v>
      </c>
      <c r="E569" s="39" t="s">
        <v>170</v>
      </c>
      <c r="F569" s="39">
        <v>1230</v>
      </c>
      <c r="G569" s="35">
        <v>0.875</v>
      </c>
      <c r="H569" s="35">
        <v>0.91666666666666663</v>
      </c>
      <c r="I569" s="36">
        <v>60</v>
      </c>
      <c r="J569" s="86" t="s">
        <v>446</v>
      </c>
      <c r="K569" s="86" t="s">
        <v>41</v>
      </c>
      <c r="L569" s="47" t="s">
        <v>730</v>
      </c>
      <c r="M569" s="47" t="s">
        <v>730</v>
      </c>
    </row>
    <row r="570" spans="1:13" x14ac:dyDescent="0.35">
      <c r="A570" s="123">
        <v>45840</v>
      </c>
      <c r="B570" s="39">
        <v>58</v>
      </c>
      <c r="C570" s="39">
        <v>5.21</v>
      </c>
      <c r="D570" s="39">
        <v>12507001</v>
      </c>
      <c r="E570" s="39" t="s">
        <v>170</v>
      </c>
      <c r="F570" s="39">
        <v>1230</v>
      </c>
      <c r="G570" s="35">
        <v>0.91666666666666663</v>
      </c>
      <c r="H570" s="35">
        <v>0.98611111111111116</v>
      </c>
      <c r="I570" s="36">
        <v>100</v>
      </c>
      <c r="J570" s="67" t="s">
        <v>52</v>
      </c>
      <c r="K570" s="104" t="s">
        <v>41</v>
      </c>
      <c r="L570" s="67"/>
      <c r="M570" s="47" t="s">
        <v>730</v>
      </c>
    </row>
    <row r="571" spans="1:13" x14ac:dyDescent="0.35">
      <c r="A571" s="123">
        <v>45840</v>
      </c>
      <c r="B571" s="39">
        <v>58</v>
      </c>
      <c r="C571" s="39">
        <v>5.21</v>
      </c>
      <c r="D571" s="39">
        <v>12507002</v>
      </c>
      <c r="E571" s="39" t="s">
        <v>111</v>
      </c>
      <c r="F571" s="39" t="s">
        <v>731</v>
      </c>
      <c r="G571" s="35">
        <v>0.65277777777777779</v>
      </c>
      <c r="H571" s="35">
        <v>0.67361111111111116</v>
      </c>
      <c r="I571" s="36">
        <v>30</v>
      </c>
      <c r="J571" s="67" t="s">
        <v>51</v>
      </c>
      <c r="K571" s="104" t="s">
        <v>445</v>
      </c>
      <c r="L571" s="67" t="s">
        <v>53</v>
      </c>
      <c r="M571" s="47" t="s">
        <v>732</v>
      </c>
    </row>
    <row r="572" spans="1:13" x14ac:dyDescent="0.35">
      <c r="A572" s="123">
        <v>45840</v>
      </c>
      <c r="B572" s="39">
        <v>58</v>
      </c>
      <c r="C572" s="39">
        <v>5.21</v>
      </c>
      <c r="D572" s="39">
        <v>12507002</v>
      </c>
      <c r="E572" s="39" t="s">
        <v>111</v>
      </c>
      <c r="F572" s="39" t="s">
        <v>731</v>
      </c>
      <c r="G572" s="35">
        <v>0.67361111111111116</v>
      </c>
      <c r="H572" s="35">
        <v>0.68402777777777779</v>
      </c>
      <c r="I572" s="36">
        <v>15</v>
      </c>
      <c r="J572" s="67" t="s">
        <v>52</v>
      </c>
      <c r="K572" s="104" t="s">
        <v>445</v>
      </c>
      <c r="L572" s="67" t="s">
        <v>73</v>
      </c>
      <c r="M572" s="47" t="s">
        <v>432</v>
      </c>
    </row>
    <row r="573" spans="1:13" x14ac:dyDescent="0.35">
      <c r="A573" s="123">
        <v>45840</v>
      </c>
      <c r="B573" s="39">
        <v>58</v>
      </c>
      <c r="C573" s="39">
        <v>5.21</v>
      </c>
      <c r="D573" s="39">
        <v>12507002</v>
      </c>
      <c r="E573" s="39" t="s">
        <v>111</v>
      </c>
      <c r="F573" s="39" t="s">
        <v>731</v>
      </c>
      <c r="G573" s="35">
        <v>0.68402777777777779</v>
      </c>
      <c r="H573" s="35">
        <v>0.72222222222222221</v>
      </c>
      <c r="I573" s="36">
        <v>55</v>
      </c>
      <c r="J573" s="67" t="s">
        <v>446</v>
      </c>
      <c r="K573" s="104" t="s">
        <v>41</v>
      </c>
      <c r="L573" s="67" t="s">
        <v>454</v>
      </c>
      <c r="M573" s="47" t="s">
        <v>733</v>
      </c>
    </row>
    <row r="574" spans="1:13" x14ac:dyDescent="0.35">
      <c r="A574" s="123">
        <v>45840</v>
      </c>
      <c r="B574" s="39">
        <v>58</v>
      </c>
      <c r="C574" s="39">
        <v>5.21</v>
      </c>
      <c r="D574" s="45">
        <v>12507003</v>
      </c>
      <c r="E574" s="45" t="s">
        <v>47</v>
      </c>
      <c r="F574" s="45">
        <v>915</v>
      </c>
      <c r="G574" s="35">
        <v>0.72361111111111109</v>
      </c>
      <c r="H574" s="35">
        <v>0.80694444444444446</v>
      </c>
      <c r="I574" s="36">
        <v>120</v>
      </c>
      <c r="J574" s="67" t="s">
        <v>25</v>
      </c>
      <c r="K574" s="104" t="s">
        <v>445</v>
      </c>
      <c r="L574" s="67" t="s">
        <v>492</v>
      </c>
      <c r="M574" s="60" t="s">
        <v>209</v>
      </c>
    </row>
    <row r="575" spans="1:13" x14ac:dyDescent="0.35">
      <c r="A575" s="122">
        <v>45841</v>
      </c>
      <c r="B575" s="45">
        <v>58</v>
      </c>
      <c r="C575" s="45">
        <v>4.96</v>
      </c>
      <c r="D575" s="45">
        <v>12507004</v>
      </c>
      <c r="E575" s="45" t="s">
        <v>522</v>
      </c>
      <c r="F575" s="45">
        <v>915</v>
      </c>
      <c r="G575" s="35">
        <v>0.81944444444444442</v>
      </c>
      <c r="H575" s="35">
        <v>0.91666666666666663</v>
      </c>
      <c r="I575" s="36">
        <v>140</v>
      </c>
      <c r="J575" s="67" t="s">
        <v>463</v>
      </c>
      <c r="K575" s="104" t="s">
        <v>26</v>
      </c>
      <c r="L575" s="67" t="s">
        <v>543</v>
      </c>
      <c r="M575" s="47" t="s">
        <v>286</v>
      </c>
    </row>
    <row r="576" spans="1:13" x14ac:dyDescent="0.35">
      <c r="A576" s="123">
        <v>45842</v>
      </c>
      <c r="B576" s="39">
        <v>58</v>
      </c>
      <c r="C576" s="39">
        <v>5.24</v>
      </c>
      <c r="D576" s="45">
        <v>12507004</v>
      </c>
      <c r="E576" s="45" t="s">
        <v>522</v>
      </c>
      <c r="F576" s="45">
        <v>915</v>
      </c>
      <c r="G576" s="35">
        <v>0.91666666666666663</v>
      </c>
      <c r="H576" s="35">
        <v>0.95347222222222228</v>
      </c>
      <c r="I576" s="36">
        <v>53</v>
      </c>
      <c r="J576" s="67" t="s">
        <v>446</v>
      </c>
      <c r="K576" s="104" t="s">
        <v>26</v>
      </c>
      <c r="L576" s="67" t="s">
        <v>543</v>
      </c>
      <c r="M576" s="47" t="s">
        <v>284</v>
      </c>
    </row>
    <row r="577" spans="1:13" x14ac:dyDescent="0.35">
      <c r="A577" s="123">
        <v>45842</v>
      </c>
      <c r="B577" s="39">
        <v>58</v>
      </c>
      <c r="C577" s="39">
        <v>5.24</v>
      </c>
      <c r="D577" s="45">
        <v>12507005</v>
      </c>
      <c r="E577" s="45" t="s">
        <v>173</v>
      </c>
      <c r="F577" s="45">
        <v>915</v>
      </c>
      <c r="G577" s="35">
        <v>0.99305555555555558</v>
      </c>
      <c r="H577" s="35">
        <v>7.9861111111111105E-2</v>
      </c>
      <c r="I577" s="36">
        <v>125</v>
      </c>
      <c r="J577" s="67" t="s">
        <v>35</v>
      </c>
      <c r="K577" s="104" t="s">
        <v>19</v>
      </c>
      <c r="L577" s="67" t="s">
        <v>418</v>
      </c>
      <c r="M577" s="49" t="s">
        <v>736</v>
      </c>
    </row>
    <row r="578" spans="1:13" x14ac:dyDescent="0.35">
      <c r="A578" s="123">
        <v>45843</v>
      </c>
      <c r="B578" s="39">
        <v>58</v>
      </c>
      <c r="C578" s="39">
        <v>5.01</v>
      </c>
      <c r="D578" s="39">
        <v>12507006</v>
      </c>
      <c r="E578" s="39" t="s">
        <v>98</v>
      </c>
      <c r="F578" s="39">
        <v>915</v>
      </c>
      <c r="G578" s="35">
        <v>0.3611111111111111</v>
      </c>
      <c r="H578" s="35">
        <v>0.38194444444444442</v>
      </c>
      <c r="I578" s="36">
        <v>30</v>
      </c>
      <c r="J578" s="67" t="s">
        <v>51</v>
      </c>
      <c r="K578" s="104" t="s">
        <v>445</v>
      </c>
      <c r="L578" s="67" t="s">
        <v>53</v>
      </c>
      <c r="M578" s="47" t="s">
        <v>54</v>
      </c>
    </row>
    <row r="579" spans="1:13" x14ac:dyDescent="0.35">
      <c r="A579" s="123">
        <v>45843</v>
      </c>
      <c r="B579" s="39">
        <v>58</v>
      </c>
      <c r="C579" s="39">
        <v>5.01</v>
      </c>
      <c r="D579" s="39">
        <v>12507006</v>
      </c>
      <c r="E579" s="39" t="s">
        <v>98</v>
      </c>
      <c r="F579" s="39">
        <v>915</v>
      </c>
      <c r="G579" s="35">
        <v>0.38194444444444442</v>
      </c>
      <c r="H579" s="35">
        <v>0.3923611111111111</v>
      </c>
      <c r="I579" s="36">
        <v>15</v>
      </c>
      <c r="J579" s="67" t="s">
        <v>446</v>
      </c>
      <c r="K579" s="67" t="s">
        <v>445</v>
      </c>
      <c r="L579" s="67" t="s">
        <v>55</v>
      </c>
      <c r="M579" s="47" t="s">
        <v>267</v>
      </c>
    </row>
    <row r="580" spans="1:13" x14ac:dyDescent="0.35">
      <c r="A580" s="123">
        <v>45844</v>
      </c>
      <c r="B580" s="39">
        <v>58</v>
      </c>
      <c r="C580" s="39">
        <v>5.12</v>
      </c>
      <c r="D580" s="39">
        <v>12507007</v>
      </c>
      <c r="E580" s="39" t="s">
        <v>167</v>
      </c>
      <c r="F580" s="39" t="s">
        <v>381</v>
      </c>
      <c r="G580" s="35">
        <v>0.3611111111111111</v>
      </c>
      <c r="H580" s="35">
        <v>0.70833333333333337</v>
      </c>
      <c r="I580" s="36">
        <v>500</v>
      </c>
      <c r="J580" s="67" t="s">
        <v>448</v>
      </c>
      <c r="K580" s="67" t="s">
        <v>15</v>
      </c>
      <c r="L580" s="67" t="s">
        <v>448</v>
      </c>
      <c r="M580" s="49" t="s">
        <v>17</v>
      </c>
    </row>
    <row r="581" spans="1:13" x14ac:dyDescent="0.35">
      <c r="A581" s="123">
        <v>45844</v>
      </c>
      <c r="B581" s="39">
        <v>58</v>
      </c>
      <c r="C581" s="39">
        <v>5.12</v>
      </c>
      <c r="D581" s="39">
        <v>12507007</v>
      </c>
      <c r="E581" s="39" t="s">
        <v>167</v>
      </c>
      <c r="F581" s="39" t="s">
        <v>381</v>
      </c>
      <c r="G581" s="35">
        <v>0.70833333333333337</v>
      </c>
      <c r="H581" s="35">
        <v>0.76388888888888884</v>
      </c>
      <c r="I581" s="36">
        <v>80</v>
      </c>
      <c r="J581" s="67" t="s">
        <v>446</v>
      </c>
      <c r="K581" s="104" t="s">
        <v>19</v>
      </c>
      <c r="L581" s="47" t="s">
        <v>740</v>
      </c>
      <c r="M581" s="47" t="s">
        <v>740</v>
      </c>
    </row>
    <row r="582" spans="1:13" x14ac:dyDescent="0.35">
      <c r="A582" s="122">
        <v>45845</v>
      </c>
      <c r="B582" s="45">
        <v>58</v>
      </c>
      <c r="C582" s="45">
        <v>5.43</v>
      </c>
      <c r="D582" s="45">
        <v>12507008</v>
      </c>
      <c r="E582" s="45" t="s">
        <v>175</v>
      </c>
      <c r="F582" s="45">
        <v>1260</v>
      </c>
      <c r="G582" s="35">
        <v>0.92361111111111116</v>
      </c>
      <c r="H582" s="35">
        <v>0.14374999999999999</v>
      </c>
      <c r="I582" s="36">
        <v>317</v>
      </c>
      <c r="J582" s="67" t="s">
        <v>463</v>
      </c>
      <c r="K582" s="104" t="s">
        <v>283</v>
      </c>
      <c r="L582" s="67" t="s">
        <v>283</v>
      </c>
      <c r="M582" s="47" t="s">
        <v>741</v>
      </c>
    </row>
    <row r="583" spans="1:13" x14ac:dyDescent="0.35">
      <c r="A583" s="122">
        <v>45846</v>
      </c>
      <c r="B583" s="45">
        <v>58</v>
      </c>
      <c r="C583" s="45">
        <v>4.88</v>
      </c>
      <c r="D583" s="45">
        <v>12507009</v>
      </c>
      <c r="E583" s="45" t="s">
        <v>101</v>
      </c>
      <c r="F583" s="45">
        <v>1260</v>
      </c>
      <c r="G583" s="35">
        <v>0.27083333333333331</v>
      </c>
      <c r="H583" s="35">
        <v>0.44166666666666665</v>
      </c>
      <c r="I583" s="36">
        <v>246</v>
      </c>
      <c r="J583" s="67" t="s">
        <v>463</v>
      </c>
      <c r="K583" s="104" t="s">
        <v>283</v>
      </c>
      <c r="L583" s="67" t="s">
        <v>283</v>
      </c>
      <c r="M583" s="47" t="s">
        <v>741</v>
      </c>
    </row>
    <row r="584" spans="1:13" x14ac:dyDescent="0.35">
      <c r="A584" s="122">
        <v>45847</v>
      </c>
      <c r="B584" s="45">
        <v>58</v>
      </c>
      <c r="C584" s="45">
        <v>4.99</v>
      </c>
      <c r="D584" s="45">
        <v>12507010</v>
      </c>
      <c r="E584" s="45" t="s">
        <v>313</v>
      </c>
      <c r="F584" s="45">
        <v>1255</v>
      </c>
      <c r="G584" s="35">
        <v>0.2326388888888889</v>
      </c>
      <c r="H584" s="35">
        <v>0.44791666666666669</v>
      </c>
      <c r="I584" s="36">
        <v>310</v>
      </c>
      <c r="J584" s="67" t="s">
        <v>463</v>
      </c>
      <c r="K584" s="104" t="s">
        <v>283</v>
      </c>
      <c r="L584" s="67" t="s">
        <v>742</v>
      </c>
      <c r="M584" s="47" t="s">
        <v>743</v>
      </c>
    </row>
    <row r="585" spans="1:13" x14ac:dyDescent="0.35">
      <c r="A585" s="122">
        <v>45848</v>
      </c>
      <c r="B585" s="45">
        <v>58</v>
      </c>
      <c r="C585" s="45">
        <v>5.28</v>
      </c>
      <c r="D585" s="45">
        <v>12507011</v>
      </c>
      <c r="E585" s="45" t="s">
        <v>72</v>
      </c>
      <c r="F585" s="45">
        <v>1230</v>
      </c>
      <c r="G585" s="35">
        <v>0.70833333333333337</v>
      </c>
      <c r="H585" s="35">
        <v>0.72916666666666663</v>
      </c>
      <c r="I585" s="36">
        <v>30</v>
      </c>
      <c r="J585" s="67" t="s">
        <v>51</v>
      </c>
      <c r="K585" s="104" t="s">
        <v>445</v>
      </c>
      <c r="L585" s="67" t="s">
        <v>53</v>
      </c>
      <c r="M585" s="47" t="s">
        <v>54</v>
      </c>
    </row>
    <row r="586" spans="1:13" x14ac:dyDescent="0.35">
      <c r="A586" s="123">
        <v>45850</v>
      </c>
      <c r="B586" s="45">
        <v>58</v>
      </c>
      <c r="C586" s="45">
        <v>5.49</v>
      </c>
      <c r="D586" s="39">
        <v>12507012</v>
      </c>
      <c r="E586" s="39" t="s">
        <v>104</v>
      </c>
      <c r="F586" s="39">
        <v>1260</v>
      </c>
      <c r="G586" s="35">
        <v>1.7361111111111112E-2</v>
      </c>
      <c r="H586" s="35">
        <v>3.8194444444444448E-2</v>
      </c>
      <c r="I586" s="36">
        <v>30</v>
      </c>
      <c r="J586" s="67" t="s">
        <v>51</v>
      </c>
      <c r="K586" s="104" t="s">
        <v>445</v>
      </c>
      <c r="L586" s="67" t="s">
        <v>53</v>
      </c>
      <c r="M586" s="47" t="s">
        <v>54</v>
      </c>
    </row>
    <row r="587" spans="1:13" x14ac:dyDescent="0.35">
      <c r="A587" s="123">
        <v>45850</v>
      </c>
      <c r="B587" s="128">
        <v>57.97</v>
      </c>
      <c r="C587" s="39">
        <v>4.91</v>
      </c>
      <c r="D587" s="39">
        <v>12507012</v>
      </c>
      <c r="E587" s="39" t="s">
        <v>104</v>
      </c>
      <c r="F587" s="39">
        <v>1260</v>
      </c>
      <c r="G587" s="35">
        <v>3.8194444444444448E-2</v>
      </c>
      <c r="H587" s="35">
        <v>4.8611111111111112E-2</v>
      </c>
      <c r="I587" s="36">
        <v>15</v>
      </c>
      <c r="J587" s="67" t="s">
        <v>52</v>
      </c>
      <c r="K587" s="104" t="s">
        <v>445</v>
      </c>
      <c r="L587" s="67" t="s">
        <v>59</v>
      </c>
      <c r="M587" s="47" t="s">
        <v>432</v>
      </c>
    </row>
    <row r="588" spans="1:13" s="140" customFormat="1" x14ac:dyDescent="0.35">
      <c r="A588" s="132">
        <v>45850</v>
      </c>
      <c r="B588" s="133">
        <v>57.97</v>
      </c>
      <c r="C588" s="134">
        <v>4.91</v>
      </c>
      <c r="D588" s="135">
        <v>12507013</v>
      </c>
      <c r="E588" s="135" t="s">
        <v>90</v>
      </c>
      <c r="F588" s="135">
        <v>1250</v>
      </c>
      <c r="G588" s="136">
        <v>0.3888888888888889</v>
      </c>
      <c r="H588" s="136">
        <v>0.4513888888888889</v>
      </c>
      <c r="I588" s="137">
        <v>90</v>
      </c>
      <c r="J588" s="138" t="s">
        <v>35</v>
      </c>
      <c r="K588" s="138" t="s">
        <v>26</v>
      </c>
      <c r="L588" s="139" t="s">
        <v>747</v>
      </c>
      <c r="M588" s="139" t="s">
        <v>747</v>
      </c>
    </row>
    <row r="589" spans="1:13" x14ac:dyDescent="0.35">
      <c r="A589" s="123">
        <v>45850</v>
      </c>
      <c r="B589" s="128">
        <v>57.97</v>
      </c>
      <c r="C589" s="39">
        <v>4.91</v>
      </c>
      <c r="D589" s="45">
        <v>12507014</v>
      </c>
      <c r="E589" s="45" t="s">
        <v>173</v>
      </c>
      <c r="F589" s="45">
        <v>1230</v>
      </c>
      <c r="G589" s="35">
        <v>0.5</v>
      </c>
      <c r="H589" s="35">
        <v>0.59513888888888888</v>
      </c>
      <c r="I589" s="36">
        <v>137</v>
      </c>
      <c r="J589" s="67" t="s">
        <v>35</v>
      </c>
      <c r="K589" s="104" t="s">
        <v>26</v>
      </c>
      <c r="L589" s="67" t="s">
        <v>742</v>
      </c>
      <c r="M589" s="49" t="s">
        <v>748</v>
      </c>
    </row>
    <row r="590" spans="1:13" x14ac:dyDescent="0.35">
      <c r="A590" s="122">
        <v>45851</v>
      </c>
      <c r="B590" s="45">
        <v>57.85</v>
      </c>
      <c r="C590" s="45">
        <v>5.34</v>
      </c>
      <c r="D590" s="45">
        <v>12507015</v>
      </c>
      <c r="E590" s="45" t="s">
        <v>13</v>
      </c>
      <c r="F590" s="45">
        <v>1230</v>
      </c>
      <c r="G590" s="35">
        <v>0.58472222222222225</v>
      </c>
      <c r="H590" s="35">
        <v>0.74652777777777779</v>
      </c>
      <c r="I590" s="36">
        <v>233</v>
      </c>
      <c r="J590" s="67" t="s">
        <v>35</v>
      </c>
      <c r="K590" s="104" t="s">
        <v>19</v>
      </c>
      <c r="L590" s="67" t="s">
        <v>418</v>
      </c>
      <c r="M590" s="49" t="s">
        <v>408</v>
      </c>
    </row>
    <row r="591" spans="1:13" x14ac:dyDescent="0.35">
      <c r="A591" s="123">
        <v>45853</v>
      </c>
      <c r="B591" s="45">
        <v>57</v>
      </c>
      <c r="C591" s="45">
        <v>5.29</v>
      </c>
      <c r="D591" s="39">
        <v>12507016</v>
      </c>
      <c r="E591" s="39" t="s">
        <v>80</v>
      </c>
      <c r="F591" s="39">
        <v>1240</v>
      </c>
      <c r="G591" s="35">
        <v>0.95833333333333337</v>
      </c>
      <c r="H591" s="35">
        <v>0.97916666666666663</v>
      </c>
      <c r="I591" s="36">
        <v>30</v>
      </c>
      <c r="J591" s="67" t="s">
        <v>51</v>
      </c>
      <c r="K591" s="104" t="s">
        <v>445</v>
      </c>
      <c r="L591" s="67" t="s">
        <v>53</v>
      </c>
      <c r="M591" s="47" t="s">
        <v>54</v>
      </c>
    </row>
    <row r="592" spans="1:13" x14ac:dyDescent="0.35">
      <c r="A592" s="123">
        <v>45853</v>
      </c>
      <c r="B592" s="39">
        <v>57.95</v>
      </c>
      <c r="C592" s="39">
        <v>5.24</v>
      </c>
      <c r="D592" s="39">
        <v>12507016</v>
      </c>
      <c r="E592" s="39" t="s">
        <v>80</v>
      </c>
      <c r="F592" s="39">
        <v>1240</v>
      </c>
      <c r="G592" s="35">
        <v>0.97916666666666663</v>
      </c>
      <c r="H592" s="35">
        <v>0</v>
      </c>
      <c r="I592" s="36">
        <v>30</v>
      </c>
      <c r="J592" s="67" t="s">
        <v>52</v>
      </c>
      <c r="K592" s="67" t="s">
        <v>445</v>
      </c>
      <c r="L592" s="67" t="s">
        <v>178</v>
      </c>
      <c r="M592" s="47" t="s">
        <v>179</v>
      </c>
    </row>
    <row r="593" spans="1:13" x14ac:dyDescent="0.35">
      <c r="A593" s="123">
        <v>45853</v>
      </c>
      <c r="B593" s="39">
        <v>57.95</v>
      </c>
      <c r="C593" s="39">
        <v>5.24</v>
      </c>
      <c r="D593" s="39">
        <v>12507016</v>
      </c>
      <c r="E593" s="39" t="s">
        <v>80</v>
      </c>
      <c r="F593" s="39">
        <v>1240</v>
      </c>
      <c r="G593" s="35">
        <v>0</v>
      </c>
      <c r="H593" s="35">
        <v>3.472222222222222E-3</v>
      </c>
      <c r="I593" s="36">
        <v>5</v>
      </c>
      <c r="J593" s="67" t="s">
        <v>446</v>
      </c>
      <c r="K593" s="67" t="s">
        <v>445</v>
      </c>
      <c r="L593" s="67" t="s">
        <v>74</v>
      </c>
      <c r="M593" s="47" t="s">
        <v>75</v>
      </c>
    </row>
    <row r="594" spans="1:13" x14ac:dyDescent="0.35">
      <c r="A594" s="123">
        <v>45854</v>
      </c>
      <c r="B594" s="39">
        <v>57.94</v>
      </c>
      <c r="C594" s="39">
        <v>4.7699999999999996</v>
      </c>
      <c r="D594" s="39">
        <v>12507017</v>
      </c>
      <c r="E594" s="39" t="s">
        <v>66</v>
      </c>
      <c r="F594" s="39">
        <v>1250</v>
      </c>
      <c r="G594" s="35">
        <v>2.0833333333333332E-2</v>
      </c>
      <c r="H594" s="35">
        <v>0.10416666666666667</v>
      </c>
      <c r="I594" s="36">
        <v>120</v>
      </c>
      <c r="J594" s="67" t="s">
        <v>35</v>
      </c>
      <c r="K594" s="67" t="s">
        <v>445</v>
      </c>
      <c r="L594" s="49" t="s">
        <v>754</v>
      </c>
      <c r="M594" s="49" t="s">
        <v>752</v>
      </c>
    </row>
    <row r="595" spans="1:13" x14ac:dyDescent="0.35">
      <c r="A595" s="123">
        <v>45854</v>
      </c>
      <c r="B595" s="39">
        <v>57.94</v>
      </c>
      <c r="C595" s="39">
        <v>4.7699999999999996</v>
      </c>
      <c r="D595" s="39">
        <v>12507017</v>
      </c>
      <c r="E595" s="39" t="s">
        <v>66</v>
      </c>
      <c r="F595" s="39">
        <v>1250</v>
      </c>
      <c r="G595" s="35">
        <v>0.10416666666666667</v>
      </c>
      <c r="H595" s="35">
        <v>0.12847222222222221</v>
      </c>
      <c r="I595" s="36">
        <v>35</v>
      </c>
      <c r="J595" s="67" t="s">
        <v>446</v>
      </c>
      <c r="K595" s="67" t="s">
        <v>445</v>
      </c>
      <c r="L595" s="67" t="s">
        <v>22</v>
      </c>
      <c r="M595" s="47" t="s">
        <v>240</v>
      </c>
    </row>
    <row r="596" spans="1:13" x14ac:dyDescent="0.35">
      <c r="A596" s="123">
        <v>45854</v>
      </c>
      <c r="B596" s="39">
        <v>57.94</v>
      </c>
      <c r="C596" s="39">
        <v>4.7699999999999996</v>
      </c>
      <c r="D596" s="45">
        <v>12507018</v>
      </c>
      <c r="E596" s="45" t="s">
        <v>379</v>
      </c>
      <c r="F596" s="45">
        <v>1250</v>
      </c>
      <c r="G596" s="35">
        <v>0.66736111111111107</v>
      </c>
      <c r="H596" s="35">
        <v>0.72499999999999998</v>
      </c>
      <c r="I596" s="36">
        <v>83</v>
      </c>
      <c r="J596" s="67" t="s">
        <v>35</v>
      </c>
      <c r="K596" s="104" t="s">
        <v>26</v>
      </c>
      <c r="L596" s="67" t="s">
        <v>539</v>
      </c>
      <c r="M596" s="49" t="s">
        <v>753</v>
      </c>
    </row>
    <row r="597" spans="1:13" x14ac:dyDescent="0.35">
      <c r="A597" s="123">
        <v>45855</v>
      </c>
      <c r="B597" s="39">
        <v>57.38</v>
      </c>
      <c r="C597" s="39">
        <v>5.0599999999999996</v>
      </c>
      <c r="D597" s="39">
        <v>12507019</v>
      </c>
      <c r="E597" s="39" t="s">
        <v>114</v>
      </c>
      <c r="F597" s="39">
        <v>1250</v>
      </c>
      <c r="G597" s="35">
        <v>0.49652777777777779</v>
      </c>
      <c r="H597" s="35">
        <v>0.52083333333333337</v>
      </c>
      <c r="I597" s="36">
        <v>35</v>
      </c>
      <c r="J597" s="67" t="s">
        <v>35</v>
      </c>
      <c r="K597" s="67" t="s">
        <v>19</v>
      </c>
      <c r="L597" s="67" t="s">
        <v>535</v>
      </c>
      <c r="M597" s="49" t="s">
        <v>756</v>
      </c>
    </row>
    <row r="598" spans="1:13" x14ac:dyDescent="0.35">
      <c r="A598" s="123">
        <v>45855</v>
      </c>
      <c r="B598" s="39">
        <v>57.38</v>
      </c>
      <c r="C598" s="39">
        <v>5.0599999999999996</v>
      </c>
      <c r="D598" s="39">
        <v>12507019</v>
      </c>
      <c r="E598" s="39" t="s">
        <v>114</v>
      </c>
      <c r="F598" s="39">
        <v>1250</v>
      </c>
      <c r="G598" s="35">
        <v>0.52083333333333337</v>
      </c>
      <c r="H598" s="35">
        <v>0.5444444444444444</v>
      </c>
      <c r="I598" s="36">
        <v>34</v>
      </c>
      <c r="J598" s="67" t="s">
        <v>446</v>
      </c>
      <c r="K598" s="67" t="s">
        <v>41</v>
      </c>
      <c r="L598" s="67" t="s">
        <v>508</v>
      </c>
      <c r="M598" s="47" t="s">
        <v>757</v>
      </c>
    </row>
    <row r="599" spans="1:13" x14ac:dyDescent="0.35">
      <c r="A599" s="123">
        <v>45856</v>
      </c>
      <c r="B599" s="39">
        <v>58</v>
      </c>
      <c r="C599" s="39">
        <v>4.92</v>
      </c>
      <c r="D599" s="39">
        <v>12507020</v>
      </c>
      <c r="E599" s="39" t="s">
        <v>116</v>
      </c>
      <c r="F599" s="39">
        <v>1250</v>
      </c>
      <c r="G599" s="35">
        <v>0.78194444444444444</v>
      </c>
      <c r="H599" s="35">
        <v>0.80277777777777781</v>
      </c>
      <c r="I599" s="36">
        <v>30</v>
      </c>
      <c r="J599" s="67" t="s">
        <v>51</v>
      </c>
      <c r="K599" s="104" t="s">
        <v>445</v>
      </c>
      <c r="L599" s="67" t="s">
        <v>53</v>
      </c>
      <c r="M599" s="47" t="s">
        <v>54</v>
      </c>
    </row>
    <row r="600" spans="1:13" x14ac:dyDescent="0.35">
      <c r="A600" s="123">
        <v>45856</v>
      </c>
      <c r="B600" s="39">
        <v>58</v>
      </c>
      <c r="C600" s="39">
        <v>4.92</v>
      </c>
      <c r="D600" s="39">
        <v>12507020</v>
      </c>
      <c r="E600" s="39" t="s">
        <v>116</v>
      </c>
      <c r="F600" s="39">
        <v>1250</v>
      </c>
      <c r="G600" s="35">
        <v>0.80277777777777781</v>
      </c>
      <c r="H600" s="35">
        <v>0.81319444444444444</v>
      </c>
      <c r="I600" s="36">
        <v>15</v>
      </c>
      <c r="J600" s="67" t="s">
        <v>52</v>
      </c>
      <c r="K600" s="104" t="s">
        <v>445</v>
      </c>
      <c r="L600" s="67" t="s">
        <v>59</v>
      </c>
      <c r="M600" s="47" t="s">
        <v>432</v>
      </c>
    </row>
    <row r="601" spans="1:13" x14ac:dyDescent="0.35">
      <c r="A601" s="123">
        <v>45856</v>
      </c>
      <c r="B601" s="39">
        <v>58</v>
      </c>
      <c r="C601" s="39">
        <v>4.92</v>
      </c>
      <c r="D601" s="39">
        <v>12507020</v>
      </c>
      <c r="E601" s="39" t="s">
        <v>116</v>
      </c>
      <c r="F601" s="39">
        <v>1250</v>
      </c>
      <c r="G601" s="35">
        <v>0.81319444444444444</v>
      </c>
      <c r="H601" s="35">
        <v>0.81874999999999998</v>
      </c>
      <c r="I601" s="36">
        <v>8</v>
      </c>
      <c r="J601" s="67" t="s">
        <v>446</v>
      </c>
      <c r="K601" s="67" t="s">
        <v>445</v>
      </c>
      <c r="L601" s="67" t="s">
        <v>74</v>
      </c>
      <c r="M601" s="47" t="s">
        <v>74</v>
      </c>
    </row>
    <row r="602" spans="1:13" x14ac:dyDescent="0.35">
      <c r="A602" s="123">
        <v>45856</v>
      </c>
      <c r="B602" s="39">
        <v>58</v>
      </c>
      <c r="C602" s="39">
        <v>4.92</v>
      </c>
      <c r="D602" s="45">
        <v>12507021</v>
      </c>
      <c r="E602" s="45" t="s">
        <v>47</v>
      </c>
      <c r="F602" s="45">
        <v>1335</v>
      </c>
      <c r="G602" s="35">
        <v>0.81944444444444442</v>
      </c>
      <c r="H602" s="35">
        <v>0.88194444444444442</v>
      </c>
      <c r="I602" s="36">
        <v>90</v>
      </c>
      <c r="J602" s="67" t="s">
        <v>35</v>
      </c>
      <c r="K602" s="104" t="s">
        <v>445</v>
      </c>
      <c r="L602" s="67" t="s">
        <v>287</v>
      </c>
      <c r="M602" s="49" t="s">
        <v>759</v>
      </c>
    </row>
    <row r="603" spans="1:13" x14ac:dyDescent="0.35">
      <c r="A603" s="123">
        <v>45857</v>
      </c>
      <c r="B603" s="39">
        <v>58</v>
      </c>
      <c r="C603" s="39">
        <v>4.99</v>
      </c>
      <c r="D603" s="45">
        <v>12507022</v>
      </c>
      <c r="E603" s="45" t="s">
        <v>87</v>
      </c>
      <c r="F603" s="45">
        <v>1335</v>
      </c>
      <c r="G603" s="35">
        <v>0.36944444444444446</v>
      </c>
      <c r="H603" s="35">
        <v>0.42152777777777778</v>
      </c>
      <c r="I603" s="36">
        <v>75</v>
      </c>
      <c r="J603" s="67" t="s">
        <v>463</v>
      </c>
      <c r="K603" s="67" t="s">
        <v>26</v>
      </c>
      <c r="L603" s="67" t="s">
        <v>331</v>
      </c>
      <c r="M603" s="47" t="s">
        <v>761</v>
      </c>
    </row>
    <row r="604" spans="1:13" x14ac:dyDescent="0.35">
      <c r="A604" s="123">
        <v>45857</v>
      </c>
      <c r="B604" s="39">
        <v>58</v>
      </c>
      <c r="C604" s="39">
        <v>4.99</v>
      </c>
      <c r="D604" s="39">
        <v>12507023</v>
      </c>
      <c r="E604" s="39" t="s">
        <v>468</v>
      </c>
      <c r="F604" s="39">
        <v>1335</v>
      </c>
      <c r="G604" s="35">
        <v>0.89236111111111116</v>
      </c>
      <c r="H604" s="35">
        <v>0.91666666666666663</v>
      </c>
      <c r="I604" s="36">
        <v>35</v>
      </c>
      <c r="J604" s="67" t="s">
        <v>35</v>
      </c>
      <c r="K604" s="67" t="s">
        <v>161</v>
      </c>
      <c r="L604" s="49" t="s">
        <v>762</v>
      </c>
      <c r="M604" s="49" t="s">
        <v>762</v>
      </c>
    </row>
    <row r="605" spans="1:13" x14ac:dyDescent="0.35">
      <c r="A605" s="122">
        <v>45858</v>
      </c>
      <c r="B605" s="45">
        <v>58</v>
      </c>
      <c r="C605" s="45">
        <v>5.22</v>
      </c>
      <c r="D605" s="39">
        <v>12507023</v>
      </c>
      <c r="E605" s="39" t="s">
        <v>468</v>
      </c>
      <c r="F605" s="39">
        <v>1335</v>
      </c>
      <c r="G605" s="35">
        <v>0.91666666666666663</v>
      </c>
      <c r="H605" s="35">
        <v>0.93402777777777779</v>
      </c>
      <c r="I605" s="36">
        <v>25</v>
      </c>
      <c r="J605" s="67" t="s">
        <v>446</v>
      </c>
      <c r="K605" s="67" t="s">
        <v>161</v>
      </c>
      <c r="L605" s="47" t="s">
        <v>763</v>
      </c>
      <c r="M605" s="47" t="s">
        <v>763</v>
      </c>
    </row>
    <row r="606" spans="1:13" x14ac:dyDescent="0.35">
      <c r="A606" s="122">
        <v>45859</v>
      </c>
      <c r="B606" s="45">
        <v>58</v>
      </c>
      <c r="C606" s="45">
        <v>5.12</v>
      </c>
      <c r="D606" s="45">
        <v>12507024</v>
      </c>
      <c r="E606" s="45" t="s">
        <v>72</v>
      </c>
      <c r="F606" s="45">
        <v>1350</v>
      </c>
      <c r="G606" s="35">
        <v>0.15277777777777779</v>
      </c>
      <c r="H606" s="35">
        <v>0.21527777777777779</v>
      </c>
      <c r="I606" s="36">
        <v>90</v>
      </c>
      <c r="J606" s="67" t="s">
        <v>35</v>
      </c>
      <c r="K606" s="104" t="s">
        <v>445</v>
      </c>
      <c r="L606" s="49" t="s">
        <v>764</v>
      </c>
      <c r="M606" s="49" t="s">
        <v>764</v>
      </c>
    </row>
    <row r="607" spans="1:13" x14ac:dyDescent="0.35">
      <c r="A607" s="122">
        <v>45860</v>
      </c>
      <c r="B607" s="45">
        <v>58</v>
      </c>
      <c r="C607" s="45">
        <v>5.43</v>
      </c>
      <c r="D607" s="45">
        <v>12507025</v>
      </c>
      <c r="E607" s="45" t="s">
        <v>141</v>
      </c>
      <c r="F607" s="45">
        <v>1250</v>
      </c>
      <c r="G607" s="35">
        <v>0.47569444444444442</v>
      </c>
      <c r="H607" s="35">
        <v>0.49166666666666664</v>
      </c>
      <c r="I607" s="36">
        <v>23</v>
      </c>
      <c r="J607" s="67" t="s">
        <v>51</v>
      </c>
      <c r="K607" s="104" t="s">
        <v>445</v>
      </c>
      <c r="L607" s="67" t="s">
        <v>53</v>
      </c>
      <c r="M607" s="47" t="s">
        <v>54</v>
      </c>
    </row>
    <row r="608" spans="1:13" x14ac:dyDescent="0.35">
      <c r="A608" s="123">
        <v>45861</v>
      </c>
      <c r="B608" s="39">
        <v>58</v>
      </c>
      <c r="C608" s="39">
        <v>5.38</v>
      </c>
      <c r="D608" s="39">
        <v>12507026</v>
      </c>
      <c r="E608" s="39" t="s">
        <v>501</v>
      </c>
      <c r="F608" s="39" t="s">
        <v>58</v>
      </c>
      <c r="G608" s="35">
        <v>0.78472222222222221</v>
      </c>
      <c r="H608" s="35">
        <v>0.80555555555555558</v>
      </c>
      <c r="I608" s="36">
        <v>30</v>
      </c>
      <c r="J608" s="67" t="s">
        <v>51</v>
      </c>
      <c r="K608" s="104" t="s">
        <v>445</v>
      </c>
      <c r="L608" s="67" t="s">
        <v>53</v>
      </c>
      <c r="M608" s="47" t="s">
        <v>54</v>
      </c>
    </row>
    <row r="609" spans="1:29" x14ac:dyDescent="0.35">
      <c r="A609" s="123">
        <v>45861</v>
      </c>
      <c r="B609" s="39">
        <v>58</v>
      </c>
      <c r="C609" s="39">
        <v>5.38</v>
      </c>
      <c r="D609" s="39">
        <v>12507026</v>
      </c>
      <c r="E609" s="39" t="s">
        <v>501</v>
      </c>
      <c r="F609" s="39" t="s">
        <v>58</v>
      </c>
      <c r="G609" s="35">
        <v>0.80555555555555558</v>
      </c>
      <c r="H609" s="35">
        <v>0.8256944444444444</v>
      </c>
      <c r="I609" s="36">
        <v>29</v>
      </c>
      <c r="J609" s="67" t="s">
        <v>52</v>
      </c>
      <c r="K609" s="104" t="s">
        <v>445</v>
      </c>
      <c r="L609" s="67" t="s">
        <v>178</v>
      </c>
      <c r="M609" s="47" t="s">
        <v>571</v>
      </c>
    </row>
    <row r="610" spans="1:29" x14ac:dyDescent="0.35">
      <c r="A610" s="122">
        <v>45863</v>
      </c>
      <c r="B610" s="45">
        <v>58</v>
      </c>
      <c r="C610" s="45">
        <v>5.27</v>
      </c>
      <c r="D610" s="45">
        <v>12507027</v>
      </c>
      <c r="E610" s="45" t="s">
        <v>72</v>
      </c>
      <c r="F610" s="45">
        <v>1250</v>
      </c>
      <c r="G610" s="35">
        <v>0.1111111111111111</v>
      </c>
      <c r="H610" s="35">
        <v>0.13194444444444445</v>
      </c>
      <c r="I610" s="36">
        <v>30</v>
      </c>
      <c r="J610" s="67" t="s">
        <v>51</v>
      </c>
      <c r="K610" s="104" t="s">
        <v>445</v>
      </c>
      <c r="L610" s="67" t="s">
        <v>53</v>
      </c>
      <c r="M610" s="47" t="s">
        <v>54</v>
      </c>
    </row>
    <row r="611" spans="1:29" x14ac:dyDescent="0.35">
      <c r="A611" s="123">
        <v>45864</v>
      </c>
      <c r="B611" s="39">
        <v>58</v>
      </c>
      <c r="C611" s="39">
        <v>4.92</v>
      </c>
      <c r="D611" s="39">
        <v>12507028</v>
      </c>
      <c r="E611" s="39" t="s">
        <v>104</v>
      </c>
      <c r="F611" s="39">
        <v>1230</v>
      </c>
      <c r="G611" s="35">
        <v>0.4236111111111111</v>
      </c>
      <c r="H611" s="35">
        <v>0.44444444444444442</v>
      </c>
      <c r="I611" s="36">
        <v>30</v>
      </c>
      <c r="J611" s="67" t="s">
        <v>51</v>
      </c>
      <c r="K611" s="104" t="s">
        <v>445</v>
      </c>
      <c r="L611" s="67" t="s">
        <v>53</v>
      </c>
      <c r="M611" s="47" t="s">
        <v>54</v>
      </c>
    </row>
    <row r="612" spans="1:29" x14ac:dyDescent="0.35">
      <c r="A612" s="123">
        <v>45864</v>
      </c>
      <c r="B612" s="39">
        <v>58</v>
      </c>
      <c r="C612" s="39">
        <v>4.92</v>
      </c>
      <c r="D612" s="39">
        <v>12507028</v>
      </c>
      <c r="E612" s="39" t="s">
        <v>104</v>
      </c>
      <c r="F612" s="39">
        <v>1230</v>
      </c>
      <c r="G612" s="35">
        <v>0.44444444444444442</v>
      </c>
      <c r="H612" s="35">
        <v>0.4548611111111111</v>
      </c>
      <c r="I612" s="36">
        <v>15</v>
      </c>
      <c r="J612" s="67" t="s">
        <v>52</v>
      </c>
      <c r="K612" s="104" t="s">
        <v>445</v>
      </c>
      <c r="L612" s="67" t="s">
        <v>59</v>
      </c>
      <c r="M612" s="47" t="s">
        <v>432</v>
      </c>
    </row>
    <row r="613" spans="1:29" x14ac:dyDescent="0.35">
      <c r="A613" s="123">
        <v>45864</v>
      </c>
      <c r="B613" s="39">
        <v>58</v>
      </c>
      <c r="C613" s="39">
        <v>4.92</v>
      </c>
      <c r="D613" s="39">
        <v>12507028</v>
      </c>
      <c r="E613" s="39" t="s">
        <v>104</v>
      </c>
      <c r="F613" s="39">
        <v>1230</v>
      </c>
      <c r="G613" s="35">
        <v>0.4548611111111111</v>
      </c>
      <c r="H613" s="35">
        <v>0.46388888888888891</v>
      </c>
      <c r="I613" s="36">
        <v>13</v>
      </c>
      <c r="J613" s="67" t="s">
        <v>446</v>
      </c>
      <c r="K613" s="104" t="s">
        <v>41</v>
      </c>
      <c r="L613" s="67" t="s">
        <v>454</v>
      </c>
      <c r="M613" s="47" t="s">
        <v>774</v>
      </c>
    </row>
    <row r="614" spans="1:29" x14ac:dyDescent="0.35">
      <c r="A614" s="123">
        <v>45864</v>
      </c>
      <c r="B614" s="39">
        <v>58</v>
      </c>
      <c r="C614" s="39">
        <v>4.92</v>
      </c>
      <c r="D614" s="45">
        <v>12507029</v>
      </c>
      <c r="E614" s="45" t="s">
        <v>31</v>
      </c>
      <c r="F614" s="45">
        <v>1250</v>
      </c>
      <c r="G614" s="35">
        <v>0.61458333333333337</v>
      </c>
      <c r="H614" s="35">
        <v>0.75555555555555554</v>
      </c>
      <c r="I614" s="36">
        <v>203</v>
      </c>
      <c r="J614" s="67" t="s">
        <v>25</v>
      </c>
      <c r="K614" s="104" t="s">
        <v>445</v>
      </c>
      <c r="L614" s="67" t="s">
        <v>456</v>
      </c>
      <c r="M614" s="60" t="s">
        <v>654</v>
      </c>
    </row>
    <row r="615" spans="1:29" x14ac:dyDescent="0.35">
      <c r="A615" s="122">
        <v>45865</v>
      </c>
      <c r="B615" s="45">
        <v>57.17</v>
      </c>
      <c r="C615" s="45">
        <v>5.32</v>
      </c>
      <c r="D615" s="45">
        <v>12507030</v>
      </c>
      <c r="E615" s="45" t="s">
        <v>202</v>
      </c>
      <c r="F615" s="45">
        <v>1250</v>
      </c>
      <c r="G615" s="35">
        <v>0.8125</v>
      </c>
      <c r="H615" s="35">
        <v>0.86805555555555558</v>
      </c>
      <c r="I615" s="36">
        <v>80</v>
      </c>
      <c r="J615" s="67" t="s">
        <v>35</v>
      </c>
      <c r="K615" s="67" t="s">
        <v>445</v>
      </c>
      <c r="L615" s="47" t="s">
        <v>775</v>
      </c>
      <c r="M615" s="47" t="s">
        <v>775</v>
      </c>
    </row>
    <row r="616" spans="1:29" x14ac:dyDescent="0.35">
      <c r="A616" s="122">
        <v>45866</v>
      </c>
      <c r="B616" s="45">
        <v>57.49</v>
      </c>
      <c r="C616" s="45">
        <v>5.01</v>
      </c>
      <c r="D616" s="45">
        <v>12507031</v>
      </c>
      <c r="E616" s="45" t="s">
        <v>111</v>
      </c>
      <c r="F616" s="45">
        <v>1250</v>
      </c>
      <c r="G616" s="35">
        <v>0.47430555555555554</v>
      </c>
      <c r="H616" s="35">
        <v>0.52777777777777779</v>
      </c>
      <c r="I616" s="36">
        <v>77</v>
      </c>
      <c r="J616" s="67" t="s">
        <v>35</v>
      </c>
      <c r="K616" s="104" t="s">
        <v>62</v>
      </c>
      <c r="L616" s="67" t="s">
        <v>190</v>
      </c>
      <c r="M616" s="49" t="s">
        <v>778</v>
      </c>
    </row>
    <row r="617" spans="1:29" x14ac:dyDescent="0.35">
      <c r="A617" s="123">
        <v>45867</v>
      </c>
      <c r="B617" s="39">
        <v>58</v>
      </c>
      <c r="C617" s="39">
        <v>5.32</v>
      </c>
      <c r="D617" s="39">
        <v>12507032</v>
      </c>
      <c r="E617" s="39" t="s">
        <v>141</v>
      </c>
      <c r="F617" s="39">
        <v>1250</v>
      </c>
      <c r="G617" s="35">
        <v>0.80208333333333337</v>
      </c>
      <c r="H617" s="35">
        <v>0.82291666666666663</v>
      </c>
      <c r="I617" s="36">
        <v>30</v>
      </c>
      <c r="J617" s="67" t="s">
        <v>51</v>
      </c>
      <c r="K617" s="104" t="s">
        <v>445</v>
      </c>
      <c r="L617" s="67" t="s">
        <v>53</v>
      </c>
      <c r="M617" s="47" t="s">
        <v>54</v>
      </c>
    </row>
    <row r="618" spans="1:29" x14ac:dyDescent="0.35">
      <c r="A618" s="123">
        <v>45867</v>
      </c>
      <c r="B618" s="39">
        <v>58</v>
      </c>
      <c r="C618" s="39">
        <v>5.32</v>
      </c>
      <c r="D618" s="39">
        <v>12507032</v>
      </c>
      <c r="E618" s="39" t="s">
        <v>141</v>
      </c>
      <c r="F618" s="39">
        <v>1250</v>
      </c>
      <c r="G618" s="35">
        <v>0.82291666666666663</v>
      </c>
      <c r="H618" s="35">
        <v>0.83333333333333337</v>
      </c>
      <c r="I618" s="36">
        <v>15</v>
      </c>
      <c r="J618" s="67" t="s">
        <v>52</v>
      </c>
      <c r="K618" s="104" t="s">
        <v>445</v>
      </c>
      <c r="L618" s="67" t="s">
        <v>59</v>
      </c>
      <c r="M618" s="47" t="s">
        <v>432</v>
      </c>
    </row>
    <row r="619" spans="1:29" x14ac:dyDescent="0.35">
      <c r="A619" s="123">
        <v>45867</v>
      </c>
      <c r="B619" s="39">
        <v>58</v>
      </c>
      <c r="C619" s="39">
        <v>5.32</v>
      </c>
      <c r="D619" s="39">
        <v>12507032</v>
      </c>
      <c r="E619" s="39" t="s">
        <v>141</v>
      </c>
      <c r="F619" s="39">
        <v>1250</v>
      </c>
      <c r="G619" s="35">
        <v>0.83333333333333337</v>
      </c>
      <c r="H619" s="35">
        <v>0.84027777777777779</v>
      </c>
      <c r="I619" s="36">
        <v>10</v>
      </c>
      <c r="J619" s="67" t="s">
        <v>446</v>
      </c>
      <c r="K619" s="67" t="s">
        <v>41</v>
      </c>
      <c r="L619" s="67" t="s">
        <v>454</v>
      </c>
      <c r="M619" s="47" t="s">
        <v>780</v>
      </c>
    </row>
    <row r="620" spans="1:29" x14ac:dyDescent="0.35">
      <c r="A620" s="122">
        <v>45869</v>
      </c>
      <c r="B620" s="45">
        <v>58</v>
      </c>
      <c r="C620" s="45">
        <v>5.29</v>
      </c>
      <c r="D620" s="45">
        <v>12507033</v>
      </c>
      <c r="E620" s="45" t="s">
        <v>141</v>
      </c>
      <c r="F620" s="45">
        <v>1250</v>
      </c>
      <c r="G620" s="35">
        <v>0.12152777777777778</v>
      </c>
      <c r="H620" s="35">
        <v>0.14097222222222222</v>
      </c>
      <c r="I620" s="36">
        <v>28</v>
      </c>
      <c r="J620" s="67" t="s">
        <v>51</v>
      </c>
      <c r="K620" s="104" t="s">
        <v>445</v>
      </c>
      <c r="L620" s="67" t="s">
        <v>53</v>
      </c>
      <c r="M620" s="47" t="s">
        <v>54</v>
      </c>
    </row>
    <row r="621" spans="1:29" x14ac:dyDescent="0.35">
      <c r="A621" s="123">
        <v>45870</v>
      </c>
      <c r="B621" s="39">
        <v>58</v>
      </c>
      <c r="C621" s="39">
        <v>4.88</v>
      </c>
      <c r="D621" s="39">
        <v>12507034</v>
      </c>
      <c r="E621" s="39" t="s">
        <v>104</v>
      </c>
      <c r="F621" s="39">
        <v>1250</v>
      </c>
      <c r="G621" s="35">
        <v>0.43402777777777779</v>
      </c>
      <c r="H621" s="35">
        <v>0.4548611111111111</v>
      </c>
      <c r="I621" s="36">
        <v>30</v>
      </c>
      <c r="J621" s="86" t="s">
        <v>51</v>
      </c>
      <c r="K621" s="86" t="s">
        <v>445</v>
      </c>
      <c r="L621" s="86" t="s">
        <v>53</v>
      </c>
      <c r="M621" s="47" t="s">
        <v>54</v>
      </c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</row>
    <row r="622" spans="1:29" x14ac:dyDescent="0.35">
      <c r="A622" s="123">
        <v>45870</v>
      </c>
      <c r="B622" s="39">
        <v>58</v>
      </c>
      <c r="C622" s="39">
        <v>4.88</v>
      </c>
      <c r="D622" s="39">
        <v>12507034</v>
      </c>
      <c r="E622" s="39" t="s">
        <v>104</v>
      </c>
      <c r="F622" s="39">
        <v>1250</v>
      </c>
      <c r="G622" s="35">
        <v>0.4548611111111111</v>
      </c>
      <c r="H622" s="35">
        <v>0.46527777777777779</v>
      </c>
      <c r="I622" s="36">
        <v>15</v>
      </c>
      <c r="J622" s="86" t="s">
        <v>52</v>
      </c>
      <c r="K622" s="116" t="s">
        <v>445</v>
      </c>
      <c r="L622" s="86" t="s">
        <v>59</v>
      </c>
      <c r="M622" s="47" t="s">
        <v>432</v>
      </c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</row>
    <row r="623" spans="1:29" x14ac:dyDescent="0.35">
      <c r="A623" s="123">
        <v>45870</v>
      </c>
      <c r="B623" s="39">
        <v>58</v>
      </c>
      <c r="C623" s="39">
        <v>4.88</v>
      </c>
      <c r="D623" s="39">
        <v>12507034</v>
      </c>
      <c r="E623" s="39" t="s">
        <v>104</v>
      </c>
      <c r="F623" s="39">
        <v>1250</v>
      </c>
      <c r="G623" s="35">
        <v>0.46527777777777779</v>
      </c>
      <c r="H623" s="35">
        <v>0.47708333333333336</v>
      </c>
      <c r="I623" s="36">
        <v>17</v>
      </c>
      <c r="J623" s="86" t="s">
        <v>446</v>
      </c>
      <c r="K623" s="116" t="s">
        <v>19</v>
      </c>
      <c r="L623" s="47" t="s">
        <v>685</v>
      </c>
      <c r="M623" s="47" t="s">
        <v>685</v>
      </c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</row>
    <row r="624" spans="1:29" x14ac:dyDescent="0.35">
      <c r="A624" s="123">
        <v>45870</v>
      </c>
      <c r="B624" s="39">
        <v>58</v>
      </c>
      <c r="C624" s="39">
        <v>4.88</v>
      </c>
      <c r="D624" s="39">
        <v>12507034</v>
      </c>
      <c r="E624" s="39" t="s">
        <v>104</v>
      </c>
      <c r="F624" s="39">
        <v>1250</v>
      </c>
      <c r="G624" s="35">
        <v>0.47708333333333336</v>
      </c>
      <c r="H624" s="35">
        <v>0.48819444444444443</v>
      </c>
      <c r="I624" s="36">
        <v>16</v>
      </c>
      <c r="J624" s="86" t="s">
        <v>446</v>
      </c>
      <c r="K624" s="116" t="s">
        <v>41</v>
      </c>
      <c r="L624" s="86" t="s">
        <v>512</v>
      </c>
      <c r="M624" s="47" t="s">
        <v>783</v>
      </c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</row>
    <row r="625" spans="1:29" x14ac:dyDescent="0.35">
      <c r="A625" s="123">
        <v>45871</v>
      </c>
      <c r="B625" s="39">
        <v>58</v>
      </c>
      <c r="C625" s="39">
        <v>4.97</v>
      </c>
      <c r="D625" s="39">
        <v>12508001</v>
      </c>
      <c r="E625" s="39" t="s">
        <v>57</v>
      </c>
      <c r="F625" s="39">
        <v>1250</v>
      </c>
      <c r="G625" s="35">
        <v>0.78472222222222221</v>
      </c>
      <c r="H625" s="35">
        <v>0.80555555555555558</v>
      </c>
      <c r="I625" s="36">
        <v>30</v>
      </c>
      <c r="J625" s="86" t="s">
        <v>51</v>
      </c>
      <c r="K625" s="86" t="s">
        <v>445</v>
      </c>
      <c r="L625" s="86" t="s">
        <v>53</v>
      </c>
      <c r="M625" s="47" t="s">
        <v>54</v>
      </c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</row>
    <row r="626" spans="1:29" x14ac:dyDescent="0.35">
      <c r="A626" s="123">
        <v>45871</v>
      </c>
      <c r="B626" s="39">
        <v>58</v>
      </c>
      <c r="C626" s="39">
        <v>4.97</v>
      </c>
      <c r="D626" s="39">
        <v>12508001</v>
      </c>
      <c r="E626" s="39" t="s">
        <v>57</v>
      </c>
      <c r="F626" s="39">
        <v>1250</v>
      </c>
      <c r="G626" s="35">
        <v>0.80555555555555558</v>
      </c>
      <c r="H626" s="35">
        <v>0.83402777777777781</v>
      </c>
      <c r="I626" s="36">
        <v>41</v>
      </c>
      <c r="J626" s="86" t="s">
        <v>446</v>
      </c>
      <c r="K626" s="116" t="s">
        <v>26</v>
      </c>
      <c r="L626" s="86" t="s">
        <v>543</v>
      </c>
      <c r="M626" s="47" t="s">
        <v>784</v>
      </c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</row>
    <row r="627" spans="1:29" x14ac:dyDescent="0.35">
      <c r="A627" s="122">
        <v>45872</v>
      </c>
      <c r="B627" s="45">
        <v>58</v>
      </c>
      <c r="C627" s="45">
        <v>4.6900000000000004</v>
      </c>
      <c r="D627" s="45">
        <v>12508002</v>
      </c>
      <c r="E627" s="45" t="s">
        <v>175</v>
      </c>
      <c r="F627" s="45">
        <v>1250</v>
      </c>
      <c r="G627" s="35">
        <v>0.97916666666666663</v>
      </c>
      <c r="H627" s="35">
        <v>4.1666666666666664E-2</v>
      </c>
      <c r="I627" s="36">
        <v>90</v>
      </c>
      <c r="J627" s="86" t="s">
        <v>35</v>
      </c>
      <c r="K627" s="116" t="s">
        <v>26</v>
      </c>
      <c r="L627" s="86" t="s">
        <v>742</v>
      </c>
      <c r="M627" s="47" t="s">
        <v>785</v>
      </c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</row>
    <row r="628" spans="1:29" x14ac:dyDescent="0.35">
      <c r="A628" s="123">
        <v>45873</v>
      </c>
      <c r="B628" s="39">
        <v>58</v>
      </c>
      <c r="C628" s="39">
        <v>4.4800000000000004</v>
      </c>
      <c r="D628" s="45">
        <v>12508003</v>
      </c>
      <c r="E628" s="45" t="s">
        <v>122</v>
      </c>
      <c r="F628" s="45">
        <v>1250</v>
      </c>
      <c r="G628" s="35">
        <v>5.2083333333333336E-2</v>
      </c>
      <c r="H628" s="35">
        <v>0.13541666666666666</v>
      </c>
      <c r="I628" s="36">
        <v>120</v>
      </c>
      <c r="J628" s="67" t="s">
        <v>25</v>
      </c>
      <c r="K628" s="104" t="s">
        <v>445</v>
      </c>
      <c r="L628" s="67" t="s">
        <v>456</v>
      </c>
      <c r="M628" s="60" t="s">
        <v>323</v>
      </c>
    </row>
    <row r="629" spans="1:29" x14ac:dyDescent="0.35">
      <c r="A629" s="123">
        <v>45873</v>
      </c>
      <c r="B629" s="39">
        <v>58</v>
      </c>
      <c r="C629" s="39">
        <v>4.4800000000000004</v>
      </c>
      <c r="D629" s="45">
        <v>12508004</v>
      </c>
      <c r="E629" s="45" t="s">
        <v>44</v>
      </c>
      <c r="F629" s="45">
        <v>1250</v>
      </c>
      <c r="G629" s="35">
        <v>0.28263888888888888</v>
      </c>
      <c r="H629" s="35">
        <v>0.84236111111111112</v>
      </c>
      <c r="I629" s="36">
        <v>806</v>
      </c>
      <c r="J629" s="67" t="s">
        <v>448</v>
      </c>
      <c r="K629" s="104" t="s">
        <v>15</v>
      </c>
      <c r="L629" s="67" t="s">
        <v>448</v>
      </c>
      <c r="M629" s="47" t="s">
        <v>17</v>
      </c>
    </row>
    <row r="630" spans="1:29" x14ac:dyDescent="0.35">
      <c r="A630" s="123">
        <v>45873</v>
      </c>
      <c r="B630" s="39">
        <v>58</v>
      </c>
      <c r="C630" s="39">
        <v>4.4800000000000004</v>
      </c>
      <c r="D630" s="39">
        <v>12508005</v>
      </c>
      <c r="E630" s="39" t="s">
        <v>173</v>
      </c>
      <c r="F630" s="39">
        <v>1010</v>
      </c>
      <c r="G630" s="35">
        <v>0.89652777777777781</v>
      </c>
      <c r="H630" s="35">
        <v>0.91666666666666663</v>
      </c>
      <c r="I630" s="36">
        <v>29</v>
      </c>
      <c r="J630" s="67" t="s">
        <v>35</v>
      </c>
      <c r="K630" s="104" t="s">
        <v>19</v>
      </c>
      <c r="L630" s="67" t="s">
        <v>483</v>
      </c>
      <c r="M630" s="49" t="s">
        <v>787</v>
      </c>
    </row>
    <row r="631" spans="1:29" x14ac:dyDescent="0.35">
      <c r="A631" s="123">
        <v>45874</v>
      </c>
      <c r="B631" s="39">
        <v>58</v>
      </c>
      <c r="C631" s="39">
        <v>5.05</v>
      </c>
      <c r="D631" s="39">
        <v>12508005</v>
      </c>
      <c r="E631" s="39" t="s">
        <v>173</v>
      </c>
      <c r="F631" s="39">
        <v>1010</v>
      </c>
      <c r="G631" s="35">
        <v>0.91666666666666663</v>
      </c>
      <c r="H631" s="35">
        <v>0.97916666666666663</v>
      </c>
      <c r="I631" s="36">
        <v>90</v>
      </c>
      <c r="J631" s="67" t="s">
        <v>446</v>
      </c>
      <c r="K631" s="104" t="s">
        <v>19</v>
      </c>
      <c r="L631" s="67" t="s">
        <v>483</v>
      </c>
      <c r="M631" s="47" t="s">
        <v>361</v>
      </c>
    </row>
    <row r="632" spans="1:29" x14ac:dyDescent="0.35">
      <c r="A632" s="123">
        <v>45874</v>
      </c>
      <c r="B632" s="39">
        <v>58</v>
      </c>
      <c r="C632" s="39">
        <v>5.05</v>
      </c>
      <c r="D632" s="39">
        <v>12508005</v>
      </c>
      <c r="E632" s="39" t="s">
        <v>173</v>
      </c>
      <c r="F632" s="39">
        <v>1010</v>
      </c>
      <c r="G632" s="35">
        <v>0.97916666666666663</v>
      </c>
      <c r="H632" s="35">
        <v>0.125</v>
      </c>
      <c r="I632" s="36">
        <v>210</v>
      </c>
      <c r="J632" s="67" t="s">
        <v>446</v>
      </c>
      <c r="K632" s="104" t="s">
        <v>19</v>
      </c>
      <c r="L632" s="67" t="s">
        <v>483</v>
      </c>
      <c r="M632" s="47" t="s">
        <v>788</v>
      </c>
    </row>
    <row r="633" spans="1:29" x14ac:dyDescent="0.35">
      <c r="A633" s="123">
        <v>45874</v>
      </c>
      <c r="B633" s="39">
        <v>58</v>
      </c>
      <c r="C633" s="39">
        <v>5.05</v>
      </c>
      <c r="D633" s="39">
        <v>12508005</v>
      </c>
      <c r="E633" s="39" t="s">
        <v>173</v>
      </c>
      <c r="F633" s="39">
        <v>1010</v>
      </c>
      <c r="G633" s="35">
        <v>0.125</v>
      </c>
      <c r="H633" s="35">
        <v>0.16666666666666666</v>
      </c>
      <c r="I633" s="36">
        <v>60</v>
      </c>
      <c r="J633" s="67" t="s">
        <v>446</v>
      </c>
      <c r="K633" s="104" t="s">
        <v>26</v>
      </c>
      <c r="L633" s="67" t="s">
        <v>543</v>
      </c>
      <c r="M633" s="47" t="s">
        <v>789</v>
      </c>
    </row>
    <row r="634" spans="1:29" x14ac:dyDescent="0.35">
      <c r="A634" s="123">
        <v>45874</v>
      </c>
      <c r="B634" s="39">
        <v>58</v>
      </c>
      <c r="C634" s="39">
        <v>5.05</v>
      </c>
      <c r="D634" s="45">
        <v>12508006</v>
      </c>
      <c r="E634" s="45" t="s">
        <v>170</v>
      </c>
      <c r="F634" s="45">
        <v>1270</v>
      </c>
      <c r="G634" s="35">
        <v>0.625</v>
      </c>
      <c r="H634" s="35">
        <v>0.69444444444444442</v>
      </c>
      <c r="I634" s="36">
        <v>100</v>
      </c>
      <c r="J634" s="67" t="s">
        <v>25</v>
      </c>
      <c r="K634" s="104" t="s">
        <v>445</v>
      </c>
      <c r="L634" s="67" t="s">
        <v>492</v>
      </c>
      <c r="M634" s="60" t="s">
        <v>647</v>
      </c>
    </row>
    <row r="635" spans="1:29" x14ac:dyDescent="0.35">
      <c r="A635" s="123">
        <v>45876</v>
      </c>
      <c r="B635" s="45">
        <v>58</v>
      </c>
      <c r="C635" s="45">
        <v>5.48</v>
      </c>
      <c r="D635" s="39">
        <v>12508007</v>
      </c>
      <c r="E635" s="39" t="s">
        <v>104</v>
      </c>
      <c r="F635" s="39">
        <v>1230</v>
      </c>
      <c r="G635" s="35">
        <v>0.98263888888888884</v>
      </c>
      <c r="H635" s="35">
        <v>3.472222222222222E-3</v>
      </c>
      <c r="I635" s="36">
        <v>30</v>
      </c>
      <c r="J635" s="86" t="s">
        <v>51</v>
      </c>
      <c r="K635" s="86" t="s">
        <v>445</v>
      </c>
      <c r="L635" s="86" t="s">
        <v>53</v>
      </c>
      <c r="M635" s="47" t="s">
        <v>54</v>
      </c>
    </row>
    <row r="636" spans="1:29" x14ac:dyDescent="0.35">
      <c r="A636" s="123">
        <v>45876</v>
      </c>
      <c r="B636" s="39">
        <v>58</v>
      </c>
      <c r="C636" s="39">
        <v>4.95</v>
      </c>
      <c r="D636" s="39">
        <v>12508007</v>
      </c>
      <c r="E636" s="39" t="s">
        <v>104</v>
      </c>
      <c r="F636" s="39">
        <v>1230</v>
      </c>
      <c r="G636" s="35">
        <v>3.472222222222222E-3</v>
      </c>
      <c r="H636" s="35">
        <v>1.3888888888888888E-2</v>
      </c>
      <c r="I636" s="36">
        <v>15</v>
      </c>
      <c r="J636" s="86" t="s">
        <v>52</v>
      </c>
      <c r="K636" s="116" t="s">
        <v>445</v>
      </c>
      <c r="L636" s="86" t="s">
        <v>59</v>
      </c>
      <c r="M636" s="47" t="s">
        <v>432</v>
      </c>
    </row>
    <row r="637" spans="1:29" x14ac:dyDescent="0.35">
      <c r="A637" s="123">
        <v>45876</v>
      </c>
      <c r="B637" s="39">
        <v>58</v>
      </c>
      <c r="C637" s="39">
        <v>4.95</v>
      </c>
      <c r="D637" s="39">
        <v>12508007</v>
      </c>
      <c r="E637" s="39" t="s">
        <v>104</v>
      </c>
      <c r="F637" s="39">
        <v>1230</v>
      </c>
      <c r="G637" s="35">
        <v>1.3888888888888888E-2</v>
      </c>
      <c r="H637" s="35">
        <v>2.2222222222222223E-2</v>
      </c>
      <c r="I637" s="36">
        <v>12</v>
      </c>
      <c r="J637" s="86" t="s">
        <v>446</v>
      </c>
      <c r="K637" s="142" t="s">
        <v>19</v>
      </c>
      <c r="L637" s="86" t="s">
        <v>203</v>
      </c>
      <c r="M637" s="47" t="s">
        <v>792</v>
      </c>
    </row>
    <row r="638" spans="1:29" x14ac:dyDescent="0.35">
      <c r="A638" s="123">
        <v>45876</v>
      </c>
      <c r="B638" s="39">
        <v>58</v>
      </c>
      <c r="C638" s="39">
        <v>4.95</v>
      </c>
      <c r="D638" s="39">
        <v>12508007</v>
      </c>
      <c r="E638" s="39" t="s">
        <v>104</v>
      </c>
      <c r="F638" s="39">
        <v>1230</v>
      </c>
      <c r="G638" s="35">
        <v>2.2222222222222223E-2</v>
      </c>
      <c r="H638" s="35">
        <v>8.6805555555555552E-2</v>
      </c>
      <c r="I638" s="36">
        <v>93</v>
      </c>
      <c r="J638" s="86" t="s">
        <v>446</v>
      </c>
      <c r="K638" s="142" t="s">
        <v>19</v>
      </c>
      <c r="L638" s="86" t="s">
        <v>94</v>
      </c>
      <c r="M638" s="47" t="s">
        <v>793</v>
      </c>
    </row>
    <row r="639" spans="1:29" x14ac:dyDescent="0.35">
      <c r="A639" s="17">
        <v>45877</v>
      </c>
      <c r="B639" s="18">
        <v>58</v>
      </c>
      <c r="C639" s="18">
        <v>5.3848895224518891</v>
      </c>
      <c r="D639" s="15">
        <v>12508008</v>
      </c>
      <c r="E639" s="15" t="s">
        <v>57</v>
      </c>
      <c r="F639" s="15" t="s">
        <v>58</v>
      </c>
      <c r="G639" s="4">
        <v>0.36319444444444443</v>
      </c>
      <c r="H639" s="4">
        <v>0.3840277777777778</v>
      </c>
      <c r="I639" s="5">
        <f t="shared" ref="I639:I659" si="76">IF(H639=0,"",(IF(H639&gt;G639,(H639-G639)*1440,(H639-G639+1)*1440)))</f>
        <v>30.000000000000053</v>
      </c>
      <c r="J639" s="12" t="s">
        <v>51</v>
      </c>
      <c r="K639" s="12" t="s">
        <v>445</v>
      </c>
      <c r="L639" s="12" t="s">
        <v>53</v>
      </c>
      <c r="M639" s="6" t="s">
        <v>54</v>
      </c>
    </row>
    <row r="640" spans="1:29" x14ac:dyDescent="0.35">
      <c r="A640" s="17">
        <v>45877</v>
      </c>
      <c r="B640" s="18">
        <v>58</v>
      </c>
      <c r="C640" s="18">
        <v>5.3848895224518891</v>
      </c>
      <c r="D640" s="15">
        <v>12508008</v>
      </c>
      <c r="E640" s="15" t="s">
        <v>57</v>
      </c>
      <c r="F640" s="15" t="s">
        <v>58</v>
      </c>
      <c r="G640" s="4">
        <v>0.3840277777777778</v>
      </c>
      <c r="H640" s="4">
        <v>0.3888888888888889</v>
      </c>
      <c r="I640" s="5">
        <f t="shared" si="76"/>
        <v>6.9999999999999751</v>
      </c>
      <c r="J640" s="12" t="s">
        <v>446</v>
      </c>
      <c r="K640" s="143" t="s">
        <v>445</v>
      </c>
      <c r="L640" s="12" t="s">
        <v>74</v>
      </c>
      <c r="M640" s="6" t="s">
        <v>74</v>
      </c>
    </row>
    <row r="641" spans="1:13" x14ac:dyDescent="0.35">
      <c r="A641" s="17">
        <v>45878</v>
      </c>
      <c r="B641" s="145">
        <v>58</v>
      </c>
      <c r="C641" s="18">
        <v>5.2115744069015095</v>
      </c>
      <c r="D641" s="15">
        <v>12508009</v>
      </c>
      <c r="E641" s="15" t="s">
        <v>104</v>
      </c>
      <c r="F641" s="15">
        <v>1230</v>
      </c>
      <c r="G641" s="4">
        <v>0.70833333333333337</v>
      </c>
      <c r="H641" s="4">
        <v>0.72916666666666663</v>
      </c>
      <c r="I641" s="5">
        <f t="shared" si="76"/>
        <v>29.999999999999893</v>
      </c>
      <c r="J641" s="12" t="s">
        <v>51</v>
      </c>
      <c r="K641" s="12" t="s">
        <v>445</v>
      </c>
      <c r="L641" s="12" t="s">
        <v>53</v>
      </c>
      <c r="M641" s="6" t="s">
        <v>54</v>
      </c>
    </row>
    <row r="642" spans="1:13" x14ac:dyDescent="0.35">
      <c r="A642" s="17">
        <v>45878</v>
      </c>
      <c r="B642" s="145">
        <v>58</v>
      </c>
      <c r="C642" s="18">
        <v>5.2115744069015095</v>
      </c>
      <c r="D642" s="15">
        <v>12508009</v>
      </c>
      <c r="E642" s="15" t="s">
        <v>104</v>
      </c>
      <c r="F642" s="15">
        <v>1230</v>
      </c>
      <c r="G642" s="4">
        <v>0.72916666666666663</v>
      </c>
      <c r="H642" s="4">
        <v>0.73958333333333337</v>
      </c>
      <c r="I642" s="5">
        <f t="shared" si="76"/>
        <v>15.000000000000107</v>
      </c>
      <c r="J642" s="12" t="s">
        <v>52</v>
      </c>
      <c r="K642" s="143" t="s">
        <v>445</v>
      </c>
      <c r="L642" s="12" t="s">
        <v>59</v>
      </c>
      <c r="M642" s="6" t="s">
        <v>432</v>
      </c>
    </row>
    <row r="643" spans="1:13" x14ac:dyDescent="0.35">
      <c r="A643" s="17">
        <v>45878</v>
      </c>
      <c r="B643" s="10">
        <v>57.761904761904759</v>
      </c>
      <c r="C643" s="10">
        <v>5.2948611111111106</v>
      </c>
      <c r="D643" s="15">
        <v>12508009</v>
      </c>
      <c r="E643" s="15" t="s">
        <v>104</v>
      </c>
      <c r="F643" s="15">
        <v>1230</v>
      </c>
      <c r="G643" s="4">
        <v>0.73958333333333337</v>
      </c>
      <c r="H643" s="4">
        <v>0.74236111111111114</v>
      </c>
      <c r="I643" s="5">
        <f t="shared" si="76"/>
        <v>3.9999999999999858</v>
      </c>
      <c r="J643" s="12" t="s">
        <v>446</v>
      </c>
      <c r="K643" s="143" t="s">
        <v>445</v>
      </c>
      <c r="L643" s="12" t="s">
        <v>74</v>
      </c>
      <c r="M643" s="6" t="s">
        <v>794</v>
      </c>
    </row>
    <row r="644" spans="1:13" x14ac:dyDescent="0.35">
      <c r="A644" s="144">
        <v>45880</v>
      </c>
      <c r="B644" s="10">
        <v>57.045454545454547</v>
      </c>
      <c r="C644" s="10">
        <v>5.4304964539007088</v>
      </c>
      <c r="D644" s="8">
        <v>12508010</v>
      </c>
      <c r="E644" s="8" t="s">
        <v>57</v>
      </c>
      <c r="F644" s="8">
        <v>1250</v>
      </c>
      <c r="G644" s="4">
        <v>0.95138888888888884</v>
      </c>
      <c r="H644" s="4">
        <v>0.97222222222222221</v>
      </c>
      <c r="I644" s="5">
        <f t="shared" si="76"/>
        <v>30.000000000000053</v>
      </c>
      <c r="J644" s="12" t="s">
        <v>51</v>
      </c>
      <c r="K644" s="12" t="s">
        <v>445</v>
      </c>
      <c r="L644" s="12" t="s">
        <v>53</v>
      </c>
      <c r="M644" s="6" t="s">
        <v>54</v>
      </c>
    </row>
    <row r="645" spans="1:13" x14ac:dyDescent="0.35">
      <c r="A645" s="17">
        <v>45881</v>
      </c>
      <c r="B645" s="18">
        <v>57.024999999999999</v>
      </c>
      <c r="C645" s="18">
        <v>5.2474285714285713</v>
      </c>
      <c r="D645" s="15">
        <v>12508011</v>
      </c>
      <c r="E645" s="15" t="s">
        <v>116</v>
      </c>
      <c r="F645" s="15">
        <v>1335</v>
      </c>
      <c r="G645" s="4">
        <v>9.7222222222222224E-2</v>
      </c>
      <c r="H645" s="4">
        <v>0.11805555555555555</v>
      </c>
      <c r="I645" s="5">
        <f t="shared" si="76"/>
        <v>29.999999999999993</v>
      </c>
      <c r="J645" s="12" t="s">
        <v>51</v>
      </c>
      <c r="K645" s="12" t="s">
        <v>445</v>
      </c>
      <c r="L645" s="12" t="s">
        <v>53</v>
      </c>
      <c r="M645" s="6" t="s">
        <v>54</v>
      </c>
    </row>
    <row r="646" spans="1:13" x14ac:dyDescent="0.35">
      <c r="A646" s="17">
        <v>45881</v>
      </c>
      <c r="B646" s="18">
        <v>57.024999999999999</v>
      </c>
      <c r="C646" s="18">
        <v>5.2474285714285713</v>
      </c>
      <c r="D646" s="15">
        <v>12508011</v>
      </c>
      <c r="E646" s="15" t="s">
        <v>116</v>
      </c>
      <c r="F646" s="15">
        <v>1335</v>
      </c>
      <c r="G646" s="4">
        <v>0.11805555555555555</v>
      </c>
      <c r="H646" s="4">
        <v>0.125</v>
      </c>
      <c r="I646" s="5">
        <f t="shared" si="76"/>
        <v>10.000000000000004</v>
      </c>
      <c r="J646" s="12" t="s">
        <v>52</v>
      </c>
      <c r="K646" s="143" t="s">
        <v>445</v>
      </c>
      <c r="L646" s="12" t="s">
        <v>59</v>
      </c>
      <c r="M646" s="6" t="s">
        <v>432</v>
      </c>
    </row>
    <row r="647" spans="1:13" x14ac:dyDescent="0.35">
      <c r="A647" s="144">
        <v>45882</v>
      </c>
      <c r="B647" s="10">
        <v>57.048780487804876</v>
      </c>
      <c r="C647" s="10">
        <v>5.4765248226950352</v>
      </c>
      <c r="D647" s="8">
        <v>12508012</v>
      </c>
      <c r="E647" s="8" t="s">
        <v>104</v>
      </c>
      <c r="F647" s="8">
        <v>1260</v>
      </c>
      <c r="G647" s="4">
        <v>0.43958333333333333</v>
      </c>
      <c r="H647" s="4">
        <v>0.46041666666666664</v>
      </c>
      <c r="I647" s="5">
        <f t="shared" si="76"/>
        <v>29.999999999999972</v>
      </c>
      <c r="J647" s="12" t="s">
        <v>51</v>
      </c>
      <c r="K647" s="12" t="s">
        <v>445</v>
      </c>
      <c r="L647" s="12" t="s">
        <v>53</v>
      </c>
      <c r="M647" s="6" t="s">
        <v>54</v>
      </c>
    </row>
    <row r="648" spans="1:13" x14ac:dyDescent="0.35">
      <c r="A648" s="144">
        <v>45883</v>
      </c>
      <c r="B648" s="10">
        <v>57.384615384615387</v>
      </c>
      <c r="C648" s="10">
        <v>5.45830258302583</v>
      </c>
      <c r="D648" s="8">
        <v>12508013</v>
      </c>
      <c r="E648" s="8" t="s">
        <v>202</v>
      </c>
      <c r="F648" s="8">
        <v>1230</v>
      </c>
      <c r="G648" s="4">
        <v>0.50277777777777777</v>
      </c>
      <c r="H648" s="4">
        <v>0.56180555555555556</v>
      </c>
      <c r="I648" s="5">
        <f t="shared" si="76"/>
        <v>85.000000000000014</v>
      </c>
      <c r="J648" s="12" t="s">
        <v>463</v>
      </c>
      <c r="K648" s="143" t="s">
        <v>26</v>
      </c>
      <c r="L648" s="12" t="s">
        <v>539</v>
      </c>
      <c r="M648" s="12" t="s">
        <v>795</v>
      </c>
    </row>
    <row r="649" spans="1:13" x14ac:dyDescent="0.35">
      <c r="A649" s="17">
        <v>45884</v>
      </c>
      <c r="B649" s="18">
        <v>57.56</v>
      </c>
      <c r="C649" s="18">
        <v>4.7167251461988293</v>
      </c>
      <c r="D649" s="15">
        <v>12508014</v>
      </c>
      <c r="E649" s="15" t="s">
        <v>167</v>
      </c>
      <c r="F649" s="15">
        <v>1250</v>
      </c>
      <c r="G649" s="4">
        <v>0.34375</v>
      </c>
      <c r="H649" s="4">
        <v>0.38541666666666669</v>
      </c>
      <c r="I649" s="5">
        <f t="shared" si="76"/>
        <v>60.000000000000028</v>
      </c>
      <c r="J649" s="12" t="s">
        <v>463</v>
      </c>
      <c r="K649" s="12" t="s">
        <v>445</v>
      </c>
      <c r="L649" s="12" t="s">
        <v>796</v>
      </c>
      <c r="M649" s="6" t="s">
        <v>797</v>
      </c>
    </row>
    <row r="650" spans="1:13" x14ac:dyDescent="0.35">
      <c r="A650" s="17">
        <v>45884</v>
      </c>
      <c r="B650" s="18">
        <v>57.56</v>
      </c>
      <c r="C650" s="18">
        <v>4.7167251461988293</v>
      </c>
      <c r="D650" s="15">
        <v>12508014</v>
      </c>
      <c r="E650" s="15" t="s">
        <v>167</v>
      </c>
      <c r="F650" s="15">
        <v>1250</v>
      </c>
      <c r="G650" s="4">
        <v>0.38541666666666669</v>
      </c>
      <c r="H650" s="4">
        <v>0.39374999999999999</v>
      </c>
      <c r="I650" s="5">
        <f t="shared" si="76"/>
        <v>11.999999999999957</v>
      </c>
      <c r="J650" s="12" t="s">
        <v>446</v>
      </c>
      <c r="K650" s="12" t="s">
        <v>445</v>
      </c>
      <c r="L650" s="12" t="s">
        <v>74</v>
      </c>
      <c r="M650" s="6" t="s">
        <v>298</v>
      </c>
    </row>
    <row r="651" spans="1:13" x14ac:dyDescent="0.35">
      <c r="A651" s="17">
        <v>45884</v>
      </c>
      <c r="B651" s="18">
        <v>57.56</v>
      </c>
      <c r="C651" s="18">
        <v>4.7167251461988293</v>
      </c>
      <c r="D651" s="15">
        <v>12508015</v>
      </c>
      <c r="E651" s="15" t="s">
        <v>47</v>
      </c>
      <c r="F651" s="15">
        <v>1250</v>
      </c>
      <c r="G651" s="4">
        <v>0.39444444444444443</v>
      </c>
      <c r="H651" s="4">
        <v>0.45694444444444443</v>
      </c>
      <c r="I651" s="5">
        <f t="shared" si="76"/>
        <v>90</v>
      </c>
      <c r="J651" s="12" t="s">
        <v>25</v>
      </c>
      <c r="K651" s="12" t="s">
        <v>445</v>
      </c>
      <c r="L651" s="12" t="s">
        <v>492</v>
      </c>
      <c r="M651" s="7" t="s">
        <v>647</v>
      </c>
    </row>
    <row r="652" spans="1:13" x14ac:dyDescent="0.35">
      <c r="A652" s="17">
        <v>45884</v>
      </c>
      <c r="B652" s="18">
        <v>57.56</v>
      </c>
      <c r="C652" s="18">
        <v>4.7167251461988293</v>
      </c>
      <c r="D652" s="15">
        <v>12508015</v>
      </c>
      <c r="E652" s="15" t="s">
        <v>47</v>
      </c>
      <c r="F652" s="15">
        <v>1250</v>
      </c>
      <c r="G652" s="4">
        <v>0.45694444444444443</v>
      </c>
      <c r="H652" s="4">
        <v>0.54513888888888884</v>
      </c>
      <c r="I652" s="5">
        <f t="shared" si="76"/>
        <v>126.99999999999994</v>
      </c>
      <c r="J652" s="12" t="s">
        <v>446</v>
      </c>
      <c r="K652" s="12" t="s">
        <v>445</v>
      </c>
      <c r="L652" s="12" t="s">
        <v>650</v>
      </c>
      <c r="M652" s="6" t="s">
        <v>798</v>
      </c>
    </row>
    <row r="653" spans="1:13" x14ac:dyDescent="0.35">
      <c r="A653" s="17">
        <v>45884</v>
      </c>
      <c r="B653" s="18">
        <v>57.56</v>
      </c>
      <c r="C653" s="18">
        <v>4.7167251461988293</v>
      </c>
      <c r="D653" s="15">
        <v>12508016</v>
      </c>
      <c r="E653" s="15" t="s">
        <v>47</v>
      </c>
      <c r="F653" s="15">
        <v>1250</v>
      </c>
      <c r="G653" s="4">
        <v>0.54861111111111116</v>
      </c>
      <c r="H653" s="4">
        <v>0.61111111111111116</v>
      </c>
      <c r="I653" s="5">
        <f t="shared" si="76"/>
        <v>90</v>
      </c>
      <c r="J653" s="12" t="s">
        <v>35</v>
      </c>
      <c r="K653" s="12" t="s">
        <v>445</v>
      </c>
      <c r="L653" s="12" t="s">
        <v>287</v>
      </c>
      <c r="M653" s="9" t="s">
        <v>799</v>
      </c>
    </row>
    <row r="654" spans="1:13" x14ac:dyDescent="0.35">
      <c r="A654" s="17">
        <v>45884</v>
      </c>
      <c r="B654" s="18">
        <v>57.56</v>
      </c>
      <c r="C654" s="18">
        <v>4.7167251461988293</v>
      </c>
      <c r="D654" s="15">
        <v>12508016</v>
      </c>
      <c r="E654" s="15" t="s">
        <v>47</v>
      </c>
      <c r="F654" s="15">
        <v>1250</v>
      </c>
      <c r="G654" s="4">
        <v>0.61111111111111116</v>
      </c>
      <c r="H654" s="4">
        <v>0.6381944444444444</v>
      </c>
      <c r="I654" s="5">
        <f t="shared" si="76"/>
        <v>38.999999999999858</v>
      </c>
      <c r="J654" s="12" t="s">
        <v>446</v>
      </c>
      <c r="K654" s="12" t="s">
        <v>445</v>
      </c>
      <c r="L654" s="12" t="s">
        <v>650</v>
      </c>
      <c r="M654" s="6" t="s">
        <v>798</v>
      </c>
    </row>
    <row r="655" spans="1:13" x14ac:dyDescent="0.35">
      <c r="A655" s="17">
        <v>45884</v>
      </c>
      <c r="B655" s="18">
        <v>57.56</v>
      </c>
      <c r="C655" s="18">
        <v>4.7167251461988293</v>
      </c>
      <c r="D655" s="8">
        <v>12508017</v>
      </c>
      <c r="E655" s="8" t="s">
        <v>47</v>
      </c>
      <c r="F655" s="8">
        <v>1250</v>
      </c>
      <c r="G655" s="4">
        <v>0.64444444444444449</v>
      </c>
      <c r="H655" s="4">
        <v>0.76041666666666663</v>
      </c>
      <c r="I655" s="5">
        <f t="shared" si="76"/>
        <v>166.99999999999989</v>
      </c>
      <c r="J655" s="12" t="s">
        <v>35</v>
      </c>
      <c r="K655" s="12" t="s">
        <v>445</v>
      </c>
      <c r="L655" s="12" t="s">
        <v>650</v>
      </c>
      <c r="M655" s="9" t="s">
        <v>800</v>
      </c>
    </row>
    <row r="656" spans="1:13" x14ac:dyDescent="0.35">
      <c r="A656" s="144">
        <v>45886</v>
      </c>
      <c r="B656" s="10">
        <v>58</v>
      </c>
      <c r="C656" s="10">
        <v>5.5579861111111111</v>
      </c>
      <c r="D656" s="8">
        <v>12508018</v>
      </c>
      <c r="E656" s="8" t="s">
        <v>104</v>
      </c>
      <c r="F656" s="8" t="s">
        <v>58</v>
      </c>
      <c r="G656" s="4">
        <v>6.25E-2</v>
      </c>
      <c r="H656" s="4">
        <v>8.3333333333333329E-2</v>
      </c>
      <c r="I656" s="5">
        <f t="shared" si="76"/>
        <v>29.999999999999993</v>
      </c>
      <c r="J656" s="12" t="s">
        <v>51</v>
      </c>
      <c r="K656" s="12" t="s">
        <v>445</v>
      </c>
      <c r="L656" s="12" t="s">
        <v>53</v>
      </c>
      <c r="M656" s="6" t="s">
        <v>54</v>
      </c>
    </row>
    <row r="657" spans="1:13" x14ac:dyDescent="0.35">
      <c r="A657" s="17">
        <v>45887</v>
      </c>
      <c r="B657" s="10">
        <v>57.341463414634148</v>
      </c>
      <c r="C657" s="10">
        <v>5.3367375886524808</v>
      </c>
      <c r="D657" s="15">
        <v>12508019</v>
      </c>
      <c r="E657" s="15" t="s">
        <v>104</v>
      </c>
      <c r="F657" s="15">
        <v>1250</v>
      </c>
      <c r="G657" s="4">
        <v>0.3888888888888889</v>
      </c>
      <c r="H657" s="4">
        <v>0.40972222222222221</v>
      </c>
      <c r="I657" s="5">
        <f t="shared" si="76"/>
        <v>29.999999999999972</v>
      </c>
      <c r="J657" s="12" t="s">
        <v>51</v>
      </c>
      <c r="K657" s="12" t="s">
        <v>445</v>
      </c>
      <c r="L657" s="12" t="s">
        <v>53</v>
      </c>
      <c r="M657" s="6" t="s">
        <v>54</v>
      </c>
    </row>
    <row r="658" spans="1:13" x14ac:dyDescent="0.35">
      <c r="A658" s="17">
        <v>45887</v>
      </c>
      <c r="B658" s="18">
        <v>57.536585365853661</v>
      </c>
      <c r="C658" s="18">
        <v>5.1588405797101453</v>
      </c>
      <c r="D658" s="15">
        <v>12508019</v>
      </c>
      <c r="E658" s="15" t="s">
        <v>104</v>
      </c>
      <c r="F658" s="15">
        <v>1250</v>
      </c>
      <c r="G658" s="4">
        <v>0.40972222222222221</v>
      </c>
      <c r="H658" s="4">
        <v>0.4201388888888889</v>
      </c>
      <c r="I658" s="5">
        <f t="shared" si="76"/>
        <v>15.000000000000027</v>
      </c>
      <c r="J658" s="12" t="s">
        <v>52</v>
      </c>
      <c r="K658" s="143" t="s">
        <v>445</v>
      </c>
      <c r="L658" s="12" t="s">
        <v>59</v>
      </c>
      <c r="M658" s="6" t="s">
        <v>432</v>
      </c>
    </row>
    <row r="659" spans="1:13" x14ac:dyDescent="0.35">
      <c r="A659" s="17">
        <v>45887</v>
      </c>
      <c r="B659" s="18">
        <v>57.536585365853661</v>
      </c>
      <c r="C659" s="18">
        <v>5.1588405797101453</v>
      </c>
      <c r="D659" s="15">
        <v>12508019</v>
      </c>
      <c r="E659" s="15" t="s">
        <v>104</v>
      </c>
      <c r="F659" s="15">
        <v>1250</v>
      </c>
      <c r="G659" s="4">
        <v>0.4201388888888889</v>
      </c>
      <c r="H659" s="4">
        <v>0.43055555555555558</v>
      </c>
      <c r="I659" s="5">
        <f t="shared" si="76"/>
        <v>15.000000000000027</v>
      </c>
      <c r="J659" s="12" t="s">
        <v>446</v>
      </c>
      <c r="K659" s="143" t="s">
        <v>41</v>
      </c>
      <c r="L659" s="12" t="s">
        <v>627</v>
      </c>
      <c r="M659" s="6" t="s">
        <v>806</v>
      </c>
    </row>
    <row r="660" spans="1:13" x14ac:dyDescent="0.35">
      <c r="A660" s="122">
        <v>45888</v>
      </c>
      <c r="B660" s="45">
        <v>57.74</v>
      </c>
      <c r="C660" s="45">
        <v>5.15</v>
      </c>
      <c r="D660" s="45">
        <v>12508020</v>
      </c>
      <c r="E660" s="45" t="s">
        <v>66</v>
      </c>
      <c r="F660" s="45">
        <v>1230</v>
      </c>
      <c r="G660" s="35">
        <v>0.42708333333333331</v>
      </c>
      <c r="H660" s="35">
        <v>0.48958333333333331</v>
      </c>
      <c r="I660" s="36">
        <v>90</v>
      </c>
      <c r="J660" s="86" t="s">
        <v>35</v>
      </c>
      <c r="K660" s="116" t="s">
        <v>62</v>
      </c>
      <c r="L660" s="86" t="s">
        <v>165</v>
      </c>
      <c r="M660" s="49" t="s">
        <v>807</v>
      </c>
    </row>
    <row r="661" spans="1:13" x14ac:dyDescent="0.35">
      <c r="A661" s="122">
        <v>45889</v>
      </c>
      <c r="B661" s="45">
        <v>57.6</v>
      </c>
      <c r="C661" s="45">
        <v>5.28</v>
      </c>
      <c r="D661" s="45">
        <v>12508021</v>
      </c>
      <c r="E661" s="45" t="s">
        <v>87</v>
      </c>
      <c r="F661" s="45">
        <v>1240</v>
      </c>
      <c r="G661" s="35">
        <v>0.98611111111111116</v>
      </c>
      <c r="H661" s="35">
        <v>3.7499999999999999E-2</v>
      </c>
      <c r="I661" s="36">
        <v>74</v>
      </c>
      <c r="J661" s="86" t="s">
        <v>35</v>
      </c>
      <c r="K661" s="116" t="s">
        <v>62</v>
      </c>
      <c r="L661" s="86" t="s">
        <v>810</v>
      </c>
      <c r="M661" s="49" t="s">
        <v>811</v>
      </c>
    </row>
    <row r="662" spans="1:13" x14ac:dyDescent="0.35">
      <c r="A662" s="17">
        <v>45890</v>
      </c>
      <c r="B662" s="18">
        <v>57.43181818181818</v>
      </c>
      <c r="C662" s="18">
        <v>5.4103025936599423</v>
      </c>
      <c r="D662" s="15">
        <v>12508022</v>
      </c>
      <c r="E662" s="15" t="s">
        <v>104</v>
      </c>
      <c r="F662" s="15">
        <v>1230</v>
      </c>
      <c r="G662" s="4">
        <v>0.31944444444444442</v>
      </c>
      <c r="H662" s="4">
        <v>0.34027777777777779</v>
      </c>
      <c r="I662" s="5">
        <f t="shared" ref="I662:I674" si="77">IF(H662=0,"",(IF(H662&gt;G662,(H662-G662)*1440,(H662-G662+1)*1440)))</f>
        <v>30.000000000000053</v>
      </c>
      <c r="J662" s="12" t="s">
        <v>51</v>
      </c>
      <c r="K662" s="12" t="s">
        <v>445</v>
      </c>
      <c r="L662" s="12" t="s">
        <v>53</v>
      </c>
      <c r="M662" s="6" t="s">
        <v>54</v>
      </c>
    </row>
    <row r="663" spans="1:13" x14ac:dyDescent="0.35">
      <c r="A663" s="17">
        <v>45890</v>
      </c>
      <c r="B663" s="18">
        <v>57.43181818181818</v>
      </c>
      <c r="C663" s="18">
        <v>5.4103025936599423</v>
      </c>
      <c r="D663" s="15">
        <v>12508022</v>
      </c>
      <c r="E663" s="15" t="s">
        <v>104</v>
      </c>
      <c r="F663" s="15">
        <v>1230</v>
      </c>
      <c r="G663" s="4">
        <v>0.34027777777777779</v>
      </c>
      <c r="H663" s="4">
        <v>0.35069444444444442</v>
      </c>
      <c r="I663" s="5">
        <f t="shared" si="77"/>
        <v>14.999999999999947</v>
      </c>
      <c r="J663" s="12" t="s">
        <v>52</v>
      </c>
      <c r="K663" s="143" t="s">
        <v>445</v>
      </c>
      <c r="L663" s="12" t="s">
        <v>59</v>
      </c>
      <c r="M663" s="6" t="s">
        <v>432</v>
      </c>
    </row>
    <row r="664" spans="1:13" x14ac:dyDescent="0.35">
      <c r="A664" s="17">
        <v>45890</v>
      </c>
      <c r="B664" s="18">
        <v>57.43181818181818</v>
      </c>
      <c r="C664" s="18">
        <v>5.4103025936599423</v>
      </c>
      <c r="D664" s="15">
        <v>12508022</v>
      </c>
      <c r="E664" s="15" t="s">
        <v>104</v>
      </c>
      <c r="F664" s="15">
        <v>1230</v>
      </c>
      <c r="G664" s="4">
        <v>0.35069444444444442</v>
      </c>
      <c r="H664" s="4">
        <v>0.35555555555555557</v>
      </c>
      <c r="I664" s="5">
        <f t="shared" si="77"/>
        <v>7.0000000000000551</v>
      </c>
      <c r="J664" s="12" t="s">
        <v>446</v>
      </c>
      <c r="K664" s="143" t="s">
        <v>62</v>
      </c>
      <c r="L664" s="6" t="s">
        <v>813</v>
      </c>
      <c r="M664" s="6" t="s">
        <v>813</v>
      </c>
    </row>
    <row r="665" spans="1:13" x14ac:dyDescent="0.35">
      <c r="A665" s="17">
        <v>45891</v>
      </c>
      <c r="B665" s="18">
        <v>57.230769230769234</v>
      </c>
      <c r="C665" s="18">
        <v>5.0045567522783765</v>
      </c>
      <c r="D665" s="8">
        <v>12508023</v>
      </c>
      <c r="E665" s="8" t="s">
        <v>815</v>
      </c>
      <c r="F665" s="8">
        <v>1320</v>
      </c>
      <c r="G665" s="4">
        <v>0.64583333333333337</v>
      </c>
      <c r="H665" s="4">
        <v>0.66666666666666663</v>
      </c>
      <c r="I665" s="5">
        <f t="shared" si="77"/>
        <v>29.999999999999893</v>
      </c>
      <c r="J665" s="12" t="s">
        <v>51</v>
      </c>
      <c r="K665" s="12" t="s">
        <v>445</v>
      </c>
      <c r="L665" s="12" t="s">
        <v>53</v>
      </c>
      <c r="M665" s="6" t="s">
        <v>54</v>
      </c>
    </row>
    <row r="666" spans="1:13" x14ac:dyDescent="0.35">
      <c r="A666" s="17">
        <v>45891</v>
      </c>
      <c r="B666" s="18">
        <v>57.230769230769234</v>
      </c>
      <c r="C666" s="18">
        <v>5.0045567522783765</v>
      </c>
      <c r="D666" s="8">
        <v>12508024</v>
      </c>
      <c r="E666" s="8" t="s">
        <v>44</v>
      </c>
      <c r="F666" s="8">
        <v>1252</v>
      </c>
      <c r="G666" s="4">
        <v>0.77430555555555558</v>
      </c>
      <c r="H666" s="4">
        <v>0.87847222222222221</v>
      </c>
      <c r="I666" s="5">
        <f t="shared" si="77"/>
        <v>149.99999999999994</v>
      </c>
      <c r="J666" s="12" t="s">
        <v>35</v>
      </c>
      <c r="K666" s="143" t="s">
        <v>19</v>
      </c>
      <c r="L666" s="12" t="s">
        <v>483</v>
      </c>
      <c r="M666" s="9" t="s">
        <v>40</v>
      </c>
    </row>
    <row r="667" spans="1:13" x14ac:dyDescent="0.35">
      <c r="A667" s="17">
        <v>45891</v>
      </c>
      <c r="B667" s="18">
        <v>57.230769230769234</v>
      </c>
      <c r="C667" s="18">
        <v>5.0045567522783765</v>
      </c>
      <c r="D667" s="8">
        <v>12508025</v>
      </c>
      <c r="E667" s="8" t="s">
        <v>47</v>
      </c>
      <c r="F667" s="8">
        <v>1250</v>
      </c>
      <c r="G667" s="4">
        <v>0.87986111111111109</v>
      </c>
      <c r="H667" s="4">
        <v>0.91666666666666663</v>
      </c>
      <c r="I667" s="5">
        <f t="shared" si="77"/>
        <v>52.999999999999972</v>
      </c>
      <c r="J667" s="12" t="s">
        <v>35</v>
      </c>
      <c r="K667" s="143" t="s">
        <v>41</v>
      </c>
      <c r="L667" s="12" t="s">
        <v>454</v>
      </c>
      <c r="M667" s="9" t="s">
        <v>816</v>
      </c>
    </row>
    <row r="668" spans="1:13" x14ac:dyDescent="0.35">
      <c r="A668" s="17">
        <v>45892</v>
      </c>
      <c r="B668" s="18">
        <v>58</v>
      </c>
      <c r="C668" s="18">
        <v>5.0058386411889595</v>
      </c>
      <c r="D668" s="8">
        <v>12508025</v>
      </c>
      <c r="E668" s="8" t="s">
        <v>47</v>
      </c>
      <c r="F668" s="8">
        <v>1250</v>
      </c>
      <c r="G668" s="4">
        <v>0.91666666666666663</v>
      </c>
      <c r="H668" s="4">
        <v>0.98263888888888884</v>
      </c>
      <c r="I668" s="5">
        <f t="shared" si="77"/>
        <v>94.999999999999986</v>
      </c>
      <c r="J668" s="12" t="s">
        <v>446</v>
      </c>
      <c r="K668" s="143" t="s">
        <v>41</v>
      </c>
      <c r="L668" s="12" t="s">
        <v>454</v>
      </c>
      <c r="M668" s="6" t="s">
        <v>820</v>
      </c>
    </row>
    <row r="669" spans="1:13" x14ac:dyDescent="0.35">
      <c r="A669" s="17">
        <v>45892</v>
      </c>
      <c r="B669" s="18">
        <v>58</v>
      </c>
      <c r="C669" s="18">
        <v>5.0058386411889595</v>
      </c>
      <c r="D669" s="8">
        <v>12508026</v>
      </c>
      <c r="E669" s="8" t="s">
        <v>173</v>
      </c>
      <c r="F669" s="8">
        <v>1250</v>
      </c>
      <c r="G669" s="4">
        <v>1.0194444444444444</v>
      </c>
      <c r="H669" s="4">
        <v>0.14305555555555555</v>
      </c>
      <c r="I669" s="5">
        <f t="shared" si="77"/>
        <v>178</v>
      </c>
      <c r="J669" s="12" t="s">
        <v>35</v>
      </c>
      <c r="K669" s="143" t="s">
        <v>19</v>
      </c>
      <c r="L669" s="12" t="s">
        <v>483</v>
      </c>
      <c r="M669" s="9" t="s">
        <v>40</v>
      </c>
    </row>
    <row r="670" spans="1:13" x14ac:dyDescent="0.35">
      <c r="A670" s="17">
        <v>45892</v>
      </c>
      <c r="B670" s="18">
        <v>58</v>
      </c>
      <c r="C670" s="18">
        <v>5.0058386411889595</v>
      </c>
      <c r="D670" s="8">
        <v>12508027</v>
      </c>
      <c r="E670" s="8" t="s">
        <v>44</v>
      </c>
      <c r="F670" s="8">
        <v>1250</v>
      </c>
      <c r="G670" s="4">
        <v>0.26041666666666669</v>
      </c>
      <c r="H670" s="4">
        <v>0.41666666666666669</v>
      </c>
      <c r="I670" s="5">
        <f t="shared" si="77"/>
        <v>225</v>
      </c>
      <c r="J670" s="12" t="s">
        <v>35</v>
      </c>
      <c r="K670" s="143" t="s">
        <v>19</v>
      </c>
      <c r="L670" s="12" t="s">
        <v>483</v>
      </c>
      <c r="M670" s="9" t="s">
        <v>40</v>
      </c>
    </row>
    <row r="671" spans="1:13" x14ac:dyDescent="0.35">
      <c r="A671" s="17">
        <v>45893</v>
      </c>
      <c r="B671" s="18">
        <v>58</v>
      </c>
      <c r="C671" s="18">
        <v>5.2573770491803282</v>
      </c>
      <c r="D671" s="8">
        <v>12508028</v>
      </c>
      <c r="E671" s="8" t="s">
        <v>273</v>
      </c>
      <c r="F671" s="8">
        <v>1250</v>
      </c>
      <c r="G671" s="4">
        <v>0.21180555555555555</v>
      </c>
      <c r="H671" s="4">
        <v>0.27777777777777779</v>
      </c>
      <c r="I671" s="5">
        <f t="shared" si="77"/>
        <v>95.000000000000028</v>
      </c>
      <c r="J671" s="12" t="s">
        <v>25</v>
      </c>
      <c r="K671" s="143" t="s">
        <v>445</v>
      </c>
      <c r="L671" s="12" t="s">
        <v>456</v>
      </c>
      <c r="M671" s="7" t="s">
        <v>323</v>
      </c>
    </row>
    <row r="672" spans="1:13" x14ac:dyDescent="0.35">
      <c r="A672" s="17">
        <v>45893</v>
      </c>
      <c r="B672" s="18">
        <v>58</v>
      </c>
      <c r="C672" s="18">
        <v>5.2573770491803282</v>
      </c>
      <c r="D672" s="8">
        <v>12508029</v>
      </c>
      <c r="E672" s="8" t="s">
        <v>138</v>
      </c>
      <c r="F672" s="8">
        <v>1250</v>
      </c>
      <c r="G672" s="4">
        <v>0.82986111111111116</v>
      </c>
      <c r="H672" s="4">
        <v>0.91666666666666663</v>
      </c>
      <c r="I672" s="5">
        <f t="shared" si="77"/>
        <v>124.99999999999987</v>
      </c>
      <c r="J672" s="12" t="s">
        <v>35</v>
      </c>
      <c r="K672" s="143" t="s">
        <v>62</v>
      </c>
      <c r="L672" s="12" t="s">
        <v>454</v>
      </c>
      <c r="M672" s="9" t="s">
        <v>821</v>
      </c>
    </row>
    <row r="673" spans="1:13" x14ac:dyDescent="0.35">
      <c r="A673" s="17">
        <v>45894</v>
      </c>
      <c r="B673" s="18">
        <v>58</v>
      </c>
      <c r="C673" s="18">
        <v>5.072916666666667</v>
      </c>
      <c r="D673" s="8">
        <v>12508029</v>
      </c>
      <c r="E673" s="8" t="s">
        <v>138</v>
      </c>
      <c r="F673" s="8">
        <v>1250</v>
      </c>
      <c r="G673" s="4">
        <v>0.91666666666666663</v>
      </c>
      <c r="H673" s="4">
        <v>5.4166666666666669E-2</v>
      </c>
      <c r="I673" s="5">
        <f t="shared" si="77"/>
        <v>198.00000000000009</v>
      </c>
      <c r="J673" s="12" t="s">
        <v>446</v>
      </c>
      <c r="K673" s="143" t="s">
        <v>62</v>
      </c>
      <c r="L673" s="12" t="s">
        <v>454</v>
      </c>
      <c r="M673" s="9" t="s">
        <v>822</v>
      </c>
    </row>
    <row r="674" spans="1:13" x14ac:dyDescent="0.35">
      <c r="A674" s="17">
        <v>45894</v>
      </c>
      <c r="B674" s="18">
        <v>58</v>
      </c>
      <c r="C674" s="18">
        <v>5.072916666666667</v>
      </c>
      <c r="D674" s="8">
        <v>12508030</v>
      </c>
      <c r="E674" s="8" t="s">
        <v>167</v>
      </c>
      <c r="F674" s="8">
        <v>1250</v>
      </c>
      <c r="G674" s="4">
        <v>0.80555555555555558</v>
      </c>
      <c r="H674" s="4">
        <v>0.86805555555555558</v>
      </c>
      <c r="I674" s="5">
        <f t="shared" si="77"/>
        <v>90</v>
      </c>
      <c r="J674" s="12" t="s">
        <v>463</v>
      </c>
      <c r="K674" s="143" t="s">
        <v>41</v>
      </c>
      <c r="L674" s="12" t="s">
        <v>454</v>
      </c>
      <c r="M674" s="6" t="s">
        <v>823</v>
      </c>
    </row>
    <row r="675" spans="1:13" x14ac:dyDescent="0.35">
      <c r="A675" s="123">
        <v>45896</v>
      </c>
      <c r="B675" s="39">
        <v>58</v>
      </c>
      <c r="C675" s="39">
        <v>5.05</v>
      </c>
      <c r="D675" s="45">
        <v>12508031</v>
      </c>
      <c r="E675" s="45" t="s">
        <v>119</v>
      </c>
      <c r="F675" s="45">
        <v>1250</v>
      </c>
      <c r="G675" s="35">
        <v>0.1423611111111111</v>
      </c>
      <c r="H675" s="35">
        <v>0.16319444444444445</v>
      </c>
      <c r="I675" s="36">
        <v>30</v>
      </c>
      <c r="J675" s="86" t="s">
        <v>51</v>
      </c>
      <c r="K675" s="86" t="s">
        <v>445</v>
      </c>
      <c r="L675" s="86" t="s">
        <v>53</v>
      </c>
      <c r="M675" s="47" t="s">
        <v>54</v>
      </c>
    </row>
    <row r="676" spans="1:13" x14ac:dyDescent="0.35">
      <c r="A676" s="123">
        <v>45896</v>
      </c>
      <c r="B676" s="39">
        <v>58</v>
      </c>
      <c r="C676" s="39">
        <v>5.05</v>
      </c>
      <c r="D676" s="45">
        <v>12508032</v>
      </c>
      <c r="E676" s="45" t="s">
        <v>379</v>
      </c>
      <c r="F676" s="45">
        <v>1250</v>
      </c>
      <c r="G676" s="35">
        <v>0.66319444444444442</v>
      </c>
      <c r="H676" s="35">
        <v>0.90972222222222221</v>
      </c>
      <c r="I676" s="36">
        <v>355</v>
      </c>
      <c r="J676" s="86" t="s">
        <v>35</v>
      </c>
      <c r="K676" s="116" t="s">
        <v>19</v>
      </c>
      <c r="L676" s="86" t="s">
        <v>483</v>
      </c>
      <c r="M676" s="49" t="s">
        <v>40</v>
      </c>
    </row>
    <row r="677" spans="1:13" x14ac:dyDescent="0.35">
      <c r="A677" s="123">
        <v>45898</v>
      </c>
      <c r="B677" s="45">
        <v>58</v>
      </c>
      <c r="C677" s="45">
        <v>5.51</v>
      </c>
      <c r="D677" s="39">
        <v>12508033</v>
      </c>
      <c r="E677" s="39" t="s">
        <v>119</v>
      </c>
      <c r="F677" s="39">
        <v>1230</v>
      </c>
      <c r="G677" s="35">
        <v>0.11458333333333333</v>
      </c>
      <c r="H677" s="35">
        <v>0.19791666666666666</v>
      </c>
      <c r="I677" s="36">
        <v>120</v>
      </c>
      <c r="J677" s="86" t="s">
        <v>35</v>
      </c>
      <c r="K677" s="86" t="s">
        <v>445</v>
      </c>
      <c r="L677" s="49" t="s">
        <v>826</v>
      </c>
      <c r="M677" s="49" t="s">
        <v>826</v>
      </c>
    </row>
    <row r="678" spans="1:13" x14ac:dyDescent="0.35">
      <c r="A678" s="123">
        <v>45898</v>
      </c>
      <c r="B678" s="45">
        <v>58</v>
      </c>
      <c r="C678" s="45">
        <v>4.91</v>
      </c>
      <c r="D678" s="39">
        <v>12508033</v>
      </c>
      <c r="E678" s="39" t="s">
        <v>119</v>
      </c>
      <c r="F678" s="39">
        <v>1230</v>
      </c>
      <c r="G678" s="35">
        <v>0.19791666666666666</v>
      </c>
      <c r="H678" s="35">
        <v>0.2951388888888889</v>
      </c>
      <c r="I678" s="36">
        <v>140</v>
      </c>
      <c r="J678" s="86" t="s">
        <v>446</v>
      </c>
      <c r="K678" s="116" t="s">
        <v>161</v>
      </c>
      <c r="L678" s="86" t="s">
        <v>168</v>
      </c>
      <c r="M678" s="47" t="s">
        <v>827</v>
      </c>
    </row>
    <row r="679" spans="1:13" x14ac:dyDescent="0.35">
      <c r="A679" s="123">
        <v>45899</v>
      </c>
      <c r="B679" s="39">
        <v>57.06</v>
      </c>
      <c r="C679" s="39">
        <v>5.18</v>
      </c>
      <c r="D679" s="45">
        <v>12508034</v>
      </c>
      <c r="E679" s="45" t="s">
        <v>104</v>
      </c>
      <c r="F679" s="45">
        <v>1240</v>
      </c>
      <c r="G679" s="35">
        <v>0.61111111111111116</v>
      </c>
      <c r="H679" s="35">
        <v>0.63194444444444442</v>
      </c>
      <c r="I679" s="36">
        <v>30</v>
      </c>
      <c r="J679" s="86" t="s">
        <v>51</v>
      </c>
      <c r="K679" s="86" t="s">
        <v>445</v>
      </c>
      <c r="L679" s="86" t="s">
        <v>53</v>
      </c>
      <c r="M679" s="47" t="s">
        <v>54</v>
      </c>
    </row>
    <row r="680" spans="1:13" x14ac:dyDescent="0.35">
      <c r="A680" s="123">
        <v>45899</v>
      </c>
      <c r="B680" s="39">
        <v>57.06</v>
      </c>
      <c r="C680" s="39">
        <v>5.18</v>
      </c>
      <c r="D680" s="39">
        <v>12508035</v>
      </c>
      <c r="E680" s="39" t="s">
        <v>47</v>
      </c>
      <c r="F680" s="39">
        <v>1260</v>
      </c>
      <c r="G680" s="35">
        <v>0.65277777777777779</v>
      </c>
      <c r="H680" s="35">
        <v>0.71527777777777779</v>
      </c>
      <c r="I680" s="36">
        <v>90</v>
      </c>
      <c r="J680" s="86" t="s">
        <v>35</v>
      </c>
      <c r="K680" s="116" t="s">
        <v>41</v>
      </c>
      <c r="L680" s="86" t="s">
        <v>454</v>
      </c>
      <c r="M680" s="49" t="s">
        <v>830</v>
      </c>
    </row>
    <row r="681" spans="1:13" x14ac:dyDescent="0.35">
      <c r="A681" s="123">
        <v>45899</v>
      </c>
      <c r="B681" s="39">
        <v>57.06</v>
      </c>
      <c r="C681" s="39">
        <v>5.18</v>
      </c>
      <c r="D681" s="39">
        <v>12508035</v>
      </c>
      <c r="E681" s="39" t="s">
        <v>47</v>
      </c>
      <c r="F681" s="39">
        <v>1260</v>
      </c>
      <c r="G681" s="35">
        <v>0.71527777777777779</v>
      </c>
      <c r="H681" s="35">
        <v>0.82638888888888884</v>
      </c>
      <c r="I681" s="36">
        <v>160</v>
      </c>
      <c r="J681" s="86" t="s">
        <v>446</v>
      </c>
      <c r="K681" s="116" t="s">
        <v>41</v>
      </c>
      <c r="L681" s="86" t="s">
        <v>454</v>
      </c>
      <c r="M681" s="47" t="s">
        <v>831</v>
      </c>
    </row>
    <row r="682" spans="1:13" x14ac:dyDescent="0.35">
      <c r="A682" s="122">
        <v>45900</v>
      </c>
      <c r="B682" s="45">
        <v>58</v>
      </c>
      <c r="C682" s="45">
        <v>5.22</v>
      </c>
      <c r="D682" s="45">
        <v>12508036</v>
      </c>
      <c r="E682" s="45" t="s">
        <v>156</v>
      </c>
      <c r="F682" s="45">
        <v>1260</v>
      </c>
      <c r="G682" s="35">
        <v>0.72569444444444442</v>
      </c>
      <c r="H682" s="35">
        <v>0.91666666666666663</v>
      </c>
      <c r="I682" s="36">
        <v>275</v>
      </c>
      <c r="J682" s="86" t="s">
        <v>35</v>
      </c>
      <c r="K682" s="116" t="s">
        <v>161</v>
      </c>
      <c r="L682" s="86" t="s">
        <v>832</v>
      </c>
      <c r="M682" s="49" t="s">
        <v>833</v>
      </c>
    </row>
    <row r="683" spans="1:13" x14ac:dyDescent="0.35">
      <c r="A683" s="123">
        <v>45901</v>
      </c>
      <c r="B683" s="39">
        <v>57.1</v>
      </c>
      <c r="C683" s="39">
        <v>5.46</v>
      </c>
      <c r="D683" s="45">
        <v>12508036</v>
      </c>
      <c r="E683" s="45" t="s">
        <v>156</v>
      </c>
      <c r="F683" s="45">
        <v>1260</v>
      </c>
      <c r="G683" s="35">
        <v>0.91666666666666663</v>
      </c>
      <c r="H683" s="35">
        <v>0.95486111111111116</v>
      </c>
      <c r="I683" s="36">
        <v>55</v>
      </c>
      <c r="J683" s="86" t="s">
        <v>446</v>
      </c>
      <c r="K683" s="86" t="s">
        <v>161</v>
      </c>
      <c r="L683" s="86" t="s">
        <v>832</v>
      </c>
      <c r="M683" s="47" t="s">
        <v>836</v>
      </c>
    </row>
    <row r="684" spans="1:13" x14ac:dyDescent="0.35">
      <c r="A684" s="123">
        <v>45902</v>
      </c>
      <c r="B684" s="39">
        <v>57.4</v>
      </c>
      <c r="C684" s="39">
        <v>4.9400000000000004</v>
      </c>
      <c r="D684" s="39">
        <v>12509001</v>
      </c>
      <c r="E684" s="39" t="s">
        <v>159</v>
      </c>
      <c r="F684" s="39" t="s">
        <v>88</v>
      </c>
      <c r="G684" s="35">
        <v>6.5972222222222224E-2</v>
      </c>
      <c r="H684" s="35">
        <v>0.12847222222222221</v>
      </c>
      <c r="I684" s="36">
        <v>90</v>
      </c>
      <c r="J684" s="86" t="s">
        <v>35</v>
      </c>
      <c r="K684" s="86" t="s">
        <v>26</v>
      </c>
      <c r="L684" s="86" t="s">
        <v>539</v>
      </c>
      <c r="M684" s="49" t="s">
        <v>385</v>
      </c>
    </row>
    <row r="685" spans="1:13" x14ac:dyDescent="0.35">
      <c r="A685" s="123">
        <v>45902</v>
      </c>
      <c r="B685" s="39">
        <v>57.4</v>
      </c>
      <c r="C685" s="39">
        <v>4.9400000000000004</v>
      </c>
      <c r="D685" s="39">
        <v>12509001</v>
      </c>
      <c r="E685" s="39" t="s">
        <v>159</v>
      </c>
      <c r="F685" s="39" t="s">
        <v>88</v>
      </c>
      <c r="G685" s="35">
        <v>0.12847222222222221</v>
      </c>
      <c r="H685" s="35">
        <v>0.16319444444444445</v>
      </c>
      <c r="I685" s="36">
        <v>50</v>
      </c>
      <c r="J685" s="86" t="s">
        <v>446</v>
      </c>
      <c r="K685" s="116" t="s">
        <v>19</v>
      </c>
      <c r="L685" s="47" t="s">
        <v>837</v>
      </c>
      <c r="M685" s="47" t="s">
        <v>837</v>
      </c>
    </row>
    <row r="686" spans="1:13" x14ac:dyDescent="0.35">
      <c r="A686" s="123">
        <v>45902</v>
      </c>
      <c r="B686" s="39">
        <v>57.4</v>
      </c>
      <c r="C686" s="39">
        <v>4.9400000000000004</v>
      </c>
      <c r="D686" s="39">
        <v>12509001</v>
      </c>
      <c r="E686" s="39" t="s">
        <v>159</v>
      </c>
      <c r="F686" s="39" t="s">
        <v>88</v>
      </c>
      <c r="G686" s="35">
        <v>0.16319444444444445</v>
      </c>
      <c r="H686" s="35">
        <v>0.2</v>
      </c>
      <c r="I686" s="36">
        <v>53</v>
      </c>
      <c r="J686" s="86" t="s">
        <v>446</v>
      </c>
      <c r="K686" s="116" t="s">
        <v>445</v>
      </c>
      <c r="L686" s="47" t="s">
        <v>837</v>
      </c>
      <c r="M686" s="47" t="s">
        <v>837</v>
      </c>
    </row>
    <row r="687" spans="1:13" x14ac:dyDescent="0.35">
      <c r="A687" s="123">
        <v>45902</v>
      </c>
      <c r="B687" s="39">
        <v>57.4</v>
      </c>
      <c r="C687" s="39">
        <v>4.9400000000000004</v>
      </c>
      <c r="D687" s="45">
        <v>12509002</v>
      </c>
      <c r="E687" s="45" t="s">
        <v>90</v>
      </c>
      <c r="F687" s="45">
        <v>1230</v>
      </c>
      <c r="G687" s="35">
        <v>0.52777777777777779</v>
      </c>
      <c r="H687" s="35">
        <v>0.58472222222222225</v>
      </c>
      <c r="I687" s="36">
        <v>82</v>
      </c>
      <c r="J687" s="86" t="s">
        <v>35</v>
      </c>
      <c r="K687" s="116" t="s">
        <v>445</v>
      </c>
      <c r="L687" s="86" t="s">
        <v>838</v>
      </c>
      <c r="M687" s="49" t="s">
        <v>839</v>
      </c>
    </row>
    <row r="688" spans="1:13" x14ac:dyDescent="0.35">
      <c r="A688" s="123">
        <v>45902</v>
      </c>
      <c r="B688" s="39">
        <v>57.4</v>
      </c>
      <c r="C688" s="39">
        <v>4.9400000000000004</v>
      </c>
      <c r="D688" s="39">
        <v>12509003</v>
      </c>
      <c r="E688" s="39" t="s">
        <v>173</v>
      </c>
      <c r="F688" s="39">
        <v>1250</v>
      </c>
      <c r="G688" s="35">
        <v>0.63541666666666663</v>
      </c>
      <c r="H688" s="35">
        <v>0.71875</v>
      </c>
      <c r="I688" s="36">
        <v>120</v>
      </c>
      <c r="J688" s="86" t="s">
        <v>35</v>
      </c>
      <c r="K688" s="86" t="s">
        <v>445</v>
      </c>
      <c r="L688" s="86" t="s">
        <v>838</v>
      </c>
      <c r="M688" s="49" t="s">
        <v>840</v>
      </c>
    </row>
    <row r="689" spans="1:13" x14ac:dyDescent="0.35">
      <c r="A689" s="123">
        <v>45902</v>
      </c>
      <c r="B689" s="39">
        <v>57.4</v>
      </c>
      <c r="C689" s="39">
        <v>4.9400000000000004</v>
      </c>
      <c r="D689" s="39">
        <v>12509003</v>
      </c>
      <c r="E689" s="39" t="s">
        <v>173</v>
      </c>
      <c r="F689" s="39">
        <v>1250</v>
      </c>
      <c r="G689" s="35">
        <v>0.71875</v>
      </c>
      <c r="H689" s="35">
        <v>0.72916666666666663</v>
      </c>
      <c r="I689" s="36">
        <v>15</v>
      </c>
      <c r="J689" s="86" t="s">
        <v>446</v>
      </c>
      <c r="K689" s="116" t="s">
        <v>445</v>
      </c>
      <c r="L689" s="86" t="s">
        <v>74</v>
      </c>
      <c r="M689" s="47" t="s">
        <v>298</v>
      </c>
    </row>
    <row r="690" spans="1:13" x14ac:dyDescent="0.35">
      <c r="A690" s="122">
        <v>45903</v>
      </c>
      <c r="B690" s="45">
        <v>58</v>
      </c>
      <c r="C690" s="45">
        <v>5.68</v>
      </c>
      <c r="D690" s="45">
        <v>12509004</v>
      </c>
      <c r="E690" s="45" t="s">
        <v>116</v>
      </c>
      <c r="F690" s="45">
        <v>1250</v>
      </c>
      <c r="G690" s="35">
        <v>0.82638888888888884</v>
      </c>
      <c r="H690" s="35">
        <v>0.88888888888888884</v>
      </c>
      <c r="I690" s="36">
        <v>90</v>
      </c>
      <c r="J690" s="86" t="s">
        <v>35</v>
      </c>
      <c r="K690" s="116" t="s">
        <v>19</v>
      </c>
      <c r="L690" s="86" t="s">
        <v>418</v>
      </c>
      <c r="M690" s="49" t="s">
        <v>842</v>
      </c>
    </row>
    <row r="691" spans="1:13" x14ac:dyDescent="0.35">
      <c r="A691" s="123">
        <v>45905</v>
      </c>
      <c r="B691" s="45">
        <v>58</v>
      </c>
      <c r="C691" s="45">
        <v>5.5</v>
      </c>
      <c r="D691" s="39">
        <v>12509005</v>
      </c>
      <c r="E691" s="39" t="s">
        <v>496</v>
      </c>
      <c r="F691" s="39">
        <v>1250</v>
      </c>
      <c r="G691" s="35">
        <v>0.19583333333333333</v>
      </c>
      <c r="H691" s="35">
        <v>0.21666666666666667</v>
      </c>
      <c r="I691" s="36">
        <v>30</v>
      </c>
      <c r="J691" s="86" t="s">
        <v>51</v>
      </c>
      <c r="K691" s="116" t="s">
        <v>445</v>
      </c>
      <c r="L691" s="86" t="s">
        <v>53</v>
      </c>
      <c r="M691" s="47" t="s">
        <v>54</v>
      </c>
    </row>
    <row r="692" spans="1:13" x14ac:dyDescent="0.35">
      <c r="A692" s="123">
        <v>45905</v>
      </c>
      <c r="B692" s="45">
        <v>57.89</v>
      </c>
      <c r="C692" s="45">
        <v>5.04</v>
      </c>
      <c r="D692" s="39">
        <v>12509005</v>
      </c>
      <c r="E692" s="39" t="s">
        <v>496</v>
      </c>
      <c r="F692" s="39">
        <v>1250</v>
      </c>
      <c r="G692" s="35">
        <v>0.21666666666666667</v>
      </c>
      <c r="H692" s="35">
        <v>0.22569444444444445</v>
      </c>
      <c r="I692" s="36">
        <v>13</v>
      </c>
      <c r="J692" s="86" t="s">
        <v>446</v>
      </c>
      <c r="K692" s="116" t="s">
        <v>445</v>
      </c>
      <c r="L692" s="86" t="s">
        <v>55</v>
      </c>
      <c r="M692" s="47" t="s">
        <v>844</v>
      </c>
    </row>
    <row r="693" spans="1:13" x14ac:dyDescent="0.35">
      <c r="A693" s="123">
        <v>45906</v>
      </c>
      <c r="B693" s="39">
        <v>58</v>
      </c>
      <c r="C693" s="39">
        <v>5.5</v>
      </c>
      <c r="D693" s="39">
        <v>12509006</v>
      </c>
      <c r="E693" s="39" t="s">
        <v>119</v>
      </c>
      <c r="F693" s="39">
        <v>1250</v>
      </c>
      <c r="G693" s="35">
        <v>0.52152777777777781</v>
      </c>
      <c r="H693" s="35">
        <v>0.54236111111111107</v>
      </c>
      <c r="I693" s="36">
        <v>30</v>
      </c>
      <c r="J693" s="86" t="s">
        <v>51</v>
      </c>
      <c r="K693" s="116" t="s">
        <v>445</v>
      </c>
      <c r="L693" s="86" t="s">
        <v>53</v>
      </c>
      <c r="M693" s="47" t="s">
        <v>54</v>
      </c>
    </row>
    <row r="694" spans="1:13" x14ac:dyDescent="0.35">
      <c r="A694" s="123">
        <v>45906</v>
      </c>
      <c r="B694" s="39">
        <v>58</v>
      </c>
      <c r="C694" s="39">
        <v>5.5</v>
      </c>
      <c r="D694" s="39">
        <v>12509006</v>
      </c>
      <c r="E694" s="39" t="s">
        <v>119</v>
      </c>
      <c r="F694" s="39">
        <v>1250</v>
      </c>
      <c r="G694" s="35">
        <v>0.54236111111111107</v>
      </c>
      <c r="H694" s="35">
        <v>0.55277777777777781</v>
      </c>
      <c r="I694" s="36">
        <v>15</v>
      </c>
      <c r="J694" s="86" t="s">
        <v>52</v>
      </c>
      <c r="K694" s="116" t="s">
        <v>445</v>
      </c>
      <c r="L694" s="86" t="s">
        <v>59</v>
      </c>
      <c r="M694" s="47" t="s">
        <v>432</v>
      </c>
    </row>
    <row r="695" spans="1:13" x14ac:dyDescent="0.35">
      <c r="A695" s="123">
        <v>45906</v>
      </c>
      <c r="B695" s="39">
        <v>58</v>
      </c>
      <c r="C695" s="39">
        <v>5.5</v>
      </c>
      <c r="D695" s="39">
        <v>12509006</v>
      </c>
      <c r="E695" s="39" t="s">
        <v>119</v>
      </c>
      <c r="F695" s="39">
        <v>1250</v>
      </c>
      <c r="G695" s="35">
        <v>0.55277777777777781</v>
      </c>
      <c r="H695" s="35">
        <v>0.55625000000000002</v>
      </c>
      <c r="I695" s="36">
        <v>5</v>
      </c>
      <c r="J695" s="86" t="s">
        <v>446</v>
      </c>
      <c r="K695" s="86" t="s">
        <v>445</v>
      </c>
      <c r="L695" s="86" t="s">
        <v>74</v>
      </c>
      <c r="M695" s="47" t="s">
        <v>298</v>
      </c>
    </row>
    <row r="696" spans="1:13" x14ac:dyDescent="0.35">
      <c r="A696" s="123">
        <v>45907</v>
      </c>
      <c r="B696" s="39">
        <v>57.44</v>
      </c>
      <c r="C696" s="39">
        <v>5.16</v>
      </c>
      <c r="D696" s="45">
        <v>12509007</v>
      </c>
      <c r="E696" s="45" t="s">
        <v>141</v>
      </c>
      <c r="F696" s="45" t="s">
        <v>58</v>
      </c>
      <c r="G696" s="35">
        <v>0.8520833333333333</v>
      </c>
      <c r="H696" s="35">
        <v>0.87152777777777779</v>
      </c>
      <c r="I696" s="36">
        <v>28</v>
      </c>
      <c r="J696" s="86" t="s">
        <v>51</v>
      </c>
      <c r="K696" s="116" t="s">
        <v>445</v>
      </c>
      <c r="L696" s="86" t="s">
        <v>53</v>
      </c>
      <c r="M696" s="47" t="s">
        <v>54</v>
      </c>
    </row>
    <row r="697" spans="1:13" x14ac:dyDescent="0.35">
      <c r="A697" s="123">
        <v>45907</v>
      </c>
      <c r="B697" s="39">
        <v>57.44</v>
      </c>
      <c r="C697" s="39">
        <v>5.16</v>
      </c>
      <c r="D697" s="127">
        <v>12509008</v>
      </c>
      <c r="E697" s="127" t="s">
        <v>47</v>
      </c>
      <c r="F697" s="127">
        <v>1250</v>
      </c>
      <c r="G697" s="35">
        <v>0.87222222222222223</v>
      </c>
      <c r="H697" s="35">
        <v>0.91666666666666663</v>
      </c>
      <c r="I697" s="36">
        <v>64</v>
      </c>
      <c r="J697" s="86" t="s">
        <v>25</v>
      </c>
      <c r="K697" s="116" t="s">
        <v>445</v>
      </c>
      <c r="L697" s="86" t="s">
        <v>492</v>
      </c>
      <c r="M697" s="60" t="s">
        <v>647</v>
      </c>
    </row>
    <row r="698" spans="1:13" x14ac:dyDescent="0.35">
      <c r="A698" s="122">
        <v>45908</v>
      </c>
      <c r="B698" s="45">
        <v>57.98</v>
      </c>
      <c r="C698" s="45">
        <v>5.51</v>
      </c>
      <c r="D698" s="127">
        <v>12509008</v>
      </c>
      <c r="E698" s="127" t="s">
        <v>47</v>
      </c>
      <c r="F698" s="127">
        <v>1250</v>
      </c>
      <c r="G698" s="35">
        <v>0.91666666666666663</v>
      </c>
      <c r="H698" s="35">
        <v>0.97569444444444442</v>
      </c>
      <c r="I698" s="36">
        <v>85</v>
      </c>
      <c r="J698" s="86" t="s">
        <v>446</v>
      </c>
      <c r="K698" s="86" t="s">
        <v>445</v>
      </c>
      <c r="L698" s="86" t="s">
        <v>492</v>
      </c>
      <c r="M698" s="121" t="s">
        <v>846</v>
      </c>
    </row>
    <row r="699" spans="1:13" x14ac:dyDescent="0.35">
      <c r="A699" s="122">
        <v>45909</v>
      </c>
      <c r="B699" s="45">
        <v>58</v>
      </c>
      <c r="C699" s="45">
        <v>5.35</v>
      </c>
      <c r="D699" s="45">
        <v>12509009</v>
      </c>
      <c r="E699" s="45" t="s">
        <v>141</v>
      </c>
      <c r="F699" s="45">
        <v>1250</v>
      </c>
      <c r="G699" s="35">
        <v>0.21527777777777779</v>
      </c>
      <c r="H699" s="35">
        <v>0.29722222222222222</v>
      </c>
      <c r="I699" s="36">
        <v>118</v>
      </c>
      <c r="J699" s="86" t="s">
        <v>25</v>
      </c>
      <c r="K699" s="86" t="s">
        <v>445</v>
      </c>
      <c r="L699" s="86" t="s">
        <v>456</v>
      </c>
      <c r="M699" s="60" t="s">
        <v>323</v>
      </c>
    </row>
    <row r="700" spans="1:13" x14ac:dyDescent="0.35">
      <c r="A700" s="123">
        <v>45910</v>
      </c>
      <c r="B700" s="39">
        <v>58</v>
      </c>
      <c r="C700" s="39">
        <v>5.3</v>
      </c>
      <c r="D700" s="39">
        <v>12509010</v>
      </c>
      <c r="E700" s="39" t="s">
        <v>66</v>
      </c>
      <c r="F700" s="39">
        <v>1250</v>
      </c>
      <c r="G700" s="35">
        <v>0.25486111111111109</v>
      </c>
      <c r="H700" s="35">
        <v>0.31180555555555556</v>
      </c>
      <c r="I700" s="36">
        <v>82</v>
      </c>
      <c r="J700" s="86" t="s">
        <v>35</v>
      </c>
      <c r="K700" s="116" t="s">
        <v>445</v>
      </c>
      <c r="L700" s="86" t="s">
        <v>838</v>
      </c>
      <c r="M700" s="49" t="s">
        <v>849</v>
      </c>
    </row>
    <row r="701" spans="1:13" x14ac:dyDescent="0.35">
      <c r="A701" s="123">
        <v>45910</v>
      </c>
      <c r="B701" s="39">
        <v>58</v>
      </c>
      <c r="C701" s="39">
        <v>5.3</v>
      </c>
      <c r="D701" s="39">
        <v>12509010</v>
      </c>
      <c r="E701" s="39" t="s">
        <v>66</v>
      </c>
      <c r="F701" s="39">
        <v>1250</v>
      </c>
      <c r="G701" s="35">
        <v>0.31180555555555556</v>
      </c>
      <c r="H701" s="35">
        <v>0.36805555555555558</v>
      </c>
      <c r="I701" s="36">
        <v>81</v>
      </c>
      <c r="J701" s="86" t="s">
        <v>35</v>
      </c>
      <c r="K701" s="116" t="s">
        <v>161</v>
      </c>
      <c r="L701" s="86" t="s">
        <v>168</v>
      </c>
      <c r="M701" s="49" t="s">
        <v>849</v>
      </c>
    </row>
    <row r="702" spans="1:13" x14ac:dyDescent="0.35">
      <c r="A702" s="123">
        <v>45911</v>
      </c>
      <c r="B702" s="39">
        <v>58</v>
      </c>
      <c r="C702" s="39">
        <v>5.34</v>
      </c>
      <c r="D702" s="39">
        <v>12509011</v>
      </c>
      <c r="E702" s="39" t="s">
        <v>116</v>
      </c>
      <c r="F702" s="39">
        <v>1250</v>
      </c>
      <c r="G702" s="35">
        <v>0.51527777777777772</v>
      </c>
      <c r="H702" s="35">
        <v>0.53611111111111109</v>
      </c>
      <c r="I702" s="36">
        <v>30</v>
      </c>
      <c r="J702" s="86" t="s">
        <v>51</v>
      </c>
      <c r="K702" s="116" t="s">
        <v>445</v>
      </c>
      <c r="L702" s="86" t="s">
        <v>53</v>
      </c>
      <c r="M702" s="47" t="s">
        <v>54</v>
      </c>
    </row>
    <row r="703" spans="1:13" x14ac:dyDescent="0.35">
      <c r="A703" s="123">
        <v>45911</v>
      </c>
      <c r="B703" s="39">
        <v>58</v>
      </c>
      <c r="C703" s="39">
        <v>5.34</v>
      </c>
      <c r="D703" s="39">
        <v>12509011</v>
      </c>
      <c r="E703" s="39" t="s">
        <v>116</v>
      </c>
      <c r="F703" s="39">
        <v>1250</v>
      </c>
      <c r="G703" s="35">
        <v>0.53611111111111109</v>
      </c>
      <c r="H703" s="35">
        <v>0.54652777777777772</v>
      </c>
      <c r="I703" s="36">
        <v>15</v>
      </c>
      <c r="J703" s="86" t="s">
        <v>52</v>
      </c>
      <c r="K703" s="116" t="s">
        <v>445</v>
      </c>
      <c r="L703" s="86" t="s">
        <v>59</v>
      </c>
      <c r="M703" s="47" t="s">
        <v>432</v>
      </c>
    </row>
    <row r="704" spans="1:13" x14ac:dyDescent="0.35">
      <c r="A704" s="123">
        <v>45911</v>
      </c>
      <c r="B704" s="39">
        <v>58</v>
      </c>
      <c r="C704" s="39">
        <v>5.34</v>
      </c>
      <c r="D704" s="39">
        <v>12509011</v>
      </c>
      <c r="E704" s="39" t="s">
        <v>116</v>
      </c>
      <c r="F704" s="39">
        <v>1250</v>
      </c>
      <c r="G704" s="35">
        <v>0.54652777777777772</v>
      </c>
      <c r="H704" s="35">
        <v>0.63541666666666663</v>
      </c>
      <c r="I704" s="36">
        <v>128</v>
      </c>
      <c r="J704" s="86" t="s">
        <v>446</v>
      </c>
      <c r="K704" s="86" t="s">
        <v>62</v>
      </c>
      <c r="L704" s="47" t="s">
        <v>850</v>
      </c>
      <c r="M704" s="47" t="s">
        <v>850</v>
      </c>
    </row>
    <row r="705" spans="1:13" x14ac:dyDescent="0.35">
      <c r="A705" s="122">
        <v>45912</v>
      </c>
      <c r="B705" s="45">
        <v>58</v>
      </c>
      <c r="C705" s="45">
        <v>5.24</v>
      </c>
      <c r="D705" s="45">
        <v>12509012</v>
      </c>
      <c r="E705" s="45" t="s">
        <v>522</v>
      </c>
      <c r="F705" s="45">
        <v>1235</v>
      </c>
      <c r="G705" s="35">
        <v>0.34027777777777779</v>
      </c>
      <c r="H705" s="35">
        <v>0.91666666666666663</v>
      </c>
      <c r="I705" s="36">
        <v>830</v>
      </c>
      <c r="J705" s="86" t="s">
        <v>448</v>
      </c>
      <c r="K705" s="116" t="s">
        <v>15</v>
      </c>
      <c r="L705" s="86" t="s">
        <v>448</v>
      </c>
      <c r="M705" s="49" t="s">
        <v>17</v>
      </c>
    </row>
    <row r="706" spans="1:13" x14ac:dyDescent="0.35">
      <c r="A706" s="123">
        <v>45913</v>
      </c>
      <c r="B706" s="39">
        <v>57.44</v>
      </c>
      <c r="C706" s="39">
        <v>5.18</v>
      </c>
      <c r="D706" s="45">
        <v>12509012</v>
      </c>
      <c r="E706" s="45" t="s">
        <v>522</v>
      </c>
      <c r="F706" s="45">
        <v>1235</v>
      </c>
      <c r="G706" s="35">
        <v>0.91666666666666663</v>
      </c>
      <c r="H706" s="35">
        <v>0</v>
      </c>
      <c r="I706" s="149">
        <v>120</v>
      </c>
      <c r="J706" s="86" t="s">
        <v>448</v>
      </c>
      <c r="K706" s="116" t="s">
        <v>15</v>
      </c>
      <c r="L706" s="86" t="s">
        <v>448</v>
      </c>
      <c r="M706" s="49" t="s">
        <v>17</v>
      </c>
    </row>
    <row r="707" spans="1:13" x14ac:dyDescent="0.35">
      <c r="A707" s="123">
        <v>45913</v>
      </c>
      <c r="B707" s="39">
        <v>57.44</v>
      </c>
      <c r="C707" s="39">
        <v>5.18</v>
      </c>
      <c r="D707" s="45">
        <v>12509012</v>
      </c>
      <c r="E707" s="45" t="s">
        <v>522</v>
      </c>
      <c r="F707" s="45">
        <v>1235</v>
      </c>
      <c r="G707" s="35">
        <v>0</v>
      </c>
      <c r="H707" s="35">
        <v>6.25E-2</v>
      </c>
      <c r="I707" s="149">
        <v>90</v>
      </c>
      <c r="J707" s="86" t="s">
        <v>446</v>
      </c>
      <c r="K707" s="86" t="s">
        <v>161</v>
      </c>
      <c r="L707" s="86" t="s">
        <v>853</v>
      </c>
      <c r="M707" s="47" t="s">
        <v>854</v>
      </c>
    </row>
    <row r="708" spans="1:13" x14ac:dyDescent="0.35">
      <c r="A708" s="123">
        <v>45913</v>
      </c>
      <c r="B708" s="39">
        <v>57.44</v>
      </c>
      <c r="C708" s="39">
        <v>5.18</v>
      </c>
      <c r="D708" s="45">
        <v>12509012</v>
      </c>
      <c r="E708" s="45" t="s">
        <v>522</v>
      </c>
      <c r="F708" s="45">
        <v>1235</v>
      </c>
      <c r="G708" s="35">
        <v>6.25E-2</v>
      </c>
      <c r="H708" s="35">
        <v>0.11458333333333333</v>
      </c>
      <c r="I708" s="149">
        <v>75</v>
      </c>
      <c r="J708" s="86" t="s">
        <v>446</v>
      </c>
      <c r="K708" s="86" t="s">
        <v>62</v>
      </c>
      <c r="L708" s="121" t="s">
        <v>855</v>
      </c>
      <c r="M708" s="121" t="s">
        <v>855</v>
      </c>
    </row>
    <row r="709" spans="1:13" x14ac:dyDescent="0.35">
      <c r="A709" s="123">
        <v>45913</v>
      </c>
      <c r="B709" s="39">
        <v>57.44</v>
      </c>
      <c r="C709" s="39">
        <v>5.18</v>
      </c>
      <c r="D709" s="39">
        <v>12509013</v>
      </c>
      <c r="E709" s="39" t="s">
        <v>90</v>
      </c>
      <c r="F709" s="39">
        <v>1035</v>
      </c>
      <c r="G709" s="35">
        <v>0.51388888888888884</v>
      </c>
      <c r="H709" s="35">
        <v>0.59722222222222221</v>
      </c>
      <c r="I709" s="149">
        <v>120</v>
      </c>
      <c r="J709" s="86" t="s">
        <v>25</v>
      </c>
      <c r="K709" s="116" t="s">
        <v>445</v>
      </c>
      <c r="L709" s="86" t="s">
        <v>456</v>
      </c>
      <c r="M709" s="60" t="s">
        <v>323</v>
      </c>
    </row>
    <row r="710" spans="1:13" x14ac:dyDescent="0.35">
      <c r="A710" s="123">
        <v>45913</v>
      </c>
      <c r="B710" s="39">
        <v>57.44</v>
      </c>
      <c r="C710" s="39">
        <v>5.18</v>
      </c>
      <c r="D710" s="39">
        <v>12509013</v>
      </c>
      <c r="E710" s="39" t="s">
        <v>90</v>
      </c>
      <c r="F710" s="39">
        <v>1035</v>
      </c>
      <c r="G710" s="35">
        <v>0.59722222222222221</v>
      </c>
      <c r="H710" s="35">
        <v>0.60416666666666663</v>
      </c>
      <c r="I710" s="149">
        <v>10</v>
      </c>
      <c r="J710" s="86" t="s">
        <v>446</v>
      </c>
      <c r="K710" s="86" t="s">
        <v>445</v>
      </c>
      <c r="L710" s="86" t="s">
        <v>74</v>
      </c>
      <c r="M710" s="47" t="s">
        <v>298</v>
      </c>
    </row>
    <row r="711" spans="1:13" x14ac:dyDescent="0.35">
      <c r="A711" s="122">
        <v>45915</v>
      </c>
      <c r="B711" s="45">
        <v>57.59</v>
      </c>
      <c r="C711" s="45">
        <v>5.26</v>
      </c>
      <c r="D711" s="45">
        <v>12509014</v>
      </c>
      <c r="E711" s="45" t="s">
        <v>501</v>
      </c>
      <c r="F711" s="45">
        <v>1230</v>
      </c>
      <c r="G711" s="35">
        <v>0.93055555555555558</v>
      </c>
      <c r="H711" s="35">
        <v>0.95138888888888884</v>
      </c>
      <c r="I711" s="149">
        <v>30</v>
      </c>
      <c r="J711" s="86" t="s">
        <v>51</v>
      </c>
      <c r="K711" s="86" t="s">
        <v>445</v>
      </c>
      <c r="L711" s="86" t="s">
        <v>53</v>
      </c>
      <c r="M711" s="47" t="s">
        <v>54</v>
      </c>
    </row>
    <row r="712" spans="1:13" x14ac:dyDescent="0.35">
      <c r="A712" s="123">
        <v>45916</v>
      </c>
      <c r="B712" s="39">
        <v>57.24</v>
      </c>
      <c r="C712" s="39">
        <v>5.36</v>
      </c>
      <c r="D712" s="39">
        <v>12509015</v>
      </c>
      <c r="E712" s="39" t="s">
        <v>101</v>
      </c>
      <c r="F712" s="39" t="s">
        <v>857</v>
      </c>
      <c r="G712" s="35">
        <v>4.5138888888888888E-2</v>
      </c>
      <c r="H712" s="35">
        <v>6.5972222222222224E-2</v>
      </c>
      <c r="I712" s="149">
        <v>30</v>
      </c>
      <c r="J712" s="86" t="s">
        <v>51</v>
      </c>
      <c r="K712" s="86" t="s">
        <v>445</v>
      </c>
      <c r="L712" s="86" t="s">
        <v>53</v>
      </c>
      <c r="M712" s="47" t="s">
        <v>54</v>
      </c>
    </row>
    <row r="713" spans="1:13" x14ac:dyDescent="0.35">
      <c r="A713" s="123">
        <v>45916</v>
      </c>
      <c r="B713" s="39">
        <v>57.24</v>
      </c>
      <c r="C713" s="39">
        <v>5.36</v>
      </c>
      <c r="D713" s="39">
        <v>12509015</v>
      </c>
      <c r="E713" s="39" t="s">
        <v>101</v>
      </c>
      <c r="F713" s="39" t="s">
        <v>857</v>
      </c>
      <c r="G713" s="35">
        <v>6.5972222222222224E-2</v>
      </c>
      <c r="H713" s="35">
        <v>8.6805555555555552E-2</v>
      </c>
      <c r="I713" s="149">
        <v>30</v>
      </c>
      <c r="J713" s="86" t="s">
        <v>52</v>
      </c>
      <c r="K713" s="86" t="s">
        <v>445</v>
      </c>
      <c r="L713" s="86" t="s">
        <v>73</v>
      </c>
      <c r="M713" s="47" t="s">
        <v>179</v>
      </c>
    </row>
    <row r="714" spans="1:13" x14ac:dyDescent="0.35">
      <c r="A714" s="123">
        <v>45916</v>
      </c>
      <c r="B714" s="39">
        <v>57.24</v>
      </c>
      <c r="C714" s="39">
        <v>5.36</v>
      </c>
      <c r="D714" s="39">
        <v>12509015</v>
      </c>
      <c r="E714" s="39" t="s">
        <v>101</v>
      </c>
      <c r="F714" s="39" t="s">
        <v>857</v>
      </c>
      <c r="G714" s="35">
        <v>8.6805555555555552E-2</v>
      </c>
      <c r="H714" s="35">
        <v>0.11805555555555555</v>
      </c>
      <c r="I714" s="149">
        <v>45</v>
      </c>
      <c r="J714" s="86" t="s">
        <v>446</v>
      </c>
      <c r="K714" s="86" t="s">
        <v>445</v>
      </c>
      <c r="L714" s="86"/>
      <c r="M714" s="112" t="s">
        <v>859</v>
      </c>
    </row>
    <row r="715" spans="1:13" x14ac:dyDescent="0.35">
      <c r="A715" s="123">
        <v>45916</v>
      </c>
      <c r="B715" s="39">
        <v>57.24</v>
      </c>
      <c r="C715" s="39">
        <v>5.36</v>
      </c>
      <c r="D715" s="45">
        <v>12509016</v>
      </c>
      <c r="E715" s="45" t="s">
        <v>31</v>
      </c>
      <c r="F715" s="45">
        <v>1350</v>
      </c>
      <c r="G715" s="35">
        <v>0.25694444444444442</v>
      </c>
      <c r="H715" s="35">
        <v>0.3263888888888889</v>
      </c>
      <c r="I715" s="149">
        <v>100</v>
      </c>
      <c r="J715" s="86" t="s">
        <v>35</v>
      </c>
      <c r="K715" s="86" t="s">
        <v>19</v>
      </c>
      <c r="L715" s="86" t="s">
        <v>149</v>
      </c>
      <c r="M715" s="49" t="s">
        <v>860</v>
      </c>
    </row>
    <row r="716" spans="1:13" x14ac:dyDescent="0.35">
      <c r="A716" s="123">
        <v>45916</v>
      </c>
      <c r="B716" s="39">
        <v>57.24</v>
      </c>
      <c r="C716" s="39">
        <v>5.36</v>
      </c>
      <c r="D716" s="39">
        <v>12509017</v>
      </c>
      <c r="E716" s="39" t="s">
        <v>31</v>
      </c>
      <c r="F716" s="39">
        <v>1350</v>
      </c>
      <c r="G716" s="35">
        <v>0.47222222222222221</v>
      </c>
      <c r="H716" s="35">
        <v>0.53472222222222221</v>
      </c>
      <c r="I716" s="149">
        <v>90</v>
      </c>
      <c r="J716" s="86" t="s">
        <v>25</v>
      </c>
      <c r="K716" s="116" t="s">
        <v>445</v>
      </c>
      <c r="L716" s="86" t="s">
        <v>456</v>
      </c>
      <c r="M716" s="60" t="s">
        <v>323</v>
      </c>
    </row>
    <row r="717" spans="1:13" x14ac:dyDescent="0.35">
      <c r="A717" s="123">
        <v>45916</v>
      </c>
      <c r="B717" s="39">
        <v>57.24</v>
      </c>
      <c r="C717" s="39">
        <v>5.36</v>
      </c>
      <c r="D717" s="39">
        <v>12509017</v>
      </c>
      <c r="E717" s="39" t="s">
        <v>31</v>
      </c>
      <c r="F717" s="39">
        <v>1350</v>
      </c>
      <c r="G717" s="35">
        <v>0.53472222222222221</v>
      </c>
      <c r="H717" s="35">
        <v>0.54861111111111116</v>
      </c>
      <c r="I717" s="149">
        <v>20</v>
      </c>
      <c r="J717" s="86" t="s">
        <v>446</v>
      </c>
      <c r="K717" s="86" t="s">
        <v>445</v>
      </c>
      <c r="L717" s="86" t="s">
        <v>55</v>
      </c>
      <c r="M717" s="47" t="s">
        <v>861</v>
      </c>
    </row>
    <row r="718" spans="1:13" x14ac:dyDescent="0.35">
      <c r="A718" s="123">
        <v>45917</v>
      </c>
      <c r="B718" s="39">
        <v>57.46</v>
      </c>
      <c r="C718" s="39">
        <v>5.53</v>
      </c>
      <c r="D718" s="39">
        <v>12509018</v>
      </c>
      <c r="E718" s="39" t="s">
        <v>13</v>
      </c>
      <c r="F718" s="39">
        <v>1350</v>
      </c>
      <c r="G718" s="35">
        <v>0.39583333333333331</v>
      </c>
      <c r="H718" s="35">
        <v>0.46875</v>
      </c>
      <c r="I718" s="149">
        <v>105</v>
      </c>
      <c r="J718" s="86" t="s">
        <v>35</v>
      </c>
      <c r="K718" s="86" t="s">
        <v>62</v>
      </c>
      <c r="L718" s="86" t="s">
        <v>190</v>
      </c>
      <c r="M718" s="49" t="s">
        <v>102</v>
      </c>
    </row>
    <row r="719" spans="1:13" x14ac:dyDescent="0.35">
      <c r="A719" s="123">
        <v>45917</v>
      </c>
      <c r="B719" s="39">
        <v>57.46</v>
      </c>
      <c r="C719" s="39">
        <v>5.53</v>
      </c>
      <c r="D719" s="39">
        <v>12509018</v>
      </c>
      <c r="E719" s="39" t="s">
        <v>13</v>
      </c>
      <c r="F719" s="39">
        <v>1350</v>
      </c>
      <c r="G719" s="35">
        <v>0.46875</v>
      </c>
      <c r="H719" s="35">
        <v>0.52222222222222225</v>
      </c>
      <c r="I719" s="149">
        <v>77</v>
      </c>
      <c r="J719" s="86" t="s">
        <v>446</v>
      </c>
      <c r="K719" s="86" t="s">
        <v>19</v>
      </c>
      <c r="L719" s="47" t="s">
        <v>862</v>
      </c>
      <c r="M719" s="47" t="s">
        <v>862</v>
      </c>
    </row>
    <row r="720" spans="1:13" x14ac:dyDescent="0.35">
      <c r="A720" s="123">
        <v>45918</v>
      </c>
      <c r="B720" s="39">
        <v>58</v>
      </c>
      <c r="C720" s="39">
        <v>5.52</v>
      </c>
      <c r="D720" s="39">
        <v>12509019</v>
      </c>
      <c r="E720" s="39" t="s">
        <v>104</v>
      </c>
      <c r="F720" s="39" t="s">
        <v>414</v>
      </c>
      <c r="G720" s="35">
        <v>0.79861111111111116</v>
      </c>
      <c r="H720" s="35">
        <v>0.81944444444444442</v>
      </c>
      <c r="I720" s="149">
        <v>30</v>
      </c>
      <c r="J720" s="86" t="s">
        <v>51</v>
      </c>
      <c r="K720" s="116" t="s">
        <v>445</v>
      </c>
      <c r="L720" s="86" t="s">
        <v>53</v>
      </c>
      <c r="M720" s="47" t="s">
        <v>54</v>
      </c>
    </row>
    <row r="721" spans="1:13" x14ac:dyDescent="0.35">
      <c r="A721" s="123">
        <v>45918</v>
      </c>
      <c r="B721" s="39">
        <v>58</v>
      </c>
      <c r="C721" s="39">
        <v>5.52</v>
      </c>
      <c r="D721" s="39">
        <v>12509019</v>
      </c>
      <c r="E721" s="39" t="s">
        <v>104</v>
      </c>
      <c r="F721" s="39" t="s">
        <v>414</v>
      </c>
      <c r="G721" s="35">
        <v>0.81944444444444442</v>
      </c>
      <c r="H721" s="35">
        <v>0.82986111111111116</v>
      </c>
      <c r="I721" s="36">
        <v>15</v>
      </c>
      <c r="J721" s="86" t="s">
        <v>52</v>
      </c>
      <c r="K721" s="116" t="s">
        <v>445</v>
      </c>
      <c r="L721" s="86" t="s">
        <v>59</v>
      </c>
      <c r="M721" s="47" t="s">
        <v>432</v>
      </c>
    </row>
    <row r="722" spans="1:13" x14ac:dyDescent="0.35">
      <c r="A722" s="123">
        <v>45918</v>
      </c>
      <c r="B722" s="39">
        <v>58</v>
      </c>
      <c r="C722" s="39">
        <v>5.52</v>
      </c>
      <c r="D722" s="39">
        <v>12509019</v>
      </c>
      <c r="E722" s="39" t="s">
        <v>104</v>
      </c>
      <c r="F722" s="39" t="s">
        <v>414</v>
      </c>
      <c r="G722" s="35">
        <v>0.82986111111111116</v>
      </c>
      <c r="H722" s="35">
        <v>0.83680555555555558</v>
      </c>
      <c r="I722" s="36">
        <v>10</v>
      </c>
      <c r="J722" s="86" t="s">
        <v>446</v>
      </c>
      <c r="K722" s="116" t="s">
        <v>19</v>
      </c>
      <c r="L722" s="86" t="s">
        <v>260</v>
      </c>
      <c r="M722" s="47" t="s">
        <v>863</v>
      </c>
    </row>
    <row r="723" spans="1:13" x14ac:dyDescent="0.35">
      <c r="A723" s="123">
        <v>45920</v>
      </c>
      <c r="B723" s="45">
        <v>56.52</v>
      </c>
      <c r="C723" s="45">
        <v>5.52</v>
      </c>
      <c r="D723" s="39">
        <v>12509020</v>
      </c>
      <c r="E723" s="39" t="s">
        <v>72</v>
      </c>
      <c r="F723" s="39">
        <v>1230</v>
      </c>
      <c r="G723" s="35">
        <v>9.375E-2</v>
      </c>
      <c r="H723" s="35">
        <v>0.11458333333333333</v>
      </c>
      <c r="I723" s="36">
        <v>30</v>
      </c>
      <c r="J723" s="86" t="s">
        <v>51</v>
      </c>
      <c r="K723" s="116" t="s">
        <v>445</v>
      </c>
      <c r="L723" s="86" t="s">
        <v>53</v>
      </c>
      <c r="M723" s="47" t="s">
        <v>54</v>
      </c>
    </row>
    <row r="724" spans="1:13" x14ac:dyDescent="0.35">
      <c r="A724" s="123">
        <v>45920</v>
      </c>
      <c r="B724" s="39">
        <v>57.35</v>
      </c>
      <c r="C724" s="39">
        <v>5.47</v>
      </c>
      <c r="D724" s="39">
        <v>12509020</v>
      </c>
      <c r="E724" s="39" t="s">
        <v>72</v>
      </c>
      <c r="F724" s="39">
        <v>1230</v>
      </c>
      <c r="G724" s="35">
        <v>0.11458333333333333</v>
      </c>
      <c r="H724" s="35">
        <v>0.15625</v>
      </c>
      <c r="I724" s="36">
        <v>60</v>
      </c>
      <c r="J724" s="86" t="s">
        <v>52</v>
      </c>
      <c r="K724" s="116" t="s">
        <v>445</v>
      </c>
      <c r="L724" s="86" t="s">
        <v>59</v>
      </c>
      <c r="M724" s="47" t="s">
        <v>865</v>
      </c>
    </row>
    <row r="725" spans="1:13" x14ac:dyDescent="0.35">
      <c r="A725" s="123">
        <v>45920</v>
      </c>
      <c r="B725" s="39">
        <v>57.35</v>
      </c>
      <c r="C725" s="39">
        <v>5.47</v>
      </c>
      <c r="D725" s="39">
        <v>12509020</v>
      </c>
      <c r="E725" s="39" t="s">
        <v>72</v>
      </c>
      <c r="F725" s="39">
        <v>1230</v>
      </c>
      <c r="G725" s="35">
        <v>0.15625</v>
      </c>
      <c r="H725" s="35">
        <v>0.21875</v>
      </c>
      <c r="I725" s="36">
        <v>90</v>
      </c>
      <c r="J725" s="86" t="s">
        <v>446</v>
      </c>
      <c r="K725" s="116" t="s">
        <v>19</v>
      </c>
      <c r="L725" s="47" t="s">
        <v>866</v>
      </c>
      <c r="M725" s="47" t="s">
        <v>866</v>
      </c>
    </row>
    <row r="726" spans="1:13" x14ac:dyDescent="0.35">
      <c r="A726" s="123">
        <v>45921</v>
      </c>
      <c r="B726" s="39">
        <v>57.8</v>
      </c>
      <c r="C726" s="39">
        <v>5</v>
      </c>
      <c r="D726" s="39">
        <v>12509021</v>
      </c>
      <c r="E726" s="39" t="s">
        <v>80</v>
      </c>
      <c r="F726" s="39">
        <v>1252</v>
      </c>
      <c r="G726" s="35">
        <v>0.45555555555555555</v>
      </c>
      <c r="H726" s="35">
        <v>0.47638888888888886</v>
      </c>
      <c r="I726" s="36">
        <v>30</v>
      </c>
      <c r="J726" s="86" t="s">
        <v>51</v>
      </c>
      <c r="K726" s="116" t="s">
        <v>445</v>
      </c>
      <c r="L726" s="86" t="s">
        <v>53</v>
      </c>
      <c r="M726" s="47" t="s">
        <v>54</v>
      </c>
    </row>
    <row r="727" spans="1:13" x14ac:dyDescent="0.35">
      <c r="A727" s="123">
        <v>45921</v>
      </c>
      <c r="B727" s="39">
        <v>57.8</v>
      </c>
      <c r="C727" s="39">
        <v>5</v>
      </c>
      <c r="D727" s="39">
        <v>12509021</v>
      </c>
      <c r="E727" s="39" t="s">
        <v>80</v>
      </c>
      <c r="F727" s="39">
        <v>1252</v>
      </c>
      <c r="G727" s="35">
        <v>0.47638888888888886</v>
      </c>
      <c r="H727" s="35">
        <v>0.48680555555555555</v>
      </c>
      <c r="I727" s="36">
        <v>15</v>
      </c>
      <c r="J727" s="86" t="s">
        <v>52</v>
      </c>
      <c r="K727" s="116" t="s">
        <v>445</v>
      </c>
      <c r="L727" s="86" t="s">
        <v>59</v>
      </c>
      <c r="M727" s="47" t="s">
        <v>432</v>
      </c>
    </row>
    <row r="728" spans="1:13" x14ac:dyDescent="0.35">
      <c r="A728" s="123">
        <v>45921</v>
      </c>
      <c r="B728" s="39">
        <v>57.8</v>
      </c>
      <c r="C728" s="39">
        <v>5</v>
      </c>
      <c r="D728" s="45">
        <v>12509022</v>
      </c>
      <c r="E728" s="45" t="s">
        <v>285</v>
      </c>
      <c r="F728" s="45">
        <v>1250</v>
      </c>
      <c r="G728" s="35">
        <v>0.69305555555555554</v>
      </c>
      <c r="H728" s="35">
        <v>0.75555555555555554</v>
      </c>
      <c r="I728" s="36">
        <v>90</v>
      </c>
      <c r="J728" s="86" t="s">
        <v>25</v>
      </c>
      <c r="K728" s="86" t="s">
        <v>445</v>
      </c>
      <c r="L728" s="86" t="s">
        <v>456</v>
      </c>
      <c r="M728" s="60" t="s">
        <v>323</v>
      </c>
    </row>
    <row r="729" spans="1:13" x14ac:dyDescent="0.35">
      <c r="A729" s="123">
        <v>45922</v>
      </c>
      <c r="B729" s="39">
        <v>57.47</v>
      </c>
      <c r="C729" s="39">
        <v>5.08</v>
      </c>
      <c r="D729" s="39">
        <v>12509023</v>
      </c>
      <c r="E729" s="39" t="s">
        <v>167</v>
      </c>
      <c r="F729" s="39">
        <v>1245</v>
      </c>
      <c r="G729" s="35">
        <v>0.51041666666666663</v>
      </c>
      <c r="H729" s="35">
        <v>0.57291666666666663</v>
      </c>
      <c r="I729" s="36">
        <v>90</v>
      </c>
      <c r="J729" s="86" t="s">
        <v>25</v>
      </c>
      <c r="K729" s="86" t="s">
        <v>445</v>
      </c>
      <c r="L729" s="86" t="s">
        <v>456</v>
      </c>
      <c r="M729" s="60" t="s">
        <v>323</v>
      </c>
    </row>
    <row r="730" spans="1:13" x14ac:dyDescent="0.35">
      <c r="A730" s="123">
        <v>45922</v>
      </c>
      <c r="B730" s="39">
        <v>57.47</v>
      </c>
      <c r="C730" s="39">
        <v>5.08</v>
      </c>
      <c r="D730" s="39">
        <v>12509023</v>
      </c>
      <c r="E730" s="39" t="s">
        <v>167</v>
      </c>
      <c r="F730" s="39">
        <v>1245</v>
      </c>
      <c r="G730" s="35">
        <v>0.57291666666666663</v>
      </c>
      <c r="H730" s="35">
        <v>0.59444444444444444</v>
      </c>
      <c r="I730" s="36">
        <v>31</v>
      </c>
      <c r="J730" s="86" t="s">
        <v>446</v>
      </c>
      <c r="K730" s="116" t="s">
        <v>445</v>
      </c>
      <c r="L730" s="86" t="s">
        <v>74</v>
      </c>
      <c r="M730" s="47" t="s">
        <v>75</v>
      </c>
    </row>
    <row r="731" spans="1:13" x14ac:dyDescent="0.35">
      <c r="A731" s="123">
        <v>45923</v>
      </c>
      <c r="B731" s="39">
        <v>56.22</v>
      </c>
      <c r="C731" s="39">
        <v>5.1100000000000003</v>
      </c>
      <c r="D731" s="39">
        <v>12509024</v>
      </c>
      <c r="E731" s="39" t="s">
        <v>167</v>
      </c>
      <c r="F731" s="39">
        <v>1250</v>
      </c>
      <c r="G731" s="35">
        <v>0.40625</v>
      </c>
      <c r="H731" s="35">
        <v>0.46875</v>
      </c>
      <c r="I731" s="36">
        <v>90</v>
      </c>
      <c r="J731" s="86" t="s">
        <v>25</v>
      </c>
      <c r="K731" s="86" t="s">
        <v>445</v>
      </c>
      <c r="L731" s="86" t="s">
        <v>456</v>
      </c>
      <c r="M731" s="60" t="s">
        <v>323</v>
      </c>
    </row>
    <row r="732" spans="1:13" x14ac:dyDescent="0.35">
      <c r="A732" s="123">
        <v>45923</v>
      </c>
      <c r="B732" s="39">
        <v>56.22</v>
      </c>
      <c r="C732" s="39">
        <v>5.1100000000000003</v>
      </c>
      <c r="D732" s="39">
        <v>12509024</v>
      </c>
      <c r="E732" s="39" t="s">
        <v>167</v>
      </c>
      <c r="F732" s="39">
        <v>1250</v>
      </c>
      <c r="G732" s="35">
        <v>0.46875</v>
      </c>
      <c r="H732" s="35">
        <v>0.48125000000000001</v>
      </c>
      <c r="I732" s="36">
        <v>18</v>
      </c>
      <c r="J732" s="86" t="s">
        <v>446</v>
      </c>
      <c r="K732" s="116" t="s">
        <v>445</v>
      </c>
      <c r="L732" s="86" t="s">
        <v>74</v>
      </c>
      <c r="M732" s="47" t="s">
        <v>75</v>
      </c>
    </row>
    <row r="733" spans="1:13" x14ac:dyDescent="0.35">
      <c r="A733" s="122">
        <v>45924</v>
      </c>
      <c r="B733" s="45">
        <v>57.65</v>
      </c>
      <c r="C733" s="45">
        <v>5.34</v>
      </c>
      <c r="D733" s="45">
        <v>12509025</v>
      </c>
      <c r="E733" s="45" t="s">
        <v>80</v>
      </c>
      <c r="F733" s="45" t="s">
        <v>872</v>
      </c>
      <c r="G733" s="35">
        <v>0.75972222222222219</v>
      </c>
      <c r="H733" s="35">
        <v>0.77777777777777779</v>
      </c>
      <c r="I733" s="36">
        <v>26</v>
      </c>
      <c r="J733" s="86" t="s">
        <v>51</v>
      </c>
      <c r="K733" s="116" t="s">
        <v>445</v>
      </c>
      <c r="L733" s="86" t="s">
        <v>53</v>
      </c>
      <c r="M733" s="47" t="s">
        <v>54</v>
      </c>
    </row>
    <row r="734" spans="1:13" x14ac:dyDescent="0.35">
      <c r="A734" s="122">
        <v>45925</v>
      </c>
      <c r="B734" s="45">
        <v>57.74</v>
      </c>
      <c r="C734" s="45">
        <v>5.55</v>
      </c>
      <c r="D734" s="45">
        <v>12509026</v>
      </c>
      <c r="E734" s="45" t="s">
        <v>202</v>
      </c>
      <c r="F734" s="45" t="s">
        <v>715</v>
      </c>
      <c r="G734" s="35">
        <v>0.80902777777777779</v>
      </c>
      <c r="H734" s="35">
        <v>0.91666666666666663</v>
      </c>
      <c r="I734" s="36">
        <v>155</v>
      </c>
      <c r="J734" s="86" t="s">
        <v>25</v>
      </c>
      <c r="K734" s="86" t="s">
        <v>445</v>
      </c>
      <c r="L734" s="86" t="s">
        <v>456</v>
      </c>
      <c r="M734" s="60" t="s">
        <v>323</v>
      </c>
    </row>
    <row r="735" spans="1:13" x14ac:dyDescent="0.35">
      <c r="A735" s="122">
        <v>45926</v>
      </c>
      <c r="B735" s="45">
        <v>58</v>
      </c>
      <c r="C735" s="45">
        <v>5.27</v>
      </c>
      <c r="D735" s="45">
        <v>12509026</v>
      </c>
      <c r="E735" s="45" t="s">
        <v>202</v>
      </c>
      <c r="F735" s="45" t="s">
        <v>715</v>
      </c>
      <c r="G735" s="151">
        <v>0.91666666666666663</v>
      </c>
      <c r="H735" s="151">
        <v>0.94791666666666663</v>
      </c>
      <c r="I735" s="36">
        <v>45</v>
      </c>
      <c r="J735" s="86" t="s">
        <v>446</v>
      </c>
      <c r="K735" s="116" t="s">
        <v>445</v>
      </c>
      <c r="L735" s="86" t="s">
        <v>74</v>
      </c>
      <c r="M735" s="47" t="s">
        <v>75</v>
      </c>
    </row>
    <row r="736" spans="1:13" x14ac:dyDescent="0.35">
      <c r="A736" s="122">
        <v>45927</v>
      </c>
      <c r="B736" s="127">
        <v>57.81</v>
      </c>
      <c r="C736" s="127">
        <v>5.53</v>
      </c>
      <c r="D736" s="45">
        <v>12509027</v>
      </c>
      <c r="E736" s="45" t="s">
        <v>72</v>
      </c>
      <c r="F736" s="45">
        <v>1240</v>
      </c>
      <c r="G736" s="35">
        <v>0.27083333333333331</v>
      </c>
      <c r="H736" s="35">
        <v>0.29166666666666669</v>
      </c>
      <c r="I736" s="36">
        <v>30</v>
      </c>
      <c r="J736" s="86" t="s">
        <v>51</v>
      </c>
      <c r="K736" s="116" t="s">
        <v>445</v>
      </c>
      <c r="L736" s="86" t="s">
        <v>53</v>
      </c>
      <c r="M736" s="152" t="s">
        <v>54</v>
      </c>
    </row>
    <row r="737" spans="1:13" x14ac:dyDescent="0.35">
      <c r="A737" s="122">
        <v>45928</v>
      </c>
      <c r="B737" s="127">
        <v>57.07</v>
      </c>
      <c r="C737" s="127">
        <v>5.33</v>
      </c>
      <c r="D737" s="45">
        <v>12509028</v>
      </c>
      <c r="E737" s="45" t="s">
        <v>496</v>
      </c>
      <c r="F737" s="45" t="s">
        <v>58</v>
      </c>
      <c r="G737" s="35">
        <v>0.59722222222222221</v>
      </c>
      <c r="H737" s="35">
        <v>0.62847222222222221</v>
      </c>
      <c r="I737" s="36">
        <v>45</v>
      </c>
      <c r="J737" s="86" t="s">
        <v>35</v>
      </c>
      <c r="K737" s="116" t="s">
        <v>161</v>
      </c>
      <c r="L737" s="86" t="s">
        <v>633</v>
      </c>
      <c r="M737" s="153" t="s">
        <v>873</v>
      </c>
    </row>
    <row r="738" spans="1:13" x14ac:dyDescent="0.35">
      <c r="A738" s="122">
        <v>45930</v>
      </c>
      <c r="B738" s="127">
        <v>57.95</v>
      </c>
      <c r="C738" s="127">
        <v>5.56</v>
      </c>
      <c r="D738" s="45">
        <v>12509029</v>
      </c>
      <c r="E738" s="45" t="s">
        <v>503</v>
      </c>
      <c r="F738" s="45">
        <v>1255</v>
      </c>
      <c r="G738" s="35">
        <v>0.94097222222222221</v>
      </c>
      <c r="H738" s="35">
        <v>0.96180555555555558</v>
      </c>
      <c r="I738" s="36">
        <v>30</v>
      </c>
      <c r="J738" s="86" t="s">
        <v>51</v>
      </c>
      <c r="K738" s="116" t="s">
        <v>445</v>
      </c>
      <c r="L738" s="86" t="s">
        <v>53</v>
      </c>
      <c r="M738" s="152" t="s">
        <v>54</v>
      </c>
    </row>
    <row r="739" spans="1:13" x14ac:dyDescent="0.35">
      <c r="A739" s="123">
        <v>45931</v>
      </c>
      <c r="B739" s="39">
        <v>58</v>
      </c>
      <c r="C739" s="39">
        <v>5.56</v>
      </c>
      <c r="D739" s="39">
        <v>12509030</v>
      </c>
      <c r="E739" s="39" t="s">
        <v>503</v>
      </c>
      <c r="F739" s="39">
        <v>1230</v>
      </c>
      <c r="G739" s="35">
        <v>0.27500000000000002</v>
      </c>
      <c r="H739" s="35">
        <v>0.29583333333333334</v>
      </c>
      <c r="I739" s="36">
        <v>30</v>
      </c>
      <c r="J739" s="86" t="s">
        <v>51</v>
      </c>
      <c r="K739" s="86" t="s">
        <v>445</v>
      </c>
      <c r="L739" s="86" t="s">
        <v>53</v>
      </c>
      <c r="M739" s="152" t="s">
        <v>54</v>
      </c>
    </row>
    <row r="740" spans="1:13" x14ac:dyDescent="0.35">
      <c r="A740" s="123">
        <v>45931</v>
      </c>
      <c r="B740" s="39">
        <v>58</v>
      </c>
      <c r="C740" s="39">
        <v>5.56</v>
      </c>
      <c r="D740" s="39">
        <v>12509030</v>
      </c>
      <c r="E740" s="39" t="s">
        <v>503</v>
      </c>
      <c r="F740" s="39">
        <v>1230</v>
      </c>
      <c r="G740" s="35">
        <v>0.29583333333333334</v>
      </c>
      <c r="H740" s="35">
        <v>0.30625000000000002</v>
      </c>
      <c r="I740" s="36">
        <v>15</v>
      </c>
      <c r="J740" s="86" t="s">
        <v>52</v>
      </c>
      <c r="K740" s="116" t="s">
        <v>445</v>
      </c>
      <c r="L740" s="86" t="s">
        <v>59</v>
      </c>
      <c r="M740" s="152" t="s">
        <v>432</v>
      </c>
    </row>
    <row r="741" spans="1:13" x14ac:dyDescent="0.35">
      <c r="A741" s="123">
        <v>45931</v>
      </c>
      <c r="B741" s="39">
        <v>58</v>
      </c>
      <c r="C741" s="39">
        <v>5.56</v>
      </c>
      <c r="D741" s="39">
        <v>12509030</v>
      </c>
      <c r="E741" s="39" t="s">
        <v>503</v>
      </c>
      <c r="F741" s="39">
        <v>1230</v>
      </c>
      <c r="G741" s="35">
        <v>0.30625000000000002</v>
      </c>
      <c r="H741" s="35">
        <v>0.30972222222222223</v>
      </c>
      <c r="I741" s="36">
        <v>5</v>
      </c>
      <c r="J741" s="86" t="s">
        <v>446</v>
      </c>
      <c r="K741" s="116" t="s">
        <v>445</v>
      </c>
      <c r="L741" s="152" t="s">
        <v>75</v>
      </c>
      <c r="M741" s="152" t="s">
        <v>75</v>
      </c>
    </row>
    <row r="742" spans="1:13" x14ac:dyDescent="0.35">
      <c r="A742" s="123">
        <v>45932</v>
      </c>
      <c r="B742" s="39">
        <v>58</v>
      </c>
      <c r="C742" s="39">
        <v>5.38</v>
      </c>
      <c r="D742" s="45">
        <v>12510001</v>
      </c>
      <c r="E742" s="45" t="s">
        <v>116</v>
      </c>
      <c r="F742" s="45">
        <v>1230</v>
      </c>
      <c r="G742" s="35">
        <v>0.42916666666666664</v>
      </c>
      <c r="H742" s="35">
        <v>0.48958333333333331</v>
      </c>
      <c r="I742" s="36">
        <v>87</v>
      </c>
      <c r="J742" s="86" t="s">
        <v>25</v>
      </c>
      <c r="K742" s="116" t="s">
        <v>445</v>
      </c>
      <c r="L742" s="86" t="s">
        <v>492</v>
      </c>
      <c r="M742" s="152" t="s">
        <v>209</v>
      </c>
    </row>
    <row r="743" spans="1:13" x14ac:dyDescent="0.35">
      <c r="A743" s="123">
        <v>45932</v>
      </c>
      <c r="B743" s="39">
        <v>58</v>
      </c>
      <c r="C743" s="39">
        <v>5.38</v>
      </c>
      <c r="D743" s="45">
        <v>12510002</v>
      </c>
      <c r="E743" s="45" t="s">
        <v>175</v>
      </c>
      <c r="F743" s="45">
        <v>1240</v>
      </c>
      <c r="G743" s="35">
        <v>0.64236111111111116</v>
      </c>
      <c r="H743" s="35">
        <v>0.69305555555555554</v>
      </c>
      <c r="I743" s="36">
        <v>73</v>
      </c>
      <c r="J743" s="86" t="s">
        <v>463</v>
      </c>
      <c r="K743" s="86" t="s">
        <v>26</v>
      </c>
      <c r="L743" s="86" t="s">
        <v>331</v>
      </c>
      <c r="M743" s="152" t="s">
        <v>874</v>
      </c>
    </row>
    <row r="744" spans="1:13" x14ac:dyDescent="0.35">
      <c r="A744" s="123">
        <v>45934</v>
      </c>
      <c r="B744" s="45">
        <v>58</v>
      </c>
      <c r="C744" s="45">
        <v>5.56</v>
      </c>
      <c r="D744" s="45">
        <v>12510003</v>
      </c>
      <c r="E744" s="45" t="s">
        <v>501</v>
      </c>
      <c r="F744" s="45">
        <v>1240</v>
      </c>
      <c r="G744" s="35">
        <v>0.97638888888888886</v>
      </c>
      <c r="H744" s="35">
        <v>0.99652777777777779</v>
      </c>
      <c r="I744" s="36">
        <v>29</v>
      </c>
      <c r="J744" s="86" t="s">
        <v>51</v>
      </c>
      <c r="K744" s="86" t="s">
        <v>445</v>
      </c>
      <c r="L744" s="86" t="s">
        <v>53</v>
      </c>
      <c r="M744" s="152" t="s">
        <v>54</v>
      </c>
    </row>
    <row r="745" spans="1:13" x14ac:dyDescent="0.35">
      <c r="A745" s="123">
        <v>45934</v>
      </c>
      <c r="B745" s="45">
        <v>58</v>
      </c>
      <c r="C745" s="45">
        <v>4.87</v>
      </c>
      <c r="D745" s="45">
        <v>12510004</v>
      </c>
      <c r="E745" s="45" t="s">
        <v>175</v>
      </c>
      <c r="F745" s="45">
        <v>1255</v>
      </c>
      <c r="G745" s="35">
        <v>0.15972222222222221</v>
      </c>
      <c r="H745" s="35">
        <v>0.19097222222222221</v>
      </c>
      <c r="I745" s="36">
        <v>45</v>
      </c>
      <c r="J745" s="86" t="s">
        <v>463</v>
      </c>
      <c r="K745" s="116" t="s">
        <v>445</v>
      </c>
      <c r="L745" s="86" t="s">
        <v>796</v>
      </c>
      <c r="M745" s="152" t="s">
        <v>876</v>
      </c>
    </row>
    <row r="746" spans="1:13" x14ac:dyDescent="0.35">
      <c r="A746" s="123">
        <v>45935</v>
      </c>
      <c r="B746" s="39">
        <v>58</v>
      </c>
      <c r="C746" s="39">
        <v>5.07</v>
      </c>
      <c r="D746" s="39">
        <v>12510005</v>
      </c>
      <c r="E746" s="39" t="s">
        <v>57</v>
      </c>
      <c r="F746" s="39">
        <v>1250</v>
      </c>
      <c r="G746" s="35">
        <v>0.47569444444444442</v>
      </c>
      <c r="H746" s="35">
        <v>0.49652777777777779</v>
      </c>
      <c r="I746" s="36">
        <v>30</v>
      </c>
      <c r="J746" s="86" t="s">
        <v>54</v>
      </c>
      <c r="K746" s="86" t="s">
        <v>445</v>
      </c>
      <c r="L746" s="86" t="s">
        <v>53</v>
      </c>
      <c r="M746" s="152" t="s">
        <v>54</v>
      </c>
    </row>
    <row r="747" spans="1:13" x14ac:dyDescent="0.35">
      <c r="A747" s="123">
        <v>45935</v>
      </c>
      <c r="B747" s="39">
        <v>58</v>
      </c>
      <c r="C747" s="39">
        <v>5.07</v>
      </c>
      <c r="D747" s="39">
        <v>12510005</v>
      </c>
      <c r="E747" s="39" t="s">
        <v>57</v>
      </c>
      <c r="F747" s="39">
        <v>1250</v>
      </c>
      <c r="G747" s="35">
        <v>0.49652777777777779</v>
      </c>
      <c r="H747" s="35">
        <v>0.51944444444444449</v>
      </c>
      <c r="I747" s="36">
        <v>33</v>
      </c>
      <c r="J747" s="86" t="s">
        <v>446</v>
      </c>
      <c r="K747" s="116" t="s">
        <v>445</v>
      </c>
      <c r="L747" s="86" t="s">
        <v>74</v>
      </c>
      <c r="M747" s="152" t="s">
        <v>877</v>
      </c>
    </row>
    <row r="748" spans="1:13" x14ac:dyDescent="0.35">
      <c r="A748" s="123">
        <v>45935</v>
      </c>
      <c r="B748" s="39">
        <v>58</v>
      </c>
      <c r="C748" s="39">
        <v>5.07</v>
      </c>
      <c r="D748" s="39">
        <v>12510006</v>
      </c>
      <c r="E748" s="39" t="s">
        <v>38</v>
      </c>
      <c r="F748" s="39">
        <v>1350</v>
      </c>
      <c r="G748" s="35">
        <v>0.74305555555555558</v>
      </c>
      <c r="H748" s="35">
        <v>0.91666666666666663</v>
      </c>
      <c r="I748" s="36">
        <v>250</v>
      </c>
      <c r="J748" s="86" t="s">
        <v>463</v>
      </c>
      <c r="K748" s="116" t="s">
        <v>283</v>
      </c>
      <c r="L748" s="86" t="s">
        <v>283</v>
      </c>
      <c r="M748" s="152" t="s">
        <v>878</v>
      </c>
    </row>
    <row r="749" spans="1:13" x14ac:dyDescent="0.35">
      <c r="A749" s="122">
        <v>45936</v>
      </c>
      <c r="B749" s="45">
        <v>57.69</v>
      </c>
      <c r="C749" s="45">
        <v>5.19</v>
      </c>
      <c r="D749" s="39">
        <v>12510006</v>
      </c>
      <c r="E749" s="39" t="s">
        <v>38</v>
      </c>
      <c r="F749" s="39">
        <v>1350</v>
      </c>
      <c r="G749" s="35">
        <v>0.91666666666666663</v>
      </c>
      <c r="H749" s="35">
        <v>0.22777777777777777</v>
      </c>
      <c r="I749" s="36">
        <v>448</v>
      </c>
      <c r="J749" s="86" t="s">
        <v>446</v>
      </c>
      <c r="K749" s="116" t="s">
        <v>283</v>
      </c>
      <c r="L749" s="86" t="s">
        <v>283</v>
      </c>
      <c r="M749" s="152" t="s">
        <v>879</v>
      </c>
    </row>
    <row r="750" spans="1:13" x14ac:dyDescent="0.35">
      <c r="A750" s="122">
        <v>45937</v>
      </c>
      <c r="B750" s="45">
        <v>57.4</v>
      </c>
      <c r="C750" s="45">
        <v>5.13</v>
      </c>
      <c r="D750" s="45">
        <v>12510007</v>
      </c>
      <c r="E750" s="45" t="s">
        <v>503</v>
      </c>
      <c r="F750" s="45">
        <v>1350</v>
      </c>
      <c r="G750" s="35">
        <v>0.51111111111111107</v>
      </c>
      <c r="H750" s="35">
        <v>0.53055555555555556</v>
      </c>
      <c r="I750" s="36">
        <v>28</v>
      </c>
      <c r="J750" s="86" t="s">
        <v>54</v>
      </c>
      <c r="K750" s="86" t="s">
        <v>445</v>
      </c>
      <c r="L750" s="86" t="s">
        <v>53</v>
      </c>
      <c r="M750" s="152" t="s">
        <v>54</v>
      </c>
    </row>
    <row r="751" spans="1:13" x14ac:dyDescent="0.35">
      <c r="A751" s="123">
        <v>45938</v>
      </c>
      <c r="B751" s="39">
        <v>58</v>
      </c>
      <c r="C751" s="39">
        <v>5.16</v>
      </c>
      <c r="D751" s="39">
        <v>12510008</v>
      </c>
      <c r="E751" s="39" t="s">
        <v>80</v>
      </c>
      <c r="F751" s="39" t="s">
        <v>58</v>
      </c>
      <c r="G751" s="35">
        <v>0.75624999999999998</v>
      </c>
      <c r="H751" s="35">
        <v>0.77708333333333335</v>
      </c>
      <c r="I751" s="36">
        <v>30</v>
      </c>
      <c r="J751" s="86" t="s">
        <v>51</v>
      </c>
      <c r="K751" s="86" t="s">
        <v>445</v>
      </c>
      <c r="L751" s="86" t="s">
        <v>53</v>
      </c>
      <c r="M751" s="152" t="s">
        <v>54</v>
      </c>
    </row>
    <row r="752" spans="1:13" x14ac:dyDescent="0.35">
      <c r="A752" s="123">
        <v>45938</v>
      </c>
      <c r="B752" s="39">
        <v>58</v>
      </c>
      <c r="C752" s="39">
        <v>5.16</v>
      </c>
      <c r="D752" s="39">
        <v>12510008</v>
      </c>
      <c r="E752" s="39" t="s">
        <v>80</v>
      </c>
      <c r="F752" s="39" t="s">
        <v>58</v>
      </c>
      <c r="G752" s="35">
        <v>0.77708333333333335</v>
      </c>
      <c r="H752" s="35">
        <v>0.78749999999999998</v>
      </c>
      <c r="I752" s="36">
        <v>15</v>
      </c>
      <c r="J752" s="86" t="s">
        <v>52</v>
      </c>
      <c r="K752" s="86" t="s">
        <v>445</v>
      </c>
      <c r="L752" s="86" t="s">
        <v>59</v>
      </c>
      <c r="M752" s="152" t="s">
        <v>432</v>
      </c>
    </row>
    <row r="753" spans="1:13" x14ac:dyDescent="0.35">
      <c r="A753" s="122">
        <v>45940</v>
      </c>
      <c r="B753" s="45">
        <v>57.82</v>
      </c>
      <c r="C753" s="45">
        <v>5.4</v>
      </c>
      <c r="D753" s="45">
        <v>125010009</v>
      </c>
      <c r="E753" s="45" t="s">
        <v>104</v>
      </c>
      <c r="F753" s="45">
        <v>1250</v>
      </c>
      <c r="G753" s="35">
        <v>5.2083333333333336E-2</v>
      </c>
      <c r="H753" s="35">
        <v>7.2222222222222215E-2</v>
      </c>
      <c r="I753" s="36">
        <v>29</v>
      </c>
      <c r="J753" s="86" t="s">
        <v>51</v>
      </c>
      <c r="K753" s="86" t="s">
        <v>445</v>
      </c>
      <c r="L753" s="86" t="s">
        <v>53</v>
      </c>
      <c r="M753" s="152" t="s">
        <v>54</v>
      </c>
    </row>
    <row r="754" spans="1:13" x14ac:dyDescent="0.35">
      <c r="A754" s="123">
        <v>45941</v>
      </c>
      <c r="B754" s="39">
        <v>57.85</v>
      </c>
      <c r="C754" s="39">
        <v>5.53</v>
      </c>
      <c r="D754" s="39">
        <v>12510010</v>
      </c>
      <c r="E754" s="39" t="s">
        <v>501</v>
      </c>
      <c r="F754" s="39" t="s">
        <v>884</v>
      </c>
      <c r="G754" s="35">
        <v>0.35972222222222222</v>
      </c>
      <c r="H754" s="35">
        <v>0.38055555555555554</v>
      </c>
      <c r="I754" s="36">
        <v>30</v>
      </c>
      <c r="J754" s="86" t="s">
        <v>51</v>
      </c>
      <c r="K754" s="86" t="s">
        <v>445</v>
      </c>
      <c r="L754" s="86" t="s">
        <v>53</v>
      </c>
      <c r="M754" s="152" t="s">
        <v>54</v>
      </c>
    </row>
    <row r="755" spans="1:13" x14ac:dyDescent="0.35">
      <c r="A755" s="123">
        <v>45941</v>
      </c>
      <c r="B755" s="39">
        <v>57.85</v>
      </c>
      <c r="C755" s="39">
        <v>5.53</v>
      </c>
      <c r="D755" s="39">
        <v>12510010</v>
      </c>
      <c r="E755" s="39" t="s">
        <v>501</v>
      </c>
      <c r="F755" s="39" t="s">
        <v>884</v>
      </c>
      <c r="G755" s="35">
        <v>0.38055555555555554</v>
      </c>
      <c r="H755" s="35">
        <v>0.39027777777777778</v>
      </c>
      <c r="I755" s="36">
        <v>14</v>
      </c>
      <c r="J755" s="86" t="s">
        <v>52</v>
      </c>
      <c r="K755" s="86" t="s">
        <v>445</v>
      </c>
      <c r="L755" s="86" t="s">
        <v>59</v>
      </c>
      <c r="M755" s="152" t="s">
        <v>432</v>
      </c>
    </row>
    <row r="756" spans="1:13" x14ac:dyDescent="0.35">
      <c r="A756" s="123">
        <v>45941</v>
      </c>
      <c r="B756" s="39">
        <v>57.85</v>
      </c>
      <c r="C756" s="39">
        <v>5.53</v>
      </c>
      <c r="D756" s="39">
        <v>125010011</v>
      </c>
      <c r="E756" s="39" t="s">
        <v>170</v>
      </c>
      <c r="F756" s="39">
        <v>1235</v>
      </c>
      <c r="G756" s="35">
        <v>0.82638888888888884</v>
      </c>
      <c r="H756" s="35">
        <v>0.88888888888888884</v>
      </c>
      <c r="I756" s="36">
        <v>90</v>
      </c>
      <c r="J756" s="86" t="s">
        <v>25</v>
      </c>
      <c r="K756" s="116" t="s">
        <v>445</v>
      </c>
      <c r="L756" s="86" t="s">
        <v>456</v>
      </c>
      <c r="M756" s="152" t="s">
        <v>654</v>
      </c>
    </row>
    <row r="757" spans="1:13" x14ac:dyDescent="0.35">
      <c r="A757" s="123">
        <v>45941</v>
      </c>
      <c r="B757" s="39">
        <v>57.85</v>
      </c>
      <c r="C757" s="39">
        <v>5.53</v>
      </c>
      <c r="D757" s="39">
        <v>125010011</v>
      </c>
      <c r="E757" s="39" t="s">
        <v>170</v>
      </c>
      <c r="F757" s="39">
        <v>1235</v>
      </c>
      <c r="G757" s="35">
        <v>0.88888888888888884</v>
      </c>
      <c r="H757" s="35">
        <v>0.91597222222222219</v>
      </c>
      <c r="I757" s="36">
        <v>39</v>
      </c>
      <c r="J757" s="86" t="s">
        <v>446</v>
      </c>
      <c r="K757" s="116" t="s">
        <v>445</v>
      </c>
      <c r="L757" s="86" t="s">
        <v>73</v>
      </c>
      <c r="M757" s="152" t="s">
        <v>885</v>
      </c>
    </row>
    <row r="758" spans="1:13" x14ac:dyDescent="0.35">
      <c r="A758" s="122">
        <v>45943</v>
      </c>
      <c r="B758" s="45">
        <v>58</v>
      </c>
      <c r="C758" s="45">
        <v>5.0999999999999996</v>
      </c>
      <c r="D758" s="45">
        <v>12510012</v>
      </c>
      <c r="E758" s="45" t="s">
        <v>496</v>
      </c>
      <c r="F758" s="45" t="s">
        <v>58</v>
      </c>
      <c r="G758" s="35">
        <v>0.2048611111111111</v>
      </c>
      <c r="H758" s="35">
        <v>0.22569444444444445</v>
      </c>
      <c r="I758" s="36">
        <v>30</v>
      </c>
      <c r="J758" s="86" t="s">
        <v>51</v>
      </c>
      <c r="K758" s="86" t="s">
        <v>445</v>
      </c>
      <c r="L758" s="86" t="s">
        <v>53</v>
      </c>
      <c r="M758" s="152" t="s">
        <v>54</v>
      </c>
    </row>
    <row r="759" spans="1:13" x14ac:dyDescent="0.35">
      <c r="A759" s="123">
        <v>45944</v>
      </c>
      <c r="B759" s="39">
        <v>58</v>
      </c>
      <c r="C759" s="39">
        <v>4.49</v>
      </c>
      <c r="D759" s="39">
        <v>12510013</v>
      </c>
      <c r="E759" s="39" t="s">
        <v>159</v>
      </c>
      <c r="F759" s="39">
        <v>1250</v>
      </c>
      <c r="G759" s="35">
        <v>0.52638888888888891</v>
      </c>
      <c r="H759" s="35">
        <v>0.54722222222222228</v>
      </c>
      <c r="I759" s="36">
        <v>30</v>
      </c>
      <c r="J759" s="86" t="s">
        <v>51</v>
      </c>
      <c r="K759" s="86" t="s">
        <v>445</v>
      </c>
      <c r="L759" s="86" t="s">
        <v>53</v>
      </c>
      <c r="M759" s="152" t="s">
        <v>54</v>
      </c>
    </row>
    <row r="760" spans="1:13" x14ac:dyDescent="0.35">
      <c r="A760" s="123">
        <v>45944</v>
      </c>
      <c r="B760" s="39">
        <v>58</v>
      </c>
      <c r="C760" s="39">
        <v>4.49</v>
      </c>
      <c r="D760" s="39">
        <v>12510013</v>
      </c>
      <c r="E760" s="39" t="s">
        <v>159</v>
      </c>
      <c r="F760" s="39">
        <v>1250</v>
      </c>
      <c r="G760" s="35">
        <v>0.54722222222222228</v>
      </c>
      <c r="H760" s="35">
        <v>0.55763888888888891</v>
      </c>
      <c r="I760" s="36">
        <v>15</v>
      </c>
      <c r="J760" s="86" t="s">
        <v>52</v>
      </c>
      <c r="K760" s="86" t="s">
        <v>445</v>
      </c>
      <c r="L760" s="86" t="s">
        <v>59</v>
      </c>
      <c r="M760" s="152" t="s">
        <v>432</v>
      </c>
    </row>
    <row r="761" spans="1:13" x14ac:dyDescent="0.35">
      <c r="A761" s="123">
        <v>45944</v>
      </c>
      <c r="B761" s="39">
        <v>58</v>
      </c>
      <c r="C761" s="39">
        <v>4.49</v>
      </c>
      <c r="D761" s="39">
        <v>12510013</v>
      </c>
      <c r="E761" s="39" t="s">
        <v>159</v>
      </c>
      <c r="F761" s="39">
        <v>1250</v>
      </c>
      <c r="G761" s="35">
        <v>0.55763888888888891</v>
      </c>
      <c r="H761" s="35">
        <v>0.57986111111111116</v>
      </c>
      <c r="I761" s="36">
        <v>32</v>
      </c>
      <c r="J761" s="86" t="s">
        <v>446</v>
      </c>
      <c r="K761" s="116" t="s">
        <v>26</v>
      </c>
      <c r="L761" s="86" t="s">
        <v>543</v>
      </c>
      <c r="M761" s="152" t="s">
        <v>891</v>
      </c>
    </row>
    <row r="762" spans="1:13" x14ac:dyDescent="0.35">
      <c r="A762" s="123">
        <v>45944</v>
      </c>
      <c r="B762" s="39">
        <v>58</v>
      </c>
      <c r="C762" s="39">
        <v>4.49</v>
      </c>
      <c r="D762" s="45">
        <v>12510014</v>
      </c>
      <c r="E762" s="45" t="s">
        <v>175</v>
      </c>
      <c r="F762" s="45">
        <v>1250</v>
      </c>
      <c r="G762" s="35">
        <v>0.75694444444444442</v>
      </c>
      <c r="H762" s="35">
        <v>0.81388888888888888</v>
      </c>
      <c r="I762" s="36">
        <v>82</v>
      </c>
      <c r="J762" s="86" t="s">
        <v>35</v>
      </c>
      <c r="K762" s="86" t="s">
        <v>62</v>
      </c>
      <c r="L762" s="86" t="s">
        <v>190</v>
      </c>
      <c r="M762" s="153" t="s">
        <v>892</v>
      </c>
    </row>
    <row r="763" spans="1:13" x14ac:dyDescent="0.35">
      <c r="A763" s="123">
        <v>45946</v>
      </c>
      <c r="B763" s="39">
        <v>58</v>
      </c>
      <c r="C763" s="39">
        <v>4.41</v>
      </c>
      <c r="D763" s="39">
        <v>12510015</v>
      </c>
      <c r="E763" s="39" t="s">
        <v>159</v>
      </c>
      <c r="F763" s="39" t="s">
        <v>620</v>
      </c>
      <c r="G763" s="35">
        <v>0.11805555555555555</v>
      </c>
      <c r="H763" s="35">
        <v>0.1388888888888889</v>
      </c>
      <c r="I763" s="36">
        <v>30</v>
      </c>
      <c r="J763" s="86" t="s">
        <v>51</v>
      </c>
      <c r="K763" s="86" t="s">
        <v>445</v>
      </c>
      <c r="L763" s="86" t="s">
        <v>53</v>
      </c>
      <c r="M763" s="152" t="s">
        <v>54</v>
      </c>
    </row>
    <row r="764" spans="1:13" x14ac:dyDescent="0.35">
      <c r="A764" s="123">
        <v>45946</v>
      </c>
      <c r="B764" s="39">
        <v>58</v>
      </c>
      <c r="C764" s="39">
        <v>4.41</v>
      </c>
      <c r="D764" s="39">
        <v>12510015</v>
      </c>
      <c r="E764" s="39" t="s">
        <v>159</v>
      </c>
      <c r="F764" s="39" t="s">
        <v>620</v>
      </c>
      <c r="G764" s="35">
        <v>0.1388888888888889</v>
      </c>
      <c r="H764" s="35">
        <v>0.15972222222222221</v>
      </c>
      <c r="I764" s="36">
        <v>30</v>
      </c>
      <c r="J764" s="86" t="s">
        <v>446</v>
      </c>
      <c r="K764" s="116" t="s">
        <v>26</v>
      </c>
      <c r="L764" s="86" t="s">
        <v>331</v>
      </c>
      <c r="M764" s="152" t="s">
        <v>897</v>
      </c>
    </row>
    <row r="765" spans="1:13" x14ac:dyDescent="0.35">
      <c r="A765" s="123">
        <v>45946</v>
      </c>
      <c r="B765" s="39">
        <v>58</v>
      </c>
      <c r="C765" s="39">
        <v>4.41</v>
      </c>
      <c r="D765" s="45">
        <v>12510016</v>
      </c>
      <c r="E765" s="45" t="s">
        <v>452</v>
      </c>
      <c r="F765" s="45" t="s">
        <v>88</v>
      </c>
      <c r="G765" s="35">
        <v>0.78819444444444442</v>
      </c>
      <c r="H765" s="35">
        <v>0.91666666666666663</v>
      </c>
      <c r="I765" s="36">
        <v>185</v>
      </c>
      <c r="J765" s="86" t="s">
        <v>463</v>
      </c>
      <c r="K765" s="86" t="s">
        <v>26</v>
      </c>
      <c r="L765" s="86" t="s">
        <v>67</v>
      </c>
      <c r="M765" s="152" t="s">
        <v>898</v>
      </c>
    </row>
    <row r="766" spans="1:13" x14ac:dyDescent="0.35">
      <c r="A766" s="123">
        <v>45946</v>
      </c>
      <c r="B766" s="39">
        <v>58</v>
      </c>
      <c r="C766" s="39">
        <v>4.41</v>
      </c>
      <c r="D766" s="39">
        <v>12510015</v>
      </c>
      <c r="E766" s="39" t="s">
        <v>159</v>
      </c>
      <c r="F766" s="39" t="s">
        <v>620</v>
      </c>
      <c r="G766" s="35">
        <v>0.11805555555555555</v>
      </c>
      <c r="H766" s="35">
        <v>0.1388888888888889</v>
      </c>
      <c r="I766" s="36">
        <v>30</v>
      </c>
      <c r="J766" s="86" t="s">
        <v>51</v>
      </c>
      <c r="K766" s="86" t="s">
        <v>445</v>
      </c>
      <c r="L766" s="86" t="s">
        <v>53</v>
      </c>
      <c r="M766" s="152" t="s">
        <v>54</v>
      </c>
    </row>
    <row r="767" spans="1:13" x14ac:dyDescent="0.35">
      <c r="A767" s="123">
        <v>45946</v>
      </c>
      <c r="B767" s="39">
        <v>58</v>
      </c>
      <c r="C767" s="39">
        <v>4.41</v>
      </c>
      <c r="D767" s="39">
        <v>12510015</v>
      </c>
      <c r="E767" s="39" t="s">
        <v>159</v>
      </c>
      <c r="F767" s="39" t="s">
        <v>620</v>
      </c>
      <c r="G767" s="35">
        <v>0.1388888888888889</v>
      </c>
      <c r="H767" s="35">
        <v>0.15972222222222221</v>
      </c>
      <c r="I767" s="36">
        <v>30</v>
      </c>
      <c r="J767" s="86" t="s">
        <v>446</v>
      </c>
      <c r="K767" s="116" t="s">
        <v>26</v>
      </c>
      <c r="L767" s="86" t="s">
        <v>331</v>
      </c>
      <c r="M767" s="152" t="s">
        <v>897</v>
      </c>
    </row>
    <row r="768" spans="1:13" x14ac:dyDescent="0.35">
      <c r="A768" s="123">
        <v>45946</v>
      </c>
      <c r="B768" s="39">
        <v>58</v>
      </c>
      <c r="C768" s="39">
        <v>4.41</v>
      </c>
      <c r="D768" s="39">
        <v>12510016</v>
      </c>
      <c r="E768" s="39" t="s">
        <v>452</v>
      </c>
      <c r="F768" s="39" t="s">
        <v>88</v>
      </c>
      <c r="G768" s="35">
        <v>0.78819444444444442</v>
      </c>
      <c r="H768" s="35">
        <v>0.91666666666666663</v>
      </c>
      <c r="I768" s="36">
        <v>185</v>
      </c>
      <c r="J768" s="86" t="s">
        <v>463</v>
      </c>
      <c r="K768" s="86" t="s">
        <v>26</v>
      </c>
      <c r="L768" s="86" t="s">
        <v>67</v>
      </c>
      <c r="M768" s="152" t="s">
        <v>898</v>
      </c>
    </row>
    <row r="769" spans="1:13" x14ac:dyDescent="0.35">
      <c r="A769" s="126">
        <v>45947</v>
      </c>
      <c r="B769" s="45">
        <v>57.78</v>
      </c>
      <c r="C769" s="45">
        <v>5.37</v>
      </c>
      <c r="D769" s="39">
        <v>12510016</v>
      </c>
      <c r="E769" s="39" t="s">
        <v>452</v>
      </c>
      <c r="F769" s="39" t="s">
        <v>88</v>
      </c>
      <c r="G769" s="35">
        <v>0.91666666666666663</v>
      </c>
      <c r="H769" s="35">
        <v>5.9027777777777776E-2</v>
      </c>
      <c r="I769" s="36">
        <v>205</v>
      </c>
      <c r="J769" s="86" t="s">
        <v>446</v>
      </c>
      <c r="K769" s="86" t="s">
        <v>26</v>
      </c>
      <c r="L769" s="86" t="s">
        <v>67</v>
      </c>
      <c r="M769" s="152" t="s">
        <v>901</v>
      </c>
    </row>
    <row r="770" spans="1:13" x14ac:dyDescent="0.35">
      <c r="A770" s="126">
        <v>45948</v>
      </c>
      <c r="B770" s="45">
        <v>58</v>
      </c>
      <c r="C770" s="45">
        <v>5.42</v>
      </c>
      <c r="D770" s="45">
        <v>12510017</v>
      </c>
      <c r="E770" s="45" t="s">
        <v>98</v>
      </c>
      <c r="F770" s="45">
        <v>1230</v>
      </c>
      <c r="G770" s="35">
        <v>0.97916666666666663</v>
      </c>
      <c r="H770" s="35">
        <v>4.1666666666666664E-2</v>
      </c>
      <c r="I770" s="36">
        <v>90</v>
      </c>
      <c r="J770" s="86" t="s">
        <v>463</v>
      </c>
      <c r="K770" s="86" t="s">
        <v>26</v>
      </c>
      <c r="L770" s="86" t="s">
        <v>543</v>
      </c>
      <c r="M770" s="152" t="s">
        <v>902</v>
      </c>
    </row>
    <row r="771" spans="1:13" x14ac:dyDescent="0.35">
      <c r="A771" s="123">
        <v>45949</v>
      </c>
      <c r="B771" s="39">
        <v>57.5</v>
      </c>
      <c r="C771" s="39">
        <v>5.24</v>
      </c>
      <c r="D771" s="39">
        <v>12510018</v>
      </c>
      <c r="E771" s="39" t="s">
        <v>104</v>
      </c>
      <c r="F771" s="39">
        <v>1255</v>
      </c>
      <c r="G771" s="35">
        <v>0.3215277777777778</v>
      </c>
      <c r="H771" s="35">
        <v>0.34236111111111112</v>
      </c>
      <c r="I771" s="36">
        <v>30</v>
      </c>
      <c r="J771" s="86" t="s">
        <v>51</v>
      </c>
      <c r="K771" s="86" t="s">
        <v>445</v>
      </c>
      <c r="L771" s="86" t="s">
        <v>53</v>
      </c>
      <c r="M771" s="47" t="s">
        <v>54</v>
      </c>
    </row>
    <row r="772" spans="1:13" x14ac:dyDescent="0.35">
      <c r="A772" s="123">
        <v>45949</v>
      </c>
      <c r="B772" s="39">
        <v>57.5</v>
      </c>
      <c r="C772" s="39">
        <v>5.24</v>
      </c>
      <c r="D772" s="39">
        <v>12510018</v>
      </c>
      <c r="E772" s="39" t="s">
        <v>104</v>
      </c>
      <c r="F772" s="39">
        <v>1255</v>
      </c>
      <c r="G772" s="35">
        <v>0.34236111111111112</v>
      </c>
      <c r="H772" s="35">
        <v>0.36319444444444443</v>
      </c>
      <c r="I772" s="36">
        <v>30</v>
      </c>
      <c r="J772" s="86" t="s">
        <v>52</v>
      </c>
      <c r="K772" s="86" t="s">
        <v>445</v>
      </c>
      <c r="L772" s="86" t="s">
        <v>178</v>
      </c>
      <c r="M772" s="47" t="s">
        <v>179</v>
      </c>
    </row>
    <row r="773" spans="1:13" x14ac:dyDescent="0.35">
      <c r="A773" s="123">
        <v>45950</v>
      </c>
      <c r="B773" s="39">
        <v>58</v>
      </c>
      <c r="C773" s="39">
        <v>5.1100000000000003</v>
      </c>
      <c r="D773" s="39">
        <v>12510019</v>
      </c>
      <c r="E773" s="39" t="s">
        <v>72</v>
      </c>
      <c r="F773" s="39">
        <v>1235</v>
      </c>
      <c r="G773" s="35">
        <v>0.66180555555555554</v>
      </c>
      <c r="H773" s="35">
        <v>0.68263888888888891</v>
      </c>
      <c r="I773" s="36">
        <v>30</v>
      </c>
      <c r="J773" s="86" t="s">
        <v>51</v>
      </c>
      <c r="K773" s="86" t="s">
        <v>445</v>
      </c>
      <c r="L773" s="86" t="s">
        <v>53</v>
      </c>
      <c r="M773" s="47" t="s">
        <v>54</v>
      </c>
    </row>
    <row r="774" spans="1:13" x14ac:dyDescent="0.35">
      <c r="A774" s="123">
        <v>45950</v>
      </c>
      <c r="B774" s="39">
        <v>58</v>
      </c>
      <c r="C774" s="39">
        <v>5.1100000000000003</v>
      </c>
      <c r="D774" s="39">
        <v>12510019</v>
      </c>
      <c r="E774" s="39" t="s">
        <v>72</v>
      </c>
      <c r="F774" s="39">
        <v>1235</v>
      </c>
      <c r="G774" s="35">
        <v>0.68263888888888891</v>
      </c>
      <c r="H774" s="35">
        <v>0.68611111111111112</v>
      </c>
      <c r="I774" s="36">
        <v>5</v>
      </c>
      <c r="J774" s="86" t="s">
        <v>446</v>
      </c>
      <c r="K774" s="116" t="s">
        <v>26</v>
      </c>
      <c r="L774" s="86" t="s">
        <v>32</v>
      </c>
      <c r="M774" s="47" t="s">
        <v>903</v>
      </c>
    </row>
    <row r="775" spans="1:13" x14ac:dyDescent="0.35">
      <c r="A775" s="126">
        <v>45951</v>
      </c>
      <c r="B775" s="45">
        <v>58</v>
      </c>
      <c r="C775" s="45">
        <v>5.24</v>
      </c>
      <c r="D775" s="39">
        <v>12510020</v>
      </c>
      <c r="E775" s="39" t="s">
        <v>69</v>
      </c>
      <c r="F775" s="39">
        <v>1230</v>
      </c>
      <c r="G775" s="35">
        <v>0.72291666666666665</v>
      </c>
      <c r="H775" s="35">
        <v>0.91666666666666663</v>
      </c>
      <c r="I775" s="36">
        <v>279</v>
      </c>
      <c r="J775" s="86" t="s">
        <v>35</v>
      </c>
      <c r="K775" s="86" t="s">
        <v>552</v>
      </c>
      <c r="L775" s="86" t="s">
        <v>622</v>
      </c>
      <c r="M775" s="49" t="s">
        <v>904</v>
      </c>
    </row>
    <row r="776" spans="1:13" x14ac:dyDescent="0.35">
      <c r="A776" s="126">
        <v>45952</v>
      </c>
      <c r="B776" s="45">
        <v>58</v>
      </c>
      <c r="C776" s="45">
        <v>5.5</v>
      </c>
      <c r="D776" s="39">
        <v>12510020</v>
      </c>
      <c r="E776" s="39" t="s">
        <v>69</v>
      </c>
      <c r="F776" s="39">
        <v>1230</v>
      </c>
      <c r="G776" s="35">
        <v>0.91666666666666663</v>
      </c>
      <c r="H776" s="35">
        <v>0.93402777777777779</v>
      </c>
      <c r="I776" s="36">
        <v>25</v>
      </c>
      <c r="J776" s="86" t="s">
        <v>446</v>
      </c>
      <c r="K776" s="86" t="s">
        <v>552</v>
      </c>
      <c r="L776" s="86" t="s">
        <v>622</v>
      </c>
      <c r="M776" s="47" t="s">
        <v>622</v>
      </c>
    </row>
    <row r="777" spans="1:13" x14ac:dyDescent="0.35">
      <c r="A777" s="126">
        <v>45953</v>
      </c>
      <c r="B777" s="45">
        <v>58</v>
      </c>
      <c r="C777" s="45">
        <v>5.33</v>
      </c>
      <c r="D777" s="45">
        <v>12510021</v>
      </c>
      <c r="E777" s="45" t="s">
        <v>141</v>
      </c>
      <c r="F777" s="45" t="s">
        <v>181</v>
      </c>
      <c r="G777" s="35">
        <v>0.1875</v>
      </c>
      <c r="H777" s="35">
        <v>0.20833333333333334</v>
      </c>
      <c r="I777" s="36">
        <v>30</v>
      </c>
      <c r="J777" s="86" t="s">
        <v>51</v>
      </c>
      <c r="K777" s="86" t="s">
        <v>445</v>
      </c>
      <c r="L777" s="86" t="s">
        <v>53</v>
      </c>
      <c r="M777" s="47" t="s">
        <v>54</v>
      </c>
    </row>
    <row r="778" spans="1:13" x14ac:dyDescent="0.35">
      <c r="A778" s="123">
        <v>45954</v>
      </c>
      <c r="B778" s="39">
        <v>57.47</v>
      </c>
      <c r="C778" s="39">
        <v>5.0199999999999996</v>
      </c>
      <c r="D778" s="39">
        <v>12510022</v>
      </c>
      <c r="E778" s="39" t="s">
        <v>208</v>
      </c>
      <c r="F778" s="39">
        <v>1240</v>
      </c>
      <c r="G778" s="35">
        <v>6.9444444444444447E-4</v>
      </c>
      <c r="H778" s="35">
        <v>4.9305555555555554E-2</v>
      </c>
      <c r="I778" s="36">
        <v>70</v>
      </c>
      <c r="J778" s="86" t="s">
        <v>35</v>
      </c>
      <c r="K778" s="116" t="s">
        <v>161</v>
      </c>
      <c r="L778" s="86" t="s">
        <v>633</v>
      </c>
      <c r="M778" s="152" t="s">
        <v>905</v>
      </c>
    </row>
    <row r="779" spans="1:13" x14ac:dyDescent="0.35">
      <c r="A779" s="123">
        <v>45954</v>
      </c>
      <c r="B779" s="39">
        <v>57.47</v>
      </c>
      <c r="C779" s="39">
        <v>5.0199999999999996</v>
      </c>
      <c r="D779" s="39">
        <v>12510022</v>
      </c>
      <c r="E779" s="39" t="s">
        <v>208</v>
      </c>
      <c r="F779" s="39">
        <v>1240</v>
      </c>
      <c r="G779" s="35">
        <v>4.9305555555555554E-2</v>
      </c>
      <c r="H779" s="35">
        <v>5.5555555555555552E-2</v>
      </c>
      <c r="I779" s="36">
        <v>9</v>
      </c>
      <c r="J779" s="86" t="s">
        <v>446</v>
      </c>
      <c r="K779" s="86" t="s">
        <v>445</v>
      </c>
      <c r="L779" s="86" t="s">
        <v>74</v>
      </c>
      <c r="M779" s="152" t="s">
        <v>906</v>
      </c>
    </row>
    <row r="780" spans="1:13" x14ac:dyDescent="0.35">
      <c r="A780" s="123">
        <v>45955</v>
      </c>
      <c r="B780" s="45">
        <v>58</v>
      </c>
      <c r="C780" s="45">
        <v>4.66</v>
      </c>
      <c r="D780" s="45">
        <v>12510023</v>
      </c>
      <c r="E780" s="45" t="s">
        <v>159</v>
      </c>
      <c r="F780" s="45">
        <v>1252</v>
      </c>
      <c r="G780" s="35">
        <v>0.32361111111111113</v>
      </c>
      <c r="H780" s="35">
        <v>0.34444444444444444</v>
      </c>
      <c r="I780" s="36">
        <v>30</v>
      </c>
      <c r="J780" s="86" t="s">
        <v>51</v>
      </c>
      <c r="K780" s="86" t="s">
        <v>445</v>
      </c>
      <c r="L780" s="86" t="s">
        <v>53</v>
      </c>
      <c r="M780" s="47" t="s">
        <v>54</v>
      </c>
    </row>
    <row r="781" spans="1:13" x14ac:dyDescent="0.35">
      <c r="A781" s="123">
        <v>45955</v>
      </c>
      <c r="B781" s="45">
        <v>57.69</v>
      </c>
      <c r="C781" s="45">
        <v>5.07</v>
      </c>
      <c r="D781" s="45">
        <v>12510024</v>
      </c>
      <c r="E781" s="45" t="s">
        <v>18</v>
      </c>
      <c r="F781" s="45">
        <v>1230</v>
      </c>
      <c r="G781" s="35">
        <v>0.79861111111111116</v>
      </c>
      <c r="H781" s="35">
        <v>0.84722222222222221</v>
      </c>
      <c r="I781" s="36">
        <v>70</v>
      </c>
      <c r="J781" s="86" t="s">
        <v>35</v>
      </c>
      <c r="K781" s="116" t="s">
        <v>26</v>
      </c>
      <c r="L781" s="86" t="s">
        <v>449</v>
      </c>
      <c r="M781" s="49" t="s">
        <v>450</v>
      </c>
    </row>
    <row r="782" spans="1:13" x14ac:dyDescent="0.35">
      <c r="A782" s="126">
        <v>45957</v>
      </c>
      <c r="B782" s="45">
        <v>58</v>
      </c>
      <c r="C782" s="45">
        <v>4.96</v>
      </c>
      <c r="D782" s="45">
        <v>12510025</v>
      </c>
      <c r="E782" s="45" t="s">
        <v>80</v>
      </c>
      <c r="F782" s="45">
        <v>1235</v>
      </c>
      <c r="G782" s="35">
        <v>0.12847222222222221</v>
      </c>
      <c r="H782" s="35">
        <v>0.14930555555555555</v>
      </c>
      <c r="I782" s="36">
        <v>30</v>
      </c>
      <c r="J782" s="86" t="s">
        <v>51</v>
      </c>
      <c r="K782" s="86" t="s">
        <v>445</v>
      </c>
      <c r="L782" s="86" t="s">
        <v>53</v>
      </c>
      <c r="M782" s="47" t="s">
        <v>54</v>
      </c>
    </row>
    <row r="783" spans="1:13" x14ac:dyDescent="0.35">
      <c r="A783" s="123">
        <v>45958</v>
      </c>
      <c r="B783" s="39">
        <v>57.45</v>
      </c>
      <c r="C783" s="39">
        <v>5.21</v>
      </c>
      <c r="D783" s="39">
        <v>12510026</v>
      </c>
      <c r="E783" s="39" t="s">
        <v>101</v>
      </c>
      <c r="F783" s="39" t="s">
        <v>414</v>
      </c>
      <c r="G783" s="35">
        <v>0.31666666666666665</v>
      </c>
      <c r="H783" s="35">
        <v>0.33750000000000002</v>
      </c>
      <c r="I783" s="36">
        <v>30</v>
      </c>
      <c r="J783" s="86" t="s">
        <v>51</v>
      </c>
      <c r="K783" s="86" t="s">
        <v>445</v>
      </c>
      <c r="L783" s="86" t="s">
        <v>53</v>
      </c>
      <c r="M783" s="47" t="s">
        <v>54</v>
      </c>
    </row>
    <row r="784" spans="1:13" x14ac:dyDescent="0.35">
      <c r="A784" s="123">
        <v>45958</v>
      </c>
      <c r="B784" s="39">
        <v>57.45</v>
      </c>
      <c r="C784" s="39">
        <v>5.21</v>
      </c>
      <c r="D784" s="39">
        <v>12510026</v>
      </c>
      <c r="E784" s="39" t="s">
        <v>101</v>
      </c>
      <c r="F784" s="39" t="s">
        <v>414</v>
      </c>
      <c r="G784" s="35">
        <v>0.33750000000000002</v>
      </c>
      <c r="H784" s="35">
        <v>0.34791666666666665</v>
      </c>
      <c r="I784" s="36">
        <v>15</v>
      </c>
      <c r="J784" s="86" t="s">
        <v>52</v>
      </c>
      <c r="K784" s="86" t="s">
        <v>445</v>
      </c>
      <c r="L784" s="86" t="s">
        <v>59</v>
      </c>
      <c r="M784" s="47" t="s">
        <v>59</v>
      </c>
    </row>
    <row r="785" spans="1:13" x14ac:dyDescent="0.35">
      <c r="A785" s="123">
        <v>45959</v>
      </c>
      <c r="B785" s="39">
        <v>57.61</v>
      </c>
      <c r="C785" s="39">
        <v>5.24</v>
      </c>
      <c r="D785" s="39">
        <v>12510027</v>
      </c>
      <c r="E785" s="39" t="s">
        <v>72</v>
      </c>
      <c r="F785" s="39">
        <v>1250</v>
      </c>
      <c r="G785" s="35">
        <v>0.62361111111111112</v>
      </c>
      <c r="H785" s="35">
        <v>0.64444444444444449</v>
      </c>
      <c r="I785" s="36">
        <v>30</v>
      </c>
      <c r="J785" s="86" t="s">
        <v>51</v>
      </c>
      <c r="K785" s="86" t="s">
        <v>445</v>
      </c>
      <c r="L785" s="86" t="s">
        <v>53</v>
      </c>
      <c r="M785" s="47" t="s">
        <v>54</v>
      </c>
    </row>
    <row r="786" spans="1:13" x14ac:dyDescent="0.35">
      <c r="A786" s="123">
        <v>45959</v>
      </c>
      <c r="B786" s="39">
        <v>57.61</v>
      </c>
      <c r="C786" s="39">
        <v>5.24</v>
      </c>
      <c r="D786" s="39">
        <v>12510027</v>
      </c>
      <c r="E786" s="39" t="s">
        <v>72</v>
      </c>
      <c r="F786" s="39">
        <v>1250</v>
      </c>
      <c r="G786" s="35">
        <v>0.64444444444444449</v>
      </c>
      <c r="H786" s="35">
        <v>0.6479166666666667</v>
      </c>
      <c r="I786" s="36">
        <v>5</v>
      </c>
      <c r="J786" s="86" t="s">
        <v>446</v>
      </c>
      <c r="K786" s="86" t="s">
        <v>19</v>
      </c>
      <c r="L786" s="86" t="s">
        <v>176</v>
      </c>
      <c r="M786" s="47" t="s">
        <v>907</v>
      </c>
    </row>
    <row r="787" spans="1:13" x14ac:dyDescent="0.35">
      <c r="A787" s="123">
        <v>45960</v>
      </c>
      <c r="B787" s="39">
        <v>56.34</v>
      </c>
      <c r="C787" s="39">
        <v>5.0999999999999996</v>
      </c>
      <c r="D787" s="45">
        <v>12510028</v>
      </c>
      <c r="E787" s="45" t="s">
        <v>341</v>
      </c>
      <c r="F787" s="45">
        <v>1250</v>
      </c>
      <c r="G787" s="35">
        <v>4.8611111111111112E-2</v>
      </c>
      <c r="H787" s="35">
        <v>0.15277777777777779</v>
      </c>
      <c r="I787" s="36">
        <v>150</v>
      </c>
      <c r="J787" s="86" t="s">
        <v>35</v>
      </c>
      <c r="K787" s="86" t="s">
        <v>62</v>
      </c>
      <c r="L787" s="86" t="s">
        <v>908</v>
      </c>
      <c r="M787" s="49" t="s">
        <v>909</v>
      </c>
    </row>
    <row r="788" spans="1:13" x14ac:dyDescent="0.35">
      <c r="A788" s="123">
        <v>45960</v>
      </c>
      <c r="B788" s="39">
        <v>56.34</v>
      </c>
      <c r="C788" s="39">
        <v>5.0999999999999996</v>
      </c>
      <c r="D788" s="45">
        <v>12510029</v>
      </c>
      <c r="E788" s="45" t="s">
        <v>313</v>
      </c>
      <c r="F788" s="45">
        <v>1250</v>
      </c>
      <c r="G788" s="35">
        <v>0.88888888888888884</v>
      </c>
      <c r="H788" s="35">
        <v>0.91666666666666663</v>
      </c>
      <c r="I788" s="36">
        <v>40</v>
      </c>
      <c r="J788" s="86" t="s">
        <v>35</v>
      </c>
      <c r="K788" s="86" t="s">
        <v>62</v>
      </c>
      <c r="L788" s="49" t="s">
        <v>910</v>
      </c>
      <c r="M788" s="49" t="s">
        <v>910</v>
      </c>
    </row>
    <row r="789" spans="1:13" x14ac:dyDescent="0.35">
      <c r="A789" s="123">
        <v>45961</v>
      </c>
      <c r="B789" s="39">
        <v>57.33</v>
      </c>
      <c r="C789" s="39">
        <v>5.14</v>
      </c>
      <c r="D789" s="45">
        <v>12510029</v>
      </c>
      <c r="E789" s="45" t="s">
        <v>313</v>
      </c>
      <c r="F789" s="45">
        <v>1250</v>
      </c>
      <c r="G789" s="35">
        <v>0.91666666666666663</v>
      </c>
      <c r="H789" s="35">
        <v>0.9375</v>
      </c>
      <c r="I789" s="36">
        <v>30</v>
      </c>
      <c r="J789" s="86" t="s">
        <v>35</v>
      </c>
      <c r="K789" s="86" t="s">
        <v>62</v>
      </c>
      <c r="L789" s="86" t="s">
        <v>810</v>
      </c>
      <c r="M789" s="47" t="s">
        <v>927</v>
      </c>
    </row>
    <row r="790" spans="1:13" x14ac:dyDescent="0.35">
      <c r="A790" s="123">
        <v>45961</v>
      </c>
      <c r="B790" s="39">
        <v>57.33</v>
      </c>
      <c r="C790" s="39">
        <v>5.14</v>
      </c>
      <c r="D790" s="39">
        <v>12510030</v>
      </c>
      <c r="E790" s="39" t="s">
        <v>379</v>
      </c>
      <c r="F790" s="39">
        <v>1250</v>
      </c>
      <c r="G790" s="35">
        <v>0.48958333333333331</v>
      </c>
      <c r="H790" s="35">
        <v>0.53819444444444442</v>
      </c>
      <c r="I790" s="36">
        <v>70</v>
      </c>
      <c r="J790" s="86" t="s">
        <v>35</v>
      </c>
      <c r="K790" s="116" t="s">
        <v>445</v>
      </c>
      <c r="L790" s="49" t="s">
        <v>928</v>
      </c>
      <c r="M790" s="49" t="s">
        <v>928</v>
      </c>
    </row>
    <row r="791" spans="1:13" x14ac:dyDescent="0.35">
      <c r="A791" s="123">
        <v>45961</v>
      </c>
      <c r="B791" s="39">
        <v>57.33</v>
      </c>
      <c r="C791" s="39">
        <v>5.14</v>
      </c>
      <c r="D791" s="39">
        <v>12510030</v>
      </c>
      <c r="E791" s="39" t="s">
        <v>379</v>
      </c>
      <c r="F791" s="39">
        <v>1250</v>
      </c>
      <c r="G791" s="35">
        <v>0.53819444444444442</v>
      </c>
      <c r="H791" s="35">
        <v>0.55000000000000004</v>
      </c>
      <c r="I791" s="36">
        <v>17</v>
      </c>
      <c r="J791" s="86" t="s">
        <v>446</v>
      </c>
      <c r="K791" s="116" t="s">
        <v>445</v>
      </c>
      <c r="L791" s="86" t="s">
        <v>74</v>
      </c>
      <c r="M791" s="47" t="s">
        <v>906</v>
      </c>
    </row>
    <row r="792" spans="1:13" x14ac:dyDescent="0.35">
      <c r="A792" s="123">
        <v>45961</v>
      </c>
      <c r="B792" s="39">
        <v>57.33</v>
      </c>
      <c r="C792" s="39">
        <v>5.14</v>
      </c>
      <c r="D792" s="39">
        <v>12510030</v>
      </c>
      <c r="E792" s="39" t="s">
        <v>379</v>
      </c>
      <c r="F792" s="39">
        <v>1250</v>
      </c>
      <c r="G792" s="35">
        <v>0.55000000000000004</v>
      </c>
      <c r="H792" s="35">
        <v>0.55694444444444446</v>
      </c>
      <c r="I792" s="36">
        <v>10</v>
      </c>
      <c r="J792" s="86" t="s">
        <v>446</v>
      </c>
      <c r="K792" s="86" t="s">
        <v>246</v>
      </c>
      <c r="L792" s="47" t="s">
        <v>929</v>
      </c>
      <c r="M792" s="47" t="s">
        <v>929</v>
      </c>
    </row>
    <row r="793" spans="1:13" x14ac:dyDescent="0.35">
      <c r="A793" s="123">
        <v>45961</v>
      </c>
      <c r="B793" s="39">
        <v>57.33</v>
      </c>
      <c r="C793" s="39">
        <v>5.14</v>
      </c>
      <c r="D793" s="45">
        <v>12510031</v>
      </c>
      <c r="E793" s="45" t="s">
        <v>173</v>
      </c>
      <c r="F793" s="45">
        <v>1230</v>
      </c>
      <c r="G793" s="35">
        <v>0.61597222222222225</v>
      </c>
      <c r="H793" s="35">
        <v>0.67291666666666672</v>
      </c>
      <c r="I793" s="36">
        <v>82</v>
      </c>
      <c r="J793" s="86" t="s">
        <v>35</v>
      </c>
      <c r="K793" s="116" t="s">
        <v>19</v>
      </c>
      <c r="L793" s="86" t="s">
        <v>354</v>
      </c>
      <c r="M793" s="49" t="s">
        <v>930</v>
      </c>
    </row>
    <row r="794" spans="1:13" x14ac:dyDescent="0.35">
      <c r="A794" s="123">
        <v>45963</v>
      </c>
      <c r="B794" s="39">
        <v>58</v>
      </c>
      <c r="C794" s="39">
        <v>4.8899999999999997</v>
      </c>
      <c r="D794" s="39">
        <v>12510032</v>
      </c>
      <c r="E794" s="39" t="s">
        <v>104</v>
      </c>
      <c r="F794" s="39" t="s">
        <v>458</v>
      </c>
      <c r="G794" s="35">
        <v>0.95694444444444449</v>
      </c>
      <c r="H794" s="35">
        <v>0.97777777777777775</v>
      </c>
      <c r="I794" s="36">
        <v>30</v>
      </c>
      <c r="J794" s="86" t="s">
        <v>51</v>
      </c>
      <c r="K794" s="116" t="s">
        <v>445</v>
      </c>
      <c r="L794" s="86" t="s">
        <v>53</v>
      </c>
      <c r="M794" s="47" t="s">
        <v>54</v>
      </c>
    </row>
    <row r="795" spans="1:13" x14ac:dyDescent="0.35">
      <c r="A795" s="123">
        <v>45963</v>
      </c>
      <c r="B795" s="39">
        <v>58</v>
      </c>
      <c r="C795" s="39">
        <v>4.8899999999999997</v>
      </c>
      <c r="D795" s="39">
        <v>12510032</v>
      </c>
      <c r="E795" s="39" t="s">
        <v>104</v>
      </c>
      <c r="F795" s="39" t="s">
        <v>458</v>
      </c>
      <c r="G795" s="35">
        <v>0.97777777777777775</v>
      </c>
      <c r="H795" s="35">
        <v>0.98263888888888884</v>
      </c>
      <c r="I795" s="36">
        <v>7</v>
      </c>
      <c r="J795" s="86" t="s">
        <v>446</v>
      </c>
      <c r="K795" s="116" t="s">
        <v>26</v>
      </c>
      <c r="L795" s="86" t="s">
        <v>32</v>
      </c>
      <c r="M795" s="47" t="s">
        <v>931</v>
      </c>
    </row>
    <row r="796" spans="1:13" x14ac:dyDescent="0.35">
      <c r="A796" s="123">
        <v>45964</v>
      </c>
      <c r="B796" s="39">
        <v>58</v>
      </c>
      <c r="C796" s="39">
        <v>5.3</v>
      </c>
      <c r="D796" s="39">
        <v>12511001</v>
      </c>
      <c r="E796" s="39" t="s">
        <v>57</v>
      </c>
      <c r="F796" s="39">
        <v>1255</v>
      </c>
      <c r="G796" s="35">
        <v>0.25347222222222221</v>
      </c>
      <c r="H796" s="35">
        <v>0.27430555555555558</v>
      </c>
      <c r="I796" s="36">
        <v>30</v>
      </c>
      <c r="J796" s="86" t="s">
        <v>51</v>
      </c>
      <c r="K796" s="116" t="s">
        <v>445</v>
      </c>
      <c r="L796" s="86" t="s">
        <v>53</v>
      </c>
      <c r="M796" s="47" t="s">
        <v>54</v>
      </c>
    </row>
    <row r="797" spans="1:13" x14ac:dyDescent="0.35">
      <c r="A797" s="123">
        <v>45964</v>
      </c>
      <c r="B797" s="39">
        <v>58</v>
      </c>
      <c r="C797" s="39">
        <v>5.3</v>
      </c>
      <c r="D797" s="39">
        <v>12511001</v>
      </c>
      <c r="E797" s="39" t="s">
        <v>57</v>
      </c>
      <c r="F797" s="39">
        <v>1255</v>
      </c>
      <c r="G797" s="35">
        <v>0.27430555555555558</v>
      </c>
      <c r="H797" s="35">
        <v>0.29166666666666669</v>
      </c>
      <c r="I797" s="36">
        <v>25</v>
      </c>
      <c r="J797" s="86" t="s">
        <v>446</v>
      </c>
      <c r="K797" s="86" t="s">
        <v>445</v>
      </c>
      <c r="L797" s="86" t="s">
        <v>55</v>
      </c>
      <c r="M797" s="47" t="s">
        <v>934</v>
      </c>
    </row>
    <row r="798" spans="1:13" x14ac:dyDescent="0.35">
      <c r="A798" s="123">
        <v>45964</v>
      </c>
      <c r="B798" s="39">
        <v>58</v>
      </c>
      <c r="C798" s="39">
        <v>5.3</v>
      </c>
      <c r="D798" s="39">
        <v>12511002</v>
      </c>
      <c r="E798" s="39" t="s">
        <v>47</v>
      </c>
      <c r="F798" s="39">
        <v>1242</v>
      </c>
      <c r="G798" s="35">
        <v>0.29236111111111113</v>
      </c>
      <c r="H798" s="35">
        <v>0.34097222222222223</v>
      </c>
      <c r="I798" s="36">
        <v>70</v>
      </c>
      <c r="J798" s="86" t="s">
        <v>35</v>
      </c>
      <c r="K798" s="116" t="s">
        <v>19</v>
      </c>
      <c r="L798" s="86" t="s">
        <v>248</v>
      </c>
      <c r="M798" s="49" t="s">
        <v>935</v>
      </c>
    </row>
    <row r="799" spans="1:13" x14ac:dyDescent="0.35">
      <c r="A799" s="123">
        <v>45964</v>
      </c>
      <c r="B799" s="39">
        <v>58</v>
      </c>
      <c r="C799" s="39">
        <v>5.3</v>
      </c>
      <c r="D799" s="39">
        <v>12511002</v>
      </c>
      <c r="E799" s="39" t="s">
        <v>47</v>
      </c>
      <c r="F799" s="39">
        <v>1242</v>
      </c>
      <c r="G799" s="35">
        <v>0.34097222222222223</v>
      </c>
      <c r="H799" s="35">
        <v>0.91666666666666663</v>
      </c>
      <c r="I799" s="36">
        <v>829</v>
      </c>
      <c r="J799" s="86" t="s">
        <v>448</v>
      </c>
      <c r="K799" s="86" t="s">
        <v>15</v>
      </c>
      <c r="L799" s="86" t="s">
        <v>448</v>
      </c>
      <c r="M799" s="47" t="s">
        <v>17</v>
      </c>
    </row>
    <row r="800" spans="1:13" x14ac:dyDescent="0.35">
      <c r="A800" s="123">
        <v>45965</v>
      </c>
      <c r="B800" s="39">
        <v>58</v>
      </c>
      <c r="C800" s="39">
        <v>5.48</v>
      </c>
      <c r="D800" s="39">
        <v>12511002</v>
      </c>
      <c r="E800" s="39" t="s">
        <v>47</v>
      </c>
      <c r="F800" s="39">
        <v>1242</v>
      </c>
      <c r="G800" s="35">
        <v>0.91666666666666663</v>
      </c>
      <c r="H800" s="35">
        <v>3.4722222222222224E-2</v>
      </c>
      <c r="I800" s="36">
        <v>170</v>
      </c>
      <c r="J800" s="86" t="s">
        <v>448</v>
      </c>
      <c r="K800" s="86" t="s">
        <v>15</v>
      </c>
      <c r="L800" s="86" t="s">
        <v>448</v>
      </c>
      <c r="M800" s="58" t="s">
        <v>17</v>
      </c>
    </row>
    <row r="801" spans="1:13" x14ac:dyDescent="0.35">
      <c r="A801" s="123">
        <v>45965</v>
      </c>
      <c r="B801" s="39">
        <v>58</v>
      </c>
      <c r="C801" s="39">
        <v>5.48</v>
      </c>
      <c r="D801" s="39">
        <v>12511002</v>
      </c>
      <c r="E801" s="39" t="s">
        <v>47</v>
      </c>
      <c r="F801" s="39">
        <v>1242</v>
      </c>
      <c r="G801" s="35">
        <v>3.4722222222222224E-2</v>
      </c>
      <c r="H801" s="35">
        <v>0.23055555555555557</v>
      </c>
      <c r="I801" s="36">
        <v>282</v>
      </c>
      <c r="J801" s="86" t="s">
        <v>446</v>
      </c>
      <c r="K801" s="116" t="s">
        <v>283</v>
      </c>
      <c r="L801" s="86" t="s">
        <v>283</v>
      </c>
      <c r="M801" s="58" t="s">
        <v>284</v>
      </c>
    </row>
    <row r="802" spans="1:13" x14ac:dyDescent="0.35">
      <c r="A802" s="123">
        <v>45966</v>
      </c>
      <c r="B802" s="39">
        <v>57.9</v>
      </c>
      <c r="C802" s="39">
        <v>5.12</v>
      </c>
      <c r="D802" s="39">
        <v>12511003</v>
      </c>
      <c r="E802" s="39" t="s">
        <v>138</v>
      </c>
      <c r="F802" s="39" t="s">
        <v>936</v>
      </c>
      <c r="G802" s="35">
        <v>0.94791666666666663</v>
      </c>
      <c r="H802" s="35">
        <v>0.96875</v>
      </c>
      <c r="I802" s="36">
        <v>30</v>
      </c>
      <c r="J802" s="86" t="s">
        <v>51</v>
      </c>
      <c r="K802" s="116" t="s">
        <v>445</v>
      </c>
      <c r="L802" s="86" t="s">
        <v>53</v>
      </c>
      <c r="M802" s="58" t="s">
        <v>937</v>
      </c>
    </row>
    <row r="803" spans="1:13" x14ac:dyDescent="0.35">
      <c r="A803" s="123">
        <v>45966</v>
      </c>
      <c r="B803" s="39">
        <v>57.9</v>
      </c>
      <c r="C803" s="39">
        <v>5.12</v>
      </c>
      <c r="D803" s="39">
        <v>12511003</v>
      </c>
      <c r="E803" s="39" t="s">
        <v>138</v>
      </c>
      <c r="F803" s="39" t="s">
        <v>936</v>
      </c>
      <c r="G803" s="35">
        <v>0.96875</v>
      </c>
      <c r="H803" s="35">
        <v>1.0416666666666666E-2</v>
      </c>
      <c r="I803" s="36">
        <v>60</v>
      </c>
      <c r="J803" s="86" t="s">
        <v>446</v>
      </c>
      <c r="K803" s="116" t="s">
        <v>41</v>
      </c>
      <c r="L803" s="86" t="s">
        <v>454</v>
      </c>
      <c r="M803" s="58" t="s">
        <v>938</v>
      </c>
    </row>
    <row r="804" spans="1:13" x14ac:dyDescent="0.35">
      <c r="A804" s="123">
        <v>45967</v>
      </c>
      <c r="B804" s="39">
        <v>58</v>
      </c>
      <c r="C804" s="39">
        <v>5.33</v>
      </c>
      <c r="D804" s="39">
        <v>12511004</v>
      </c>
      <c r="E804" s="39" t="s">
        <v>72</v>
      </c>
      <c r="F804" s="39">
        <v>1255</v>
      </c>
      <c r="G804" s="35">
        <v>0.31041666666666667</v>
      </c>
      <c r="H804" s="35">
        <v>0.33124999999999999</v>
      </c>
      <c r="I804" s="36">
        <v>30</v>
      </c>
      <c r="J804" s="86" t="s">
        <v>51</v>
      </c>
      <c r="K804" s="116" t="s">
        <v>445</v>
      </c>
      <c r="L804" s="86" t="s">
        <v>53</v>
      </c>
      <c r="M804" s="58" t="s">
        <v>54</v>
      </c>
    </row>
    <row r="805" spans="1:13" x14ac:dyDescent="0.35">
      <c r="A805" s="123">
        <v>45967</v>
      </c>
      <c r="B805" s="39">
        <v>58</v>
      </c>
      <c r="C805" s="39">
        <v>5.33</v>
      </c>
      <c r="D805" s="39">
        <v>12511004</v>
      </c>
      <c r="E805" s="39" t="s">
        <v>72</v>
      </c>
      <c r="F805" s="39">
        <v>1255</v>
      </c>
      <c r="G805" s="35">
        <v>0.33124999999999999</v>
      </c>
      <c r="H805" s="35">
        <v>0.34166666666666667</v>
      </c>
      <c r="I805" s="36">
        <v>15</v>
      </c>
      <c r="J805" s="86" t="s">
        <v>52</v>
      </c>
      <c r="K805" s="116" t="s">
        <v>445</v>
      </c>
      <c r="L805" s="86" t="s">
        <v>59</v>
      </c>
      <c r="M805" s="58" t="s">
        <v>59</v>
      </c>
    </row>
    <row r="806" spans="1:13" x14ac:dyDescent="0.35">
      <c r="A806" s="123">
        <v>45967</v>
      </c>
      <c r="B806" s="39">
        <v>58</v>
      </c>
      <c r="C806" s="39">
        <v>5.33</v>
      </c>
      <c r="D806" s="45">
        <v>12511005</v>
      </c>
      <c r="E806" s="45" t="s">
        <v>226</v>
      </c>
      <c r="F806" s="45">
        <v>1230</v>
      </c>
      <c r="G806" s="35">
        <v>0.69791666666666663</v>
      </c>
      <c r="H806" s="35">
        <v>0.74305555555555558</v>
      </c>
      <c r="I806" s="36">
        <v>65</v>
      </c>
      <c r="J806" s="86" t="s">
        <v>35</v>
      </c>
      <c r="K806" s="116" t="s">
        <v>62</v>
      </c>
      <c r="L806" s="86" t="s">
        <v>190</v>
      </c>
      <c r="M806" s="62" t="s">
        <v>102</v>
      </c>
    </row>
    <row r="807" spans="1:13" x14ac:dyDescent="0.35">
      <c r="A807" s="123">
        <v>45969</v>
      </c>
      <c r="B807" s="45">
        <v>57.76</v>
      </c>
      <c r="C807" s="45">
        <v>5.43</v>
      </c>
      <c r="D807" s="39">
        <v>12511006</v>
      </c>
      <c r="E807" s="39" t="s">
        <v>80</v>
      </c>
      <c r="F807" s="39" t="s">
        <v>939</v>
      </c>
      <c r="G807" s="35">
        <v>0.96666666666666667</v>
      </c>
      <c r="H807" s="35">
        <v>0.98750000000000004</v>
      </c>
      <c r="I807" s="36">
        <v>30</v>
      </c>
      <c r="J807" s="86" t="s">
        <v>51</v>
      </c>
      <c r="K807" s="116" t="s">
        <v>445</v>
      </c>
      <c r="L807" s="86" t="s">
        <v>53</v>
      </c>
      <c r="M807" s="47" t="s">
        <v>54</v>
      </c>
    </row>
    <row r="808" spans="1:13" x14ac:dyDescent="0.35">
      <c r="A808" s="123">
        <v>45969</v>
      </c>
      <c r="B808" s="39">
        <v>57.21</v>
      </c>
      <c r="C808" s="39">
        <v>5.21</v>
      </c>
      <c r="D808" s="39">
        <v>12511006</v>
      </c>
      <c r="E808" s="39" t="s">
        <v>80</v>
      </c>
      <c r="F808" s="39" t="s">
        <v>939</v>
      </c>
      <c r="G808" s="35">
        <v>0.98750000000000004</v>
      </c>
      <c r="H808" s="35">
        <v>8.3333333333333332E-3</v>
      </c>
      <c r="I808" s="36">
        <v>30</v>
      </c>
      <c r="J808" s="86" t="s">
        <v>52</v>
      </c>
      <c r="K808" s="116" t="s">
        <v>445</v>
      </c>
      <c r="L808" s="86" t="s">
        <v>178</v>
      </c>
      <c r="M808" s="47" t="s">
        <v>179</v>
      </c>
    </row>
    <row r="809" spans="1:13" x14ac:dyDescent="0.35">
      <c r="A809" s="123">
        <v>45969</v>
      </c>
      <c r="B809" s="39">
        <v>57.21</v>
      </c>
      <c r="C809" s="39">
        <v>5.21</v>
      </c>
      <c r="D809" s="39">
        <v>12511006</v>
      </c>
      <c r="E809" s="39" t="s">
        <v>80</v>
      </c>
      <c r="F809" s="39" t="s">
        <v>939</v>
      </c>
      <c r="G809" s="35">
        <v>8.3333333333333332E-3</v>
      </c>
      <c r="H809" s="35">
        <v>1.3888888888888888E-2</v>
      </c>
      <c r="I809" s="36">
        <v>8</v>
      </c>
      <c r="J809" s="86" t="s">
        <v>446</v>
      </c>
      <c r="K809" s="116" t="s">
        <v>445</v>
      </c>
      <c r="L809" s="86" t="s">
        <v>74</v>
      </c>
      <c r="M809" s="47" t="s">
        <v>75</v>
      </c>
    </row>
    <row r="810" spans="1:13" x14ac:dyDescent="0.35">
      <c r="A810" s="123">
        <v>45969</v>
      </c>
      <c r="B810" s="39">
        <v>57.21</v>
      </c>
      <c r="C810" s="39">
        <v>5.21</v>
      </c>
      <c r="D810" s="45">
        <v>12511007</v>
      </c>
      <c r="E810" s="45" t="s">
        <v>522</v>
      </c>
      <c r="F810" s="45">
        <v>1335</v>
      </c>
      <c r="G810" s="35">
        <v>0.66666666666666663</v>
      </c>
      <c r="H810" s="35">
        <v>0.8305555555555556</v>
      </c>
      <c r="I810" s="36">
        <v>236</v>
      </c>
      <c r="J810" s="86" t="s">
        <v>35</v>
      </c>
      <c r="K810" s="116" t="s">
        <v>19</v>
      </c>
      <c r="L810" s="86" t="s">
        <v>231</v>
      </c>
      <c r="M810" s="49" t="s">
        <v>940</v>
      </c>
    </row>
    <row r="811" spans="1:13" x14ac:dyDescent="0.35">
      <c r="A811" s="123">
        <v>45971</v>
      </c>
      <c r="B811" s="45">
        <v>57.62</v>
      </c>
      <c r="C811" s="45">
        <v>5.41</v>
      </c>
      <c r="D811" s="39">
        <v>12511008</v>
      </c>
      <c r="E811" s="39" t="s">
        <v>93</v>
      </c>
      <c r="F811" s="39" t="s">
        <v>941</v>
      </c>
      <c r="G811" s="35">
        <v>0.97361111111111109</v>
      </c>
      <c r="H811" s="35">
        <v>0.99444444444444446</v>
      </c>
      <c r="I811" s="36">
        <v>30</v>
      </c>
      <c r="J811" s="86" t="s">
        <v>51</v>
      </c>
      <c r="K811" s="116" t="s">
        <v>445</v>
      </c>
      <c r="L811" s="86" t="s">
        <v>53</v>
      </c>
      <c r="M811" s="47" t="s">
        <v>54</v>
      </c>
    </row>
    <row r="812" spans="1:13" x14ac:dyDescent="0.35">
      <c r="A812" s="123">
        <v>45971</v>
      </c>
      <c r="B812" s="45">
        <v>57.8</v>
      </c>
      <c r="C812" s="45">
        <v>5.45</v>
      </c>
      <c r="D812" s="39">
        <v>12511008</v>
      </c>
      <c r="E812" s="39" t="s">
        <v>93</v>
      </c>
      <c r="F812" s="39" t="s">
        <v>941</v>
      </c>
      <c r="G812" s="35">
        <v>0.99444444444444446</v>
      </c>
      <c r="H812" s="35">
        <v>4.8611111111111112E-3</v>
      </c>
      <c r="I812" s="36">
        <v>15</v>
      </c>
      <c r="J812" s="86" t="s">
        <v>52</v>
      </c>
      <c r="K812" s="116" t="s">
        <v>445</v>
      </c>
      <c r="L812" s="86" t="s">
        <v>59</v>
      </c>
      <c r="M812" s="47" t="s">
        <v>59</v>
      </c>
    </row>
    <row r="813" spans="1:13" x14ac:dyDescent="0.35">
      <c r="A813" s="122">
        <v>45972</v>
      </c>
      <c r="B813" s="45">
        <v>57.75</v>
      </c>
      <c r="C813" s="45">
        <v>5.34</v>
      </c>
      <c r="D813" s="45">
        <v>12511009</v>
      </c>
      <c r="E813" s="45" t="s">
        <v>141</v>
      </c>
      <c r="F813" s="45">
        <v>1255</v>
      </c>
      <c r="G813" s="35">
        <v>0.30208333333333331</v>
      </c>
      <c r="H813" s="35">
        <v>0.32291666666666669</v>
      </c>
      <c r="I813" s="36">
        <v>30</v>
      </c>
      <c r="J813" s="86" t="s">
        <v>51</v>
      </c>
      <c r="K813" s="116" t="s">
        <v>445</v>
      </c>
      <c r="L813" s="86" t="s">
        <v>53</v>
      </c>
      <c r="M813" s="58" t="s">
        <v>54</v>
      </c>
    </row>
    <row r="814" spans="1:13" x14ac:dyDescent="0.35">
      <c r="A814" s="122">
        <v>45973</v>
      </c>
      <c r="B814" s="45">
        <v>57.89</v>
      </c>
      <c r="C814" s="45">
        <v>5.36</v>
      </c>
      <c r="D814" s="45">
        <v>12511010</v>
      </c>
      <c r="E814" s="45" t="s">
        <v>122</v>
      </c>
      <c r="F814" s="45" t="s">
        <v>948</v>
      </c>
      <c r="G814" s="35">
        <v>0.27430555555555558</v>
      </c>
      <c r="H814" s="35">
        <v>0.44513888888888886</v>
      </c>
      <c r="I814" s="36">
        <v>246</v>
      </c>
      <c r="J814" s="86" t="s">
        <v>35</v>
      </c>
      <c r="K814" s="116" t="s">
        <v>552</v>
      </c>
      <c r="L814" s="86" t="s">
        <v>553</v>
      </c>
      <c r="M814" s="62" t="s">
        <v>904</v>
      </c>
    </row>
    <row r="815" spans="1:13" x14ac:dyDescent="0.35">
      <c r="A815" s="122">
        <v>45974</v>
      </c>
      <c r="B815" s="45">
        <v>58</v>
      </c>
      <c r="C815" s="45">
        <v>5.26</v>
      </c>
      <c r="D815" s="45">
        <v>12511011</v>
      </c>
      <c r="E815" s="45" t="s">
        <v>104</v>
      </c>
      <c r="F815" s="45" t="s">
        <v>58</v>
      </c>
      <c r="G815" s="35">
        <v>0.79097222222222219</v>
      </c>
      <c r="H815" s="35">
        <v>0.81180555555555556</v>
      </c>
      <c r="I815" s="36">
        <v>30</v>
      </c>
      <c r="J815" s="86" t="s">
        <v>51</v>
      </c>
      <c r="K815" s="116" t="s">
        <v>445</v>
      </c>
      <c r="L815" s="86" t="s">
        <v>53</v>
      </c>
      <c r="M815" s="58" t="s">
        <v>54</v>
      </c>
    </row>
    <row r="816" spans="1:13" x14ac:dyDescent="0.35">
      <c r="A816" s="123">
        <v>45976</v>
      </c>
      <c r="B816" s="45">
        <v>57.67</v>
      </c>
      <c r="C816" s="45">
        <v>5.61</v>
      </c>
      <c r="D816" s="39">
        <v>12511012</v>
      </c>
      <c r="E816" s="39" t="s">
        <v>104</v>
      </c>
      <c r="F816" s="39">
        <v>1255</v>
      </c>
      <c r="G816" s="35">
        <v>0.1</v>
      </c>
      <c r="H816" s="35">
        <v>0.12083333333333333</v>
      </c>
      <c r="I816" s="36">
        <v>30</v>
      </c>
      <c r="J816" s="86" t="s">
        <v>51</v>
      </c>
      <c r="K816" s="116" t="s">
        <v>445</v>
      </c>
      <c r="L816" s="86" t="s">
        <v>53</v>
      </c>
      <c r="M816" s="47" t="s">
        <v>54</v>
      </c>
    </row>
    <row r="817" spans="1:13" x14ac:dyDescent="0.35">
      <c r="A817" s="123">
        <v>45976</v>
      </c>
      <c r="B817" s="39">
        <v>57.68</v>
      </c>
      <c r="C817" s="39">
        <v>5.17</v>
      </c>
      <c r="D817" s="39">
        <v>12511012</v>
      </c>
      <c r="E817" s="39" t="s">
        <v>104</v>
      </c>
      <c r="F817" s="39">
        <v>1255</v>
      </c>
      <c r="G817" s="35">
        <v>0.12083333333333333</v>
      </c>
      <c r="H817" s="35">
        <v>0.13125000000000001</v>
      </c>
      <c r="I817" s="36">
        <v>15</v>
      </c>
      <c r="J817" s="86" t="s">
        <v>52</v>
      </c>
      <c r="K817" s="116" t="s">
        <v>445</v>
      </c>
      <c r="L817" s="86" t="s">
        <v>59</v>
      </c>
      <c r="M817" s="47" t="s">
        <v>59</v>
      </c>
    </row>
    <row r="818" spans="1:13" x14ac:dyDescent="0.35">
      <c r="A818" s="123">
        <v>45976</v>
      </c>
      <c r="B818" s="39">
        <v>57.68</v>
      </c>
      <c r="C818" s="39">
        <v>5.17</v>
      </c>
      <c r="D818" s="39">
        <v>12511012</v>
      </c>
      <c r="E818" s="39" t="s">
        <v>104</v>
      </c>
      <c r="F818" s="39">
        <v>1255</v>
      </c>
      <c r="G818" s="35">
        <v>0.13125000000000001</v>
      </c>
      <c r="H818" s="35">
        <v>0.18333333333333332</v>
      </c>
      <c r="I818" s="36">
        <v>75</v>
      </c>
      <c r="J818" s="86" t="s">
        <v>446</v>
      </c>
      <c r="K818" s="116" t="s">
        <v>19</v>
      </c>
      <c r="L818" s="86" t="s">
        <v>143</v>
      </c>
      <c r="M818" s="47" t="s">
        <v>952</v>
      </c>
    </row>
    <row r="819" spans="1:13" x14ac:dyDescent="0.35">
      <c r="A819" s="123">
        <v>45977</v>
      </c>
      <c r="B819" s="39">
        <v>57.51</v>
      </c>
      <c r="C819" s="39">
        <v>5.45</v>
      </c>
      <c r="D819" s="39">
        <v>12511013</v>
      </c>
      <c r="E819" s="39" t="s">
        <v>72</v>
      </c>
      <c r="F819" s="39" t="s">
        <v>58</v>
      </c>
      <c r="G819" s="35">
        <v>0.47569444444444442</v>
      </c>
      <c r="H819" s="35">
        <v>0.49652777777777779</v>
      </c>
      <c r="I819" s="36">
        <v>30</v>
      </c>
      <c r="J819" s="86" t="s">
        <v>51</v>
      </c>
      <c r="K819" s="116" t="s">
        <v>445</v>
      </c>
      <c r="L819" s="86" t="s">
        <v>53</v>
      </c>
      <c r="M819" s="47" t="s">
        <v>54</v>
      </c>
    </row>
    <row r="820" spans="1:13" x14ac:dyDescent="0.35">
      <c r="A820" s="123">
        <v>45977</v>
      </c>
      <c r="B820" s="39">
        <v>57.51</v>
      </c>
      <c r="C820" s="39">
        <v>5.45</v>
      </c>
      <c r="D820" s="39">
        <v>12511013</v>
      </c>
      <c r="E820" s="39" t="s">
        <v>72</v>
      </c>
      <c r="F820" s="39" t="s">
        <v>58</v>
      </c>
      <c r="G820" s="35">
        <v>0.49652777777777779</v>
      </c>
      <c r="H820" s="35">
        <v>0.51527777777777772</v>
      </c>
      <c r="I820" s="36">
        <v>27</v>
      </c>
      <c r="J820" s="86" t="s">
        <v>52</v>
      </c>
      <c r="K820" s="116" t="s">
        <v>445</v>
      </c>
      <c r="L820" s="86" t="s">
        <v>178</v>
      </c>
      <c r="M820" s="47" t="s">
        <v>179</v>
      </c>
    </row>
    <row r="821" spans="1:13" x14ac:dyDescent="0.35">
      <c r="A821" s="122">
        <v>45978</v>
      </c>
      <c r="B821" s="45">
        <v>57.95</v>
      </c>
      <c r="C821" s="45">
        <v>5.61</v>
      </c>
      <c r="D821" s="45">
        <v>12511014</v>
      </c>
      <c r="E821" s="45" t="s">
        <v>104</v>
      </c>
      <c r="F821" s="45">
        <v>1255</v>
      </c>
      <c r="G821" s="35">
        <v>0.78472222222222221</v>
      </c>
      <c r="H821" s="35">
        <v>0.80208333333333337</v>
      </c>
      <c r="I821" s="36">
        <v>25</v>
      </c>
      <c r="J821" s="86" t="s">
        <v>51</v>
      </c>
      <c r="K821" s="116" t="s">
        <v>445</v>
      </c>
      <c r="L821" s="86" t="s">
        <v>53</v>
      </c>
      <c r="M821" s="47" t="s">
        <v>54</v>
      </c>
    </row>
    <row r="822" spans="1:13" x14ac:dyDescent="0.35">
      <c r="A822" s="123">
        <v>45980</v>
      </c>
      <c r="B822" s="45">
        <v>58</v>
      </c>
      <c r="C822" s="45">
        <v>5.31</v>
      </c>
      <c r="D822" s="39">
        <v>12511015</v>
      </c>
      <c r="E822" s="39" t="s">
        <v>501</v>
      </c>
      <c r="F822" s="39" t="s">
        <v>58</v>
      </c>
      <c r="G822" s="35">
        <v>0.14652777777777778</v>
      </c>
      <c r="H822" s="35">
        <v>0.1673611111111111</v>
      </c>
      <c r="I822" s="36">
        <v>30</v>
      </c>
      <c r="J822" s="86" t="s">
        <v>51</v>
      </c>
      <c r="K822" s="116" t="s">
        <v>445</v>
      </c>
      <c r="L822" s="86" t="s">
        <v>53</v>
      </c>
      <c r="M822" s="58" t="s">
        <v>54</v>
      </c>
    </row>
    <row r="823" spans="1:13" x14ac:dyDescent="0.35">
      <c r="A823" s="123">
        <v>45980</v>
      </c>
      <c r="B823" s="39">
        <v>57.75</v>
      </c>
      <c r="C823" s="39">
        <v>5.43</v>
      </c>
      <c r="D823" s="39">
        <v>12511015</v>
      </c>
      <c r="E823" s="39" t="s">
        <v>501</v>
      </c>
      <c r="F823" s="39" t="s">
        <v>58</v>
      </c>
      <c r="G823" s="35">
        <v>0.1673611111111111</v>
      </c>
      <c r="H823" s="35">
        <v>0.17777777777777778</v>
      </c>
      <c r="I823" s="36">
        <v>15</v>
      </c>
      <c r="J823" s="86" t="s">
        <v>52</v>
      </c>
      <c r="K823" s="116" t="s">
        <v>445</v>
      </c>
      <c r="L823" s="86" t="s">
        <v>59</v>
      </c>
      <c r="M823" s="58" t="s">
        <v>59</v>
      </c>
    </row>
    <row r="824" spans="1:13" x14ac:dyDescent="0.35">
      <c r="A824" s="123">
        <v>45980</v>
      </c>
      <c r="B824" s="39">
        <v>57.75</v>
      </c>
      <c r="C824" s="39">
        <v>5.43</v>
      </c>
      <c r="D824" s="45">
        <v>12511016</v>
      </c>
      <c r="E824" s="45" t="s">
        <v>47</v>
      </c>
      <c r="F824" s="45">
        <v>1320</v>
      </c>
      <c r="G824" s="35">
        <v>0.17916666666666667</v>
      </c>
      <c r="H824" s="35">
        <v>0.27638888888888891</v>
      </c>
      <c r="I824" s="36">
        <v>140</v>
      </c>
      <c r="J824" s="86" t="s">
        <v>35</v>
      </c>
      <c r="K824" s="116" t="s">
        <v>19</v>
      </c>
      <c r="L824" s="86" t="s">
        <v>354</v>
      </c>
      <c r="M824" s="62" t="s">
        <v>955</v>
      </c>
    </row>
    <row r="825" spans="1:13" x14ac:dyDescent="0.35">
      <c r="A825" s="123">
        <v>45981</v>
      </c>
      <c r="B825" s="39">
        <v>57.76</v>
      </c>
      <c r="C825" s="39">
        <v>5.53</v>
      </c>
      <c r="D825" s="39">
        <v>12511017</v>
      </c>
      <c r="E825" s="39" t="s">
        <v>569</v>
      </c>
      <c r="F825" s="39" t="s">
        <v>956</v>
      </c>
      <c r="G825" s="35">
        <v>0.62013888888888891</v>
      </c>
      <c r="H825" s="35">
        <v>0.64097222222222228</v>
      </c>
      <c r="I825" s="36">
        <v>30</v>
      </c>
      <c r="J825" s="86" t="s">
        <v>51</v>
      </c>
      <c r="K825" s="116" t="s">
        <v>445</v>
      </c>
      <c r="L825" s="86" t="s">
        <v>53</v>
      </c>
      <c r="M825" s="58" t="s">
        <v>54</v>
      </c>
    </row>
    <row r="826" spans="1:13" x14ac:dyDescent="0.35">
      <c r="A826" s="123">
        <v>45981</v>
      </c>
      <c r="B826" s="39">
        <v>57.76</v>
      </c>
      <c r="C826" s="39">
        <v>5.53</v>
      </c>
      <c r="D826" s="39">
        <v>12511017</v>
      </c>
      <c r="E826" s="39" t="s">
        <v>569</v>
      </c>
      <c r="F826" s="39" t="s">
        <v>956</v>
      </c>
      <c r="G826" s="35">
        <v>0.64097222222222228</v>
      </c>
      <c r="H826" s="35">
        <v>0.65069444444444446</v>
      </c>
      <c r="I826" s="36">
        <v>14</v>
      </c>
      <c r="J826" s="86" t="s">
        <v>446</v>
      </c>
      <c r="K826" s="116" t="s">
        <v>19</v>
      </c>
      <c r="L826" s="86" t="s">
        <v>203</v>
      </c>
      <c r="M826" s="58" t="s">
        <v>957</v>
      </c>
    </row>
    <row r="827" spans="1:13" x14ac:dyDescent="0.35">
      <c r="A827" s="122">
        <v>45982</v>
      </c>
      <c r="B827" s="45">
        <v>58</v>
      </c>
      <c r="C827" s="45">
        <v>5.48</v>
      </c>
      <c r="D827" s="45">
        <v>12511018</v>
      </c>
      <c r="E827" s="45" t="s">
        <v>160</v>
      </c>
      <c r="F827" s="45">
        <v>1230</v>
      </c>
      <c r="G827" s="35">
        <v>0.92708333333333337</v>
      </c>
      <c r="H827" s="35">
        <v>0.97777777777777775</v>
      </c>
      <c r="I827" s="36">
        <v>73</v>
      </c>
      <c r="J827" s="86" t="s">
        <v>35</v>
      </c>
      <c r="K827" s="116" t="s">
        <v>62</v>
      </c>
      <c r="L827" s="86" t="s">
        <v>190</v>
      </c>
      <c r="M827" s="62" t="s">
        <v>102</v>
      </c>
    </row>
    <row r="828" spans="1:13" x14ac:dyDescent="0.35">
      <c r="A828" s="123">
        <v>45983</v>
      </c>
      <c r="B828" s="39">
        <v>57.78</v>
      </c>
      <c r="C828" s="39">
        <v>5.01</v>
      </c>
      <c r="D828" s="39">
        <v>12511019</v>
      </c>
      <c r="E828" s="39" t="s">
        <v>141</v>
      </c>
      <c r="F828" s="39">
        <v>1250</v>
      </c>
      <c r="G828" s="35">
        <v>0.28263888888888888</v>
      </c>
      <c r="H828" s="35">
        <v>0.3034722222222222</v>
      </c>
      <c r="I828" s="36">
        <v>30</v>
      </c>
      <c r="J828" s="86" t="s">
        <v>51</v>
      </c>
      <c r="K828" s="116" t="s">
        <v>445</v>
      </c>
      <c r="L828" s="86" t="s">
        <v>53</v>
      </c>
      <c r="M828" s="86" t="s">
        <v>54</v>
      </c>
    </row>
    <row r="829" spans="1:13" x14ac:dyDescent="0.35">
      <c r="A829" s="123">
        <v>45983</v>
      </c>
      <c r="B829" s="39">
        <v>57.78</v>
      </c>
      <c r="C829" s="39">
        <v>5.01</v>
      </c>
      <c r="D829" s="39">
        <v>12511019</v>
      </c>
      <c r="E829" s="39" t="s">
        <v>141</v>
      </c>
      <c r="F829" s="39">
        <v>1250</v>
      </c>
      <c r="G829" s="35">
        <v>0.3034722222222222</v>
      </c>
      <c r="H829" s="35">
        <v>0.34513888888888888</v>
      </c>
      <c r="I829" s="36">
        <v>60</v>
      </c>
      <c r="J829" s="86" t="s">
        <v>52</v>
      </c>
      <c r="K829" s="116" t="s">
        <v>445</v>
      </c>
      <c r="L829" s="86" t="s">
        <v>277</v>
      </c>
      <c r="M829" s="86" t="s">
        <v>960</v>
      </c>
    </row>
    <row r="830" spans="1:13" x14ac:dyDescent="0.35">
      <c r="A830" s="123">
        <v>45983</v>
      </c>
      <c r="B830" s="39">
        <v>57.78</v>
      </c>
      <c r="C830" s="39">
        <v>5.01</v>
      </c>
      <c r="D830" s="39">
        <v>12511019</v>
      </c>
      <c r="E830" s="39" t="s">
        <v>141</v>
      </c>
      <c r="F830" s="39">
        <v>1250</v>
      </c>
      <c r="G830" s="35">
        <v>0.34513888888888888</v>
      </c>
      <c r="H830" s="35">
        <v>0.34652777777777777</v>
      </c>
      <c r="I830" s="36">
        <v>2</v>
      </c>
      <c r="J830" s="86" t="s">
        <v>446</v>
      </c>
      <c r="K830" s="116" t="s">
        <v>445</v>
      </c>
      <c r="L830" s="86" t="s">
        <v>74</v>
      </c>
      <c r="M830" s="86" t="s">
        <v>75</v>
      </c>
    </row>
    <row r="831" spans="1:13" x14ac:dyDescent="0.35">
      <c r="A831" s="123">
        <v>45984</v>
      </c>
      <c r="B831" s="39">
        <v>57.49</v>
      </c>
      <c r="C831" s="39">
        <v>5.58</v>
      </c>
      <c r="D831" s="39">
        <v>12511020</v>
      </c>
      <c r="E831" s="39" t="s">
        <v>66</v>
      </c>
      <c r="F831" s="39">
        <v>1250</v>
      </c>
      <c r="G831" s="35">
        <v>0.39930555555555558</v>
      </c>
      <c r="H831" s="35">
        <v>0.46180555555555558</v>
      </c>
      <c r="I831" s="36">
        <v>90</v>
      </c>
      <c r="J831" s="86" t="s">
        <v>25</v>
      </c>
      <c r="K831" s="116" t="s">
        <v>445</v>
      </c>
      <c r="L831" s="86" t="s">
        <v>456</v>
      </c>
      <c r="M831" s="92" t="s">
        <v>654</v>
      </c>
    </row>
    <row r="832" spans="1:13" x14ac:dyDescent="0.35">
      <c r="A832" s="123">
        <v>45984</v>
      </c>
      <c r="B832" s="39">
        <v>57.49</v>
      </c>
      <c r="C832" s="39">
        <v>5.58</v>
      </c>
      <c r="D832" s="39">
        <v>12511020</v>
      </c>
      <c r="E832" s="39" t="s">
        <v>66</v>
      </c>
      <c r="F832" s="39">
        <v>1250</v>
      </c>
      <c r="G832" s="35">
        <v>0.46180555555555558</v>
      </c>
      <c r="H832" s="35">
        <v>0.48194444444444445</v>
      </c>
      <c r="I832" s="36">
        <v>29</v>
      </c>
      <c r="J832" s="86" t="s">
        <v>446</v>
      </c>
      <c r="K832" s="116" t="s">
        <v>445</v>
      </c>
      <c r="L832" s="86" t="s">
        <v>74</v>
      </c>
      <c r="M832" s="58" t="s">
        <v>961</v>
      </c>
    </row>
    <row r="833" spans="1:13" x14ac:dyDescent="0.35">
      <c r="A833" s="123">
        <v>45985</v>
      </c>
      <c r="B833" s="39">
        <v>57.3</v>
      </c>
      <c r="C833" s="39">
        <v>5.68</v>
      </c>
      <c r="D833" s="39">
        <v>12511021</v>
      </c>
      <c r="E833" s="39" t="s">
        <v>119</v>
      </c>
      <c r="F833" s="39">
        <v>1250</v>
      </c>
      <c r="G833" s="35">
        <v>0.70138888888888884</v>
      </c>
      <c r="H833" s="35">
        <v>0.72222222222222221</v>
      </c>
      <c r="I833" s="36">
        <v>30</v>
      </c>
      <c r="J833" s="86" t="s">
        <v>51</v>
      </c>
      <c r="K833" s="116" t="s">
        <v>445</v>
      </c>
      <c r="L833" s="86" t="s">
        <v>53</v>
      </c>
      <c r="M833" s="58" t="s">
        <v>54</v>
      </c>
    </row>
    <row r="834" spans="1:13" x14ac:dyDescent="0.35">
      <c r="A834" s="123">
        <v>45985</v>
      </c>
      <c r="B834" s="39">
        <v>57.3</v>
      </c>
      <c r="C834" s="39">
        <v>5.68</v>
      </c>
      <c r="D834" s="39">
        <v>12511021</v>
      </c>
      <c r="E834" s="39" t="s">
        <v>119</v>
      </c>
      <c r="F834" s="39">
        <v>1250</v>
      </c>
      <c r="G834" s="35">
        <v>0.72222222222222221</v>
      </c>
      <c r="H834" s="35">
        <v>0.75694444444444442</v>
      </c>
      <c r="I834" s="36">
        <v>50</v>
      </c>
      <c r="J834" s="86" t="s">
        <v>446</v>
      </c>
      <c r="K834" s="116" t="s">
        <v>445</v>
      </c>
      <c r="L834" s="86" t="s">
        <v>59</v>
      </c>
      <c r="M834" s="58" t="s">
        <v>962</v>
      </c>
    </row>
    <row r="835" spans="1:13" x14ac:dyDescent="0.35">
      <c r="A835" s="156">
        <v>45986</v>
      </c>
      <c r="B835" s="45">
        <v>57.79</v>
      </c>
      <c r="C835" s="45">
        <v>5.4</v>
      </c>
      <c r="D835" s="45">
        <v>12511022</v>
      </c>
      <c r="E835" s="45" t="s">
        <v>87</v>
      </c>
      <c r="F835" s="45">
        <v>1230</v>
      </c>
      <c r="G835" s="35">
        <v>0.2361111111111111</v>
      </c>
      <c r="H835" s="35">
        <v>0.2986111111111111</v>
      </c>
      <c r="I835" s="36">
        <v>90</v>
      </c>
      <c r="J835" s="86" t="s">
        <v>25</v>
      </c>
      <c r="K835" s="116" t="s">
        <v>445</v>
      </c>
      <c r="L835" s="86" t="s">
        <v>492</v>
      </c>
      <c r="M835" s="92" t="s">
        <v>946</v>
      </c>
    </row>
    <row r="836" spans="1:13" x14ac:dyDescent="0.35">
      <c r="A836" s="123">
        <v>45987</v>
      </c>
      <c r="B836" s="39">
        <v>57.62</v>
      </c>
      <c r="C836" s="39">
        <v>5.4</v>
      </c>
      <c r="D836" s="39">
        <v>12511023</v>
      </c>
      <c r="E836" s="39" t="s">
        <v>141</v>
      </c>
      <c r="F836" s="39" t="s">
        <v>58</v>
      </c>
      <c r="G836" s="35">
        <v>0.60069444444444442</v>
      </c>
      <c r="H836" s="35">
        <v>0.62152777777777779</v>
      </c>
      <c r="I836" s="36">
        <v>30</v>
      </c>
      <c r="J836" s="86" t="s">
        <v>51</v>
      </c>
      <c r="K836" s="116" t="s">
        <v>445</v>
      </c>
      <c r="L836" s="86" t="s">
        <v>53</v>
      </c>
      <c r="M836" s="58" t="s">
        <v>54</v>
      </c>
    </row>
    <row r="837" spans="1:13" x14ac:dyDescent="0.35">
      <c r="A837" s="123">
        <v>45987</v>
      </c>
      <c r="B837" s="39">
        <v>57.62</v>
      </c>
      <c r="C837" s="39">
        <v>5.4</v>
      </c>
      <c r="D837" s="39">
        <v>12511023</v>
      </c>
      <c r="E837" s="39" t="s">
        <v>141</v>
      </c>
      <c r="F837" s="39" t="s">
        <v>58</v>
      </c>
      <c r="G837" s="35">
        <v>0.62152777777777779</v>
      </c>
      <c r="H837" s="35">
        <v>0.625</v>
      </c>
      <c r="I837" s="36">
        <v>5</v>
      </c>
      <c r="J837" s="86" t="s">
        <v>446</v>
      </c>
      <c r="K837" s="116" t="s">
        <v>19</v>
      </c>
      <c r="L837" s="58" t="s">
        <v>685</v>
      </c>
      <c r="M837" s="58" t="s">
        <v>685</v>
      </c>
    </row>
    <row r="838" spans="1:13" x14ac:dyDescent="0.35">
      <c r="A838" s="123">
        <v>45989</v>
      </c>
      <c r="B838" s="45">
        <v>57.3</v>
      </c>
      <c r="C838" s="45">
        <v>5.17</v>
      </c>
      <c r="D838" s="39">
        <v>12511024</v>
      </c>
      <c r="E838" s="39" t="s">
        <v>72</v>
      </c>
      <c r="F838" s="39">
        <v>1250</v>
      </c>
      <c r="G838" s="35">
        <v>0.94097222222222221</v>
      </c>
      <c r="H838" s="35">
        <v>0.96180555555555558</v>
      </c>
      <c r="I838" s="36">
        <v>30</v>
      </c>
      <c r="J838" s="86" t="s">
        <v>51</v>
      </c>
      <c r="K838" s="116" t="s">
        <v>445</v>
      </c>
      <c r="L838" s="86" t="s">
        <v>53</v>
      </c>
      <c r="M838" s="58" t="s">
        <v>54</v>
      </c>
    </row>
    <row r="839" spans="1:13" x14ac:dyDescent="0.35">
      <c r="A839" s="123">
        <v>45989</v>
      </c>
      <c r="B839" s="39">
        <v>58</v>
      </c>
      <c r="C839" s="39">
        <v>5.19</v>
      </c>
      <c r="D839" s="39">
        <v>12511024</v>
      </c>
      <c r="E839" s="39" t="s">
        <v>72</v>
      </c>
      <c r="F839" s="39">
        <v>1250</v>
      </c>
      <c r="G839" s="35">
        <v>0.96180555555555558</v>
      </c>
      <c r="H839" s="35">
        <v>0.98055555555555551</v>
      </c>
      <c r="I839" s="36">
        <v>27</v>
      </c>
      <c r="J839" s="86" t="s">
        <v>52</v>
      </c>
      <c r="K839" s="116" t="s">
        <v>445</v>
      </c>
      <c r="L839" s="86" t="s">
        <v>178</v>
      </c>
      <c r="M839" s="58" t="s">
        <v>179</v>
      </c>
    </row>
    <row r="840" spans="1:13" x14ac:dyDescent="0.35">
      <c r="A840" s="123">
        <v>45989</v>
      </c>
      <c r="B840" s="39">
        <v>58</v>
      </c>
      <c r="C840" s="39">
        <v>5.19</v>
      </c>
      <c r="D840" s="39">
        <v>12511025</v>
      </c>
      <c r="E840" s="39" t="s">
        <v>357</v>
      </c>
      <c r="F840" s="39">
        <v>1255</v>
      </c>
      <c r="G840" s="35">
        <v>0.61527777777777781</v>
      </c>
      <c r="H840" s="35">
        <v>0.65694444444444444</v>
      </c>
      <c r="I840" s="36">
        <v>60</v>
      </c>
      <c r="J840" s="86" t="s">
        <v>463</v>
      </c>
      <c r="K840" s="116" t="s">
        <v>445</v>
      </c>
      <c r="L840" s="86" t="s">
        <v>796</v>
      </c>
      <c r="M840" s="58" t="s">
        <v>968</v>
      </c>
    </row>
    <row r="841" spans="1:13" x14ac:dyDescent="0.35">
      <c r="A841" s="123">
        <v>45989</v>
      </c>
      <c r="B841" s="39">
        <v>58</v>
      </c>
      <c r="C841" s="39">
        <v>5.19</v>
      </c>
      <c r="D841" s="39">
        <v>12511025</v>
      </c>
      <c r="E841" s="39" t="s">
        <v>357</v>
      </c>
      <c r="F841" s="39">
        <v>1255</v>
      </c>
      <c r="G841" s="35">
        <v>0.65694444444444444</v>
      </c>
      <c r="H841" s="35">
        <v>0.67291666666666672</v>
      </c>
      <c r="I841" s="36">
        <v>23</v>
      </c>
      <c r="J841" s="86" t="s">
        <v>446</v>
      </c>
      <c r="K841" s="116" t="s">
        <v>445</v>
      </c>
      <c r="L841" s="86" t="s">
        <v>74</v>
      </c>
      <c r="M841" s="58" t="s">
        <v>75</v>
      </c>
    </row>
    <row r="842" spans="1:13" x14ac:dyDescent="0.35">
      <c r="A842" s="123">
        <v>45991</v>
      </c>
      <c r="B842" s="45">
        <v>58</v>
      </c>
      <c r="C842" s="45">
        <v>5.55</v>
      </c>
      <c r="D842" s="39">
        <v>12511026</v>
      </c>
      <c r="E842" s="39" t="s">
        <v>104</v>
      </c>
      <c r="F842" s="39" t="s">
        <v>414</v>
      </c>
      <c r="G842" s="35">
        <v>0.96180555555555558</v>
      </c>
      <c r="H842" s="35">
        <v>0.98263888888888884</v>
      </c>
      <c r="I842" s="36">
        <v>30</v>
      </c>
      <c r="J842" s="86" t="s">
        <v>51</v>
      </c>
      <c r="K842" s="116" t="s">
        <v>445</v>
      </c>
      <c r="L842" s="86" t="s">
        <v>53</v>
      </c>
      <c r="M842" s="47" t="s">
        <v>54</v>
      </c>
    </row>
    <row r="843" spans="1:13" x14ac:dyDescent="0.35">
      <c r="A843" s="123">
        <v>45991</v>
      </c>
      <c r="B843" s="45">
        <v>58</v>
      </c>
      <c r="C843" s="45">
        <v>5.37</v>
      </c>
      <c r="D843" s="39">
        <v>12511026</v>
      </c>
      <c r="E843" s="39" t="s">
        <v>104</v>
      </c>
      <c r="F843" s="39" t="s">
        <v>414</v>
      </c>
      <c r="G843" s="35">
        <v>0.98263888888888884</v>
      </c>
      <c r="H843" s="35">
        <v>1.3194444444444444E-2</v>
      </c>
      <c r="I843" s="36">
        <v>44</v>
      </c>
      <c r="J843" s="86" t="s">
        <v>446</v>
      </c>
      <c r="K843" s="116" t="s">
        <v>41</v>
      </c>
      <c r="L843" s="86" t="s">
        <v>124</v>
      </c>
      <c r="M843" s="47" t="s">
        <v>971</v>
      </c>
    </row>
    <row r="844" spans="1:13" x14ac:dyDescent="0.35">
      <c r="A844" s="123">
        <v>45992</v>
      </c>
      <c r="B844" s="39">
        <v>58</v>
      </c>
      <c r="C844" s="39">
        <v>5.41</v>
      </c>
      <c r="D844" s="39">
        <v>12511027</v>
      </c>
      <c r="E844" s="39" t="s">
        <v>496</v>
      </c>
      <c r="F844" s="39">
        <v>1260</v>
      </c>
      <c r="G844" s="35">
        <v>0.30694444444444446</v>
      </c>
      <c r="H844" s="35">
        <v>0.32777777777777778</v>
      </c>
      <c r="I844" s="36">
        <v>30</v>
      </c>
      <c r="J844" s="86" t="s">
        <v>51</v>
      </c>
      <c r="K844" s="116" t="s">
        <v>445</v>
      </c>
      <c r="L844" s="86" t="s">
        <v>53</v>
      </c>
      <c r="M844" s="47" t="s">
        <v>54</v>
      </c>
    </row>
    <row r="845" spans="1:13" x14ac:dyDescent="0.35">
      <c r="A845" s="123">
        <v>45992</v>
      </c>
      <c r="B845" s="39">
        <v>58</v>
      </c>
      <c r="C845" s="39">
        <v>5.41</v>
      </c>
      <c r="D845" s="39">
        <v>12511027</v>
      </c>
      <c r="E845" s="39" t="s">
        <v>496</v>
      </c>
      <c r="F845" s="39">
        <v>1260</v>
      </c>
      <c r="G845" s="35">
        <v>0.32777777777777778</v>
      </c>
      <c r="H845" s="35">
        <v>0.33819444444444446</v>
      </c>
      <c r="I845" s="36">
        <v>15</v>
      </c>
      <c r="J845" s="86" t="s">
        <v>52</v>
      </c>
      <c r="K845" s="116" t="s">
        <v>445</v>
      </c>
      <c r="L845" s="86" t="s">
        <v>59</v>
      </c>
      <c r="M845" s="47" t="s">
        <v>59</v>
      </c>
    </row>
    <row r="846" spans="1:13" x14ac:dyDescent="0.35">
      <c r="A846" s="123">
        <v>45992</v>
      </c>
      <c r="B846" s="39">
        <v>58</v>
      </c>
      <c r="C846" s="39">
        <v>5.41</v>
      </c>
      <c r="D846" s="39">
        <v>12511027</v>
      </c>
      <c r="E846" s="39" t="s">
        <v>496</v>
      </c>
      <c r="F846" s="39">
        <v>1260</v>
      </c>
      <c r="G846" s="35">
        <v>0.33819444444444446</v>
      </c>
      <c r="H846" s="35">
        <v>0.34027777777777779</v>
      </c>
      <c r="I846" s="36">
        <v>3</v>
      </c>
      <c r="J846" s="86" t="s">
        <v>446</v>
      </c>
      <c r="K846" s="116" t="s">
        <v>445</v>
      </c>
      <c r="L846" s="86" t="s">
        <v>74</v>
      </c>
      <c r="M846" s="47" t="s">
        <v>74</v>
      </c>
    </row>
    <row r="847" spans="1:13" x14ac:dyDescent="0.35">
      <c r="A847" s="122">
        <v>45993</v>
      </c>
      <c r="B847" s="45">
        <v>58</v>
      </c>
      <c r="C847" s="45">
        <v>5.56</v>
      </c>
      <c r="D847" s="45">
        <v>12512001</v>
      </c>
      <c r="E847" s="45" t="s">
        <v>496</v>
      </c>
      <c r="F847" s="45" t="s">
        <v>414</v>
      </c>
      <c r="G847" s="35">
        <v>0.63055555555555554</v>
      </c>
      <c r="H847" s="35">
        <v>0.65069444444444446</v>
      </c>
      <c r="I847" s="36">
        <v>29</v>
      </c>
      <c r="J847" s="86" t="s">
        <v>51</v>
      </c>
      <c r="K847" s="116" t="s">
        <v>445</v>
      </c>
      <c r="L847" s="86" t="s">
        <v>53</v>
      </c>
      <c r="M847" s="47" t="s">
        <v>54</v>
      </c>
    </row>
    <row r="848" spans="1:13" x14ac:dyDescent="0.35">
      <c r="A848" s="126">
        <v>45994</v>
      </c>
      <c r="B848" s="45"/>
      <c r="C848" s="45"/>
      <c r="D848" s="85"/>
      <c r="E848" s="85"/>
      <c r="F848" s="85"/>
      <c r="G848" s="35"/>
      <c r="H848" s="35"/>
      <c r="I848" s="36">
        <v>0</v>
      </c>
      <c r="J848" s="86"/>
      <c r="K848" s="116"/>
      <c r="L848" s="86"/>
      <c r="M848" s="47"/>
    </row>
    <row r="849" spans="1:13" x14ac:dyDescent="0.35">
      <c r="A849" s="123">
        <v>45995</v>
      </c>
      <c r="B849" s="45">
        <v>58</v>
      </c>
      <c r="C849" s="45">
        <v>5.5</v>
      </c>
      <c r="D849" s="39">
        <v>12512002</v>
      </c>
      <c r="E849" s="39" t="s">
        <v>496</v>
      </c>
      <c r="F849" s="39">
        <v>1250</v>
      </c>
      <c r="G849" s="35">
        <v>0.9375</v>
      </c>
      <c r="H849" s="35">
        <v>0.95833333333333337</v>
      </c>
      <c r="I849" s="36">
        <v>30</v>
      </c>
      <c r="J849" s="86" t="s">
        <v>51</v>
      </c>
      <c r="K849" s="116" t="s">
        <v>445</v>
      </c>
      <c r="L849" s="86" t="s">
        <v>53</v>
      </c>
      <c r="M849" s="58" t="s">
        <v>54</v>
      </c>
    </row>
    <row r="850" spans="1:13" x14ac:dyDescent="0.35">
      <c r="A850" s="123">
        <v>45995</v>
      </c>
      <c r="B850" s="39">
        <v>58</v>
      </c>
      <c r="C850" s="39">
        <v>5.48</v>
      </c>
      <c r="D850" s="39">
        <v>12512002</v>
      </c>
      <c r="E850" s="39" t="s">
        <v>496</v>
      </c>
      <c r="F850" s="39">
        <v>1250</v>
      </c>
      <c r="G850" s="35">
        <v>0.95833333333333337</v>
      </c>
      <c r="H850" s="35">
        <v>0.96805555555555556</v>
      </c>
      <c r="I850" s="36">
        <v>14</v>
      </c>
      <c r="J850" s="86" t="s">
        <v>52</v>
      </c>
      <c r="K850" s="116" t="s">
        <v>445</v>
      </c>
      <c r="L850" s="86" t="s">
        <v>59</v>
      </c>
      <c r="M850" s="58" t="s">
        <v>59</v>
      </c>
    </row>
    <row r="851" spans="1:13" x14ac:dyDescent="0.35">
      <c r="A851" s="123">
        <v>45995</v>
      </c>
      <c r="B851" s="39">
        <v>58</v>
      </c>
      <c r="C851" s="39">
        <v>5.48</v>
      </c>
      <c r="D851" s="45">
        <v>12512003</v>
      </c>
      <c r="E851" s="45" t="s">
        <v>173</v>
      </c>
      <c r="F851" s="45">
        <v>1260</v>
      </c>
      <c r="G851" s="35">
        <v>2.7777777777777779E-3</v>
      </c>
      <c r="H851" s="35">
        <v>5.5555555555555552E-2</v>
      </c>
      <c r="I851" s="36">
        <v>76</v>
      </c>
      <c r="J851" s="86" t="s">
        <v>35</v>
      </c>
      <c r="K851" s="116" t="s">
        <v>62</v>
      </c>
      <c r="L851" s="86" t="s">
        <v>190</v>
      </c>
      <c r="M851" s="62" t="s">
        <v>102</v>
      </c>
    </row>
    <row r="852" spans="1:13" x14ac:dyDescent="0.35">
      <c r="A852" s="123">
        <v>45996</v>
      </c>
      <c r="B852" s="39">
        <v>58</v>
      </c>
      <c r="C852" s="39">
        <v>5.09</v>
      </c>
      <c r="D852" s="39">
        <v>12512004</v>
      </c>
      <c r="E852" s="39" t="s">
        <v>119</v>
      </c>
      <c r="F852" s="39" t="s">
        <v>514</v>
      </c>
      <c r="G852" s="35">
        <v>0.25694444444444442</v>
      </c>
      <c r="H852" s="35">
        <v>0.31944444444444442</v>
      </c>
      <c r="I852" s="36">
        <v>90</v>
      </c>
      <c r="J852" s="86" t="s">
        <v>25</v>
      </c>
      <c r="K852" s="116" t="s">
        <v>445</v>
      </c>
      <c r="L852" s="86" t="s">
        <v>456</v>
      </c>
      <c r="M852" s="86" t="s">
        <v>323</v>
      </c>
    </row>
    <row r="853" spans="1:13" x14ac:dyDescent="0.35">
      <c r="A853" s="123">
        <v>45996</v>
      </c>
      <c r="B853" s="39">
        <v>58</v>
      </c>
      <c r="C853" s="39">
        <v>5.09</v>
      </c>
      <c r="D853" s="39">
        <v>12512004</v>
      </c>
      <c r="E853" s="39" t="s">
        <v>119</v>
      </c>
      <c r="F853" s="39" t="s">
        <v>514</v>
      </c>
      <c r="G853" s="35">
        <v>0.31944444444444442</v>
      </c>
      <c r="H853" s="35">
        <v>0.33333333333333331</v>
      </c>
      <c r="I853" s="36">
        <v>20</v>
      </c>
      <c r="J853" s="86" t="s">
        <v>446</v>
      </c>
      <c r="K853" s="116" t="s">
        <v>26</v>
      </c>
      <c r="L853" s="86" t="s">
        <v>331</v>
      </c>
      <c r="M853" s="86" t="s">
        <v>61</v>
      </c>
    </row>
    <row r="854" spans="1:13" x14ac:dyDescent="0.35">
      <c r="A854" s="122">
        <v>45997</v>
      </c>
      <c r="B854" s="45">
        <v>57.57</v>
      </c>
      <c r="C854" s="45">
        <v>5.41</v>
      </c>
      <c r="D854" s="45">
        <v>12512005</v>
      </c>
      <c r="E854" s="45" t="s">
        <v>72</v>
      </c>
      <c r="F854" s="45" t="s">
        <v>58</v>
      </c>
      <c r="G854" s="35">
        <v>0.60972222222222228</v>
      </c>
      <c r="H854" s="35">
        <v>0.63055555555555554</v>
      </c>
      <c r="I854" s="36">
        <v>30</v>
      </c>
      <c r="J854" s="86" t="s">
        <v>51</v>
      </c>
      <c r="K854" s="116" t="s">
        <v>445</v>
      </c>
      <c r="L854" s="86" t="s">
        <v>53</v>
      </c>
      <c r="M854" s="47" t="s">
        <v>54</v>
      </c>
    </row>
    <row r="855" spans="1:13" x14ac:dyDescent="0.35">
      <c r="A855" s="126">
        <v>45998</v>
      </c>
      <c r="B855" s="45"/>
      <c r="C855" s="45"/>
      <c r="D855" s="85"/>
      <c r="E855" s="85"/>
      <c r="F855" s="85"/>
      <c r="G855" s="35"/>
      <c r="H855" s="35"/>
      <c r="I855" s="36">
        <v>0</v>
      </c>
      <c r="J855" s="86"/>
      <c r="K855" s="116"/>
      <c r="L855" s="86"/>
      <c r="M855" s="47"/>
    </row>
    <row r="856" spans="1:13" x14ac:dyDescent="0.35">
      <c r="A856" s="123">
        <v>45999</v>
      </c>
      <c r="B856" s="45">
        <v>56</v>
      </c>
      <c r="C856" s="45">
        <v>5.07</v>
      </c>
      <c r="D856" s="39">
        <v>12512006</v>
      </c>
      <c r="E856" s="39" t="s">
        <v>496</v>
      </c>
      <c r="F856" s="39">
        <v>1350</v>
      </c>
      <c r="G856" s="35">
        <v>0.94791666666666663</v>
      </c>
      <c r="H856" s="35">
        <v>0.96875</v>
      </c>
      <c r="I856" s="36">
        <v>30</v>
      </c>
      <c r="J856" s="86" t="s">
        <v>51</v>
      </c>
      <c r="K856" s="116" t="s">
        <v>445</v>
      </c>
      <c r="L856" s="86" t="s">
        <v>53</v>
      </c>
      <c r="M856" s="58" t="s">
        <v>54</v>
      </c>
    </row>
    <row r="857" spans="1:13" x14ac:dyDescent="0.35">
      <c r="A857" s="123">
        <v>45999</v>
      </c>
      <c r="B857" s="39">
        <v>57.54</v>
      </c>
      <c r="C857" s="39">
        <v>5.21</v>
      </c>
      <c r="D857" s="39">
        <v>12512006</v>
      </c>
      <c r="E857" s="39" t="s">
        <v>496</v>
      </c>
      <c r="F857" s="39">
        <v>1350</v>
      </c>
      <c r="G857" s="35">
        <v>0.96875</v>
      </c>
      <c r="H857" s="35">
        <v>0.97916666666666663</v>
      </c>
      <c r="I857" s="36">
        <v>15</v>
      </c>
      <c r="J857" s="86" t="s">
        <v>52</v>
      </c>
      <c r="K857" s="116" t="s">
        <v>445</v>
      </c>
      <c r="L857" s="86" t="s">
        <v>59</v>
      </c>
      <c r="M857" s="58" t="s">
        <v>59</v>
      </c>
    </row>
    <row r="858" spans="1:13" x14ac:dyDescent="0.35">
      <c r="A858" s="123">
        <v>45999</v>
      </c>
      <c r="B858" s="39">
        <v>57.54</v>
      </c>
      <c r="C858" s="39">
        <v>5.21</v>
      </c>
      <c r="D858" s="39">
        <v>12512006</v>
      </c>
      <c r="E858" s="39" t="s">
        <v>496</v>
      </c>
      <c r="F858" s="39">
        <v>1350</v>
      </c>
      <c r="G858" s="35">
        <v>0.97916666666666663</v>
      </c>
      <c r="H858" s="35">
        <v>0.98124999999999996</v>
      </c>
      <c r="I858" s="36">
        <v>3</v>
      </c>
      <c r="J858" s="86" t="s">
        <v>446</v>
      </c>
      <c r="K858" s="116" t="s">
        <v>445</v>
      </c>
      <c r="L858" s="86" t="s">
        <v>74</v>
      </c>
      <c r="M858" s="58" t="s">
        <v>74</v>
      </c>
    </row>
    <row r="859" spans="1:13" x14ac:dyDescent="0.35">
      <c r="A859" s="123">
        <v>46000</v>
      </c>
      <c r="B859" s="39">
        <v>57.59</v>
      </c>
      <c r="C859" s="39">
        <v>5.25</v>
      </c>
      <c r="D859" s="39">
        <v>12512007</v>
      </c>
      <c r="E859" s="39" t="s">
        <v>72</v>
      </c>
      <c r="F859" s="39" t="s">
        <v>427</v>
      </c>
      <c r="G859" s="35">
        <v>0.27430555555555558</v>
      </c>
      <c r="H859" s="35">
        <v>0.2951388888888889</v>
      </c>
      <c r="I859" s="36">
        <v>30</v>
      </c>
      <c r="J859" s="86" t="s">
        <v>51</v>
      </c>
      <c r="K859" s="116" t="s">
        <v>445</v>
      </c>
      <c r="L859" s="86" t="s">
        <v>53</v>
      </c>
      <c r="M859" s="58" t="s">
        <v>54</v>
      </c>
    </row>
    <row r="860" spans="1:13" x14ac:dyDescent="0.35">
      <c r="A860" s="123">
        <v>46000</v>
      </c>
      <c r="B860" s="39">
        <v>57.59</v>
      </c>
      <c r="C860" s="39">
        <v>5.25</v>
      </c>
      <c r="D860" s="39">
        <v>12512007</v>
      </c>
      <c r="E860" s="39" t="s">
        <v>72</v>
      </c>
      <c r="F860" s="39" t="s">
        <v>427</v>
      </c>
      <c r="G860" s="35">
        <v>0.2951388888888889</v>
      </c>
      <c r="H860" s="35">
        <v>0.30208333333333331</v>
      </c>
      <c r="I860" s="36">
        <v>10</v>
      </c>
      <c r="J860" s="86" t="s">
        <v>446</v>
      </c>
      <c r="K860" s="116" t="s">
        <v>26</v>
      </c>
      <c r="L860" s="86" t="s">
        <v>32</v>
      </c>
      <c r="M860" s="58" t="s">
        <v>61</v>
      </c>
    </row>
    <row r="861" spans="1:13" x14ac:dyDescent="0.35">
      <c r="A861" s="123">
        <v>46000</v>
      </c>
      <c r="B861" s="39">
        <v>57.59</v>
      </c>
      <c r="C861" s="39">
        <v>5.25</v>
      </c>
      <c r="D861" s="39">
        <v>12512008</v>
      </c>
      <c r="E861" s="39" t="s">
        <v>452</v>
      </c>
      <c r="F861" s="39">
        <v>1255</v>
      </c>
      <c r="G861" s="35">
        <v>0.82777777777777772</v>
      </c>
      <c r="H861" s="35">
        <v>0.87638888888888888</v>
      </c>
      <c r="I861" s="36">
        <v>70</v>
      </c>
      <c r="J861" s="86" t="s">
        <v>35</v>
      </c>
      <c r="K861" s="116" t="s">
        <v>26</v>
      </c>
      <c r="L861" s="62" t="s">
        <v>980</v>
      </c>
      <c r="M861" s="62" t="s">
        <v>980</v>
      </c>
    </row>
    <row r="862" spans="1:13" x14ac:dyDescent="0.35">
      <c r="A862" s="123">
        <v>46000</v>
      </c>
      <c r="B862" s="39">
        <v>57.59</v>
      </c>
      <c r="C862" s="39">
        <v>5.25</v>
      </c>
      <c r="D862" s="39">
        <v>12512008</v>
      </c>
      <c r="E862" s="39" t="s">
        <v>452</v>
      </c>
      <c r="F862" s="39">
        <v>1255</v>
      </c>
      <c r="G862" s="35">
        <v>0.87638888888888888</v>
      </c>
      <c r="H862" s="35">
        <v>0.87986111111111109</v>
      </c>
      <c r="I862" s="36">
        <v>5</v>
      </c>
      <c r="J862" s="86" t="s">
        <v>446</v>
      </c>
      <c r="K862" s="116" t="s">
        <v>445</v>
      </c>
      <c r="L862" s="86" t="s">
        <v>74</v>
      </c>
      <c r="M862" s="58" t="s">
        <v>74</v>
      </c>
    </row>
    <row r="863" spans="1:13" x14ac:dyDescent="0.35">
      <c r="A863" s="123">
        <v>46001</v>
      </c>
      <c r="B863" s="39"/>
      <c r="C863" s="39"/>
      <c r="D863" s="39"/>
      <c r="E863" s="39"/>
      <c r="F863" s="39"/>
      <c r="G863" s="35"/>
      <c r="H863" s="35"/>
      <c r="I863" s="36">
        <v>0</v>
      </c>
      <c r="J863" s="86"/>
      <c r="K863" s="116"/>
      <c r="L863" s="86"/>
      <c r="M863" s="58"/>
    </row>
    <row r="864" spans="1:13" x14ac:dyDescent="0.35">
      <c r="A864" s="123">
        <v>46002</v>
      </c>
      <c r="B864" s="45">
        <v>58</v>
      </c>
      <c r="C864" s="45">
        <v>5.39</v>
      </c>
      <c r="D864" s="45">
        <v>12512009</v>
      </c>
      <c r="E864" s="45" t="s">
        <v>82</v>
      </c>
      <c r="F864" s="45">
        <v>1240</v>
      </c>
      <c r="G864" s="35">
        <v>0.9375</v>
      </c>
      <c r="H864" s="35">
        <v>3.7499999999999999E-2</v>
      </c>
      <c r="I864" s="36">
        <v>144</v>
      </c>
      <c r="J864" s="86" t="s">
        <v>25</v>
      </c>
      <c r="K864" s="116" t="s">
        <v>445</v>
      </c>
      <c r="L864" s="86" t="s">
        <v>492</v>
      </c>
      <c r="M864" s="92" t="s">
        <v>209</v>
      </c>
    </row>
    <row r="865" spans="1:13" x14ac:dyDescent="0.35">
      <c r="A865" s="123">
        <v>46002</v>
      </c>
      <c r="B865" s="39">
        <v>57.48</v>
      </c>
      <c r="C865" s="39">
        <v>5.1100000000000003</v>
      </c>
      <c r="D865" s="45">
        <v>12512010</v>
      </c>
      <c r="E865" s="45" t="s">
        <v>31</v>
      </c>
      <c r="F865" s="45">
        <v>1335</v>
      </c>
      <c r="G865" s="35">
        <v>0.19722222222222222</v>
      </c>
      <c r="H865" s="35">
        <v>0.24583333333333332</v>
      </c>
      <c r="I865" s="36">
        <v>70</v>
      </c>
      <c r="J865" s="86" t="s">
        <v>35</v>
      </c>
      <c r="K865" s="116" t="s">
        <v>62</v>
      </c>
      <c r="L865" s="86" t="s">
        <v>190</v>
      </c>
      <c r="M865" s="62" t="s">
        <v>102</v>
      </c>
    </row>
    <row r="866" spans="1:13" x14ac:dyDescent="0.35">
      <c r="A866" s="123">
        <v>46002</v>
      </c>
      <c r="B866" s="39">
        <v>57.48</v>
      </c>
      <c r="C866" s="39">
        <v>5.1100000000000003</v>
      </c>
      <c r="D866" s="45">
        <v>12512011</v>
      </c>
      <c r="E866" s="45" t="s">
        <v>47</v>
      </c>
      <c r="F866" s="45">
        <v>1250</v>
      </c>
      <c r="G866" s="35">
        <v>0.27430555555555558</v>
      </c>
      <c r="H866" s="35">
        <v>0.36319444444444443</v>
      </c>
      <c r="I866" s="36">
        <v>128</v>
      </c>
      <c r="J866" s="86" t="s">
        <v>35</v>
      </c>
      <c r="K866" s="116" t="s">
        <v>19</v>
      </c>
      <c r="L866" s="86" t="s">
        <v>354</v>
      </c>
      <c r="M866" s="62" t="s">
        <v>982</v>
      </c>
    </row>
    <row r="867" spans="1:13" x14ac:dyDescent="0.35">
      <c r="A867" s="123">
        <v>46002</v>
      </c>
      <c r="B867" s="39">
        <v>57.48</v>
      </c>
      <c r="C867" s="39">
        <v>5.1100000000000003</v>
      </c>
      <c r="D867" s="45">
        <v>12512012</v>
      </c>
      <c r="E867" s="45" t="s">
        <v>47</v>
      </c>
      <c r="F867" s="45">
        <v>1251</v>
      </c>
      <c r="G867" s="35">
        <v>0.36388888888888887</v>
      </c>
      <c r="H867" s="35">
        <v>0.4152777777777778</v>
      </c>
      <c r="I867" s="36">
        <v>74</v>
      </c>
      <c r="J867" s="86" t="s">
        <v>35</v>
      </c>
      <c r="K867" s="116" t="s">
        <v>445</v>
      </c>
      <c r="L867" s="62" t="s">
        <v>769</v>
      </c>
      <c r="M867" s="62" t="s">
        <v>769</v>
      </c>
    </row>
    <row r="868" spans="1:13" x14ac:dyDescent="0.35">
      <c r="A868" s="122">
        <v>46003</v>
      </c>
      <c r="B868" s="45">
        <v>56.93</v>
      </c>
      <c r="C868" s="45">
        <v>5.39</v>
      </c>
      <c r="D868" s="45">
        <v>12512013</v>
      </c>
      <c r="E868" s="45" t="s">
        <v>57</v>
      </c>
      <c r="F868" s="45">
        <v>1250</v>
      </c>
      <c r="G868" s="35">
        <v>0.63194444444444442</v>
      </c>
      <c r="H868" s="35">
        <v>0.65277777777777779</v>
      </c>
      <c r="I868" s="36">
        <v>30</v>
      </c>
      <c r="J868" s="86" t="s">
        <v>51</v>
      </c>
      <c r="K868" s="116" t="s">
        <v>445</v>
      </c>
      <c r="L868" s="86" t="s">
        <v>53</v>
      </c>
      <c r="M868" s="58" t="s">
        <v>54</v>
      </c>
    </row>
    <row r="869" spans="1:13" x14ac:dyDescent="0.35">
      <c r="A869" s="126">
        <v>46004</v>
      </c>
      <c r="B869" s="45"/>
      <c r="C869" s="45"/>
      <c r="D869" s="85"/>
      <c r="E869" s="85"/>
      <c r="F869" s="85"/>
      <c r="G869" s="35"/>
      <c r="H869" s="35"/>
      <c r="I869" s="36">
        <v>0</v>
      </c>
      <c r="J869" s="86"/>
      <c r="K869" s="116"/>
      <c r="L869" s="86"/>
      <c r="M869" s="58"/>
    </row>
    <row r="870" spans="1:13" x14ac:dyDescent="0.35">
      <c r="A870" s="123">
        <v>46005</v>
      </c>
      <c r="B870" s="45">
        <v>57.05</v>
      </c>
      <c r="C870" s="45">
        <v>5.83</v>
      </c>
      <c r="D870" s="39">
        <v>12512014</v>
      </c>
      <c r="E870" s="39" t="s">
        <v>141</v>
      </c>
      <c r="F870" s="39" t="s">
        <v>984</v>
      </c>
      <c r="G870" s="35">
        <v>0.95</v>
      </c>
      <c r="H870" s="35">
        <v>0.97083333333333333</v>
      </c>
      <c r="I870" s="36">
        <v>30</v>
      </c>
      <c r="J870" s="86" t="s">
        <v>51</v>
      </c>
      <c r="K870" s="116" t="s">
        <v>445</v>
      </c>
      <c r="L870" s="86" t="s">
        <v>53</v>
      </c>
      <c r="M870" s="47" t="s">
        <v>54</v>
      </c>
    </row>
    <row r="871" spans="1:13" x14ac:dyDescent="0.35">
      <c r="A871" s="123">
        <v>46005</v>
      </c>
      <c r="B871" s="39">
        <v>58</v>
      </c>
      <c r="C871" s="39">
        <v>5.64</v>
      </c>
      <c r="D871" s="39">
        <v>12512014</v>
      </c>
      <c r="E871" s="39" t="s">
        <v>141</v>
      </c>
      <c r="F871" s="39" t="s">
        <v>984</v>
      </c>
      <c r="G871" s="35">
        <v>0.97083333333333333</v>
      </c>
      <c r="H871" s="35">
        <v>0.98124999999999996</v>
      </c>
      <c r="I871" s="36">
        <v>15</v>
      </c>
      <c r="J871" s="86" t="s">
        <v>52</v>
      </c>
      <c r="K871" s="116" t="s">
        <v>445</v>
      </c>
      <c r="L871" s="86" t="s">
        <v>59</v>
      </c>
      <c r="M871" s="47" t="s">
        <v>59</v>
      </c>
    </row>
    <row r="872" spans="1:13" x14ac:dyDescent="0.35">
      <c r="A872" s="123">
        <v>46005</v>
      </c>
      <c r="B872" s="39">
        <v>58</v>
      </c>
      <c r="C872" s="39">
        <v>5.64</v>
      </c>
      <c r="D872" s="39">
        <v>12512014</v>
      </c>
      <c r="E872" s="39" t="s">
        <v>141</v>
      </c>
      <c r="F872" s="39" t="s">
        <v>984</v>
      </c>
      <c r="G872" s="35">
        <v>0.98124999999999996</v>
      </c>
      <c r="H872" s="35">
        <v>0.98819444444444449</v>
      </c>
      <c r="I872" s="36">
        <v>10</v>
      </c>
      <c r="J872" s="86" t="s">
        <v>446</v>
      </c>
      <c r="K872" s="116" t="s">
        <v>445</v>
      </c>
      <c r="L872" s="86" t="s">
        <v>55</v>
      </c>
      <c r="M872" s="47" t="s">
        <v>947</v>
      </c>
    </row>
    <row r="873" spans="1:13" x14ac:dyDescent="0.35">
      <c r="A873" s="156">
        <v>46006</v>
      </c>
      <c r="B873" s="45">
        <v>57.6</v>
      </c>
      <c r="C873" s="45">
        <v>5.31</v>
      </c>
      <c r="D873" s="45">
        <v>12512015</v>
      </c>
      <c r="E873" s="45" t="s">
        <v>141</v>
      </c>
      <c r="F873" s="45" t="s">
        <v>58</v>
      </c>
      <c r="G873" s="35">
        <v>0.28055555555555556</v>
      </c>
      <c r="H873" s="35">
        <v>0.30138888888888887</v>
      </c>
      <c r="I873" s="36">
        <v>30</v>
      </c>
      <c r="J873" s="86" t="s">
        <v>51</v>
      </c>
      <c r="K873" s="116" t="s">
        <v>445</v>
      </c>
      <c r="L873" s="86" t="s">
        <v>53</v>
      </c>
      <c r="M873" s="47" t="s">
        <v>54</v>
      </c>
    </row>
    <row r="874" spans="1:13" x14ac:dyDescent="0.35">
      <c r="A874" s="123">
        <v>46007</v>
      </c>
      <c r="B874" s="39">
        <v>58</v>
      </c>
      <c r="C874" s="39">
        <v>4.96</v>
      </c>
      <c r="D874" s="39">
        <v>12512016</v>
      </c>
      <c r="E874" s="39" t="s">
        <v>72</v>
      </c>
      <c r="F874" s="39">
        <v>1250</v>
      </c>
      <c r="G874" s="35">
        <v>0.60624999999999996</v>
      </c>
      <c r="H874" s="35">
        <v>0.62708333333333333</v>
      </c>
      <c r="I874" s="36">
        <v>30</v>
      </c>
      <c r="J874" s="86" t="s">
        <v>51</v>
      </c>
      <c r="K874" s="116" t="s">
        <v>445</v>
      </c>
      <c r="L874" s="86" t="s">
        <v>53</v>
      </c>
      <c r="M874" s="58" t="s">
        <v>54</v>
      </c>
    </row>
    <row r="875" spans="1:13" x14ac:dyDescent="0.35">
      <c r="A875" s="123">
        <v>46007</v>
      </c>
      <c r="B875" s="39">
        <v>58</v>
      </c>
      <c r="C875" s="39">
        <v>4.96</v>
      </c>
      <c r="D875" s="39">
        <v>12512016</v>
      </c>
      <c r="E875" s="39" t="s">
        <v>72</v>
      </c>
      <c r="F875" s="39">
        <v>1250</v>
      </c>
      <c r="G875" s="35">
        <v>0.62708333333333333</v>
      </c>
      <c r="H875" s="35">
        <v>0.6479166666666667</v>
      </c>
      <c r="I875" s="36">
        <v>30</v>
      </c>
      <c r="J875" s="86" t="s">
        <v>52</v>
      </c>
      <c r="K875" s="116" t="s">
        <v>445</v>
      </c>
      <c r="L875" s="86" t="s">
        <v>178</v>
      </c>
      <c r="M875" s="58" t="s">
        <v>179</v>
      </c>
    </row>
    <row r="876" spans="1:13" x14ac:dyDescent="0.35">
      <c r="A876" s="123">
        <v>46008</v>
      </c>
      <c r="B876" s="39">
        <v>58</v>
      </c>
      <c r="C876" s="39">
        <v>4.95</v>
      </c>
      <c r="D876" s="39">
        <v>12512017</v>
      </c>
      <c r="E876" s="39" t="s">
        <v>468</v>
      </c>
      <c r="F876" s="39">
        <v>1250</v>
      </c>
      <c r="G876" s="35">
        <v>0.23958333333333334</v>
      </c>
      <c r="H876" s="35">
        <v>0.28819444444444442</v>
      </c>
      <c r="I876" s="36">
        <v>70</v>
      </c>
      <c r="J876" s="86" t="s">
        <v>35</v>
      </c>
      <c r="K876" s="116" t="s">
        <v>19</v>
      </c>
      <c r="L876" s="58" t="s">
        <v>987</v>
      </c>
      <c r="M876" s="58" t="s">
        <v>987</v>
      </c>
    </row>
    <row r="877" spans="1:13" x14ac:dyDescent="0.35">
      <c r="A877" s="123">
        <v>46008</v>
      </c>
      <c r="B877" s="39">
        <v>58</v>
      </c>
      <c r="C877" s="39">
        <v>4.95</v>
      </c>
      <c r="D877" s="39">
        <v>12512017</v>
      </c>
      <c r="E877" s="39" t="s">
        <v>468</v>
      </c>
      <c r="F877" s="39">
        <v>1250</v>
      </c>
      <c r="G877" s="35">
        <v>0.28819444444444442</v>
      </c>
      <c r="H877" s="35">
        <v>0.31597222222222221</v>
      </c>
      <c r="I877" s="36">
        <v>40</v>
      </c>
      <c r="J877" s="86" t="s">
        <v>446</v>
      </c>
      <c r="K877" s="116" t="s">
        <v>283</v>
      </c>
      <c r="L877" s="86" t="s">
        <v>283</v>
      </c>
      <c r="M877" s="58" t="s">
        <v>988</v>
      </c>
    </row>
    <row r="878" spans="1:13" x14ac:dyDescent="0.35">
      <c r="A878" s="123">
        <v>46008</v>
      </c>
      <c r="B878" s="39">
        <v>58</v>
      </c>
      <c r="C878" s="39">
        <v>4.95</v>
      </c>
      <c r="D878" s="39">
        <v>12512017</v>
      </c>
      <c r="E878" s="39" t="s">
        <v>468</v>
      </c>
      <c r="F878" s="39">
        <v>1250</v>
      </c>
      <c r="G878" s="35">
        <v>0.31597222222222221</v>
      </c>
      <c r="H878" s="35">
        <v>0.36458333333333331</v>
      </c>
      <c r="I878" s="36">
        <v>70</v>
      </c>
      <c r="J878" s="86" t="s">
        <v>446</v>
      </c>
      <c r="K878" s="116" t="s">
        <v>445</v>
      </c>
      <c r="L878" s="58" t="s">
        <v>989</v>
      </c>
      <c r="M878" s="58" t="s">
        <v>989</v>
      </c>
    </row>
    <row r="879" spans="1:13" x14ac:dyDescent="0.35">
      <c r="A879" s="123">
        <v>46008</v>
      </c>
      <c r="B879" s="39">
        <v>58</v>
      </c>
      <c r="C879" s="39">
        <v>4.95</v>
      </c>
      <c r="D879" s="45">
        <v>12512018</v>
      </c>
      <c r="E879" s="45" t="s">
        <v>160</v>
      </c>
      <c r="F879" s="45">
        <v>1230</v>
      </c>
      <c r="G879" s="35">
        <v>0.66249999999999998</v>
      </c>
      <c r="H879" s="35">
        <v>0.72569444444444442</v>
      </c>
      <c r="I879" s="36">
        <v>91</v>
      </c>
      <c r="J879" s="86" t="s">
        <v>35</v>
      </c>
      <c r="K879" s="116" t="s">
        <v>552</v>
      </c>
      <c r="L879" s="86" t="s">
        <v>990</v>
      </c>
      <c r="M879" s="62" t="s">
        <v>991</v>
      </c>
    </row>
    <row r="880" spans="1:13" x14ac:dyDescent="0.35">
      <c r="A880" s="123">
        <v>46009</v>
      </c>
      <c r="B880" s="39">
        <v>57.9</v>
      </c>
      <c r="C880" s="39">
        <v>5.47</v>
      </c>
      <c r="D880" s="39">
        <v>12512019</v>
      </c>
      <c r="E880" s="39" t="s">
        <v>13</v>
      </c>
      <c r="F880" s="39">
        <v>1230</v>
      </c>
      <c r="G880" s="35">
        <v>0.63402777777777775</v>
      </c>
      <c r="H880" s="35">
        <v>0.69652777777777775</v>
      </c>
      <c r="I880" s="36">
        <v>90</v>
      </c>
      <c r="J880" s="86" t="s">
        <v>25</v>
      </c>
      <c r="K880" s="116" t="s">
        <v>445</v>
      </c>
      <c r="L880" s="86" t="s">
        <v>492</v>
      </c>
      <c r="M880" s="92" t="s">
        <v>209</v>
      </c>
    </row>
    <row r="881" spans="1:13" x14ac:dyDescent="0.35">
      <c r="A881" s="123">
        <v>46009</v>
      </c>
      <c r="B881" s="39">
        <v>57.9</v>
      </c>
      <c r="C881" s="39">
        <v>5.47</v>
      </c>
      <c r="D881" s="39">
        <v>12512019</v>
      </c>
      <c r="E881" s="39" t="s">
        <v>13</v>
      </c>
      <c r="F881" s="39">
        <v>1230</v>
      </c>
      <c r="G881" s="35">
        <v>0.69652777777777775</v>
      </c>
      <c r="H881" s="35">
        <v>0.71875</v>
      </c>
      <c r="I881" s="36">
        <v>32</v>
      </c>
      <c r="J881" s="86" t="s">
        <v>446</v>
      </c>
      <c r="K881" s="116" t="s">
        <v>445</v>
      </c>
      <c r="L881" s="86" t="s">
        <v>74</v>
      </c>
      <c r="M881" s="58" t="s">
        <v>75</v>
      </c>
    </row>
    <row r="882" spans="1:13" x14ac:dyDescent="0.35">
      <c r="A882" s="123">
        <v>46010</v>
      </c>
      <c r="B882" s="39">
        <v>57.41</v>
      </c>
      <c r="C882" s="39">
        <v>4.91</v>
      </c>
      <c r="D882" s="39">
        <v>12512020</v>
      </c>
      <c r="E882" s="39" t="s">
        <v>138</v>
      </c>
      <c r="F882" s="39">
        <v>1250</v>
      </c>
      <c r="G882" s="35">
        <v>0.34375</v>
      </c>
      <c r="H882" s="35">
        <v>0.40625</v>
      </c>
      <c r="I882" s="36">
        <v>90</v>
      </c>
      <c r="J882" s="86" t="s">
        <v>25</v>
      </c>
      <c r="K882" s="86" t="s">
        <v>445</v>
      </c>
      <c r="L882" s="86" t="s">
        <v>456</v>
      </c>
      <c r="M882" s="92" t="s">
        <v>227</v>
      </c>
    </row>
    <row r="883" spans="1:13" x14ac:dyDescent="0.35">
      <c r="A883" s="123">
        <v>46010</v>
      </c>
      <c r="B883" s="39">
        <v>57.41</v>
      </c>
      <c r="C883" s="39">
        <v>4.91</v>
      </c>
      <c r="D883" s="39">
        <v>12512020</v>
      </c>
      <c r="E883" s="39" t="s">
        <v>138</v>
      </c>
      <c r="F883" s="39">
        <v>1250</v>
      </c>
      <c r="G883" s="35">
        <v>0.40625</v>
      </c>
      <c r="H883" s="35">
        <v>0.40972222222222221</v>
      </c>
      <c r="I883" s="36">
        <v>5</v>
      </c>
      <c r="J883" s="86" t="s">
        <v>446</v>
      </c>
      <c r="K883" s="116" t="s">
        <v>19</v>
      </c>
      <c r="L883" s="58" t="s">
        <v>992</v>
      </c>
      <c r="M883" s="58" t="s">
        <v>992</v>
      </c>
    </row>
    <row r="884" spans="1:13" x14ac:dyDescent="0.35">
      <c r="A884" s="123">
        <v>46010</v>
      </c>
      <c r="B884" s="39">
        <v>57.41</v>
      </c>
      <c r="C884" s="39">
        <v>4.91</v>
      </c>
      <c r="D884" s="45">
        <v>12512021</v>
      </c>
      <c r="E884" s="45" t="s">
        <v>18</v>
      </c>
      <c r="F884" s="45">
        <v>1250</v>
      </c>
      <c r="G884" s="35">
        <v>0.875</v>
      </c>
      <c r="H884" s="35">
        <v>0.91666666666666663</v>
      </c>
      <c r="I884" s="36">
        <v>60</v>
      </c>
      <c r="J884" s="86" t="s">
        <v>25</v>
      </c>
      <c r="K884" s="86" t="s">
        <v>445</v>
      </c>
      <c r="L884" s="86" t="s">
        <v>456</v>
      </c>
      <c r="M884" s="92" t="s">
        <v>227</v>
      </c>
    </row>
    <row r="885" spans="1:13" x14ac:dyDescent="0.35">
      <c r="A885" s="123">
        <v>46011</v>
      </c>
      <c r="B885" s="39">
        <v>57.31</v>
      </c>
      <c r="C885" s="39">
        <v>5.34</v>
      </c>
      <c r="D885" s="45">
        <v>12512021</v>
      </c>
      <c r="E885" s="45" t="s">
        <v>18</v>
      </c>
      <c r="F885" s="45">
        <v>1250</v>
      </c>
      <c r="G885" s="35">
        <v>0.91666666666666663</v>
      </c>
      <c r="H885" s="35">
        <v>0.9375</v>
      </c>
      <c r="I885" s="36">
        <v>30</v>
      </c>
      <c r="J885" s="86" t="s">
        <v>25</v>
      </c>
      <c r="K885" s="86" t="s">
        <v>445</v>
      </c>
      <c r="L885" s="86" t="s">
        <v>456</v>
      </c>
      <c r="M885" s="92" t="s">
        <v>227</v>
      </c>
    </row>
    <row r="886" spans="1:13" x14ac:dyDescent="0.35">
      <c r="A886" s="123">
        <v>46011</v>
      </c>
      <c r="B886" s="39">
        <v>57.31</v>
      </c>
      <c r="C886" s="39">
        <v>5.34</v>
      </c>
      <c r="D886" s="45">
        <v>12512021</v>
      </c>
      <c r="E886" s="45" t="s">
        <v>18</v>
      </c>
      <c r="F886" s="45">
        <v>1250</v>
      </c>
      <c r="G886" s="35">
        <v>0.9375</v>
      </c>
      <c r="H886" s="35">
        <v>0.96736111111111112</v>
      </c>
      <c r="I886" s="36">
        <v>43</v>
      </c>
      <c r="J886" s="86" t="s">
        <v>446</v>
      </c>
      <c r="K886" s="116" t="s">
        <v>445</v>
      </c>
      <c r="L886" s="86" t="s">
        <v>74</v>
      </c>
      <c r="M886" s="86" t="s">
        <v>75</v>
      </c>
    </row>
    <row r="887" spans="1:13" x14ac:dyDescent="0.35">
      <c r="A887" s="123">
        <v>46011</v>
      </c>
      <c r="B887" s="39">
        <v>57.31</v>
      </c>
      <c r="C887" s="39">
        <v>5.34</v>
      </c>
      <c r="D887" s="45">
        <v>12512022</v>
      </c>
      <c r="E887" s="45" t="s">
        <v>138</v>
      </c>
      <c r="F887" s="45">
        <v>1250</v>
      </c>
      <c r="G887" s="35">
        <v>0.56805555555555554</v>
      </c>
      <c r="H887" s="35">
        <v>0.72916666666666663</v>
      </c>
      <c r="I887" s="36">
        <v>232</v>
      </c>
      <c r="J887" s="86" t="s">
        <v>463</v>
      </c>
      <c r="K887" s="116" t="s">
        <v>283</v>
      </c>
      <c r="L887" s="86" t="s">
        <v>283</v>
      </c>
      <c r="M887" s="86" t="s">
        <v>994</v>
      </c>
    </row>
    <row r="888" spans="1:13" x14ac:dyDescent="0.35">
      <c r="A888" s="123">
        <v>46013</v>
      </c>
      <c r="B888" s="45">
        <v>58</v>
      </c>
      <c r="C888" s="45">
        <v>5.38</v>
      </c>
      <c r="D888" s="39">
        <v>12512023</v>
      </c>
      <c r="E888" s="39" t="s">
        <v>119</v>
      </c>
      <c r="F888" s="39">
        <v>1260</v>
      </c>
      <c r="G888" s="35">
        <v>0.98055555555555551</v>
      </c>
      <c r="H888" s="35">
        <v>1.3888888888888889E-3</v>
      </c>
      <c r="I888" s="36">
        <v>30</v>
      </c>
      <c r="J888" s="86" t="s">
        <v>51</v>
      </c>
      <c r="K888" s="116" t="s">
        <v>445</v>
      </c>
      <c r="L888" s="86" t="s">
        <v>53</v>
      </c>
      <c r="M888" s="47" t="s">
        <v>54</v>
      </c>
    </row>
    <row r="889" spans="1:13" x14ac:dyDescent="0.35">
      <c r="A889" s="123">
        <v>46013</v>
      </c>
      <c r="B889" s="39">
        <v>58</v>
      </c>
      <c r="C889" s="39">
        <v>5.32</v>
      </c>
      <c r="D889" s="39">
        <v>12512023</v>
      </c>
      <c r="E889" s="39" t="s">
        <v>119</v>
      </c>
      <c r="F889" s="39">
        <v>1260</v>
      </c>
      <c r="G889" s="35">
        <v>1.3888888888888889E-3</v>
      </c>
      <c r="H889" s="35">
        <v>1.1805555555555555E-2</v>
      </c>
      <c r="I889" s="36">
        <v>15</v>
      </c>
      <c r="J889" s="86" t="s">
        <v>52</v>
      </c>
      <c r="K889" s="116" t="s">
        <v>445</v>
      </c>
      <c r="L889" s="86" t="s">
        <v>59</v>
      </c>
      <c r="M889" s="47" t="s">
        <v>59</v>
      </c>
    </row>
    <row r="890" spans="1:13" x14ac:dyDescent="0.35">
      <c r="A890" s="123">
        <v>46013</v>
      </c>
      <c r="B890" s="39">
        <v>58</v>
      </c>
      <c r="C890" s="39">
        <v>5.32</v>
      </c>
      <c r="D890" s="39">
        <v>12512023</v>
      </c>
      <c r="E890" s="39" t="s">
        <v>119</v>
      </c>
      <c r="F890" s="39">
        <v>1260</v>
      </c>
      <c r="G890" s="35">
        <v>1.1805555555555555E-2</v>
      </c>
      <c r="H890" s="35">
        <v>1.5277777777777777E-2</v>
      </c>
      <c r="I890" s="36">
        <v>5</v>
      </c>
      <c r="J890" s="86" t="s">
        <v>446</v>
      </c>
      <c r="K890" s="116" t="s">
        <v>445</v>
      </c>
      <c r="L890" s="47" t="s">
        <v>996</v>
      </c>
      <c r="M890" s="47" t="s">
        <v>996</v>
      </c>
    </row>
    <row r="891" spans="1:13" x14ac:dyDescent="0.35">
      <c r="A891" s="123">
        <v>46013</v>
      </c>
      <c r="B891" s="39">
        <v>58</v>
      </c>
      <c r="C891" s="39">
        <v>5.32</v>
      </c>
      <c r="D891" s="39">
        <v>12512023</v>
      </c>
      <c r="E891" s="39" t="s">
        <v>119</v>
      </c>
      <c r="F891" s="39">
        <v>1260</v>
      </c>
      <c r="G891" s="35">
        <v>1.5277777777777777E-2</v>
      </c>
      <c r="H891" s="35">
        <v>1.8749999999999999E-2</v>
      </c>
      <c r="I891" s="36">
        <v>5</v>
      </c>
      <c r="J891" s="86" t="s">
        <v>446</v>
      </c>
      <c r="K891" s="116" t="s">
        <v>19</v>
      </c>
      <c r="L891" s="47" t="s">
        <v>997</v>
      </c>
      <c r="M891" s="47" t="s">
        <v>997</v>
      </c>
    </row>
    <row r="892" spans="1:13" x14ac:dyDescent="0.35">
      <c r="A892" s="123">
        <v>46013</v>
      </c>
      <c r="B892" s="39">
        <v>58</v>
      </c>
      <c r="C892" s="39">
        <v>5.32</v>
      </c>
      <c r="D892" s="39">
        <v>12512023</v>
      </c>
      <c r="E892" s="39" t="s">
        <v>119</v>
      </c>
      <c r="F892" s="39">
        <v>1260</v>
      </c>
      <c r="G892" s="35">
        <v>1.8749999999999999E-2</v>
      </c>
      <c r="H892" s="35">
        <v>3.6111111111111108E-2</v>
      </c>
      <c r="I892" s="36">
        <v>25</v>
      </c>
      <c r="J892" s="86" t="s">
        <v>446</v>
      </c>
      <c r="K892" s="116" t="s">
        <v>26</v>
      </c>
      <c r="L892" s="47" t="s">
        <v>998</v>
      </c>
      <c r="M892" s="47" t="s">
        <v>998</v>
      </c>
    </row>
    <row r="893" spans="1:13" x14ac:dyDescent="0.35">
      <c r="A893" s="123">
        <v>46013</v>
      </c>
      <c r="B893" s="39">
        <v>58</v>
      </c>
      <c r="C893" s="39">
        <v>5.32</v>
      </c>
      <c r="D893" s="45">
        <v>12512024</v>
      </c>
      <c r="E893" s="45" t="s">
        <v>145</v>
      </c>
      <c r="F893" s="45" t="s">
        <v>620</v>
      </c>
      <c r="G893" s="35">
        <v>0.87152777777777779</v>
      </c>
      <c r="H893" s="35">
        <v>0.91666666666666663</v>
      </c>
      <c r="I893" s="36">
        <v>65</v>
      </c>
      <c r="J893" s="86" t="s">
        <v>35</v>
      </c>
      <c r="K893" s="116" t="s">
        <v>62</v>
      </c>
      <c r="L893" s="86" t="s">
        <v>999</v>
      </c>
      <c r="M893" s="49" t="s">
        <v>1000</v>
      </c>
    </row>
    <row r="894" spans="1:13" x14ac:dyDescent="0.35">
      <c r="A894" s="122">
        <v>46014</v>
      </c>
      <c r="B894" s="45">
        <v>58</v>
      </c>
      <c r="C894" s="45">
        <v>5.34</v>
      </c>
      <c r="D894" s="45">
        <v>12512024</v>
      </c>
      <c r="E894" s="45" t="s">
        <v>145</v>
      </c>
      <c r="F894" s="45" t="s">
        <v>620</v>
      </c>
      <c r="G894" s="35">
        <v>0.91666666666666663</v>
      </c>
      <c r="H894" s="35">
        <v>0.99583333333333335</v>
      </c>
      <c r="I894" s="36">
        <v>114</v>
      </c>
      <c r="J894" s="86" t="s">
        <v>446</v>
      </c>
      <c r="K894" s="116" t="s">
        <v>62</v>
      </c>
      <c r="L894" s="86" t="s">
        <v>999</v>
      </c>
      <c r="M894" s="58" t="s">
        <v>1002</v>
      </c>
    </row>
    <row r="895" spans="1:13" x14ac:dyDescent="0.35">
      <c r="A895" s="123">
        <v>46015</v>
      </c>
      <c r="B895" s="39">
        <v>57.69</v>
      </c>
      <c r="C895" s="39">
        <v>5.17</v>
      </c>
      <c r="D895" s="39">
        <v>12512025</v>
      </c>
      <c r="E895" s="39" t="s">
        <v>57</v>
      </c>
      <c r="F895" s="39">
        <v>1230</v>
      </c>
      <c r="G895" s="35">
        <v>0.26597222222222222</v>
      </c>
      <c r="H895" s="35">
        <v>0.28680555555555554</v>
      </c>
      <c r="I895" s="36">
        <v>30</v>
      </c>
      <c r="J895" s="86" t="s">
        <v>51</v>
      </c>
      <c r="K895" s="116" t="s">
        <v>445</v>
      </c>
      <c r="L895" s="86" t="s">
        <v>53</v>
      </c>
      <c r="M895" s="58" t="s">
        <v>54</v>
      </c>
    </row>
    <row r="896" spans="1:13" x14ac:dyDescent="0.35">
      <c r="A896" s="123">
        <v>46015</v>
      </c>
      <c r="B896" s="39">
        <v>57.69</v>
      </c>
      <c r="C896" s="39">
        <v>5.17</v>
      </c>
      <c r="D896" s="39">
        <v>12512025</v>
      </c>
      <c r="E896" s="39" t="s">
        <v>57</v>
      </c>
      <c r="F896" s="39">
        <v>1230</v>
      </c>
      <c r="G896" s="35">
        <v>0.28680555555555554</v>
      </c>
      <c r="H896" s="35">
        <v>0.29722222222222222</v>
      </c>
      <c r="I896" s="36">
        <v>15</v>
      </c>
      <c r="J896" s="86" t="s">
        <v>52</v>
      </c>
      <c r="K896" s="116" t="s">
        <v>445</v>
      </c>
      <c r="L896" s="86" t="s">
        <v>59</v>
      </c>
      <c r="M896" s="58" t="s">
        <v>59</v>
      </c>
    </row>
    <row r="897" spans="1:13" x14ac:dyDescent="0.35">
      <c r="A897" s="123">
        <v>46016</v>
      </c>
      <c r="B897" s="39">
        <v>57.74</v>
      </c>
      <c r="C897" s="39">
        <v>5.0599999999999996</v>
      </c>
      <c r="D897" s="45">
        <v>12512026</v>
      </c>
      <c r="E897" s="45" t="s">
        <v>111</v>
      </c>
      <c r="F897" s="45" t="s">
        <v>263</v>
      </c>
      <c r="G897" s="35">
        <v>0.97083333333333333</v>
      </c>
      <c r="H897" s="35">
        <v>0.99791666666666667</v>
      </c>
      <c r="I897" s="36">
        <v>39</v>
      </c>
      <c r="J897" s="86" t="s">
        <v>463</v>
      </c>
      <c r="K897" s="116" t="s">
        <v>445</v>
      </c>
      <c r="L897" s="86" t="s">
        <v>796</v>
      </c>
      <c r="M897" s="58" t="s">
        <v>1003</v>
      </c>
    </row>
    <row r="898" spans="1:13" x14ac:dyDescent="0.35">
      <c r="A898" s="123">
        <v>46016</v>
      </c>
      <c r="B898" s="39">
        <v>57.74</v>
      </c>
      <c r="C898" s="39">
        <v>5.0599999999999996</v>
      </c>
      <c r="D898" s="45">
        <v>12512027</v>
      </c>
      <c r="E898" s="45" t="s">
        <v>273</v>
      </c>
      <c r="F898" s="45" t="s">
        <v>1004</v>
      </c>
      <c r="G898" s="35">
        <v>0.82222222222222219</v>
      </c>
      <c r="H898" s="35">
        <v>0.84305555555555556</v>
      </c>
      <c r="I898" s="36">
        <v>30</v>
      </c>
      <c r="J898" s="86" t="s">
        <v>51</v>
      </c>
      <c r="K898" s="116" t="s">
        <v>445</v>
      </c>
      <c r="L898" s="86" t="s">
        <v>53</v>
      </c>
      <c r="M898" s="58" t="s">
        <v>54</v>
      </c>
    </row>
    <row r="899" spans="1:13" x14ac:dyDescent="0.35">
      <c r="A899" s="123">
        <v>46018</v>
      </c>
      <c r="B899" s="45">
        <v>57.46</v>
      </c>
      <c r="C899" s="45">
        <v>5.0599999999999996</v>
      </c>
      <c r="D899" s="39">
        <v>12512028</v>
      </c>
      <c r="E899" s="39" t="s">
        <v>57</v>
      </c>
      <c r="F899" s="39">
        <v>1320</v>
      </c>
      <c r="G899" s="35">
        <v>0.10069444444444445</v>
      </c>
      <c r="H899" s="35">
        <v>0.12152777777777778</v>
      </c>
      <c r="I899" s="36">
        <v>30</v>
      </c>
      <c r="J899" s="86" t="s">
        <v>51</v>
      </c>
      <c r="K899" s="116" t="s">
        <v>445</v>
      </c>
      <c r="L899" s="86" t="s">
        <v>53</v>
      </c>
      <c r="M899" s="47" t="s">
        <v>54</v>
      </c>
    </row>
    <row r="900" spans="1:13" x14ac:dyDescent="0.35">
      <c r="A900" s="123">
        <v>46018</v>
      </c>
      <c r="B900" s="39">
        <v>58</v>
      </c>
      <c r="C900" s="39">
        <v>5.01</v>
      </c>
      <c r="D900" s="39">
        <v>12512028</v>
      </c>
      <c r="E900" s="39" t="s">
        <v>57</v>
      </c>
      <c r="F900" s="39">
        <v>1320</v>
      </c>
      <c r="G900" s="35">
        <v>0.12152777777777778</v>
      </c>
      <c r="H900" s="35">
        <v>0.17708333333333334</v>
      </c>
      <c r="I900" s="36">
        <v>80</v>
      </c>
      <c r="J900" s="86" t="s">
        <v>446</v>
      </c>
      <c r="K900" s="116" t="s">
        <v>283</v>
      </c>
      <c r="L900" s="86" t="s">
        <v>283</v>
      </c>
      <c r="M900" s="47" t="s">
        <v>1006</v>
      </c>
    </row>
    <row r="901" spans="1:13" x14ac:dyDescent="0.35">
      <c r="A901" s="123">
        <v>46018</v>
      </c>
      <c r="B901" s="39">
        <v>58</v>
      </c>
      <c r="C901" s="39">
        <v>5.01</v>
      </c>
      <c r="D901" s="39">
        <v>12512029</v>
      </c>
      <c r="E901" s="39" t="s">
        <v>47</v>
      </c>
      <c r="F901" s="39">
        <v>1260</v>
      </c>
      <c r="G901" s="35">
        <v>0.17847222222222223</v>
      </c>
      <c r="H901" s="35">
        <v>0.24097222222222223</v>
      </c>
      <c r="I901" s="36">
        <v>90</v>
      </c>
      <c r="J901" s="86" t="s">
        <v>25</v>
      </c>
      <c r="K901" s="116" t="s">
        <v>445</v>
      </c>
      <c r="L901" s="86" t="s">
        <v>456</v>
      </c>
      <c r="M901" s="60" t="s">
        <v>227</v>
      </c>
    </row>
    <row r="902" spans="1:13" x14ac:dyDescent="0.35">
      <c r="A902" s="123">
        <v>46018</v>
      </c>
      <c r="B902" s="39">
        <v>58</v>
      </c>
      <c r="C902" s="39">
        <v>5.01</v>
      </c>
      <c r="D902" s="39">
        <v>12512029</v>
      </c>
      <c r="E902" s="39" t="s">
        <v>47</v>
      </c>
      <c r="F902" s="39">
        <v>1260</v>
      </c>
      <c r="G902" s="35">
        <v>0.24097222222222223</v>
      </c>
      <c r="H902" s="35">
        <v>0.26597222222222222</v>
      </c>
      <c r="I902" s="36">
        <v>36</v>
      </c>
      <c r="J902" s="86" t="s">
        <v>446</v>
      </c>
      <c r="K902" s="116" t="s">
        <v>445</v>
      </c>
      <c r="L902" s="86" t="s">
        <v>74</v>
      </c>
      <c r="M902" s="47" t="s">
        <v>75</v>
      </c>
    </row>
    <row r="903" spans="1:13" x14ac:dyDescent="0.35">
      <c r="A903" s="123">
        <v>46019</v>
      </c>
      <c r="B903" s="39">
        <v>57.8</v>
      </c>
      <c r="C903" s="39">
        <v>5.28</v>
      </c>
      <c r="D903" s="39">
        <v>12512030</v>
      </c>
      <c r="E903" s="39" t="s">
        <v>501</v>
      </c>
      <c r="F903" s="39" t="s">
        <v>1007</v>
      </c>
      <c r="G903" s="35">
        <v>0.61527777777777781</v>
      </c>
      <c r="H903" s="35">
        <v>0.63611111111111107</v>
      </c>
      <c r="I903" s="36">
        <v>30</v>
      </c>
      <c r="J903" s="86" t="s">
        <v>51</v>
      </c>
      <c r="K903" s="116" t="s">
        <v>445</v>
      </c>
      <c r="L903" s="86" t="s">
        <v>53</v>
      </c>
      <c r="M903" s="47" t="s">
        <v>54</v>
      </c>
    </row>
    <row r="904" spans="1:13" x14ac:dyDescent="0.35">
      <c r="A904" s="123">
        <v>46019</v>
      </c>
      <c r="B904" s="39">
        <v>57.8</v>
      </c>
      <c r="C904" s="39">
        <v>5.28</v>
      </c>
      <c r="D904" s="39">
        <v>12512030</v>
      </c>
      <c r="E904" s="39" t="s">
        <v>501</v>
      </c>
      <c r="F904" s="39" t="s">
        <v>1007</v>
      </c>
      <c r="G904" s="35">
        <v>0.63611111111111107</v>
      </c>
      <c r="H904" s="35">
        <v>0.64652777777777781</v>
      </c>
      <c r="I904" s="36">
        <v>15</v>
      </c>
      <c r="J904" s="86" t="s">
        <v>52</v>
      </c>
      <c r="K904" s="116" t="s">
        <v>445</v>
      </c>
      <c r="L904" s="86" t="s">
        <v>59</v>
      </c>
      <c r="M904" s="47" t="s">
        <v>59</v>
      </c>
    </row>
    <row r="905" spans="1:13" x14ac:dyDescent="0.35">
      <c r="A905" s="126">
        <v>46021</v>
      </c>
      <c r="B905" s="45">
        <v>58</v>
      </c>
      <c r="C905" s="45">
        <v>5.47</v>
      </c>
      <c r="D905" s="45">
        <v>12512031</v>
      </c>
      <c r="E905" s="45" t="s">
        <v>501</v>
      </c>
      <c r="F905" s="45">
        <v>1250</v>
      </c>
      <c r="G905" s="35">
        <v>0.93611111111111112</v>
      </c>
      <c r="H905" s="35">
        <v>0.95694444444444449</v>
      </c>
      <c r="I905" s="36">
        <v>30</v>
      </c>
      <c r="J905" s="86" t="s">
        <v>51</v>
      </c>
      <c r="K905" s="116" t="s">
        <v>445</v>
      </c>
      <c r="L905" s="86" t="s">
        <v>53</v>
      </c>
      <c r="M905" s="58" t="s">
        <v>54</v>
      </c>
    </row>
    <row r="906" spans="1:13" x14ac:dyDescent="0.35">
      <c r="A906" s="123">
        <v>46022</v>
      </c>
      <c r="B906" s="39">
        <v>57.74</v>
      </c>
      <c r="C906" s="113">
        <v>5.41</v>
      </c>
      <c r="D906" s="39">
        <v>12512032</v>
      </c>
      <c r="E906" s="39" t="s">
        <v>501</v>
      </c>
      <c r="F906" s="39">
        <v>1240</v>
      </c>
      <c r="G906" s="35">
        <v>0.25763888888888886</v>
      </c>
      <c r="H906" s="35">
        <v>0.27847222222222223</v>
      </c>
      <c r="I906" s="36">
        <v>30</v>
      </c>
      <c r="J906" s="86" t="s">
        <v>51</v>
      </c>
      <c r="K906" s="116" t="s">
        <v>445</v>
      </c>
      <c r="L906" s="86" t="s">
        <v>53</v>
      </c>
      <c r="M906" s="58" t="s">
        <v>54</v>
      </c>
    </row>
    <row r="907" spans="1:13" x14ac:dyDescent="0.35">
      <c r="A907" s="123">
        <v>46022</v>
      </c>
      <c r="B907" s="39">
        <v>57.74</v>
      </c>
      <c r="C907" s="113">
        <v>5.41</v>
      </c>
      <c r="D907" s="39">
        <v>12512032</v>
      </c>
      <c r="E907" s="39" t="s">
        <v>501</v>
      </c>
      <c r="F907" s="39">
        <v>1240</v>
      </c>
      <c r="G907" s="35">
        <v>0.27847222222222223</v>
      </c>
      <c r="H907" s="35">
        <v>0.28333333333333333</v>
      </c>
      <c r="I907" s="36">
        <v>7</v>
      </c>
      <c r="J907" s="86" t="s">
        <v>52</v>
      </c>
      <c r="K907" s="116" t="s">
        <v>445</v>
      </c>
      <c r="L907" s="86" t="s">
        <v>59</v>
      </c>
      <c r="M907" s="58" t="s">
        <v>59</v>
      </c>
    </row>
    <row r="908" spans="1:13" x14ac:dyDescent="0.35">
      <c r="A908" s="123">
        <v>46022</v>
      </c>
      <c r="B908" s="39">
        <v>57.74</v>
      </c>
      <c r="C908" s="113">
        <v>5.41</v>
      </c>
      <c r="D908" s="39">
        <v>12512032</v>
      </c>
      <c r="E908" s="39" t="s">
        <v>501</v>
      </c>
      <c r="F908" s="39">
        <v>1240</v>
      </c>
      <c r="G908" s="35">
        <v>0.28333333333333333</v>
      </c>
      <c r="H908" s="35">
        <v>0.28888888888888886</v>
      </c>
      <c r="I908" s="36">
        <v>8</v>
      </c>
      <c r="J908" s="86" t="s">
        <v>52</v>
      </c>
      <c r="K908" s="116" t="s">
        <v>62</v>
      </c>
      <c r="L908" s="86" t="s">
        <v>130</v>
      </c>
      <c r="M908" s="58" t="s">
        <v>422</v>
      </c>
    </row>
    <row r="909" spans="1:13" x14ac:dyDescent="0.35">
      <c r="A909" s="123">
        <v>46022</v>
      </c>
      <c r="B909" s="39">
        <v>57.74</v>
      </c>
      <c r="C909" s="113">
        <v>5.41</v>
      </c>
      <c r="D909" s="39">
        <v>12512032</v>
      </c>
      <c r="E909" s="39" t="s">
        <v>501</v>
      </c>
      <c r="F909" s="39">
        <v>1240</v>
      </c>
      <c r="G909" s="35">
        <v>0.28888888888888886</v>
      </c>
      <c r="H909" s="35">
        <v>0.29652777777777778</v>
      </c>
      <c r="I909" s="36">
        <v>11</v>
      </c>
      <c r="J909" s="86" t="s">
        <v>446</v>
      </c>
      <c r="K909" s="116" t="s">
        <v>445</v>
      </c>
      <c r="L909" s="86" t="s">
        <v>74</v>
      </c>
      <c r="M909" s="58" t="s">
        <v>75</v>
      </c>
    </row>
    <row r="910" spans="1:13" x14ac:dyDescent="0.35">
      <c r="A910" s="123">
        <v>46022</v>
      </c>
      <c r="B910" s="39">
        <v>57.74</v>
      </c>
      <c r="C910" s="113">
        <v>5.41</v>
      </c>
      <c r="D910" s="39">
        <v>12512033</v>
      </c>
      <c r="E910" s="39" t="s">
        <v>43</v>
      </c>
      <c r="F910" s="39">
        <v>1240</v>
      </c>
      <c r="G910" s="35">
        <v>0.59027777777777779</v>
      </c>
      <c r="H910" s="35">
        <v>0.66319444444444442</v>
      </c>
      <c r="I910" s="36">
        <v>105</v>
      </c>
      <c r="J910" s="86" t="s">
        <v>35</v>
      </c>
      <c r="K910" s="116" t="s">
        <v>41</v>
      </c>
      <c r="L910" s="62" t="s">
        <v>1011</v>
      </c>
      <c r="M910" s="62" t="s">
        <v>1011</v>
      </c>
    </row>
    <row r="911" spans="1:13" x14ac:dyDescent="0.35">
      <c r="A911" s="123">
        <v>46022</v>
      </c>
      <c r="B911" s="39">
        <v>57.74</v>
      </c>
      <c r="C911" s="113">
        <v>5.41</v>
      </c>
      <c r="D911" s="39">
        <v>12512033</v>
      </c>
      <c r="E911" s="39" t="s">
        <v>43</v>
      </c>
      <c r="F911" s="39">
        <v>1240</v>
      </c>
      <c r="G911" s="35">
        <v>0.66319444444444442</v>
      </c>
      <c r="H911" s="35">
        <v>0.69374999999999998</v>
      </c>
      <c r="I911" s="36">
        <v>44</v>
      </c>
      <c r="J911" s="86" t="s">
        <v>446</v>
      </c>
      <c r="K911" s="116" t="s">
        <v>19</v>
      </c>
      <c r="L911" s="58" t="s">
        <v>1012</v>
      </c>
      <c r="M911" s="58" t="s">
        <v>1012</v>
      </c>
    </row>
    <row r="912" spans="1:13" x14ac:dyDescent="0.35">
      <c r="A912" s="123">
        <v>46023</v>
      </c>
      <c r="B912" s="45">
        <v>57.81</v>
      </c>
      <c r="C912" s="45">
        <v>5.34</v>
      </c>
      <c r="D912" s="39">
        <v>12512035</v>
      </c>
      <c r="E912" s="39" t="s">
        <v>119</v>
      </c>
      <c r="F912" s="39" t="s">
        <v>414</v>
      </c>
      <c r="G912" s="35">
        <v>0.9375</v>
      </c>
      <c r="H912" s="35">
        <v>0.95833333333333337</v>
      </c>
      <c r="I912" s="36">
        <v>30</v>
      </c>
      <c r="J912" s="86" t="s">
        <v>51</v>
      </c>
      <c r="K912" s="86" t="s">
        <v>445</v>
      </c>
      <c r="L912" s="86" t="s">
        <v>53</v>
      </c>
      <c r="M912" s="58" t="s">
        <v>54</v>
      </c>
    </row>
    <row r="913" spans="1:13" x14ac:dyDescent="0.35">
      <c r="A913" s="123">
        <v>46024</v>
      </c>
      <c r="B913" s="39">
        <v>58</v>
      </c>
      <c r="C913" s="39">
        <v>5.32</v>
      </c>
      <c r="D913" s="39">
        <v>12512035</v>
      </c>
      <c r="E913" s="39" t="s">
        <v>119</v>
      </c>
      <c r="F913" s="39" t="s">
        <v>414</v>
      </c>
      <c r="G913" s="35">
        <v>0.95833333333333337</v>
      </c>
      <c r="H913" s="35">
        <v>0.96875</v>
      </c>
      <c r="I913" s="36">
        <v>15</v>
      </c>
      <c r="J913" s="86" t="s">
        <v>52</v>
      </c>
      <c r="K913" s="86" t="s">
        <v>445</v>
      </c>
      <c r="L913" s="86" t="s">
        <v>59</v>
      </c>
      <c r="M913" s="58" t="s">
        <v>59</v>
      </c>
    </row>
    <row r="914" spans="1:13" x14ac:dyDescent="0.35">
      <c r="A914" s="123">
        <v>46024</v>
      </c>
      <c r="B914" s="39">
        <v>58</v>
      </c>
      <c r="C914" s="39">
        <v>5.32</v>
      </c>
      <c r="D914" s="39">
        <v>12512035</v>
      </c>
      <c r="E914" s="39" t="s">
        <v>119</v>
      </c>
      <c r="F914" s="39" t="s">
        <v>414</v>
      </c>
      <c r="G914" s="35">
        <v>0.96875</v>
      </c>
      <c r="H914" s="35">
        <v>0.98124999999999996</v>
      </c>
      <c r="I914" s="36">
        <v>18</v>
      </c>
      <c r="J914" s="86" t="s">
        <v>446</v>
      </c>
      <c r="K914" s="116" t="s">
        <v>445</v>
      </c>
      <c r="L914" s="86" t="s">
        <v>206</v>
      </c>
      <c r="M914" s="58" t="s">
        <v>206</v>
      </c>
    </row>
    <row r="915" spans="1:13" x14ac:dyDescent="0.35">
      <c r="A915" s="123">
        <v>46024</v>
      </c>
      <c r="B915" s="39">
        <v>58</v>
      </c>
      <c r="C915" s="39">
        <v>5.32</v>
      </c>
      <c r="D915" s="39">
        <v>12601001</v>
      </c>
      <c r="E915" s="39" t="s">
        <v>47</v>
      </c>
      <c r="F915" s="39">
        <v>1230</v>
      </c>
      <c r="G915" s="35">
        <v>0.98263888888888884</v>
      </c>
      <c r="H915" s="35">
        <v>4.5138888888888888E-2</v>
      </c>
      <c r="I915" s="36">
        <v>90</v>
      </c>
      <c r="J915" s="86" t="s">
        <v>25</v>
      </c>
      <c r="K915" s="116" t="s">
        <v>445</v>
      </c>
      <c r="L915" s="86" t="s">
        <v>492</v>
      </c>
      <c r="M915" s="92" t="s">
        <v>647</v>
      </c>
    </row>
    <row r="916" spans="1:13" x14ac:dyDescent="0.35">
      <c r="A916" s="123">
        <v>46024</v>
      </c>
      <c r="B916" s="39">
        <v>58</v>
      </c>
      <c r="C916" s="39">
        <v>5.32</v>
      </c>
      <c r="D916" s="39">
        <v>12601001</v>
      </c>
      <c r="E916" s="39" t="s">
        <v>47</v>
      </c>
      <c r="F916" s="39">
        <v>1230</v>
      </c>
      <c r="G916" s="35">
        <v>4.5138888888888888E-2</v>
      </c>
      <c r="H916" s="35">
        <v>5.5555555555555552E-2</v>
      </c>
      <c r="I916" s="36">
        <v>15</v>
      </c>
      <c r="J916" s="86" t="s">
        <v>446</v>
      </c>
      <c r="K916" s="116" t="s">
        <v>445</v>
      </c>
      <c r="L916" s="86" t="s">
        <v>74</v>
      </c>
      <c r="M916" s="158" t="s">
        <v>1014</v>
      </c>
    </row>
    <row r="917" spans="1:13" x14ac:dyDescent="0.35">
      <c r="A917" s="123">
        <v>46024</v>
      </c>
      <c r="B917" s="39">
        <v>58</v>
      </c>
      <c r="C917" s="39">
        <v>5.32</v>
      </c>
      <c r="D917" s="39">
        <v>12601002</v>
      </c>
      <c r="E917" s="39" t="s">
        <v>226</v>
      </c>
      <c r="F917" s="39">
        <v>1230</v>
      </c>
      <c r="G917" s="35">
        <v>0.3923611111111111</v>
      </c>
      <c r="H917" s="35">
        <v>0.4548611111111111</v>
      </c>
      <c r="I917" s="36">
        <v>90</v>
      </c>
      <c r="J917" s="86" t="s">
        <v>25</v>
      </c>
      <c r="K917" s="116" t="s">
        <v>445</v>
      </c>
      <c r="L917" s="86" t="s">
        <v>456</v>
      </c>
      <c r="M917" s="92" t="s">
        <v>323</v>
      </c>
    </row>
    <row r="918" spans="1:13" x14ac:dyDescent="0.35">
      <c r="A918" s="123">
        <v>46024</v>
      </c>
      <c r="B918" s="39">
        <v>58</v>
      </c>
      <c r="C918" s="39">
        <v>5.32</v>
      </c>
      <c r="D918" s="39">
        <v>12601002</v>
      </c>
      <c r="E918" s="39" t="s">
        <v>226</v>
      </c>
      <c r="F918" s="39">
        <v>1230</v>
      </c>
      <c r="G918" s="35">
        <v>0.4548611111111111</v>
      </c>
      <c r="H918" s="35">
        <v>0.48958333333333331</v>
      </c>
      <c r="I918" s="36">
        <v>50</v>
      </c>
      <c r="J918" s="86" t="s">
        <v>446</v>
      </c>
      <c r="K918" s="116" t="s">
        <v>41</v>
      </c>
      <c r="L918" s="86" t="s">
        <v>454</v>
      </c>
      <c r="M918" s="58" t="s">
        <v>1015</v>
      </c>
    </row>
    <row r="919" spans="1:13" x14ac:dyDescent="0.35">
      <c r="A919" s="123">
        <v>46024</v>
      </c>
      <c r="B919" s="39">
        <v>58</v>
      </c>
      <c r="C919" s="39">
        <v>5.32</v>
      </c>
      <c r="D919" s="39">
        <v>12601002</v>
      </c>
      <c r="E919" s="39" t="s">
        <v>226</v>
      </c>
      <c r="F919" s="39">
        <v>1230</v>
      </c>
      <c r="G919" s="35">
        <v>0.48958333333333331</v>
      </c>
      <c r="H919" s="35">
        <v>0.53333333333333333</v>
      </c>
      <c r="I919" s="36">
        <v>63</v>
      </c>
      <c r="J919" s="86" t="s">
        <v>446</v>
      </c>
      <c r="K919" s="116" t="s">
        <v>445</v>
      </c>
      <c r="L919" s="86" t="s">
        <v>55</v>
      </c>
      <c r="M919" s="158" t="s">
        <v>1014</v>
      </c>
    </row>
    <row r="920" spans="1:13" x14ac:dyDescent="0.35">
      <c r="A920" s="123">
        <v>46024</v>
      </c>
      <c r="B920" s="39">
        <v>58</v>
      </c>
      <c r="C920" s="39">
        <v>5.32</v>
      </c>
      <c r="D920" s="39">
        <v>12601003</v>
      </c>
      <c r="E920" s="39" t="s">
        <v>47</v>
      </c>
      <c r="F920" s="39">
        <v>1230</v>
      </c>
      <c r="G920" s="35">
        <v>0.56597222222222221</v>
      </c>
      <c r="H920" s="35">
        <v>0.61458333333333337</v>
      </c>
      <c r="I920" s="36">
        <v>70</v>
      </c>
      <c r="J920" s="86" t="s">
        <v>463</v>
      </c>
      <c r="K920" s="116" t="s">
        <v>26</v>
      </c>
      <c r="L920" s="86" t="s">
        <v>529</v>
      </c>
      <c r="M920" s="58" t="s">
        <v>1016</v>
      </c>
    </row>
    <row r="921" spans="1:13" x14ac:dyDescent="0.35">
      <c r="A921" s="123">
        <v>46024</v>
      </c>
      <c r="B921" s="39">
        <v>58</v>
      </c>
      <c r="C921" s="39">
        <v>5.32</v>
      </c>
      <c r="D921" s="39">
        <v>12601003</v>
      </c>
      <c r="E921" s="39" t="s">
        <v>47</v>
      </c>
      <c r="F921" s="39">
        <v>1230</v>
      </c>
      <c r="G921" s="35">
        <v>0.61458333333333337</v>
      </c>
      <c r="H921" s="35">
        <v>0.62083333333333335</v>
      </c>
      <c r="I921" s="36">
        <v>9</v>
      </c>
      <c r="J921" s="86" t="s">
        <v>446</v>
      </c>
      <c r="K921" s="116" t="s">
        <v>26</v>
      </c>
      <c r="L921" s="86" t="s">
        <v>32</v>
      </c>
      <c r="M921" s="58" t="s">
        <v>61</v>
      </c>
    </row>
    <row r="922" spans="1:13" x14ac:dyDescent="0.35">
      <c r="A922" s="123">
        <v>46026</v>
      </c>
      <c r="B922" s="39">
        <v>58</v>
      </c>
      <c r="C922" s="39">
        <v>5.46</v>
      </c>
      <c r="D922" s="39">
        <v>12601004</v>
      </c>
      <c r="E922" s="39" t="s">
        <v>496</v>
      </c>
      <c r="F922" s="39">
        <v>1230</v>
      </c>
      <c r="G922" s="35">
        <v>0.93472222222222223</v>
      </c>
      <c r="H922" s="35">
        <v>0.9555555555555556</v>
      </c>
      <c r="I922" s="36">
        <v>30</v>
      </c>
      <c r="J922" s="86" t="s">
        <v>51</v>
      </c>
      <c r="K922" s="86" t="s">
        <v>445</v>
      </c>
      <c r="L922" s="86" t="s">
        <v>53</v>
      </c>
      <c r="M922" s="47" t="s">
        <v>54</v>
      </c>
    </row>
    <row r="923" spans="1:13" x14ac:dyDescent="0.35">
      <c r="A923" s="123">
        <v>46026</v>
      </c>
      <c r="B923" s="39">
        <v>58</v>
      </c>
      <c r="C923" s="39">
        <v>5.46</v>
      </c>
      <c r="D923" s="39">
        <v>12601004</v>
      </c>
      <c r="E923" s="39" t="s">
        <v>496</v>
      </c>
      <c r="F923" s="39">
        <v>1230</v>
      </c>
      <c r="G923" s="35">
        <v>0.9555555555555556</v>
      </c>
      <c r="H923" s="35">
        <v>0.96597222222222223</v>
      </c>
      <c r="I923" s="36">
        <v>15</v>
      </c>
      <c r="J923" s="86" t="s">
        <v>446</v>
      </c>
      <c r="K923" s="116" t="s">
        <v>19</v>
      </c>
      <c r="L923" s="86" t="s">
        <v>481</v>
      </c>
      <c r="M923" s="47" t="s">
        <v>1017</v>
      </c>
    </row>
    <row r="924" spans="1:13" x14ac:dyDescent="0.35">
      <c r="A924" s="123">
        <v>46027</v>
      </c>
      <c r="B924" s="39">
        <v>58</v>
      </c>
      <c r="C924" s="39">
        <v>5.67</v>
      </c>
      <c r="D924" s="39">
        <v>12601005</v>
      </c>
      <c r="E924" s="39" t="s">
        <v>116</v>
      </c>
      <c r="F924" s="39">
        <v>1255</v>
      </c>
      <c r="G924" s="35">
        <v>0.2</v>
      </c>
      <c r="H924" s="35">
        <v>0.22083333333333333</v>
      </c>
      <c r="I924" s="36">
        <v>30</v>
      </c>
      <c r="J924" s="86" t="s">
        <v>51</v>
      </c>
      <c r="K924" s="86" t="s">
        <v>445</v>
      </c>
      <c r="L924" s="86" t="s">
        <v>53</v>
      </c>
      <c r="M924" s="47" t="s">
        <v>54</v>
      </c>
    </row>
    <row r="925" spans="1:13" x14ac:dyDescent="0.35">
      <c r="A925" s="123">
        <v>46027</v>
      </c>
      <c r="B925" s="39">
        <v>58</v>
      </c>
      <c r="C925" s="39">
        <v>5.67</v>
      </c>
      <c r="D925" s="39">
        <v>12601005</v>
      </c>
      <c r="E925" s="39" t="s">
        <v>116</v>
      </c>
      <c r="F925" s="39">
        <v>1255</v>
      </c>
      <c r="G925" s="35">
        <v>0.22083333333333333</v>
      </c>
      <c r="H925" s="35">
        <v>0.23125000000000001</v>
      </c>
      <c r="I925" s="36">
        <v>15</v>
      </c>
      <c r="J925" s="86" t="s">
        <v>52</v>
      </c>
      <c r="K925" s="86" t="s">
        <v>445</v>
      </c>
      <c r="L925" s="86" t="s">
        <v>59</v>
      </c>
      <c r="M925" s="47" t="s">
        <v>59</v>
      </c>
    </row>
    <row r="926" spans="1:13" x14ac:dyDescent="0.35">
      <c r="A926" s="122">
        <v>46028</v>
      </c>
      <c r="B926" s="45">
        <v>58</v>
      </c>
      <c r="C926" s="45">
        <v>5.45</v>
      </c>
      <c r="D926" s="45">
        <v>12601006</v>
      </c>
      <c r="E926" s="45" t="s">
        <v>119</v>
      </c>
      <c r="F926" s="45">
        <v>1240</v>
      </c>
      <c r="G926" s="35">
        <v>0.4777777777777778</v>
      </c>
      <c r="H926" s="35">
        <v>0.49652777777777779</v>
      </c>
      <c r="I926" s="36">
        <v>27</v>
      </c>
      <c r="J926" s="86" t="s">
        <v>51</v>
      </c>
      <c r="K926" s="86" t="s">
        <v>445</v>
      </c>
      <c r="L926" s="86" t="s">
        <v>53</v>
      </c>
      <c r="M926" s="58" t="s">
        <v>54</v>
      </c>
    </row>
    <row r="927" spans="1:13" x14ac:dyDescent="0.35">
      <c r="A927" s="122">
        <v>46029</v>
      </c>
      <c r="B927" s="45">
        <v>57.79</v>
      </c>
      <c r="C927" s="45">
        <v>5.49</v>
      </c>
      <c r="D927" s="45">
        <v>12601007</v>
      </c>
      <c r="E927" s="45" t="s">
        <v>156</v>
      </c>
      <c r="F927" s="45">
        <v>1270</v>
      </c>
      <c r="G927" s="35">
        <v>0.37291666666666667</v>
      </c>
      <c r="H927" s="35">
        <v>0.91666666666666663</v>
      </c>
      <c r="I927" s="36">
        <v>783</v>
      </c>
      <c r="J927" s="86" t="s">
        <v>448</v>
      </c>
      <c r="K927" s="116" t="s">
        <v>15</v>
      </c>
      <c r="L927" s="86" t="s">
        <v>448</v>
      </c>
      <c r="M927" s="58" t="s">
        <v>17</v>
      </c>
    </row>
    <row r="928" spans="1:13" x14ac:dyDescent="0.35">
      <c r="A928" s="123">
        <v>46030</v>
      </c>
      <c r="B928" s="39">
        <v>58</v>
      </c>
      <c r="C928" s="39">
        <v>5.54</v>
      </c>
      <c r="D928" s="45">
        <v>12601007</v>
      </c>
      <c r="E928" s="45" t="s">
        <v>156</v>
      </c>
      <c r="F928" s="45">
        <v>1270</v>
      </c>
      <c r="G928" s="35">
        <v>0.91666666666666663</v>
      </c>
      <c r="H928" s="35">
        <v>1.0416666666666666E-2</v>
      </c>
      <c r="I928" s="36">
        <v>135</v>
      </c>
      <c r="J928" s="86" t="s">
        <v>448</v>
      </c>
      <c r="K928" s="116" t="s">
        <v>15</v>
      </c>
      <c r="L928" s="86" t="s">
        <v>448</v>
      </c>
      <c r="M928" s="58" t="s">
        <v>17</v>
      </c>
    </row>
    <row r="929" spans="1:13" x14ac:dyDescent="0.35">
      <c r="A929" s="123">
        <v>46030</v>
      </c>
      <c r="B929" s="39">
        <v>58</v>
      </c>
      <c r="C929" s="39">
        <v>5.54</v>
      </c>
      <c r="D929" s="45">
        <v>12601007</v>
      </c>
      <c r="E929" s="45" t="s">
        <v>156</v>
      </c>
      <c r="F929" s="45">
        <v>1270</v>
      </c>
      <c r="G929" s="35">
        <v>1.0416666666666666E-2</v>
      </c>
      <c r="H929" s="35">
        <v>9.375E-2</v>
      </c>
      <c r="I929" s="36">
        <v>120</v>
      </c>
      <c r="J929" s="86" t="s">
        <v>446</v>
      </c>
      <c r="K929" s="116" t="s">
        <v>41</v>
      </c>
      <c r="L929" s="86" t="s">
        <v>512</v>
      </c>
      <c r="M929" s="58" t="s">
        <v>1023</v>
      </c>
    </row>
    <row r="930" spans="1:13" x14ac:dyDescent="0.35">
      <c r="A930" s="123">
        <v>46031</v>
      </c>
      <c r="B930" s="39">
        <v>58</v>
      </c>
      <c r="C930" s="39">
        <v>5.64</v>
      </c>
      <c r="D930" s="39">
        <v>12601008</v>
      </c>
      <c r="E930" s="39" t="s">
        <v>13</v>
      </c>
      <c r="F930" s="39">
        <v>1040</v>
      </c>
      <c r="G930" s="35">
        <v>0.22569444444444445</v>
      </c>
      <c r="H930" s="35">
        <v>0.24652777777777779</v>
      </c>
      <c r="I930" s="36">
        <v>30</v>
      </c>
      <c r="J930" s="86" t="s">
        <v>51</v>
      </c>
      <c r="K930" s="86" t="s">
        <v>445</v>
      </c>
      <c r="L930" s="86" t="s">
        <v>53</v>
      </c>
      <c r="M930" s="58" t="s">
        <v>54</v>
      </c>
    </row>
    <row r="931" spans="1:13" x14ac:dyDescent="0.35">
      <c r="A931" s="123">
        <v>46031</v>
      </c>
      <c r="B931" s="39">
        <v>58</v>
      </c>
      <c r="C931" s="39">
        <v>5.64</v>
      </c>
      <c r="D931" s="39">
        <v>12601008</v>
      </c>
      <c r="E931" s="39" t="s">
        <v>13</v>
      </c>
      <c r="F931" s="39">
        <v>1040</v>
      </c>
      <c r="G931" s="35">
        <v>0.24652777777777779</v>
      </c>
      <c r="H931" s="35">
        <v>0.25694444444444442</v>
      </c>
      <c r="I931" s="36">
        <v>15</v>
      </c>
      <c r="J931" s="86" t="s">
        <v>52</v>
      </c>
      <c r="K931" s="86" t="s">
        <v>445</v>
      </c>
      <c r="L931" s="86" t="s">
        <v>59</v>
      </c>
      <c r="M931" s="58" t="s">
        <v>59</v>
      </c>
    </row>
    <row r="932" spans="1:13" x14ac:dyDescent="0.35">
      <c r="A932" s="123">
        <v>46031</v>
      </c>
      <c r="B932" s="39">
        <v>58</v>
      </c>
      <c r="C932" s="39">
        <v>5.64</v>
      </c>
      <c r="D932" s="39">
        <v>12601008</v>
      </c>
      <c r="E932" s="39" t="s">
        <v>13</v>
      </c>
      <c r="F932" s="39">
        <v>1040</v>
      </c>
      <c r="G932" s="35">
        <v>0.25694444444444442</v>
      </c>
      <c r="H932" s="35">
        <v>0.25972222222222224</v>
      </c>
      <c r="I932" s="36">
        <v>4</v>
      </c>
      <c r="J932" s="86" t="s">
        <v>446</v>
      </c>
      <c r="K932" s="116" t="s">
        <v>445</v>
      </c>
      <c r="L932" s="86" t="s">
        <v>74</v>
      </c>
      <c r="M932" s="58" t="s">
        <v>75</v>
      </c>
    </row>
    <row r="933" spans="1:13" x14ac:dyDescent="0.35">
      <c r="A933" s="123">
        <v>46032</v>
      </c>
      <c r="B933" s="39">
        <v>58</v>
      </c>
      <c r="C933" s="39">
        <v>5.58</v>
      </c>
      <c r="D933" s="39">
        <v>12601009</v>
      </c>
      <c r="E933" s="39" t="s">
        <v>57</v>
      </c>
      <c r="F933" s="39">
        <v>1230</v>
      </c>
      <c r="G933" s="35">
        <v>0.48055555555555557</v>
      </c>
      <c r="H933" s="35">
        <v>0.50138888888888888</v>
      </c>
      <c r="I933" s="36">
        <v>30</v>
      </c>
      <c r="J933" s="86" t="s">
        <v>51</v>
      </c>
      <c r="K933" s="86" t="s">
        <v>445</v>
      </c>
      <c r="L933" s="86" t="s">
        <v>53</v>
      </c>
      <c r="M933" s="47" t="s">
        <v>54</v>
      </c>
    </row>
    <row r="934" spans="1:13" x14ac:dyDescent="0.35">
      <c r="A934" s="123">
        <v>46032</v>
      </c>
      <c r="B934" s="39">
        <v>58</v>
      </c>
      <c r="C934" s="39">
        <v>5.58</v>
      </c>
      <c r="D934" s="39">
        <v>12601009</v>
      </c>
      <c r="E934" s="39" t="s">
        <v>57</v>
      </c>
      <c r="F934" s="39">
        <v>1230</v>
      </c>
      <c r="G934" s="35">
        <v>0.50138888888888888</v>
      </c>
      <c r="H934" s="35">
        <v>0.5083333333333333</v>
      </c>
      <c r="I934" s="36">
        <v>10</v>
      </c>
      <c r="J934" s="86" t="s">
        <v>446</v>
      </c>
      <c r="K934" s="116" t="s">
        <v>19</v>
      </c>
      <c r="L934" s="86" t="s">
        <v>143</v>
      </c>
      <c r="M934" s="47" t="s">
        <v>1027</v>
      </c>
    </row>
    <row r="935" spans="1:13" x14ac:dyDescent="0.35">
      <c r="A935" s="123">
        <v>46033</v>
      </c>
      <c r="B935" s="39">
        <v>58</v>
      </c>
      <c r="C935" s="39">
        <v>5.43</v>
      </c>
      <c r="D935" s="39">
        <v>12601010</v>
      </c>
      <c r="E935" s="159" t="s">
        <v>101</v>
      </c>
      <c r="F935" s="39" t="s">
        <v>1028</v>
      </c>
      <c r="G935" s="35">
        <v>0.61944444444444446</v>
      </c>
      <c r="H935" s="35">
        <v>0.64027777777777772</v>
      </c>
      <c r="I935" s="36">
        <v>30</v>
      </c>
      <c r="J935" s="86" t="s">
        <v>51</v>
      </c>
      <c r="K935" s="86" t="s">
        <v>445</v>
      </c>
      <c r="L935" s="86" t="s">
        <v>53</v>
      </c>
      <c r="M935" s="47" t="s">
        <v>54</v>
      </c>
    </row>
    <row r="936" spans="1:13" x14ac:dyDescent="0.35">
      <c r="A936" s="123">
        <v>46033</v>
      </c>
      <c r="B936" s="39">
        <v>58</v>
      </c>
      <c r="C936" s="39">
        <v>5.43</v>
      </c>
      <c r="D936" s="39">
        <v>12601010</v>
      </c>
      <c r="E936" s="159" t="s">
        <v>101</v>
      </c>
      <c r="F936" s="39" t="s">
        <v>1028</v>
      </c>
      <c r="G936" s="35">
        <v>0.64027777777777772</v>
      </c>
      <c r="H936" s="35">
        <v>0.65069444444444446</v>
      </c>
      <c r="I936" s="36">
        <v>15</v>
      </c>
      <c r="J936" s="86" t="s">
        <v>52</v>
      </c>
      <c r="K936" s="116" t="s">
        <v>445</v>
      </c>
      <c r="L936" s="86" t="s">
        <v>59</v>
      </c>
      <c r="M936" s="47" t="s">
        <v>59</v>
      </c>
    </row>
    <row r="937" spans="1:13" x14ac:dyDescent="0.35">
      <c r="A937" s="122">
        <v>46035</v>
      </c>
      <c r="B937" s="45">
        <v>57.71</v>
      </c>
      <c r="C937" s="45">
        <v>5.39</v>
      </c>
      <c r="D937" s="45">
        <v>12601011</v>
      </c>
      <c r="E937" s="45" t="s">
        <v>141</v>
      </c>
      <c r="F937" s="45">
        <v>1250</v>
      </c>
      <c r="G937" s="35">
        <v>0</v>
      </c>
      <c r="H937" s="35">
        <v>2.0833333333333332E-2</v>
      </c>
      <c r="I937" s="36">
        <v>30</v>
      </c>
      <c r="J937" s="86" t="s">
        <v>51</v>
      </c>
      <c r="K937" s="86" t="s">
        <v>445</v>
      </c>
      <c r="L937" s="86" t="s">
        <v>53</v>
      </c>
      <c r="M937" s="47" t="s">
        <v>54</v>
      </c>
    </row>
    <row r="938" spans="1:13" x14ac:dyDescent="0.35">
      <c r="A938" s="123">
        <v>46036</v>
      </c>
      <c r="B938" s="39">
        <v>58</v>
      </c>
      <c r="C938" s="39">
        <v>5.56</v>
      </c>
      <c r="D938" s="39">
        <v>12601012</v>
      </c>
      <c r="E938" s="39" t="s">
        <v>501</v>
      </c>
      <c r="F938" s="39">
        <v>1260</v>
      </c>
      <c r="G938" s="35">
        <v>0.35972222222222222</v>
      </c>
      <c r="H938" s="35">
        <v>0.38055555555555554</v>
      </c>
      <c r="I938" s="36">
        <v>30</v>
      </c>
      <c r="J938" s="86" t="s">
        <v>51</v>
      </c>
      <c r="K938" s="86" t="s">
        <v>445</v>
      </c>
      <c r="L938" s="86" t="s">
        <v>53</v>
      </c>
      <c r="M938" s="58" t="s">
        <v>54</v>
      </c>
    </row>
    <row r="939" spans="1:13" x14ac:dyDescent="0.35">
      <c r="A939" s="123">
        <v>46036</v>
      </c>
      <c r="B939" s="39">
        <v>58</v>
      </c>
      <c r="C939" s="39">
        <v>5.56</v>
      </c>
      <c r="D939" s="39">
        <v>12601012</v>
      </c>
      <c r="E939" s="39" t="s">
        <v>501</v>
      </c>
      <c r="F939" s="39">
        <v>1260</v>
      </c>
      <c r="G939" s="35">
        <v>0.38055555555555554</v>
      </c>
      <c r="H939" s="35">
        <v>0.38611111111111113</v>
      </c>
      <c r="I939" s="36">
        <v>8</v>
      </c>
      <c r="J939" s="86" t="s">
        <v>52</v>
      </c>
      <c r="K939" s="116" t="s">
        <v>445</v>
      </c>
      <c r="L939" s="86" t="s">
        <v>59</v>
      </c>
      <c r="M939" s="58" t="s">
        <v>59</v>
      </c>
    </row>
    <row r="940" spans="1:13" x14ac:dyDescent="0.35">
      <c r="A940" s="123">
        <v>46036</v>
      </c>
      <c r="B940" s="39">
        <v>58</v>
      </c>
      <c r="C940" s="39">
        <v>5.56</v>
      </c>
      <c r="D940" s="39">
        <v>12601012</v>
      </c>
      <c r="E940" s="39" t="s">
        <v>501</v>
      </c>
      <c r="F940" s="39">
        <v>1260</v>
      </c>
      <c r="G940" s="35">
        <v>0.38611111111111113</v>
      </c>
      <c r="H940" s="35">
        <v>0.39097222222222222</v>
      </c>
      <c r="I940" s="36">
        <v>7</v>
      </c>
      <c r="J940" s="86" t="s">
        <v>52</v>
      </c>
      <c r="K940" s="116" t="s">
        <v>62</v>
      </c>
      <c r="L940" s="86" t="s">
        <v>130</v>
      </c>
      <c r="M940" s="58" t="s">
        <v>422</v>
      </c>
    </row>
    <row r="941" spans="1:13" x14ac:dyDescent="0.35">
      <c r="A941" s="123">
        <v>46036</v>
      </c>
      <c r="B941" s="39">
        <v>58</v>
      </c>
      <c r="C941" s="39">
        <v>5.56</v>
      </c>
      <c r="D941" s="39">
        <v>12601012</v>
      </c>
      <c r="E941" s="39" t="s">
        <v>501</v>
      </c>
      <c r="F941" s="39">
        <v>1260</v>
      </c>
      <c r="G941" s="35">
        <v>0.39097222222222222</v>
      </c>
      <c r="H941" s="35">
        <v>0.39305555555555555</v>
      </c>
      <c r="I941" s="36">
        <v>3</v>
      </c>
      <c r="J941" s="86" t="s">
        <v>446</v>
      </c>
      <c r="K941" s="116" t="s">
        <v>445</v>
      </c>
      <c r="L941" s="86" t="s">
        <v>206</v>
      </c>
      <c r="M941" s="58" t="s">
        <v>1032</v>
      </c>
    </row>
    <row r="942" spans="1:13" x14ac:dyDescent="0.35">
      <c r="A942" s="123">
        <v>46037</v>
      </c>
      <c r="B942" s="39">
        <v>57.9</v>
      </c>
      <c r="C942" s="39">
        <v>5.58</v>
      </c>
      <c r="D942" s="39">
        <v>12601013</v>
      </c>
      <c r="E942" s="39" t="s">
        <v>503</v>
      </c>
      <c r="F942" s="39">
        <v>1230</v>
      </c>
      <c r="G942" s="35">
        <v>0.74444444444444446</v>
      </c>
      <c r="H942" s="35">
        <v>0.76527777777777772</v>
      </c>
      <c r="I942" s="36">
        <v>30</v>
      </c>
      <c r="J942" s="86" t="s">
        <v>51</v>
      </c>
      <c r="K942" s="86" t="s">
        <v>445</v>
      </c>
      <c r="L942" s="86" t="s">
        <v>53</v>
      </c>
      <c r="M942" s="58" t="s">
        <v>54</v>
      </c>
    </row>
    <row r="943" spans="1:13" x14ac:dyDescent="0.35">
      <c r="A943" s="123">
        <v>46037</v>
      </c>
      <c r="B943" s="39">
        <v>57.9</v>
      </c>
      <c r="C943" s="39">
        <v>5.58</v>
      </c>
      <c r="D943" s="39">
        <v>12601013</v>
      </c>
      <c r="E943" s="39" t="s">
        <v>503</v>
      </c>
      <c r="F943" s="39">
        <v>1230</v>
      </c>
      <c r="G943" s="35">
        <v>0.76527777777777772</v>
      </c>
      <c r="H943" s="35">
        <v>0.77569444444444446</v>
      </c>
      <c r="I943" s="36">
        <v>15</v>
      </c>
      <c r="J943" s="86" t="s">
        <v>52</v>
      </c>
      <c r="K943" s="116" t="s">
        <v>445</v>
      </c>
      <c r="L943" s="86" t="s">
        <v>59</v>
      </c>
      <c r="M943" s="58" t="s">
        <v>59</v>
      </c>
    </row>
    <row r="944" spans="1:13" x14ac:dyDescent="0.35">
      <c r="A944" s="123">
        <v>46038</v>
      </c>
      <c r="B944" s="39"/>
      <c r="C944" s="39"/>
      <c r="D944" s="39">
        <v>12601013</v>
      </c>
      <c r="E944" s="39"/>
      <c r="F944" s="39"/>
      <c r="G944" s="35">
        <v>0.91666666666666663</v>
      </c>
      <c r="H944" s="35">
        <v>0.91666666666666663</v>
      </c>
      <c r="I944" s="161">
        <v>0</v>
      </c>
      <c r="J944" s="86"/>
      <c r="K944" s="116"/>
      <c r="L944" s="86"/>
      <c r="M944" s="58"/>
    </row>
    <row r="945" spans="1:13" x14ac:dyDescent="0.35">
      <c r="A945" s="122">
        <v>46039</v>
      </c>
      <c r="B945" s="45">
        <v>56</v>
      </c>
      <c r="C945" s="45">
        <v>5.58</v>
      </c>
      <c r="D945" s="45">
        <v>12601014</v>
      </c>
      <c r="E945" s="45" t="s">
        <v>503</v>
      </c>
      <c r="F945" s="45">
        <v>1350</v>
      </c>
      <c r="G945" s="35">
        <v>8.6805555555555552E-2</v>
      </c>
      <c r="H945" s="35">
        <v>0.1076388888888889</v>
      </c>
      <c r="I945" s="36">
        <v>30</v>
      </c>
      <c r="J945" s="86" t="s">
        <v>51</v>
      </c>
      <c r="K945" s="86" t="s">
        <v>445</v>
      </c>
      <c r="L945" s="86" t="s">
        <v>53</v>
      </c>
      <c r="M945" s="47" t="s">
        <v>54</v>
      </c>
    </row>
    <row r="946" spans="1:13" x14ac:dyDescent="0.35">
      <c r="A946" s="123">
        <v>46040</v>
      </c>
      <c r="B946" s="45">
        <v>56.65</v>
      </c>
      <c r="C946" s="45">
        <v>5.32</v>
      </c>
      <c r="D946" s="39">
        <v>12601015</v>
      </c>
      <c r="E946" s="39" t="s">
        <v>104</v>
      </c>
      <c r="F946" s="39" t="s">
        <v>713</v>
      </c>
      <c r="G946" s="35">
        <v>0.45</v>
      </c>
      <c r="H946" s="35">
        <v>0.47083333333333333</v>
      </c>
      <c r="I946" s="36">
        <v>30</v>
      </c>
      <c r="J946" s="86" t="s">
        <v>51</v>
      </c>
      <c r="K946" s="86" t="s">
        <v>445</v>
      </c>
      <c r="L946" s="86" t="s">
        <v>53</v>
      </c>
      <c r="M946" s="47" t="s">
        <v>54</v>
      </c>
    </row>
    <row r="947" spans="1:13" x14ac:dyDescent="0.35">
      <c r="A947" s="123">
        <v>46040</v>
      </c>
      <c r="B947" s="45">
        <v>56.65</v>
      </c>
      <c r="C947" s="45">
        <v>5.32</v>
      </c>
      <c r="D947" s="39">
        <v>12601015</v>
      </c>
      <c r="E947" s="39" t="s">
        <v>104</v>
      </c>
      <c r="F947" s="39" t="s">
        <v>713</v>
      </c>
      <c r="G947" s="35">
        <v>0.47083333333333333</v>
      </c>
      <c r="H947" s="35">
        <v>0.49166666666666664</v>
      </c>
      <c r="I947" s="36">
        <v>30</v>
      </c>
      <c r="J947" s="86" t="s">
        <v>52</v>
      </c>
      <c r="K947" s="116" t="s">
        <v>445</v>
      </c>
      <c r="L947" s="86" t="s">
        <v>178</v>
      </c>
      <c r="M947" s="47" t="s">
        <v>1037</v>
      </c>
    </row>
    <row r="948" spans="1:13" x14ac:dyDescent="0.35">
      <c r="A948" s="123">
        <v>46041</v>
      </c>
      <c r="B948" s="39">
        <v>58</v>
      </c>
      <c r="C948" s="39">
        <v>5.48</v>
      </c>
      <c r="D948" s="39">
        <v>12601016</v>
      </c>
      <c r="E948" s="39" t="s">
        <v>501</v>
      </c>
      <c r="F948" s="39">
        <v>1230</v>
      </c>
      <c r="G948" s="35">
        <v>0.8256944444444444</v>
      </c>
      <c r="H948" s="35">
        <v>0.84652777777777777</v>
      </c>
      <c r="I948" s="36">
        <v>30</v>
      </c>
      <c r="J948" s="86" t="s">
        <v>51</v>
      </c>
      <c r="K948" s="86" t="s">
        <v>445</v>
      </c>
      <c r="L948" s="86" t="s">
        <v>53</v>
      </c>
      <c r="M948" s="47" t="s">
        <v>54</v>
      </c>
    </row>
    <row r="949" spans="1:13" x14ac:dyDescent="0.35">
      <c r="A949" s="123">
        <v>46041</v>
      </c>
      <c r="B949" s="39">
        <v>58</v>
      </c>
      <c r="C949" s="39">
        <v>5.48</v>
      </c>
      <c r="D949" s="39">
        <v>12601016</v>
      </c>
      <c r="E949" s="39" t="s">
        <v>501</v>
      </c>
      <c r="F949" s="39">
        <v>1230</v>
      </c>
      <c r="G949" s="35">
        <v>0.84652777777777777</v>
      </c>
      <c r="H949" s="35">
        <v>0.8569444444444444</v>
      </c>
      <c r="I949" s="36">
        <v>15</v>
      </c>
      <c r="J949" s="86" t="s">
        <v>52</v>
      </c>
      <c r="K949" s="116" t="s">
        <v>62</v>
      </c>
      <c r="L949" s="86" t="s">
        <v>130</v>
      </c>
      <c r="M949" s="47" t="s">
        <v>131</v>
      </c>
    </row>
    <row r="950" spans="1:13" x14ac:dyDescent="0.35">
      <c r="A950" s="123">
        <v>46041</v>
      </c>
      <c r="B950" s="39">
        <v>58</v>
      </c>
      <c r="C950" s="39">
        <v>5.48</v>
      </c>
      <c r="D950" s="45">
        <v>12601017</v>
      </c>
      <c r="E950" s="45" t="s">
        <v>173</v>
      </c>
      <c r="F950" s="45">
        <v>1230</v>
      </c>
      <c r="G950" s="35">
        <v>0.88958333333333328</v>
      </c>
      <c r="H950" s="35">
        <v>0.91666666666666663</v>
      </c>
      <c r="I950" s="36">
        <v>39</v>
      </c>
      <c r="J950" s="86" t="s">
        <v>35</v>
      </c>
      <c r="K950" s="116" t="s">
        <v>19</v>
      </c>
      <c r="L950" s="86" t="s">
        <v>481</v>
      </c>
      <c r="M950" s="49" t="s">
        <v>1039</v>
      </c>
    </row>
    <row r="951" spans="1:13" x14ac:dyDescent="0.35">
      <c r="A951" s="123">
        <v>46042</v>
      </c>
      <c r="B951" s="39">
        <v>57.78</v>
      </c>
      <c r="C951" s="39">
        <v>5.35</v>
      </c>
      <c r="D951" s="45">
        <v>12601017</v>
      </c>
      <c r="E951" s="45" t="s">
        <v>173</v>
      </c>
      <c r="F951" s="45">
        <v>1230</v>
      </c>
      <c r="G951" s="35">
        <v>0.91666666666666663</v>
      </c>
      <c r="H951" s="35">
        <v>0.95208333333333328</v>
      </c>
      <c r="I951" s="36">
        <v>51</v>
      </c>
      <c r="J951" s="86" t="s">
        <v>446</v>
      </c>
      <c r="K951" s="116" t="s">
        <v>19</v>
      </c>
      <c r="L951" s="86" t="s">
        <v>481</v>
      </c>
      <c r="M951" s="58" t="s">
        <v>1040</v>
      </c>
    </row>
    <row r="952" spans="1:13" x14ac:dyDescent="0.35">
      <c r="A952" s="123">
        <v>46042</v>
      </c>
      <c r="B952" s="39">
        <v>57.78</v>
      </c>
      <c r="C952" s="39">
        <v>5.35</v>
      </c>
      <c r="D952" s="45">
        <v>12601018</v>
      </c>
      <c r="E952" s="45" t="s">
        <v>160</v>
      </c>
      <c r="F952" s="45">
        <v>1250</v>
      </c>
      <c r="G952" s="35">
        <v>0.26041666666666669</v>
      </c>
      <c r="H952" s="35">
        <v>0.32083333333333336</v>
      </c>
      <c r="I952" s="36">
        <v>87</v>
      </c>
      <c r="J952" s="86" t="s">
        <v>25</v>
      </c>
      <c r="K952" s="116" t="s">
        <v>445</v>
      </c>
      <c r="L952" s="86" t="s">
        <v>456</v>
      </c>
      <c r="M952" s="92" t="s">
        <v>323</v>
      </c>
    </row>
    <row r="953" spans="1:13" x14ac:dyDescent="0.35">
      <c r="A953" s="122">
        <v>46043</v>
      </c>
      <c r="B953" s="45">
        <v>57.52</v>
      </c>
      <c r="C953" s="45">
        <v>5.51</v>
      </c>
      <c r="D953" s="45">
        <v>12601019</v>
      </c>
      <c r="E953" s="45" t="s">
        <v>80</v>
      </c>
      <c r="F953" s="45">
        <v>1250</v>
      </c>
      <c r="G953" s="35">
        <v>0.51597222222222228</v>
      </c>
      <c r="H953" s="35">
        <v>0.53194444444444444</v>
      </c>
      <c r="I953" s="36">
        <v>23</v>
      </c>
      <c r="J953" s="86" t="s">
        <v>51</v>
      </c>
      <c r="K953" s="86" t="s">
        <v>445</v>
      </c>
      <c r="L953" s="86" t="s">
        <v>53</v>
      </c>
      <c r="M953" s="58" t="s">
        <v>54</v>
      </c>
    </row>
    <row r="954" spans="1:13" x14ac:dyDescent="0.35">
      <c r="A954" s="123">
        <v>46044</v>
      </c>
      <c r="B954" s="39">
        <v>58</v>
      </c>
      <c r="C954" s="39">
        <v>5.28</v>
      </c>
      <c r="D954" s="39">
        <v>12601020</v>
      </c>
      <c r="E954" s="39" t="s">
        <v>101</v>
      </c>
      <c r="F954" s="39">
        <v>1250</v>
      </c>
      <c r="G954" s="35">
        <v>0.65763888888888888</v>
      </c>
      <c r="H954" s="35">
        <v>0.67847222222222225</v>
      </c>
      <c r="I954" s="36">
        <v>30</v>
      </c>
      <c r="J954" s="86" t="s">
        <v>51</v>
      </c>
      <c r="K954" s="86" t="s">
        <v>445</v>
      </c>
      <c r="L954" s="86" t="s">
        <v>53</v>
      </c>
      <c r="M954" s="58" t="s">
        <v>54</v>
      </c>
    </row>
    <row r="955" spans="1:13" x14ac:dyDescent="0.35">
      <c r="A955" s="123">
        <v>46044</v>
      </c>
      <c r="B955" s="39">
        <v>58</v>
      </c>
      <c r="C955" s="39">
        <v>5.28</v>
      </c>
      <c r="D955" s="39">
        <v>12601020</v>
      </c>
      <c r="E955" s="39" t="s">
        <v>101</v>
      </c>
      <c r="F955" s="39">
        <v>1250</v>
      </c>
      <c r="G955" s="35">
        <v>0.67847222222222225</v>
      </c>
      <c r="H955" s="35">
        <v>0.68333333333333335</v>
      </c>
      <c r="I955" s="36">
        <v>7</v>
      </c>
      <c r="J955" s="86" t="s">
        <v>52</v>
      </c>
      <c r="K955" s="116" t="s">
        <v>445</v>
      </c>
      <c r="L955" s="86" t="s">
        <v>59</v>
      </c>
      <c r="M955" s="58" t="s">
        <v>59</v>
      </c>
    </row>
    <row r="956" spans="1:13" x14ac:dyDescent="0.35">
      <c r="A956" s="123">
        <v>46044</v>
      </c>
      <c r="B956" s="39">
        <v>58</v>
      </c>
      <c r="C956" s="39">
        <v>5.28</v>
      </c>
      <c r="D956" s="39">
        <v>12601020</v>
      </c>
      <c r="E956" s="39" t="s">
        <v>101</v>
      </c>
      <c r="F956" s="39">
        <v>1250</v>
      </c>
      <c r="G956" s="35">
        <v>0.68333333333333335</v>
      </c>
      <c r="H956" s="35">
        <v>0.68888888888888888</v>
      </c>
      <c r="I956" s="36">
        <v>8</v>
      </c>
      <c r="J956" s="86" t="s">
        <v>52</v>
      </c>
      <c r="K956" s="116" t="s">
        <v>62</v>
      </c>
      <c r="L956" s="86" t="s">
        <v>130</v>
      </c>
      <c r="M956" s="58" t="s">
        <v>268</v>
      </c>
    </row>
    <row r="957" spans="1:13" x14ac:dyDescent="0.35">
      <c r="A957" s="122">
        <v>46046</v>
      </c>
      <c r="B957" s="45">
        <v>58</v>
      </c>
      <c r="C957" s="45">
        <v>5.28</v>
      </c>
      <c r="D957" s="45">
        <v>12601021</v>
      </c>
      <c r="E957" s="45" t="s">
        <v>496</v>
      </c>
      <c r="F957" s="45">
        <v>1260</v>
      </c>
      <c r="G957" s="35">
        <v>2.5694444444444443E-2</v>
      </c>
      <c r="H957" s="35">
        <v>4.4444444444444446E-2</v>
      </c>
      <c r="I957" s="36">
        <v>27</v>
      </c>
      <c r="J957" s="86" t="s">
        <v>51</v>
      </c>
      <c r="K957" s="86" t="s">
        <v>445</v>
      </c>
      <c r="L957" s="86" t="s">
        <v>53</v>
      </c>
      <c r="M957" s="58" t="s">
        <v>54</v>
      </c>
    </row>
    <row r="958" spans="1:13" x14ac:dyDescent="0.35">
      <c r="A958" s="123">
        <v>46047</v>
      </c>
      <c r="B958" s="39">
        <v>57.75</v>
      </c>
      <c r="C958" s="39">
        <v>5.37</v>
      </c>
      <c r="D958" s="39">
        <v>1601022</v>
      </c>
      <c r="E958" s="39" t="s">
        <v>104</v>
      </c>
      <c r="F958" s="39" t="s">
        <v>58</v>
      </c>
      <c r="G958" s="35">
        <v>0.41180555555555554</v>
      </c>
      <c r="H958" s="35">
        <v>0.43263888888888891</v>
      </c>
      <c r="I958" s="36">
        <v>30</v>
      </c>
      <c r="J958" s="86" t="s">
        <v>51</v>
      </c>
      <c r="K958" s="86" t="s">
        <v>445</v>
      </c>
      <c r="L958" s="86" t="s">
        <v>53</v>
      </c>
      <c r="M958" s="58" t="s">
        <v>54</v>
      </c>
    </row>
    <row r="959" spans="1:13" x14ac:dyDescent="0.35">
      <c r="A959" s="123">
        <v>46047</v>
      </c>
      <c r="B959" s="39">
        <v>57.75</v>
      </c>
      <c r="C959" s="39">
        <v>5.37</v>
      </c>
      <c r="D959" s="39">
        <v>1601022</v>
      </c>
      <c r="E959" s="39" t="s">
        <v>104</v>
      </c>
      <c r="F959" s="39" t="s">
        <v>58</v>
      </c>
      <c r="G959" s="35">
        <v>0.43263888888888891</v>
      </c>
      <c r="H959" s="35">
        <v>0.4375</v>
      </c>
      <c r="I959" s="36">
        <v>7</v>
      </c>
      <c r="J959" s="86" t="s">
        <v>52</v>
      </c>
      <c r="K959" s="116" t="s">
        <v>445</v>
      </c>
      <c r="L959" s="86" t="s">
        <v>59</v>
      </c>
      <c r="M959" s="58" t="s">
        <v>59</v>
      </c>
    </row>
    <row r="960" spans="1:13" x14ac:dyDescent="0.35">
      <c r="A960" s="123">
        <v>46047</v>
      </c>
      <c r="B960" s="39">
        <v>57.75</v>
      </c>
      <c r="C960" s="39">
        <v>5.37</v>
      </c>
      <c r="D960" s="39">
        <v>1601022</v>
      </c>
      <c r="E960" s="39" t="s">
        <v>104</v>
      </c>
      <c r="F960" s="39" t="s">
        <v>58</v>
      </c>
      <c r="G960" s="35">
        <v>0.4375</v>
      </c>
      <c r="H960" s="35">
        <v>0.44305555555555554</v>
      </c>
      <c r="I960" s="36">
        <v>8</v>
      </c>
      <c r="J960" s="86" t="s">
        <v>52</v>
      </c>
      <c r="K960" s="116" t="s">
        <v>62</v>
      </c>
      <c r="L960" s="86" t="s">
        <v>130</v>
      </c>
      <c r="M960" s="58" t="s">
        <v>250</v>
      </c>
    </row>
    <row r="961" spans="1:13" ht="23" customHeight="1" x14ac:dyDescent="0.35">
      <c r="A961" s="122">
        <v>46048</v>
      </c>
      <c r="B961" s="45">
        <v>58</v>
      </c>
      <c r="C961" s="45">
        <v>5.57</v>
      </c>
      <c r="D961" s="45">
        <v>12601023</v>
      </c>
      <c r="E961" s="45" t="s">
        <v>116</v>
      </c>
      <c r="F961" s="45" t="s">
        <v>1043</v>
      </c>
      <c r="G961" s="35">
        <v>0.61458333333333337</v>
      </c>
      <c r="H961" s="35">
        <v>0.62916666666666665</v>
      </c>
      <c r="I961" s="36">
        <v>21</v>
      </c>
      <c r="J961" s="86" t="s">
        <v>51</v>
      </c>
      <c r="K961" s="86" t="s">
        <v>445</v>
      </c>
      <c r="L961" s="86" t="s">
        <v>53</v>
      </c>
      <c r="M961" s="58" t="s">
        <v>54</v>
      </c>
    </row>
    <row r="962" spans="1:13" x14ac:dyDescent="0.35">
      <c r="A962" s="123">
        <v>46050</v>
      </c>
      <c r="B962" s="45">
        <v>58</v>
      </c>
      <c r="C962" s="45">
        <v>5.44</v>
      </c>
      <c r="D962" s="39">
        <v>12601024</v>
      </c>
      <c r="E962" s="39" t="s">
        <v>496</v>
      </c>
      <c r="F962" s="39" t="s">
        <v>1046</v>
      </c>
      <c r="G962" s="35">
        <v>0.93888888888888888</v>
      </c>
      <c r="H962" s="35">
        <v>0.95972222222222225</v>
      </c>
      <c r="I962" s="36">
        <v>30</v>
      </c>
      <c r="J962" s="86" t="s">
        <v>51</v>
      </c>
      <c r="K962" s="86" t="s">
        <v>445</v>
      </c>
      <c r="L962" s="86" t="s">
        <v>53</v>
      </c>
      <c r="M962" s="58" t="s">
        <v>54</v>
      </c>
    </row>
    <row r="963" spans="1:13" x14ac:dyDescent="0.35">
      <c r="A963" s="123">
        <v>46050</v>
      </c>
      <c r="B963" s="45">
        <v>58</v>
      </c>
      <c r="C963" s="45">
        <v>5.19</v>
      </c>
      <c r="D963" s="39">
        <v>12601024</v>
      </c>
      <c r="E963" s="39" t="s">
        <v>496</v>
      </c>
      <c r="F963" s="39" t="s">
        <v>1046</v>
      </c>
      <c r="G963" s="35">
        <v>0.95972222222222225</v>
      </c>
      <c r="H963" s="35">
        <v>0.98055555555555551</v>
      </c>
      <c r="I963" s="36">
        <v>30</v>
      </c>
      <c r="J963" s="86" t="s">
        <v>52</v>
      </c>
      <c r="K963" s="116" t="s">
        <v>445</v>
      </c>
      <c r="L963" s="86" t="s">
        <v>178</v>
      </c>
      <c r="M963" s="58" t="s">
        <v>1037</v>
      </c>
    </row>
    <row r="964" spans="1:13" x14ac:dyDescent="0.35">
      <c r="A964" s="122">
        <v>46051</v>
      </c>
      <c r="B964" s="45">
        <v>57.86</v>
      </c>
      <c r="C964" s="45">
        <v>5.41</v>
      </c>
      <c r="D964" s="45">
        <v>12601025</v>
      </c>
      <c r="E964" s="45" t="s">
        <v>141</v>
      </c>
      <c r="F964" s="45">
        <v>1230</v>
      </c>
      <c r="G964" s="35">
        <v>0.32569444444444445</v>
      </c>
      <c r="H964" s="35">
        <v>0.33958333333333335</v>
      </c>
      <c r="I964" s="36">
        <v>20</v>
      </c>
      <c r="J964" s="86" t="s">
        <v>51</v>
      </c>
      <c r="K964" s="86" t="s">
        <v>445</v>
      </c>
      <c r="L964" s="86" t="s">
        <v>53</v>
      </c>
      <c r="M964" s="58" t="s">
        <v>54</v>
      </c>
    </row>
    <row r="965" spans="1:13" x14ac:dyDescent="0.35">
      <c r="A965" s="123">
        <v>46052</v>
      </c>
      <c r="B965" s="39">
        <v>57</v>
      </c>
      <c r="C965" s="39">
        <v>5.35</v>
      </c>
      <c r="D965" s="39">
        <v>12601026</v>
      </c>
      <c r="E965" s="39" t="s">
        <v>496</v>
      </c>
      <c r="F965" s="39">
        <v>1260</v>
      </c>
      <c r="G965" s="35">
        <v>0.6791666666666667</v>
      </c>
      <c r="H965" s="35">
        <v>0.7</v>
      </c>
      <c r="I965" s="36">
        <v>30</v>
      </c>
      <c r="J965" s="86" t="s">
        <v>51</v>
      </c>
      <c r="K965" s="86" t="s">
        <v>445</v>
      </c>
      <c r="L965" s="86" t="s">
        <v>53</v>
      </c>
      <c r="M965" s="58" t="s">
        <v>54</v>
      </c>
    </row>
    <row r="966" spans="1:13" x14ac:dyDescent="0.35">
      <c r="A966" s="123">
        <v>46052</v>
      </c>
      <c r="B966" s="39">
        <v>57</v>
      </c>
      <c r="C966" s="39">
        <v>5.35</v>
      </c>
      <c r="D966" s="39">
        <v>12601026</v>
      </c>
      <c r="E966" s="39" t="s">
        <v>496</v>
      </c>
      <c r="F966" s="39">
        <v>1260</v>
      </c>
      <c r="G966" s="35">
        <v>0.7</v>
      </c>
      <c r="H966" s="35">
        <v>0.70486111111111116</v>
      </c>
      <c r="I966" s="36">
        <v>7</v>
      </c>
      <c r="J966" s="86" t="s">
        <v>52</v>
      </c>
      <c r="K966" s="116" t="s">
        <v>445</v>
      </c>
      <c r="L966" s="86" t="s">
        <v>59</v>
      </c>
      <c r="M966" s="58" t="s">
        <v>59</v>
      </c>
    </row>
    <row r="967" spans="1:13" x14ac:dyDescent="0.35">
      <c r="A967" s="123">
        <v>46052</v>
      </c>
      <c r="B967" s="39">
        <v>57</v>
      </c>
      <c r="C967" s="39">
        <v>5.35</v>
      </c>
      <c r="D967" s="39">
        <v>12601026</v>
      </c>
      <c r="E967" s="39" t="s">
        <v>496</v>
      </c>
      <c r="F967" s="39">
        <v>1260</v>
      </c>
      <c r="G967" s="35">
        <v>0.70486111111111116</v>
      </c>
      <c r="H967" s="35">
        <v>0.7104166666666667</v>
      </c>
      <c r="I967" s="36">
        <v>8</v>
      </c>
      <c r="J967" s="86" t="s">
        <v>52</v>
      </c>
      <c r="K967" s="116" t="s">
        <v>62</v>
      </c>
      <c r="L967" s="86" t="s">
        <v>130</v>
      </c>
      <c r="M967" s="58" t="s">
        <v>147</v>
      </c>
    </row>
    <row r="968" spans="1:13" x14ac:dyDescent="0.35">
      <c r="A968" s="123">
        <v>46054</v>
      </c>
      <c r="B968" s="45">
        <v>58</v>
      </c>
      <c r="C968" s="45">
        <v>5.48</v>
      </c>
      <c r="D968" s="45">
        <v>12601027</v>
      </c>
      <c r="E968" s="45" t="s">
        <v>57</v>
      </c>
      <c r="F968" s="45" t="s">
        <v>88</v>
      </c>
      <c r="G968" s="35">
        <v>0.95277777777777772</v>
      </c>
      <c r="H968" s="35">
        <v>0.96388888888888891</v>
      </c>
      <c r="I968" s="36">
        <v>16</v>
      </c>
      <c r="J968" s="164" t="s">
        <v>51</v>
      </c>
      <c r="K968" s="164" t="s">
        <v>445</v>
      </c>
      <c r="L968" s="164" t="s">
        <v>53</v>
      </c>
      <c r="M968" s="165" t="s">
        <v>54</v>
      </c>
    </row>
    <row r="969" spans="1:13" x14ac:dyDescent="0.35">
      <c r="A969" s="123">
        <v>46055</v>
      </c>
      <c r="B969" s="39">
        <v>57.57</v>
      </c>
      <c r="C969" s="39">
        <v>5.35</v>
      </c>
      <c r="D969" s="39">
        <v>12602001</v>
      </c>
      <c r="E969" s="39" t="s">
        <v>80</v>
      </c>
      <c r="F969" s="39">
        <v>1232</v>
      </c>
      <c r="G969" s="35">
        <v>0.13402777777777777</v>
      </c>
      <c r="H969" s="35">
        <v>0.15486111111111112</v>
      </c>
      <c r="I969" s="36">
        <v>30</v>
      </c>
      <c r="J969" s="164" t="s">
        <v>51</v>
      </c>
      <c r="K969" s="164" t="s">
        <v>445</v>
      </c>
      <c r="L969" s="164" t="s">
        <v>53</v>
      </c>
      <c r="M969" s="47" t="s">
        <v>54</v>
      </c>
    </row>
    <row r="970" spans="1:13" x14ac:dyDescent="0.35">
      <c r="A970" s="123">
        <v>46055</v>
      </c>
      <c r="B970" s="39">
        <v>57.57</v>
      </c>
      <c r="C970" s="39">
        <v>5.35</v>
      </c>
      <c r="D970" s="39">
        <v>12602001</v>
      </c>
      <c r="E970" s="39" t="s">
        <v>80</v>
      </c>
      <c r="F970" s="39">
        <v>1232</v>
      </c>
      <c r="G970" s="35">
        <v>0.15486111111111112</v>
      </c>
      <c r="H970" s="35">
        <v>0.16319444444444445</v>
      </c>
      <c r="I970" s="36">
        <v>12</v>
      </c>
      <c r="J970" s="86" t="s">
        <v>52</v>
      </c>
      <c r="K970" s="116" t="s">
        <v>445</v>
      </c>
      <c r="L970" s="86" t="s">
        <v>59</v>
      </c>
      <c r="M970" s="47" t="s">
        <v>59</v>
      </c>
    </row>
    <row r="971" spans="1:13" x14ac:dyDescent="0.35">
      <c r="A971" s="123">
        <v>46055</v>
      </c>
      <c r="B971" s="39">
        <v>57.57</v>
      </c>
      <c r="C971" s="39">
        <v>5.35</v>
      </c>
      <c r="D971" s="45">
        <v>12602002</v>
      </c>
      <c r="E971" s="45" t="s">
        <v>24</v>
      </c>
      <c r="F971" s="45">
        <v>1170</v>
      </c>
      <c r="G971" s="35">
        <v>0.40416666666666667</v>
      </c>
      <c r="H971" s="35">
        <v>0.49305555555555558</v>
      </c>
      <c r="I971" s="36">
        <v>128</v>
      </c>
      <c r="J971" s="86" t="s">
        <v>25</v>
      </c>
      <c r="K971" s="116" t="s">
        <v>445</v>
      </c>
      <c r="L971" s="86" t="s">
        <v>456</v>
      </c>
      <c r="M971" s="60" t="s">
        <v>1049</v>
      </c>
    </row>
    <row r="972" spans="1:13" x14ac:dyDescent="0.35">
      <c r="A972" s="123">
        <v>46056</v>
      </c>
      <c r="B972" s="39">
        <v>58</v>
      </c>
      <c r="C972" s="39">
        <v>4.93</v>
      </c>
      <c r="D972" s="39">
        <v>12602003</v>
      </c>
      <c r="E972" s="39" t="s">
        <v>57</v>
      </c>
      <c r="F972" s="39">
        <v>1250</v>
      </c>
      <c r="G972" s="35">
        <v>0.73750000000000004</v>
      </c>
      <c r="H972" s="35">
        <v>0.7583333333333333</v>
      </c>
      <c r="I972" s="36">
        <v>30</v>
      </c>
      <c r="J972" s="164" t="s">
        <v>51</v>
      </c>
      <c r="K972" s="164" t="s">
        <v>445</v>
      </c>
      <c r="L972" s="164" t="s">
        <v>53</v>
      </c>
      <c r="M972" s="58" t="s">
        <v>54</v>
      </c>
    </row>
    <row r="973" spans="1:13" x14ac:dyDescent="0.35">
      <c r="A973" s="123">
        <v>46056</v>
      </c>
      <c r="B973" s="39">
        <v>58</v>
      </c>
      <c r="C973" s="39">
        <v>4.93</v>
      </c>
      <c r="D973" s="39">
        <v>12602003</v>
      </c>
      <c r="E973" s="39" t="s">
        <v>57</v>
      </c>
      <c r="F973" s="39">
        <v>1250</v>
      </c>
      <c r="G973" s="35">
        <v>0.7583333333333333</v>
      </c>
      <c r="H973" s="35">
        <v>0.76875000000000004</v>
      </c>
      <c r="I973" s="36">
        <v>15</v>
      </c>
      <c r="J973" s="86" t="s">
        <v>446</v>
      </c>
      <c r="K973" s="116" t="s">
        <v>26</v>
      </c>
      <c r="L973" s="58" t="s">
        <v>1051</v>
      </c>
      <c r="M973" s="58" t="s">
        <v>1051</v>
      </c>
    </row>
    <row r="974" spans="1:13" x14ac:dyDescent="0.35">
      <c r="A974" s="122">
        <v>46057</v>
      </c>
      <c r="B974" s="45">
        <v>57.91</v>
      </c>
      <c r="C974" s="45">
        <v>5.65</v>
      </c>
      <c r="D974" s="45">
        <v>12602004</v>
      </c>
      <c r="E974" s="45" t="s">
        <v>80</v>
      </c>
      <c r="F974" s="45">
        <v>1260</v>
      </c>
      <c r="G974" s="35">
        <v>0.91666666666666663</v>
      </c>
      <c r="H974" s="81">
        <v>0.91666666666666663</v>
      </c>
      <c r="I974" s="84">
        <v>0</v>
      </c>
      <c r="M974" s="58" t="s">
        <v>656</v>
      </c>
    </row>
    <row r="975" spans="1:13" x14ac:dyDescent="0.35">
      <c r="A975" s="123">
        <v>46058</v>
      </c>
      <c r="B975" s="45">
        <v>57.91</v>
      </c>
      <c r="C975" s="45">
        <v>5.65</v>
      </c>
      <c r="D975" s="39">
        <v>12602004</v>
      </c>
      <c r="E975" s="39" t="s">
        <v>72</v>
      </c>
      <c r="F975" s="39">
        <v>1260</v>
      </c>
      <c r="G975" s="35">
        <v>3.472222222222222E-3</v>
      </c>
      <c r="H975" s="35">
        <v>2.4305555555555556E-2</v>
      </c>
      <c r="I975" s="36">
        <v>30</v>
      </c>
      <c r="J975" s="164" t="s">
        <v>51</v>
      </c>
      <c r="K975" s="164" t="s">
        <v>445</v>
      </c>
      <c r="L975" s="164" t="s">
        <v>53</v>
      </c>
      <c r="M975" s="58" t="s">
        <v>54</v>
      </c>
    </row>
    <row r="976" spans="1:13" x14ac:dyDescent="0.35">
      <c r="A976" s="123">
        <v>46058</v>
      </c>
      <c r="B976" s="39">
        <v>58</v>
      </c>
      <c r="C976" s="39">
        <v>5.34</v>
      </c>
      <c r="D976" s="39">
        <v>12602004</v>
      </c>
      <c r="E976" s="39" t="s">
        <v>72</v>
      </c>
      <c r="F976" s="39">
        <v>1260</v>
      </c>
      <c r="G976" s="35">
        <v>2.4305555555555556E-2</v>
      </c>
      <c r="H976" s="35">
        <v>3.4722222222222224E-2</v>
      </c>
      <c r="I976" s="36">
        <v>15</v>
      </c>
      <c r="J976" s="86" t="s">
        <v>52</v>
      </c>
      <c r="K976" s="116" t="s">
        <v>445</v>
      </c>
      <c r="L976" s="86" t="s">
        <v>59</v>
      </c>
      <c r="M976" s="58" t="s">
        <v>59</v>
      </c>
    </row>
    <row r="977" spans="1:13" x14ac:dyDescent="0.35">
      <c r="A977" s="123">
        <v>46058</v>
      </c>
      <c r="B977" s="39">
        <v>58</v>
      </c>
      <c r="C977" s="39">
        <v>5.34</v>
      </c>
      <c r="D977" s="45">
        <v>12602005</v>
      </c>
      <c r="E977" s="45" t="s">
        <v>452</v>
      </c>
      <c r="F977" s="45">
        <v>1230</v>
      </c>
      <c r="G977" s="35">
        <v>0.56388888888888888</v>
      </c>
      <c r="H977" s="35">
        <v>0.62083333333333335</v>
      </c>
      <c r="I977" s="36">
        <v>82</v>
      </c>
      <c r="J977" s="86" t="s">
        <v>35</v>
      </c>
      <c r="K977" s="116" t="s">
        <v>62</v>
      </c>
      <c r="L977" s="86" t="s">
        <v>1053</v>
      </c>
      <c r="M977" s="62" t="s">
        <v>1054</v>
      </c>
    </row>
    <row r="978" spans="1:13" x14ac:dyDescent="0.35">
      <c r="A978" s="122">
        <v>46059</v>
      </c>
      <c r="B978" s="45">
        <v>58</v>
      </c>
      <c r="C978" s="45">
        <v>5.36</v>
      </c>
      <c r="D978" s="45">
        <v>12602006</v>
      </c>
      <c r="E978" s="45" t="s">
        <v>119</v>
      </c>
      <c r="F978" s="45">
        <v>1240</v>
      </c>
      <c r="G978" s="35">
        <v>0.85347222222222219</v>
      </c>
      <c r="H978" s="35">
        <v>0.86805555555555558</v>
      </c>
      <c r="I978" s="36">
        <v>21</v>
      </c>
      <c r="J978" s="164" t="s">
        <v>51</v>
      </c>
      <c r="K978" s="164" t="s">
        <v>445</v>
      </c>
      <c r="L978" s="164" t="s">
        <v>53</v>
      </c>
      <c r="M978" s="86" t="s">
        <v>54</v>
      </c>
    </row>
    <row r="979" spans="1:13" x14ac:dyDescent="0.35">
      <c r="A979" s="122">
        <v>46060</v>
      </c>
      <c r="B979" s="45">
        <v>58</v>
      </c>
      <c r="C979" s="45">
        <v>5.27</v>
      </c>
      <c r="D979" s="45">
        <v>12602007</v>
      </c>
      <c r="E979" s="45" t="s">
        <v>34</v>
      </c>
      <c r="F979" s="45">
        <v>1260</v>
      </c>
      <c r="G979" s="35">
        <v>0.95486111111111116</v>
      </c>
      <c r="H979" s="35">
        <v>0.31319444444444444</v>
      </c>
      <c r="I979" s="36">
        <v>516</v>
      </c>
      <c r="J979" s="86" t="s">
        <v>35</v>
      </c>
      <c r="K979" s="116" t="s">
        <v>62</v>
      </c>
      <c r="L979" s="86" t="s">
        <v>1055</v>
      </c>
      <c r="M979" s="49" t="s">
        <v>1056</v>
      </c>
    </row>
    <row r="980" spans="1:13" x14ac:dyDescent="0.35">
      <c r="A980" s="123">
        <v>46061</v>
      </c>
      <c r="B980" s="39">
        <v>56.82</v>
      </c>
      <c r="C980" s="39">
        <v>5.63</v>
      </c>
      <c r="D980" s="39">
        <v>12602008</v>
      </c>
      <c r="E980" s="39" t="s">
        <v>98</v>
      </c>
      <c r="F980" s="39" t="s">
        <v>1057</v>
      </c>
      <c r="G980" s="35">
        <v>0.20624999999999999</v>
      </c>
      <c r="H980" s="35">
        <v>0.22708333333333333</v>
      </c>
      <c r="I980" s="36">
        <v>30</v>
      </c>
      <c r="J980" s="164" t="s">
        <v>51</v>
      </c>
      <c r="K980" s="164" t="s">
        <v>445</v>
      </c>
      <c r="L980" s="164" t="s">
        <v>53</v>
      </c>
      <c r="M980" s="47" t="s">
        <v>54</v>
      </c>
    </row>
    <row r="981" spans="1:13" x14ac:dyDescent="0.35">
      <c r="A981" s="123">
        <v>46061</v>
      </c>
      <c r="B981" s="39">
        <v>56.82</v>
      </c>
      <c r="C981" s="39">
        <v>5.63</v>
      </c>
      <c r="D981" s="39">
        <v>12602008</v>
      </c>
      <c r="E981" s="39" t="s">
        <v>98</v>
      </c>
      <c r="F981" s="39" t="s">
        <v>1057</v>
      </c>
      <c r="G981" s="35">
        <v>0.22708333333333333</v>
      </c>
      <c r="H981" s="35">
        <v>0.23541666666666666</v>
      </c>
      <c r="I981" s="36">
        <v>12</v>
      </c>
      <c r="J981" s="86" t="s">
        <v>52</v>
      </c>
      <c r="K981" s="116" t="s">
        <v>445</v>
      </c>
      <c r="L981" s="86" t="s">
        <v>59</v>
      </c>
      <c r="M981" s="47" t="s">
        <v>59</v>
      </c>
    </row>
    <row r="982" spans="1:13" x14ac:dyDescent="0.35">
      <c r="A982" s="122">
        <v>46062</v>
      </c>
      <c r="B982" s="45">
        <v>56.93</v>
      </c>
      <c r="C982" s="45">
        <v>5.45</v>
      </c>
      <c r="D982" s="45">
        <v>12602009</v>
      </c>
      <c r="E982" s="45" t="s">
        <v>141</v>
      </c>
      <c r="F982" s="45">
        <v>1350</v>
      </c>
      <c r="G982" s="35">
        <v>0.45624999999999999</v>
      </c>
      <c r="H982" s="35">
        <v>0.47430555555555554</v>
      </c>
      <c r="I982" s="36">
        <v>26</v>
      </c>
      <c r="J982" s="86" t="s">
        <v>51</v>
      </c>
      <c r="K982" s="116" t="s">
        <v>445</v>
      </c>
      <c r="L982" s="86" t="s">
        <v>53</v>
      </c>
      <c r="M982" s="58" t="s">
        <v>54</v>
      </c>
    </row>
    <row r="983" spans="1:13" x14ac:dyDescent="0.35">
      <c r="A983" s="123">
        <v>46063</v>
      </c>
      <c r="B983" s="39">
        <v>57.75</v>
      </c>
      <c r="C983" s="39">
        <v>5.27</v>
      </c>
      <c r="D983" s="39">
        <v>12602010</v>
      </c>
      <c r="E983" s="39" t="s">
        <v>104</v>
      </c>
      <c r="F983" s="39">
        <v>1250</v>
      </c>
      <c r="G983" s="35">
        <v>0.79513888888888884</v>
      </c>
      <c r="H983" s="35">
        <v>0.81597222222222221</v>
      </c>
      <c r="I983" s="36">
        <v>30</v>
      </c>
      <c r="J983" s="164" t="s">
        <v>51</v>
      </c>
      <c r="K983" s="164" t="s">
        <v>445</v>
      </c>
      <c r="L983" s="164" t="s">
        <v>53</v>
      </c>
      <c r="M983" s="58" t="s">
        <v>54</v>
      </c>
    </row>
    <row r="984" spans="1:13" x14ac:dyDescent="0.35">
      <c r="A984" s="123">
        <v>46063</v>
      </c>
      <c r="B984" s="39">
        <v>57.75</v>
      </c>
      <c r="C984" s="39">
        <v>5.27</v>
      </c>
      <c r="D984" s="39">
        <v>12602010</v>
      </c>
      <c r="E984" s="39" t="s">
        <v>104</v>
      </c>
      <c r="F984" s="39">
        <v>1250</v>
      </c>
      <c r="G984" s="35">
        <v>0.81597222222222221</v>
      </c>
      <c r="H984" s="35">
        <v>0.82638888888888884</v>
      </c>
      <c r="I984" s="36">
        <v>15</v>
      </c>
      <c r="J984" s="86" t="s">
        <v>52</v>
      </c>
      <c r="K984" s="116" t="s">
        <v>445</v>
      </c>
      <c r="L984" s="86" t="s">
        <v>59</v>
      </c>
      <c r="M984" s="58" t="s">
        <v>59</v>
      </c>
    </row>
    <row r="985" spans="1:13" x14ac:dyDescent="0.35">
      <c r="A985" s="122">
        <v>46064</v>
      </c>
      <c r="B985" s="45">
        <v>58</v>
      </c>
      <c r="C985" s="45">
        <v>5.51</v>
      </c>
      <c r="D985" s="45">
        <v>12602011</v>
      </c>
      <c r="E985" s="45" t="s">
        <v>13</v>
      </c>
      <c r="F985" s="45">
        <v>1260</v>
      </c>
      <c r="G985" s="35">
        <v>0.72222222222222221</v>
      </c>
      <c r="H985" s="35">
        <v>0.78333333333333333</v>
      </c>
      <c r="I985" s="36">
        <v>88</v>
      </c>
      <c r="J985" s="86" t="s">
        <v>35</v>
      </c>
      <c r="K985" s="116" t="s">
        <v>19</v>
      </c>
      <c r="L985" s="49" t="s">
        <v>1062</v>
      </c>
      <c r="M985" s="49" t="s">
        <v>1062</v>
      </c>
    </row>
    <row r="986" spans="1:13" x14ac:dyDescent="0.35">
      <c r="A986" s="123">
        <v>46066</v>
      </c>
      <c r="B986" s="45">
        <v>58</v>
      </c>
      <c r="C986" s="45">
        <v>5.52</v>
      </c>
      <c r="D986" s="39">
        <v>12602012</v>
      </c>
      <c r="E986" s="39" t="s">
        <v>501</v>
      </c>
      <c r="F986" s="39" t="s">
        <v>458</v>
      </c>
      <c r="G986" s="35">
        <v>0.10972222222222222</v>
      </c>
      <c r="H986" s="35">
        <v>0.13055555555555556</v>
      </c>
      <c r="I986" s="36">
        <v>30</v>
      </c>
      <c r="J986" s="164" t="s">
        <v>51</v>
      </c>
      <c r="K986" s="164" t="s">
        <v>445</v>
      </c>
      <c r="L986" s="164" t="s">
        <v>53</v>
      </c>
      <c r="M986" s="95" t="s">
        <v>54</v>
      </c>
    </row>
    <row r="987" spans="1:13" x14ac:dyDescent="0.35">
      <c r="A987" s="123">
        <v>46066</v>
      </c>
      <c r="B987" s="39">
        <v>58</v>
      </c>
      <c r="C987" s="39">
        <v>5.35</v>
      </c>
      <c r="D987" s="39">
        <v>12602012</v>
      </c>
      <c r="E987" s="39" t="s">
        <v>501</v>
      </c>
      <c r="F987" s="39" t="s">
        <v>458</v>
      </c>
      <c r="G987" s="35">
        <v>0.13055555555555556</v>
      </c>
      <c r="H987" s="35">
        <v>0.14791666666666667</v>
      </c>
      <c r="I987" s="36">
        <v>25</v>
      </c>
      <c r="J987" s="86" t="s">
        <v>52</v>
      </c>
      <c r="K987" s="116" t="s">
        <v>445</v>
      </c>
      <c r="L987" s="86" t="s">
        <v>178</v>
      </c>
      <c r="M987" s="47" t="s">
        <v>1050</v>
      </c>
    </row>
    <row r="988" spans="1:13" x14ac:dyDescent="0.35">
      <c r="A988" s="123">
        <v>46066</v>
      </c>
      <c r="B988" s="39">
        <v>58</v>
      </c>
      <c r="C988" s="39">
        <v>5.35</v>
      </c>
      <c r="D988" s="45">
        <v>12602013</v>
      </c>
      <c r="E988" s="45" t="s">
        <v>313</v>
      </c>
      <c r="F988" s="45">
        <v>1255</v>
      </c>
      <c r="G988" s="35">
        <v>0.84722222222222221</v>
      </c>
      <c r="H988" s="35">
        <v>0.875</v>
      </c>
      <c r="I988" s="36">
        <v>40</v>
      </c>
      <c r="J988" s="86" t="s">
        <v>463</v>
      </c>
      <c r="K988" s="116" t="s">
        <v>445</v>
      </c>
      <c r="L988" s="97" t="s">
        <v>1041</v>
      </c>
      <c r="M988" s="97" t="s">
        <v>1041</v>
      </c>
    </row>
    <row r="989" spans="1:13" x14ac:dyDescent="0.35">
      <c r="A989" s="126">
        <v>46068</v>
      </c>
      <c r="B989" s="45">
        <v>58</v>
      </c>
      <c r="C989" s="45">
        <v>5.54</v>
      </c>
      <c r="D989" s="45">
        <v>12602014</v>
      </c>
      <c r="E989" s="45" t="s">
        <v>501</v>
      </c>
      <c r="F989" s="45">
        <v>1255</v>
      </c>
      <c r="G989" s="35">
        <v>0.22569444444444445</v>
      </c>
      <c r="H989" s="35">
        <v>0.24097222222222223</v>
      </c>
      <c r="I989" s="36">
        <v>22</v>
      </c>
      <c r="J989" s="164" t="s">
        <v>51</v>
      </c>
      <c r="K989" s="164" t="s">
        <v>445</v>
      </c>
      <c r="L989" s="164" t="s">
        <v>53</v>
      </c>
      <c r="M989" s="95" t="s">
        <v>54</v>
      </c>
    </row>
    <row r="990" spans="1:13" x14ac:dyDescent="0.35">
      <c r="A990" s="123">
        <v>46069</v>
      </c>
      <c r="B990" s="45">
        <v>58</v>
      </c>
      <c r="C990" s="45">
        <v>5.35</v>
      </c>
      <c r="D990" s="39">
        <v>12602015</v>
      </c>
      <c r="E990" s="39" t="s">
        <v>57</v>
      </c>
      <c r="F990" s="39">
        <v>1230</v>
      </c>
      <c r="G990" s="35">
        <v>0.44791666666666669</v>
      </c>
      <c r="H990" s="35">
        <v>0.46875</v>
      </c>
      <c r="I990" s="36">
        <v>30</v>
      </c>
      <c r="J990" s="164" t="s">
        <v>51</v>
      </c>
      <c r="K990" s="164" t="s">
        <v>445</v>
      </c>
      <c r="L990" s="164" t="s">
        <v>53</v>
      </c>
      <c r="M990" s="47" t="s">
        <v>54</v>
      </c>
    </row>
    <row r="991" spans="1:13" x14ac:dyDescent="0.35">
      <c r="A991" s="123">
        <v>46069</v>
      </c>
      <c r="B991" s="39">
        <v>58</v>
      </c>
      <c r="C991" s="39">
        <v>5.36</v>
      </c>
      <c r="D991" s="39">
        <v>12602015</v>
      </c>
      <c r="E991" s="39" t="s">
        <v>57</v>
      </c>
      <c r="F991" s="39">
        <v>1230</v>
      </c>
      <c r="G991" s="35">
        <v>0.46875</v>
      </c>
      <c r="H991" s="35">
        <v>0.47361111111111109</v>
      </c>
      <c r="I991" s="36">
        <v>7</v>
      </c>
      <c r="J991" s="86" t="s">
        <v>52</v>
      </c>
      <c r="K991" s="116" t="s">
        <v>445</v>
      </c>
      <c r="L991" s="86" t="s">
        <v>59</v>
      </c>
      <c r="M991" s="47" t="s">
        <v>59</v>
      </c>
    </row>
    <row r="992" spans="1:13" x14ac:dyDescent="0.35">
      <c r="A992" s="123">
        <v>46069</v>
      </c>
      <c r="B992" s="39">
        <v>58</v>
      </c>
      <c r="C992" s="39">
        <v>5.36</v>
      </c>
      <c r="D992" s="39">
        <v>12602015</v>
      </c>
      <c r="E992" s="39" t="s">
        <v>57</v>
      </c>
      <c r="F992" s="39">
        <v>1230</v>
      </c>
      <c r="G992" s="35">
        <v>0.47361111111111109</v>
      </c>
      <c r="H992" s="35">
        <v>0.47916666666666669</v>
      </c>
      <c r="I992" s="36">
        <v>8</v>
      </c>
      <c r="J992" s="86" t="s">
        <v>52</v>
      </c>
      <c r="K992" s="116" t="s">
        <v>62</v>
      </c>
      <c r="L992" s="86" t="s">
        <v>130</v>
      </c>
      <c r="M992" s="47" t="s">
        <v>268</v>
      </c>
    </row>
    <row r="993" spans="1:13" ht="23" x14ac:dyDescent="0.35">
      <c r="A993" s="126">
        <v>46070</v>
      </c>
      <c r="B993" s="45">
        <v>58</v>
      </c>
      <c r="C993" s="45">
        <v>5.2</v>
      </c>
      <c r="D993" s="45">
        <v>12602016</v>
      </c>
      <c r="E993" s="45" t="s">
        <v>72</v>
      </c>
      <c r="F993" s="45" t="s">
        <v>1043</v>
      </c>
      <c r="G993" s="35">
        <v>0.77569444444444446</v>
      </c>
      <c r="H993" s="35">
        <v>0.79027777777777775</v>
      </c>
      <c r="I993" s="36">
        <v>21</v>
      </c>
      <c r="J993" s="164" t="s">
        <v>51</v>
      </c>
      <c r="K993" s="164" t="s">
        <v>445</v>
      </c>
      <c r="L993" s="164" t="s">
        <v>53</v>
      </c>
      <c r="M993" s="58" t="s">
        <v>54</v>
      </c>
    </row>
    <row r="994" spans="1:13" x14ac:dyDescent="0.35">
      <c r="A994" s="123">
        <v>46071</v>
      </c>
      <c r="B994" s="39">
        <v>58</v>
      </c>
      <c r="C994" s="39">
        <v>5.15</v>
      </c>
      <c r="D994" s="39">
        <v>12602017</v>
      </c>
      <c r="E994" s="39" t="s">
        <v>76</v>
      </c>
      <c r="F994" s="39">
        <v>1260</v>
      </c>
      <c r="G994" s="35">
        <v>0.43402777777777779</v>
      </c>
      <c r="H994" s="35">
        <v>0.51736111111111116</v>
      </c>
      <c r="I994" s="36">
        <v>120</v>
      </c>
      <c r="J994" s="86" t="s">
        <v>448</v>
      </c>
      <c r="K994" s="116" t="s">
        <v>15</v>
      </c>
      <c r="L994" s="86" t="s">
        <v>448</v>
      </c>
      <c r="M994" s="58" t="s">
        <v>17</v>
      </c>
    </row>
    <row r="995" spans="1:13" x14ac:dyDescent="0.35">
      <c r="A995" s="123">
        <v>46071</v>
      </c>
      <c r="B995" s="39">
        <v>58</v>
      </c>
      <c r="C995" s="39">
        <v>5.15</v>
      </c>
      <c r="D995" s="39">
        <v>12602017</v>
      </c>
      <c r="E995" s="39" t="s">
        <v>76</v>
      </c>
      <c r="F995" s="39">
        <v>1260</v>
      </c>
      <c r="G995" s="35">
        <v>0.51736111111111116</v>
      </c>
      <c r="H995" s="35">
        <v>0.55069444444444449</v>
      </c>
      <c r="I995" s="36">
        <v>48</v>
      </c>
      <c r="J995" s="86" t="s">
        <v>446</v>
      </c>
      <c r="K995" s="116" t="s">
        <v>41</v>
      </c>
      <c r="L995" s="58" t="s">
        <v>1064</v>
      </c>
      <c r="M995" s="58" t="s">
        <v>1064</v>
      </c>
    </row>
    <row r="996" spans="1:13" x14ac:dyDescent="0.35">
      <c r="A996" s="126">
        <v>46072</v>
      </c>
      <c r="B996" s="45">
        <v>58</v>
      </c>
      <c r="C996" s="45">
        <v>5.15</v>
      </c>
      <c r="D996" s="45">
        <v>12602018</v>
      </c>
      <c r="E996" s="45" t="s">
        <v>119</v>
      </c>
      <c r="F996" s="45">
        <v>1230</v>
      </c>
      <c r="G996" s="35">
        <v>0.77777777777777779</v>
      </c>
      <c r="H996" s="35">
        <v>0.79861111111111116</v>
      </c>
      <c r="I996" s="36">
        <v>30</v>
      </c>
      <c r="J996" s="164" t="s">
        <v>51</v>
      </c>
      <c r="K996" s="164" t="s">
        <v>445</v>
      </c>
      <c r="L996" s="164" t="s">
        <v>53</v>
      </c>
      <c r="M996" s="58" t="s">
        <v>54</v>
      </c>
    </row>
    <row r="997" spans="1:13" x14ac:dyDescent="0.35">
      <c r="A997" s="123">
        <v>46073</v>
      </c>
      <c r="B997" s="39">
        <v>57.95</v>
      </c>
      <c r="C997" s="39">
        <v>5.34</v>
      </c>
      <c r="D997" s="39">
        <v>12602019</v>
      </c>
      <c r="E997" s="39" t="s">
        <v>341</v>
      </c>
      <c r="F997" s="39">
        <v>1260</v>
      </c>
      <c r="G997" s="35">
        <v>0.18402777777777779</v>
      </c>
      <c r="H997" s="35">
        <v>0.2326388888888889</v>
      </c>
      <c r="I997" s="36">
        <v>70</v>
      </c>
      <c r="J997" s="86" t="s">
        <v>35</v>
      </c>
      <c r="K997" s="116" t="s">
        <v>19</v>
      </c>
      <c r="L997" s="86"/>
      <c r="M997" s="62" t="s">
        <v>1070</v>
      </c>
    </row>
    <row r="998" spans="1:13" x14ac:dyDescent="0.35">
      <c r="A998" s="123">
        <v>46073</v>
      </c>
      <c r="B998" s="39">
        <v>57.95</v>
      </c>
      <c r="C998" s="39">
        <v>5.34</v>
      </c>
      <c r="D998" s="39">
        <v>12602019</v>
      </c>
      <c r="E998" s="39" t="s">
        <v>341</v>
      </c>
      <c r="F998" s="39">
        <v>1260</v>
      </c>
      <c r="G998" s="35">
        <v>0.2326388888888889</v>
      </c>
      <c r="H998" s="35">
        <v>0.23541666666666666</v>
      </c>
      <c r="I998" s="36">
        <v>4</v>
      </c>
      <c r="J998" s="86" t="s">
        <v>446</v>
      </c>
      <c r="K998" s="116" t="s">
        <v>445</v>
      </c>
      <c r="L998" s="86" t="s">
        <v>74</v>
      </c>
      <c r="M998" s="58" t="s">
        <v>74</v>
      </c>
    </row>
    <row r="999" spans="1:13" x14ac:dyDescent="0.35">
      <c r="A999" s="123">
        <v>46074</v>
      </c>
      <c r="B999" s="39">
        <v>58</v>
      </c>
      <c r="C999" s="39">
        <v>5.33</v>
      </c>
      <c r="D999" s="45">
        <v>12602020</v>
      </c>
      <c r="E999" s="160" t="s">
        <v>57</v>
      </c>
      <c r="F999" s="45" t="s">
        <v>614</v>
      </c>
      <c r="G999" s="35">
        <v>0.47222222222222221</v>
      </c>
      <c r="H999" s="35">
        <v>0.49305555555555558</v>
      </c>
      <c r="I999" s="36">
        <v>30</v>
      </c>
      <c r="J999" s="164" t="s">
        <v>51</v>
      </c>
      <c r="K999" s="164" t="s">
        <v>445</v>
      </c>
      <c r="L999" s="164" t="s">
        <v>53</v>
      </c>
      <c r="M999" s="47" t="s">
        <v>54</v>
      </c>
    </row>
    <row r="1000" spans="1:13" x14ac:dyDescent="0.35">
      <c r="A1000" s="123">
        <v>46074</v>
      </c>
      <c r="B1000" s="39">
        <v>58</v>
      </c>
      <c r="C1000" s="39">
        <v>5.33</v>
      </c>
      <c r="D1000" s="39">
        <v>12602021</v>
      </c>
      <c r="E1000" s="39" t="s">
        <v>38</v>
      </c>
      <c r="F1000" s="39">
        <v>1230</v>
      </c>
      <c r="G1000" s="35">
        <v>0.71875</v>
      </c>
      <c r="H1000" s="35">
        <v>0.76736111111111116</v>
      </c>
      <c r="I1000" s="36">
        <v>70</v>
      </c>
      <c r="J1000" s="86" t="s">
        <v>35</v>
      </c>
      <c r="K1000" s="116" t="s">
        <v>19</v>
      </c>
      <c r="L1000" s="86" t="s">
        <v>94</v>
      </c>
      <c r="M1000" s="49" t="s">
        <v>1070</v>
      </c>
    </row>
    <row r="1001" spans="1:13" x14ac:dyDescent="0.35">
      <c r="A1001" s="123">
        <v>46074</v>
      </c>
      <c r="B1001" s="39">
        <v>58</v>
      </c>
      <c r="C1001" s="39">
        <v>5.33</v>
      </c>
      <c r="D1001" s="39">
        <v>12602021</v>
      </c>
      <c r="E1001" s="39" t="s">
        <v>38</v>
      </c>
      <c r="F1001" s="39">
        <v>1230</v>
      </c>
      <c r="G1001" s="35">
        <v>0.76736111111111116</v>
      </c>
      <c r="H1001" s="35">
        <v>0.77430555555555558</v>
      </c>
      <c r="I1001" s="36">
        <v>10</v>
      </c>
      <c r="J1001" s="86" t="s">
        <v>446</v>
      </c>
      <c r="K1001" s="116" t="s">
        <v>26</v>
      </c>
      <c r="L1001" s="86" t="s">
        <v>32</v>
      </c>
      <c r="M1001" s="47" t="s">
        <v>32</v>
      </c>
    </row>
    <row r="1002" spans="1:13" x14ac:dyDescent="0.35">
      <c r="A1002" s="123">
        <v>46076</v>
      </c>
      <c r="B1002" s="45">
        <v>57.81</v>
      </c>
      <c r="C1002" s="45">
        <v>5.61</v>
      </c>
      <c r="D1002" s="39">
        <v>12602022</v>
      </c>
      <c r="E1002" s="39" t="s">
        <v>119</v>
      </c>
      <c r="F1002" s="39" t="s">
        <v>263</v>
      </c>
      <c r="G1002" s="35">
        <v>2.7777777777777779E-3</v>
      </c>
      <c r="H1002" s="35">
        <v>2.361111111111111E-2</v>
      </c>
      <c r="I1002" s="36">
        <v>30</v>
      </c>
      <c r="J1002" s="164" t="s">
        <v>51</v>
      </c>
      <c r="K1002" s="164" t="s">
        <v>445</v>
      </c>
      <c r="L1002" s="164" t="s">
        <v>53</v>
      </c>
      <c r="M1002" s="95" t="s">
        <v>54</v>
      </c>
    </row>
    <row r="1003" spans="1:13" x14ac:dyDescent="0.35">
      <c r="A1003" s="123">
        <v>46076</v>
      </c>
      <c r="B1003" s="39">
        <v>58</v>
      </c>
      <c r="C1003" s="39">
        <v>5.5</v>
      </c>
      <c r="D1003" s="39">
        <v>12602022</v>
      </c>
      <c r="E1003" s="39" t="s">
        <v>119</v>
      </c>
      <c r="F1003" s="39" t="s">
        <v>263</v>
      </c>
      <c r="G1003" s="35">
        <v>2.361111111111111E-2</v>
      </c>
      <c r="H1003" s="35">
        <v>2.8472222222222222E-2</v>
      </c>
      <c r="I1003" s="36">
        <v>7</v>
      </c>
      <c r="J1003" s="86" t="s">
        <v>52</v>
      </c>
      <c r="K1003" s="116" t="s">
        <v>445</v>
      </c>
      <c r="L1003" s="86" t="s">
        <v>59</v>
      </c>
      <c r="M1003" s="95" t="s">
        <v>59</v>
      </c>
    </row>
    <row r="1004" spans="1:13" x14ac:dyDescent="0.35">
      <c r="A1004" s="123">
        <v>46076</v>
      </c>
      <c r="B1004" s="39">
        <v>58</v>
      </c>
      <c r="C1004" s="39">
        <v>5.5</v>
      </c>
      <c r="D1004" s="39">
        <v>12602022</v>
      </c>
      <c r="E1004" s="39" t="s">
        <v>119</v>
      </c>
      <c r="F1004" s="39" t="s">
        <v>263</v>
      </c>
      <c r="G1004" s="35">
        <v>2.8472222222222222E-2</v>
      </c>
      <c r="H1004" s="35">
        <v>3.4027777777777775E-2</v>
      </c>
      <c r="I1004" s="36">
        <v>8</v>
      </c>
      <c r="J1004" s="86" t="s">
        <v>52</v>
      </c>
      <c r="K1004" s="116" t="s">
        <v>62</v>
      </c>
      <c r="L1004" s="86" t="s">
        <v>130</v>
      </c>
      <c r="M1004" s="95" t="s">
        <v>147</v>
      </c>
    </row>
    <row r="1005" spans="1:13" x14ac:dyDescent="0.35">
      <c r="A1005" s="123">
        <v>46076</v>
      </c>
      <c r="B1005" s="39">
        <v>58</v>
      </c>
      <c r="C1005" s="39">
        <v>5.5</v>
      </c>
      <c r="D1005" s="45">
        <v>12602023</v>
      </c>
      <c r="E1005" s="45" t="s">
        <v>47</v>
      </c>
      <c r="F1005" s="45">
        <v>1260</v>
      </c>
      <c r="G1005" s="35">
        <v>3.9583333333333331E-2</v>
      </c>
      <c r="H1005" s="35">
        <v>0.11388888888888889</v>
      </c>
      <c r="I1005" s="36">
        <v>107</v>
      </c>
      <c r="J1005" s="86" t="s">
        <v>35</v>
      </c>
      <c r="K1005" s="116" t="s">
        <v>19</v>
      </c>
      <c r="L1005" s="86" t="s">
        <v>354</v>
      </c>
      <c r="M1005" s="97" t="s">
        <v>1074</v>
      </c>
    </row>
    <row r="1006" spans="1:13" x14ac:dyDescent="0.35">
      <c r="A1006" s="122">
        <v>46077</v>
      </c>
      <c r="B1006" s="45">
        <v>57.71</v>
      </c>
      <c r="C1006" s="45">
        <v>5.39</v>
      </c>
      <c r="D1006" s="45">
        <v>12602024</v>
      </c>
      <c r="E1006" s="45" t="s">
        <v>501</v>
      </c>
      <c r="F1006" s="45">
        <v>1260</v>
      </c>
      <c r="G1006" s="35">
        <v>0.4597222222222222</v>
      </c>
      <c r="H1006" s="35">
        <v>0.48055555555555557</v>
      </c>
      <c r="I1006" s="36">
        <v>30</v>
      </c>
      <c r="J1006" s="164" t="s">
        <v>51</v>
      </c>
      <c r="K1006" s="164" t="s">
        <v>445</v>
      </c>
      <c r="L1006" s="164" t="s">
        <v>53</v>
      </c>
      <c r="M1006" s="47" t="s">
        <v>54</v>
      </c>
    </row>
    <row r="1007" spans="1:13" x14ac:dyDescent="0.35">
      <c r="A1007" s="123">
        <v>46078</v>
      </c>
      <c r="B1007" s="39">
        <v>58</v>
      </c>
      <c r="C1007" s="39">
        <v>5.51</v>
      </c>
      <c r="D1007" s="39">
        <v>12602025</v>
      </c>
      <c r="E1007" s="39" t="s">
        <v>72</v>
      </c>
      <c r="F1007" s="39" t="s">
        <v>620</v>
      </c>
      <c r="G1007" s="35">
        <v>0.70347222222222228</v>
      </c>
      <c r="H1007" s="35">
        <v>0.72430555555555554</v>
      </c>
      <c r="I1007" s="36">
        <v>30</v>
      </c>
      <c r="J1007" s="164" t="s">
        <v>51</v>
      </c>
      <c r="K1007" s="164" t="s">
        <v>445</v>
      </c>
      <c r="L1007" s="164" t="s">
        <v>53</v>
      </c>
      <c r="M1007" s="47" t="s">
        <v>1075</v>
      </c>
    </row>
    <row r="1008" spans="1:13" x14ac:dyDescent="0.35">
      <c r="A1008" s="123">
        <v>46078</v>
      </c>
      <c r="B1008" s="39">
        <v>58</v>
      </c>
      <c r="C1008" s="39">
        <v>5.51</v>
      </c>
      <c r="D1008" s="39">
        <v>12602025</v>
      </c>
      <c r="E1008" s="39" t="s">
        <v>72</v>
      </c>
      <c r="F1008" s="39" t="s">
        <v>620</v>
      </c>
      <c r="G1008" s="35">
        <v>0.72430555555555554</v>
      </c>
      <c r="H1008" s="35">
        <v>0.72916666666666663</v>
      </c>
      <c r="I1008" s="36">
        <v>7</v>
      </c>
      <c r="J1008" s="164" t="s">
        <v>52</v>
      </c>
      <c r="K1008" s="164" t="s">
        <v>445</v>
      </c>
      <c r="L1008" s="86" t="s">
        <v>59</v>
      </c>
      <c r="M1008" s="47" t="s">
        <v>59</v>
      </c>
    </row>
    <row r="1009" spans="1:13" x14ac:dyDescent="0.35">
      <c r="A1009" s="123">
        <v>46078</v>
      </c>
      <c r="B1009" s="39">
        <v>58</v>
      </c>
      <c r="C1009" s="39">
        <v>5.51</v>
      </c>
      <c r="D1009" s="39">
        <v>12602025</v>
      </c>
      <c r="E1009" s="39" t="s">
        <v>72</v>
      </c>
      <c r="F1009" s="39" t="s">
        <v>620</v>
      </c>
      <c r="G1009" s="35">
        <v>0.72916666666666663</v>
      </c>
      <c r="H1009" s="35">
        <v>0.73472222222222228</v>
      </c>
      <c r="I1009" s="36">
        <v>8</v>
      </c>
      <c r="J1009" s="164" t="s">
        <v>52</v>
      </c>
      <c r="K1009" s="164" t="s">
        <v>62</v>
      </c>
      <c r="L1009" s="164" t="s">
        <v>130</v>
      </c>
      <c r="M1009" s="47" t="s">
        <v>268</v>
      </c>
    </row>
    <row r="1010" spans="1:13" x14ac:dyDescent="0.35">
      <c r="A1010" s="123">
        <v>46078</v>
      </c>
      <c r="B1010" s="39">
        <v>58</v>
      </c>
      <c r="C1010" s="39">
        <v>5.51</v>
      </c>
      <c r="D1010" s="39">
        <v>12602025</v>
      </c>
      <c r="E1010" s="39" t="s">
        <v>72</v>
      </c>
      <c r="F1010" s="39" t="s">
        <v>620</v>
      </c>
      <c r="G1010" s="35">
        <v>0.73472222222222228</v>
      </c>
      <c r="H1010" s="35">
        <v>0.73750000000000004</v>
      </c>
      <c r="I1010" s="36">
        <v>4</v>
      </c>
      <c r="J1010" s="164" t="s">
        <v>446</v>
      </c>
      <c r="K1010" s="164" t="s">
        <v>445</v>
      </c>
      <c r="L1010" s="164" t="s">
        <v>206</v>
      </c>
      <c r="M1010" s="47" t="s">
        <v>206</v>
      </c>
    </row>
    <row r="1011" spans="1:13" x14ac:dyDescent="0.35">
      <c r="A1011" s="126">
        <v>46080</v>
      </c>
      <c r="B1011" s="45">
        <v>57.3</v>
      </c>
      <c r="C1011" s="45">
        <v>5.09</v>
      </c>
      <c r="D1011" s="45">
        <v>12602026</v>
      </c>
      <c r="E1011" s="45" t="s">
        <v>57</v>
      </c>
      <c r="F1011" s="45">
        <v>1230</v>
      </c>
      <c r="G1011" s="35">
        <v>0.92013888888888884</v>
      </c>
      <c r="H1011" s="35">
        <v>0.97222222222222221</v>
      </c>
      <c r="I1011" s="36">
        <v>75</v>
      </c>
      <c r="J1011" s="86" t="s">
        <v>35</v>
      </c>
      <c r="K1011" s="116" t="s">
        <v>19</v>
      </c>
      <c r="L1011" s="86" t="s">
        <v>94</v>
      </c>
      <c r="M1011" s="87" t="s">
        <v>1070</v>
      </c>
    </row>
    <row r="1012" spans="1:13" x14ac:dyDescent="0.35">
      <c r="A1012" s="122">
        <v>46081</v>
      </c>
      <c r="B1012" s="45">
        <v>58</v>
      </c>
      <c r="C1012" s="45">
        <v>5.77</v>
      </c>
      <c r="D1012" s="45">
        <v>12602027</v>
      </c>
      <c r="E1012" s="45" t="s">
        <v>69</v>
      </c>
      <c r="F1012" s="45" t="s">
        <v>1077</v>
      </c>
      <c r="G1012" s="35">
        <v>5.347222222222222E-2</v>
      </c>
      <c r="H1012" s="35">
        <v>0.125</v>
      </c>
      <c r="I1012" s="36">
        <v>103</v>
      </c>
      <c r="J1012" s="86" t="s">
        <v>35</v>
      </c>
      <c r="K1012" s="116" t="s">
        <v>19</v>
      </c>
      <c r="L1012" s="86" t="s">
        <v>319</v>
      </c>
      <c r="M1012" s="62" t="s">
        <v>1078</v>
      </c>
    </row>
    <row r="1013" spans="1:13" x14ac:dyDescent="0.35">
      <c r="A1013" s="123">
        <v>46082</v>
      </c>
      <c r="B1013" s="45">
        <v>58</v>
      </c>
      <c r="C1013" s="45">
        <v>5.34</v>
      </c>
      <c r="D1013" s="45">
        <v>12602028</v>
      </c>
      <c r="E1013" s="45" t="s">
        <v>104</v>
      </c>
      <c r="F1013" s="45" t="s">
        <v>1079</v>
      </c>
      <c r="G1013" s="35">
        <v>0.42916666666666664</v>
      </c>
      <c r="H1013" s="35">
        <v>0.44513888888888886</v>
      </c>
      <c r="I1013" s="36">
        <v>23</v>
      </c>
      <c r="J1013" s="164" t="s">
        <v>51</v>
      </c>
      <c r="K1013" s="164" t="s">
        <v>445</v>
      </c>
      <c r="L1013" s="164" t="s">
        <v>53</v>
      </c>
      <c r="M1013" s="165" t="s">
        <v>54</v>
      </c>
    </row>
    <row r="1014" spans="1:13" x14ac:dyDescent="0.35">
      <c r="A1014" s="122">
        <v>46083</v>
      </c>
      <c r="B1014" s="45">
        <v>58</v>
      </c>
      <c r="C1014" s="45">
        <v>5.32</v>
      </c>
      <c r="D1014" s="45">
        <v>12603001</v>
      </c>
      <c r="E1014" s="45" t="s">
        <v>111</v>
      </c>
      <c r="F1014" s="45">
        <v>1230</v>
      </c>
      <c r="G1014" s="35">
        <v>5.5555555555555552E-2</v>
      </c>
      <c r="H1014" s="35">
        <v>0.11805555555555555</v>
      </c>
      <c r="I1014" s="36">
        <v>90</v>
      </c>
      <c r="J1014" s="86" t="s">
        <v>35</v>
      </c>
      <c r="K1014" s="86" t="s">
        <v>62</v>
      </c>
      <c r="L1014" s="86" t="s">
        <v>236</v>
      </c>
      <c r="M1014" s="97" t="s">
        <v>1080</v>
      </c>
    </row>
    <row r="1015" spans="1:13" x14ac:dyDescent="0.35">
      <c r="A1015" s="123">
        <v>46084</v>
      </c>
      <c r="B1015" s="39">
        <v>57.74</v>
      </c>
      <c r="C1015" s="39">
        <v>5.21</v>
      </c>
      <c r="D1015" s="45">
        <v>12603002</v>
      </c>
      <c r="E1015" s="45" t="s">
        <v>501</v>
      </c>
      <c r="F1015" s="45" t="s">
        <v>1081</v>
      </c>
      <c r="G1015" s="35">
        <v>0.46458333333333335</v>
      </c>
      <c r="H1015" s="35">
        <v>0.48055555555555557</v>
      </c>
      <c r="I1015" s="36">
        <v>23</v>
      </c>
      <c r="J1015" s="164" t="s">
        <v>51</v>
      </c>
      <c r="K1015" s="164" t="s">
        <v>445</v>
      </c>
      <c r="L1015" s="164" t="s">
        <v>53</v>
      </c>
      <c r="M1015" s="165" t="s">
        <v>54</v>
      </c>
    </row>
    <row r="1016" spans="1:13" x14ac:dyDescent="0.35">
      <c r="A1016" s="123">
        <v>46084</v>
      </c>
      <c r="B1016" s="39">
        <v>57.74</v>
      </c>
      <c r="C1016" s="39">
        <v>5.21</v>
      </c>
      <c r="D1016" s="39">
        <v>12603003</v>
      </c>
      <c r="E1016" s="39" t="s">
        <v>311</v>
      </c>
      <c r="F1016" s="39">
        <v>1260</v>
      </c>
      <c r="G1016" s="35">
        <v>0.86597222222222225</v>
      </c>
      <c r="H1016" s="35">
        <v>0.9145833333333333</v>
      </c>
      <c r="I1016" s="36">
        <v>70</v>
      </c>
      <c r="J1016" s="86" t="s">
        <v>35</v>
      </c>
      <c r="K1016" s="116" t="s">
        <v>26</v>
      </c>
      <c r="L1016" s="86" t="s">
        <v>539</v>
      </c>
      <c r="M1016" s="97" t="s">
        <v>1082</v>
      </c>
    </row>
    <row r="1017" spans="1:13" x14ac:dyDescent="0.35">
      <c r="A1017" s="123">
        <v>46084</v>
      </c>
      <c r="B1017" s="39">
        <v>57.74</v>
      </c>
      <c r="C1017" s="39">
        <v>5.21</v>
      </c>
      <c r="D1017" s="39">
        <v>12603003</v>
      </c>
      <c r="E1017" s="39" t="s">
        <v>311</v>
      </c>
      <c r="F1017" s="39">
        <v>1260</v>
      </c>
      <c r="G1017" s="35">
        <v>0.9145833333333333</v>
      </c>
      <c r="H1017" s="35">
        <v>0.91666666666666663</v>
      </c>
      <c r="I1017" s="36">
        <v>3</v>
      </c>
      <c r="J1017" s="86" t="s">
        <v>446</v>
      </c>
      <c r="K1017" s="86" t="s">
        <v>19</v>
      </c>
      <c r="L1017" s="86" t="s">
        <v>85</v>
      </c>
      <c r="M1017" s="95" t="s">
        <v>1083</v>
      </c>
    </row>
    <row r="1018" spans="1:13" x14ac:dyDescent="0.35">
      <c r="A1018" s="122">
        <v>46085</v>
      </c>
      <c r="B1018" s="45">
        <v>58</v>
      </c>
      <c r="C1018" s="45">
        <v>5.46</v>
      </c>
      <c r="D1018" s="39">
        <v>12603003</v>
      </c>
      <c r="E1018" s="39" t="s">
        <v>311</v>
      </c>
      <c r="F1018" s="39">
        <v>1260</v>
      </c>
      <c r="G1018" s="35">
        <v>0.91666666666666663</v>
      </c>
      <c r="H1018" s="35">
        <v>0.96527777777777779</v>
      </c>
      <c r="I1018" s="36">
        <v>70</v>
      </c>
      <c r="J1018" s="86" t="s">
        <v>446</v>
      </c>
      <c r="K1018" s="86" t="s">
        <v>19</v>
      </c>
      <c r="L1018" s="86" t="s">
        <v>85</v>
      </c>
      <c r="M1018" s="95" t="s">
        <v>1083</v>
      </c>
    </row>
    <row r="1019" spans="1:13" x14ac:dyDescent="0.35">
      <c r="A1019" s="122">
        <v>46086</v>
      </c>
      <c r="B1019" s="45">
        <v>57.57</v>
      </c>
      <c r="C1019" s="45">
        <v>5.29</v>
      </c>
      <c r="D1019" s="45">
        <v>12603004</v>
      </c>
      <c r="E1019" s="45" t="s">
        <v>72</v>
      </c>
      <c r="F1019" s="45" t="s">
        <v>263</v>
      </c>
      <c r="G1019" s="35">
        <v>0.20624999999999999</v>
      </c>
      <c r="H1019" s="35">
        <v>0.22569444444444445</v>
      </c>
      <c r="I1019" s="36">
        <v>28</v>
      </c>
      <c r="J1019" s="164" t="s">
        <v>51</v>
      </c>
      <c r="K1019" s="164" t="s">
        <v>445</v>
      </c>
      <c r="L1019" s="164" t="s">
        <v>53</v>
      </c>
      <c r="M1019" s="95" t="s">
        <v>54</v>
      </c>
    </row>
    <row r="1020" spans="1:13" x14ac:dyDescent="0.35">
      <c r="A1020" s="123">
        <v>46087</v>
      </c>
      <c r="B1020" s="39">
        <v>56.39</v>
      </c>
      <c r="C1020" s="39">
        <v>5.35</v>
      </c>
      <c r="D1020" s="39">
        <v>12603005</v>
      </c>
      <c r="E1020" s="39" t="s">
        <v>273</v>
      </c>
      <c r="F1020" s="39" t="s">
        <v>494</v>
      </c>
      <c r="G1020" s="35">
        <v>4.583333333333333E-2</v>
      </c>
      <c r="H1020" s="35">
        <v>6.6666666666666666E-2</v>
      </c>
      <c r="I1020" s="36">
        <v>30</v>
      </c>
      <c r="J1020" s="164" t="s">
        <v>51</v>
      </c>
      <c r="K1020" s="164" t="s">
        <v>445</v>
      </c>
      <c r="L1020" s="164" t="s">
        <v>53</v>
      </c>
      <c r="M1020" s="58" t="s">
        <v>54</v>
      </c>
    </row>
    <row r="1021" spans="1:13" x14ac:dyDescent="0.35">
      <c r="A1021" s="123">
        <v>46087</v>
      </c>
      <c r="B1021" s="39">
        <v>56.39</v>
      </c>
      <c r="C1021" s="39">
        <v>5.35</v>
      </c>
      <c r="D1021" s="39">
        <v>12603005</v>
      </c>
      <c r="E1021" s="39" t="s">
        <v>273</v>
      </c>
      <c r="F1021" s="39" t="s">
        <v>494</v>
      </c>
      <c r="G1021" s="35">
        <v>6.6666666666666666E-2</v>
      </c>
      <c r="H1021" s="35">
        <v>7.7083333333333337E-2</v>
      </c>
      <c r="I1021" s="36">
        <v>15</v>
      </c>
      <c r="J1021" s="86" t="s">
        <v>52</v>
      </c>
      <c r="K1021" s="116" t="s">
        <v>445</v>
      </c>
      <c r="L1021" s="86" t="s">
        <v>59</v>
      </c>
      <c r="M1021" s="58" t="s">
        <v>59</v>
      </c>
    </row>
    <row r="1022" spans="1:13" x14ac:dyDescent="0.35">
      <c r="A1022" s="123">
        <v>46087</v>
      </c>
      <c r="B1022" s="39">
        <v>56.39</v>
      </c>
      <c r="C1022" s="39">
        <v>5.35</v>
      </c>
      <c r="D1022" s="39">
        <v>12603005</v>
      </c>
      <c r="E1022" s="39" t="s">
        <v>273</v>
      </c>
      <c r="F1022" s="39" t="s">
        <v>494</v>
      </c>
      <c r="G1022" s="35">
        <v>7.7083333333333337E-2</v>
      </c>
      <c r="H1022" s="35">
        <v>8.4027777777777785E-2</v>
      </c>
      <c r="I1022" s="36">
        <v>10</v>
      </c>
      <c r="J1022" s="86" t="s">
        <v>446</v>
      </c>
      <c r="K1022" s="86" t="s">
        <v>445</v>
      </c>
      <c r="L1022" s="86" t="s">
        <v>55</v>
      </c>
      <c r="M1022" s="86" t="s">
        <v>1084</v>
      </c>
    </row>
    <row r="1023" spans="1:13" x14ac:dyDescent="0.35">
      <c r="A1023" s="122">
        <v>46088</v>
      </c>
      <c r="B1023" s="45">
        <v>58</v>
      </c>
      <c r="C1023" s="45">
        <v>5.48</v>
      </c>
      <c r="D1023" s="45">
        <v>12603006</v>
      </c>
      <c r="E1023" s="45" t="s">
        <v>503</v>
      </c>
      <c r="F1023" s="45">
        <v>1340</v>
      </c>
      <c r="G1023" s="35">
        <v>0.42777777777777776</v>
      </c>
      <c r="H1023" s="35">
        <v>0.44861111111111113</v>
      </c>
      <c r="I1023" s="36">
        <v>30</v>
      </c>
      <c r="J1023" s="86" t="s">
        <v>51</v>
      </c>
      <c r="K1023" s="116" t="s">
        <v>445</v>
      </c>
      <c r="L1023" s="86" t="s">
        <v>53</v>
      </c>
      <c r="M1023" s="165" t="s">
        <v>54</v>
      </c>
    </row>
    <row r="1024" spans="1:13" x14ac:dyDescent="0.35">
      <c r="A1024" s="123">
        <v>46089</v>
      </c>
      <c r="B1024" s="39">
        <v>58</v>
      </c>
      <c r="C1024" s="39">
        <v>5.09</v>
      </c>
      <c r="D1024" s="39">
        <v>12603007</v>
      </c>
      <c r="E1024" s="39" t="s">
        <v>138</v>
      </c>
      <c r="F1024" s="39">
        <v>1230</v>
      </c>
      <c r="G1024" s="35">
        <v>8.3333333333333332E-3</v>
      </c>
      <c r="H1024" s="35">
        <v>7.0833333333333331E-2</v>
      </c>
      <c r="I1024" s="36">
        <v>90</v>
      </c>
      <c r="J1024" s="86" t="s">
        <v>35</v>
      </c>
      <c r="K1024" s="86" t="s">
        <v>62</v>
      </c>
      <c r="L1024" s="86" t="s">
        <v>190</v>
      </c>
      <c r="M1024" s="49" t="s">
        <v>102</v>
      </c>
    </row>
    <row r="1025" spans="1:13" x14ac:dyDescent="0.35">
      <c r="A1025" s="123">
        <v>46089</v>
      </c>
      <c r="B1025" s="39">
        <v>58</v>
      </c>
      <c r="C1025" s="39">
        <v>5.09</v>
      </c>
      <c r="D1025" s="39">
        <v>12603007</v>
      </c>
      <c r="E1025" s="39" t="s">
        <v>138</v>
      </c>
      <c r="F1025" s="39">
        <v>1230</v>
      </c>
      <c r="G1025" s="35">
        <v>7.0833333333333331E-2</v>
      </c>
      <c r="H1025" s="35">
        <v>7.6388888888888895E-2</v>
      </c>
      <c r="I1025" s="36">
        <v>8</v>
      </c>
      <c r="J1025" s="86" t="s">
        <v>446</v>
      </c>
      <c r="K1025" s="116" t="s">
        <v>41</v>
      </c>
      <c r="L1025" s="86" t="s">
        <v>454</v>
      </c>
      <c r="M1025" s="47" t="s">
        <v>1087</v>
      </c>
    </row>
    <row r="1026" spans="1:13" x14ac:dyDescent="0.35">
      <c r="A1026" s="122">
        <v>46090</v>
      </c>
      <c r="B1026" s="45">
        <v>58</v>
      </c>
      <c r="C1026" s="45">
        <v>5.29</v>
      </c>
      <c r="D1026" s="45">
        <v>12603008</v>
      </c>
      <c r="E1026" s="45" t="s">
        <v>119</v>
      </c>
      <c r="F1026" s="45" t="s">
        <v>58</v>
      </c>
      <c r="G1026" s="35">
        <v>0.30763888888888891</v>
      </c>
      <c r="H1026" s="35">
        <v>0.32569444444444445</v>
      </c>
      <c r="I1026" s="36">
        <v>26</v>
      </c>
      <c r="J1026" s="164" t="s">
        <v>51</v>
      </c>
      <c r="K1026" s="164" t="s">
        <v>445</v>
      </c>
      <c r="L1026" s="164" t="s">
        <v>53</v>
      </c>
      <c r="M1026" s="165" t="s">
        <v>54</v>
      </c>
    </row>
    <row r="1027" spans="1:13" x14ac:dyDescent="0.35">
      <c r="A1027" s="123">
        <v>46091</v>
      </c>
      <c r="B1027" s="39">
        <v>58</v>
      </c>
      <c r="C1027" s="39">
        <v>5.68</v>
      </c>
      <c r="D1027" s="39">
        <v>12603009</v>
      </c>
      <c r="E1027" s="39" t="s">
        <v>208</v>
      </c>
      <c r="F1027" s="39" t="s">
        <v>614</v>
      </c>
      <c r="G1027" s="35">
        <v>7.1527777777777773E-2</v>
      </c>
      <c r="H1027" s="35">
        <v>0.12013888888888889</v>
      </c>
      <c r="I1027" s="36">
        <v>70</v>
      </c>
      <c r="J1027" s="86" t="s">
        <v>35</v>
      </c>
      <c r="K1027" s="86" t="s">
        <v>62</v>
      </c>
      <c r="L1027" s="86" t="s">
        <v>908</v>
      </c>
      <c r="M1027" s="97" t="s">
        <v>1088</v>
      </c>
    </row>
    <row r="1028" spans="1:13" x14ac:dyDescent="0.35">
      <c r="A1028" s="123">
        <v>46091</v>
      </c>
      <c r="B1028" s="39">
        <v>58</v>
      </c>
      <c r="C1028" s="39">
        <v>5.68</v>
      </c>
      <c r="D1028" s="39">
        <v>12603009</v>
      </c>
      <c r="E1028" s="39" t="s">
        <v>208</v>
      </c>
      <c r="F1028" s="39" t="s">
        <v>614</v>
      </c>
      <c r="G1028" s="35">
        <v>0.12013888888888889</v>
      </c>
      <c r="H1028" s="35">
        <v>0.14861111111111111</v>
      </c>
      <c r="I1028" s="36">
        <v>41</v>
      </c>
      <c r="J1028" s="86" t="s">
        <v>446</v>
      </c>
      <c r="K1028" s="116" t="s">
        <v>19</v>
      </c>
      <c r="L1028" s="95" t="s">
        <v>1089</v>
      </c>
      <c r="M1028" s="95" t="s">
        <v>1089</v>
      </c>
    </row>
    <row r="1029" spans="1:13" x14ac:dyDescent="0.35">
      <c r="A1029" s="166">
        <v>46092</v>
      </c>
      <c r="B1029" s="39">
        <v>58</v>
      </c>
      <c r="C1029" s="39">
        <v>5.0599999999999996</v>
      </c>
      <c r="D1029" s="39">
        <v>12603010</v>
      </c>
      <c r="E1029" s="39" t="s">
        <v>57</v>
      </c>
      <c r="F1029" s="39" t="s">
        <v>620</v>
      </c>
      <c r="G1029" s="35">
        <v>0.35902777777777778</v>
      </c>
      <c r="H1029" s="35">
        <v>0.37986111111111109</v>
      </c>
      <c r="I1029" s="36">
        <v>30</v>
      </c>
      <c r="J1029" s="164" t="s">
        <v>51</v>
      </c>
      <c r="K1029" s="164" t="s">
        <v>445</v>
      </c>
      <c r="L1029" s="164" t="s">
        <v>53</v>
      </c>
      <c r="M1029" s="95" t="s">
        <v>54</v>
      </c>
    </row>
    <row r="1030" spans="1:13" x14ac:dyDescent="0.35">
      <c r="A1030" s="166">
        <v>46092</v>
      </c>
      <c r="B1030" s="39">
        <v>58</v>
      </c>
      <c r="C1030" s="39">
        <v>5.0599999999999996</v>
      </c>
      <c r="D1030" s="39">
        <v>12603010</v>
      </c>
      <c r="E1030" s="39" t="s">
        <v>57</v>
      </c>
      <c r="F1030" s="39" t="s">
        <v>620</v>
      </c>
      <c r="G1030" s="35">
        <v>0.37986111111111109</v>
      </c>
      <c r="H1030" s="35">
        <v>0.38472222222222224</v>
      </c>
      <c r="I1030" s="36">
        <v>7</v>
      </c>
      <c r="J1030" s="86" t="s">
        <v>52</v>
      </c>
      <c r="K1030" s="86" t="s">
        <v>445</v>
      </c>
      <c r="L1030" s="86" t="s">
        <v>59</v>
      </c>
      <c r="M1030" s="95" t="s">
        <v>59</v>
      </c>
    </row>
    <row r="1031" spans="1:13" x14ac:dyDescent="0.35">
      <c r="A1031" s="166">
        <v>46092</v>
      </c>
      <c r="B1031" s="39">
        <v>58</v>
      </c>
      <c r="C1031" s="39">
        <v>5.0599999999999996</v>
      </c>
      <c r="D1031" s="39">
        <v>12603010</v>
      </c>
      <c r="E1031" s="39" t="s">
        <v>57</v>
      </c>
      <c r="F1031" s="39" t="s">
        <v>620</v>
      </c>
      <c r="G1031" s="35">
        <v>0.38472222222222224</v>
      </c>
      <c r="H1031" s="35">
        <v>0.39027777777777778</v>
      </c>
      <c r="I1031" s="36">
        <v>8</v>
      </c>
      <c r="J1031" s="164" t="s">
        <v>52</v>
      </c>
      <c r="K1031" s="164" t="s">
        <v>62</v>
      </c>
      <c r="L1031" s="164" t="s">
        <v>130</v>
      </c>
      <c r="M1031" s="95" t="s">
        <v>268</v>
      </c>
    </row>
    <row r="1032" spans="1:13" x14ac:dyDescent="0.35">
      <c r="A1032" s="166">
        <v>46092</v>
      </c>
      <c r="B1032" s="39">
        <v>58</v>
      </c>
      <c r="C1032" s="39">
        <v>5.0599999999999996</v>
      </c>
      <c r="D1032" s="39">
        <v>12603010</v>
      </c>
      <c r="E1032" s="39" t="s">
        <v>57</v>
      </c>
      <c r="F1032" s="39" t="s">
        <v>620</v>
      </c>
      <c r="G1032" s="35">
        <v>0.39027777777777778</v>
      </c>
      <c r="H1032" s="35">
        <v>0.42569444444444443</v>
      </c>
      <c r="I1032" s="36">
        <v>51</v>
      </c>
      <c r="J1032" s="86" t="s">
        <v>446</v>
      </c>
      <c r="K1032" s="116" t="s">
        <v>62</v>
      </c>
      <c r="L1032" s="95" t="s">
        <v>1091</v>
      </c>
      <c r="M1032" s="95" t="s">
        <v>1091</v>
      </c>
    </row>
    <row r="1033" spans="1:13" x14ac:dyDescent="0.35">
      <c r="A1033" s="123">
        <v>46093</v>
      </c>
      <c r="B1033" s="39">
        <v>57.33</v>
      </c>
      <c r="C1033" s="39">
        <v>5.33</v>
      </c>
      <c r="D1033" s="39">
        <v>12603011</v>
      </c>
      <c r="E1033" s="39" t="s">
        <v>138</v>
      </c>
      <c r="F1033" s="39">
        <v>1255</v>
      </c>
      <c r="G1033" s="35">
        <v>2.7777777777777776E-2</v>
      </c>
      <c r="H1033" s="35">
        <v>7.6388888888888895E-2</v>
      </c>
      <c r="I1033" s="36">
        <v>70</v>
      </c>
      <c r="J1033" s="86" t="s">
        <v>35</v>
      </c>
      <c r="K1033" s="86" t="s">
        <v>19</v>
      </c>
      <c r="L1033" s="97" t="s">
        <v>1092</v>
      </c>
      <c r="M1033" s="97" t="s">
        <v>1092</v>
      </c>
    </row>
    <row r="1034" spans="1:13" x14ac:dyDescent="0.35">
      <c r="A1034" s="123">
        <v>46093</v>
      </c>
      <c r="B1034" s="39">
        <v>57.33</v>
      </c>
      <c r="C1034" s="39">
        <v>5.33</v>
      </c>
      <c r="D1034" s="39">
        <v>12603011</v>
      </c>
      <c r="E1034" s="39" t="s">
        <v>138</v>
      </c>
      <c r="F1034" s="39">
        <v>1255</v>
      </c>
      <c r="G1034" s="35">
        <v>7.6388888888888895E-2</v>
      </c>
      <c r="H1034" s="35">
        <v>0.10208333333333333</v>
      </c>
      <c r="I1034" s="36">
        <v>37</v>
      </c>
      <c r="J1034" s="86" t="s">
        <v>446</v>
      </c>
      <c r="K1034" s="86" t="s">
        <v>19</v>
      </c>
      <c r="L1034" s="95" t="s">
        <v>1093</v>
      </c>
      <c r="M1034" s="95" t="s">
        <v>1093</v>
      </c>
    </row>
    <row r="1035" spans="1:13" x14ac:dyDescent="0.35">
      <c r="A1035" s="122">
        <v>46094</v>
      </c>
      <c r="B1035" s="45">
        <v>58</v>
      </c>
      <c r="C1035" s="45">
        <v>5.48</v>
      </c>
      <c r="D1035" s="45">
        <v>12603012</v>
      </c>
      <c r="E1035" s="45" t="s">
        <v>141</v>
      </c>
      <c r="F1035" s="45">
        <v>1250</v>
      </c>
      <c r="G1035" s="35">
        <v>0.36805555555555558</v>
      </c>
      <c r="H1035" s="35">
        <v>0.85347222222222219</v>
      </c>
      <c r="I1035" s="36">
        <v>699</v>
      </c>
      <c r="J1035" s="86" t="s">
        <v>448</v>
      </c>
      <c r="K1035" s="116" t="s">
        <v>15</v>
      </c>
      <c r="L1035" s="86" t="s">
        <v>448</v>
      </c>
      <c r="M1035" s="58" t="s">
        <v>17</v>
      </c>
    </row>
    <row r="1036" spans="1:13" x14ac:dyDescent="0.35">
      <c r="A1036" s="123">
        <v>46095</v>
      </c>
      <c r="B1036" s="39">
        <v>58</v>
      </c>
      <c r="C1036" s="39">
        <v>5.16</v>
      </c>
      <c r="D1036" s="39">
        <v>12603013</v>
      </c>
      <c r="E1036" s="39" t="s">
        <v>43</v>
      </c>
      <c r="F1036" s="39">
        <v>1035</v>
      </c>
      <c r="G1036" s="35">
        <v>0.25694444444444442</v>
      </c>
      <c r="H1036" s="35">
        <v>0.27777777777777779</v>
      </c>
      <c r="I1036" s="36">
        <v>30</v>
      </c>
      <c r="J1036" s="86" t="s">
        <v>51</v>
      </c>
      <c r="K1036" s="116" t="s">
        <v>445</v>
      </c>
      <c r="L1036" s="86" t="s">
        <v>53</v>
      </c>
      <c r="M1036" s="58" t="s">
        <v>1095</v>
      </c>
    </row>
    <row r="1037" spans="1:13" x14ac:dyDescent="0.35">
      <c r="A1037" s="123">
        <v>46095</v>
      </c>
      <c r="B1037" s="39">
        <v>58</v>
      </c>
      <c r="C1037" s="39">
        <v>5.16</v>
      </c>
      <c r="D1037" s="39">
        <v>12603013</v>
      </c>
      <c r="E1037" s="39" t="s">
        <v>43</v>
      </c>
      <c r="F1037" s="39">
        <v>1035</v>
      </c>
      <c r="G1037" s="35">
        <v>0.27777777777777779</v>
      </c>
      <c r="H1037" s="35">
        <v>0.30555555555555558</v>
      </c>
      <c r="I1037" s="36">
        <v>40</v>
      </c>
      <c r="J1037" s="86" t="s">
        <v>446</v>
      </c>
      <c r="K1037" s="86" t="s">
        <v>19</v>
      </c>
      <c r="L1037" s="58" t="s">
        <v>1096</v>
      </c>
      <c r="M1037" s="58" t="s">
        <v>1096</v>
      </c>
    </row>
    <row r="1038" spans="1:13" x14ac:dyDescent="0.35">
      <c r="A1038" s="123">
        <v>46095</v>
      </c>
      <c r="B1038" s="39">
        <v>58</v>
      </c>
      <c r="C1038" s="39">
        <v>5.16</v>
      </c>
      <c r="D1038" s="39">
        <v>12603014</v>
      </c>
      <c r="E1038" s="39" t="s">
        <v>170</v>
      </c>
      <c r="F1038" s="39">
        <v>1230</v>
      </c>
      <c r="G1038" s="35">
        <v>0.74583333333333335</v>
      </c>
      <c r="H1038" s="35">
        <v>0.7944444444444444</v>
      </c>
      <c r="I1038" s="36">
        <v>70</v>
      </c>
      <c r="J1038" s="86" t="s">
        <v>35</v>
      </c>
      <c r="K1038" s="116" t="s">
        <v>161</v>
      </c>
      <c r="L1038" s="86" t="s">
        <v>168</v>
      </c>
      <c r="M1038" s="62" t="s">
        <v>1097</v>
      </c>
    </row>
    <row r="1039" spans="1:13" x14ac:dyDescent="0.35">
      <c r="A1039" s="123">
        <v>46095</v>
      </c>
      <c r="B1039" s="39">
        <v>58</v>
      </c>
      <c r="C1039" s="39">
        <v>5.16</v>
      </c>
      <c r="D1039" s="39">
        <v>12603014</v>
      </c>
      <c r="E1039" s="39" t="s">
        <v>170</v>
      </c>
      <c r="F1039" s="39">
        <v>1230</v>
      </c>
      <c r="G1039" s="35">
        <v>0.7944444444444444</v>
      </c>
      <c r="H1039" s="35">
        <v>0.81319444444444444</v>
      </c>
      <c r="I1039" s="36">
        <v>27</v>
      </c>
      <c r="J1039" s="86" t="s">
        <v>446</v>
      </c>
      <c r="K1039" s="116" t="s">
        <v>161</v>
      </c>
      <c r="L1039" s="58" t="s">
        <v>1098</v>
      </c>
      <c r="M1039" s="58" t="s">
        <v>1098</v>
      </c>
    </row>
    <row r="1040" spans="1:13" x14ac:dyDescent="0.35">
      <c r="A1040" s="123">
        <v>46097</v>
      </c>
      <c r="B1040" s="39">
        <v>58</v>
      </c>
      <c r="C1040" s="39">
        <v>5.5</v>
      </c>
      <c r="D1040" s="39">
        <v>12603015</v>
      </c>
      <c r="E1040" s="39" t="s">
        <v>501</v>
      </c>
      <c r="F1040" s="39">
        <v>1230</v>
      </c>
      <c r="G1040" s="35">
        <v>0.15</v>
      </c>
      <c r="H1040" s="35">
        <v>0.17083333333333334</v>
      </c>
      <c r="I1040" s="36">
        <v>30</v>
      </c>
      <c r="J1040" s="86" t="s">
        <v>51</v>
      </c>
      <c r="K1040" s="116" t="s">
        <v>445</v>
      </c>
      <c r="L1040" s="86" t="s">
        <v>53</v>
      </c>
      <c r="M1040" s="47" t="s">
        <v>54</v>
      </c>
    </row>
    <row r="1041" spans="1:13" x14ac:dyDescent="0.35">
      <c r="A1041" s="123">
        <v>46097</v>
      </c>
      <c r="B1041" s="39">
        <v>58</v>
      </c>
      <c r="C1041" s="39">
        <v>5.5</v>
      </c>
      <c r="D1041" s="39">
        <v>12603015</v>
      </c>
      <c r="E1041" s="39" t="s">
        <v>501</v>
      </c>
      <c r="F1041" s="39">
        <v>1230</v>
      </c>
      <c r="G1041" s="35">
        <v>0.17083333333333334</v>
      </c>
      <c r="H1041" s="35">
        <v>0.18124999999999999</v>
      </c>
      <c r="I1041" s="36">
        <v>15</v>
      </c>
      <c r="J1041" s="86" t="s">
        <v>52</v>
      </c>
      <c r="K1041" s="116" t="s">
        <v>445</v>
      </c>
      <c r="L1041" s="86" t="s">
        <v>59</v>
      </c>
      <c r="M1041" s="47" t="s">
        <v>59</v>
      </c>
    </row>
    <row r="1042" spans="1:13" x14ac:dyDescent="0.35">
      <c r="A1042" s="123">
        <v>46097</v>
      </c>
      <c r="B1042" s="39">
        <v>58</v>
      </c>
      <c r="C1042" s="39">
        <v>5.5</v>
      </c>
      <c r="D1042" s="39">
        <v>12603015</v>
      </c>
      <c r="E1042" s="39" t="s">
        <v>501</v>
      </c>
      <c r="F1042" s="39">
        <v>1230</v>
      </c>
      <c r="G1042" s="35">
        <v>0.18124999999999999</v>
      </c>
      <c r="H1042" s="35">
        <v>0.1875</v>
      </c>
      <c r="I1042" s="36">
        <v>9</v>
      </c>
      <c r="J1042" s="86" t="s">
        <v>446</v>
      </c>
      <c r="K1042" s="86" t="s">
        <v>41</v>
      </c>
      <c r="L1042" s="86" t="s">
        <v>489</v>
      </c>
      <c r="M1042" s="47" t="s">
        <v>1101</v>
      </c>
    </row>
    <row r="1043" spans="1:13" x14ac:dyDescent="0.35">
      <c r="A1043" s="123">
        <v>46098</v>
      </c>
      <c r="B1043" s="39">
        <v>58</v>
      </c>
      <c r="C1043" s="39">
        <v>5.42</v>
      </c>
      <c r="D1043" s="103">
        <v>12603016</v>
      </c>
      <c r="E1043" s="45" t="s">
        <v>141</v>
      </c>
      <c r="F1043" s="45">
        <v>1255</v>
      </c>
      <c r="G1043" s="35">
        <v>0.41111111111111109</v>
      </c>
      <c r="H1043" s="35">
        <v>0.43055555555555558</v>
      </c>
      <c r="I1043" s="36">
        <v>28</v>
      </c>
      <c r="J1043" s="86" t="s">
        <v>51</v>
      </c>
      <c r="K1043" s="116" t="s">
        <v>445</v>
      </c>
      <c r="L1043" s="86" t="s">
        <v>53</v>
      </c>
      <c r="M1043" s="47" t="s">
        <v>54</v>
      </c>
    </row>
    <row r="1044" spans="1:13" x14ac:dyDescent="0.35">
      <c r="A1044" s="123">
        <v>46098</v>
      </c>
      <c r="B1044" s="39">
        <v>58</v>
      </c>
      <c r="C1044" s="39">
        <v>5.42</v>
      </c>
      <c r="D1044" s="103">
        <v>12603017</v>
      </c>
      <c r="E1044" s="45" t="s">
        <v>47</v>
      </c>
      <c r="F1044" s="45">
        <v>1232</v>
      </c>
      <c r="G1044" s="35">
        <v>0.43125000000000002</v>
      </c>
      <c r="H1044" s="35">
        <v>0.48680555555555555</v>
      </c>
      <c r="I1044" s="36">
        <v>80</v>
      </c>
      <c r="J1044" s="86" t="s">
        <v>35</v>
      </c>
      <c r="K1044" s="116" t="s">
        <v>19</v>
      </c>
      <c r="L1044" s="49" t="s">
        <v>1103</v>
      </c>
      <c r="M1044" s="49" t="s">
        <v>1103</v>
      </c>
    </row>
    <row r="1045" spans="1:13" x14ac:dyDescent="0.35">
      <c r="A1045" s="123">
        <v>46098</v>
      </c>
      <c r="B1045" s="39">
        <v>58</v>
      </c>
      <c r="C1045" s="39">
        <v>5.42</v>
      </c>
      <c r="D1045" s="45">
        <v>12603018</v>
      </c>
      <c r="E1045" s="45" t="s">
        <v>47</v>
      </c>
      <c r="F1045" s="45">
        <v>1232</v>
      </c>
      <c r="G1045" s="35">
        <v>0.48749999999999999</v>
      </c>
      <c r="H1045" s="35">
        <v>0.54513888888888884</v>
      </c>
      <c r="I1045" s="36">
        <v>83</v>
      </c>
      <c r="J1045" s="86" t="s">
        <v>35</v>
      </c>
      <c r="K1045" s="86" t="s">
        <v>445</v>
      </c>
      <c r="L1045" s="49" t="s">
        <v>1104</v>
      </c>
      <c r="M1045" s="49" t="s">
        <v>1104</v>
      </c>
    </row>
    <row r="1046" spans="1:13" x14ac:dyDescent="0.35">
      <c r="A1046" s="122">
        <v>46099</v>
      </c>
      <c r="B1046" s="45">
        <v>57.59</v>
      </c>
      <c r="C1046" s="45">
        <v>5.37</v>
      </c>
      <c r="D1046" s="45">
        <v>12603019</v>
      </c>
      <c r="E1046" s="45" t="s">
        <v>13</v>
      </c>
      <c r="F1046" s="45" t="s">
        <v>1105</v>
      </c>
      <c r="G1046" s="35">
        <v>0.4597222222222222</v>
      </c>
      <c r="H1046" s="35">
        <v>0.52083333333333337</v>
      </c>
      <c r="I1046" s="36">
        <v>88</v>
      </c>
      <c r="J1046" s="86" t="s">
        <v>25</v>
      </c>
      <c r="K1046" s="116" t="s">
        <v>445</v>
      </c>
      <c r="L1046" s="86" t="s">
        <v>456</v>
      </c>
      <c r="M1046" s="60" t="s">
        <v>323</v>
      </c>
    </row>
    <row r="1047" spans="1:13" x14ac:dyDescent="0.35">
      <c r="A1047" s="123">
        <v>46100</v>
      </c>
      <c r="B1047" s="39">
        <v>57.5</v>
      </c>
      <c r="C1047" s="39">
        <v>5.38</v>
      </c>
      <c r="D1047" s="45">
        <v>12603021</v>
      </c>
      <c r="E1047" s="45" t="s">
        <v>103</v>
      </c>
      <c r="F1047" s="45">
        <v>1250</v>
      </c>
      <c r="G1047" s="35">
        <v>0.39652777777777776</v>
      </c>
      <c r="H1047" s="35">
        <v>0.45624999999999999</v>
      </c>
      <c r="I1047" s="36">
        <v>86</v>
      </c>
      <c r="J1047" s="86" t="s">
        <v>463</v>
      </c>
      <c r="K1047" s="116" t="s">
        <v>26</v>
      </c>
      <c r="L1047" s="86" t="s">
        <v>331</v>
      </c>
      <c r="M1047" s="47" t="s">
        <v>1106</v>
      </c>
    </row>
    <row r="1048" spans="1:13" x14ac:dyDescent="0.35">
      <c r="A1048" s="123">
        <v>46100</v>
      </c>
      <c r="B1048" s="39">
        <v>57.5</v>
      </c>
      <c r="C1048" s="39">
        <v>5.38</v>
      </c>
      <c r="D1048" s="45">
        <v>12603022</v>
      </c>
      <c r="E1048" s="45" t="s">
        <v>311</v>
      </c>
      <c r="F1048" s="45">
        <v>1255</v>
      </c>
      <c r="G1048" s="35">
        <v>0.8208333333333333</v>
      </c>
      <c r="H1048" s="35">
        <v>0.90625</v>
      </c>
      <c r="I1048" s="36">
        <v>123</v>
      </c>
      <c r="J1048" s="86" t="s">
        <v>25</v>
      </c>
      <c r="K1048" s="116" t="s">
        <v>445</v>
      </c>
      <c r="L1048" s="86" t="s">
        <v>456</v>
      </c>
      <c r="M1048" s="60" t="s">
        <v>323</v>
      </c>
    </row>
    <row r="1049" spans="1:13" ht="23" x14ac:dyDescent="0.35">
      <c r="A1049" s="126">
        <v>46102</v>
      </c>
      <c r="B1049" s="45">
        <v>57.8</v>
      </c>
      <c r="C1049" s="45">
        <v>5.37</v>
      </c>
      <c r="D1049" s="45">
        <v>12603023</v>
      </c>
      <c r="E1049" s="45" t="s">
        <v>501</v>
      </c>
      <c r="F1049" s="45" t="s">
        <v>1108</v>
      </c>
      <c r="G1049" s="35">
        <v>0.27638888888888891</v>
      </c>
      <c r="H1049" s="35">
        <v>0.29375000000000001</v>
      </c>
      <c r="I1049" s="36">
        <v>25</v>
      </c>
      <c r="J1049" s="86" t="s">
        <v>51</v>
      </c>
      <c r="K1049" s="116" t="s">
        <v>445</v>
      </c>
      <c r="L1049" s="86" t="s">
        <v>53</v>
      </c>
      <c r="M1049" s="47" t="s">
        <v>54</v>
      </c>
    </row>
    <row r="1050" spans="1:13" x14ac:dyDescent="0.35">
      <c r="A1050" s="123">
        <v>46103</v>
      </c>
      <c r="B1050" s="39">
        <v>58</v>
      </c>
      <c r="C1050" s="39">
        <v>5.47</v>
      </c>
      <c r="D1050" s="39">
        <v>12603023</v>
      </c>
      <c r="E1050" s="39" t="s">
        <v>496</v>
      </c>
      <c r="F1050" s="39">
        <v>1250</v>
      </c>
      <c r="G1050" s="35">
        <v>0.65625</v>
      </c>
      <c r="H1050" s="35">
        <v>0.67708333333333337</v>
      </c>
      <c r="I1050" s="36">
        <v>30</v>
      </c>
      <c r="J1050" s="86" t="s">
        <v>51</v>
      </c>
      <c r="K1050" s="116" t="s">
        <v>445</v>
      </c>
      <c r="L1050" s="86" t="s">
        <v>53</v>
      </c>
      <c r="M1050" s="58" t="s">
        <v>54</v>
      </c>
    </row>
    <row r="1051" spans="1:13" x14ac:dyDescent="0.35">
      <c r="A1051" s="123">
        <v>46103</v>
      </c>
      <c r="B1051" s="39">
        <v>58</v>
      </c>
      <c r="C1051" s="39">
        <v>5.47</v>
      </c>
      <c r="D1051" s="39">
        <v>12603023</v>
      </c>
      <c r="E1051" s="39" t="s">
        <v>496</v>
      </c>
      <c r="F1051" s="39">
        <v>1250</v>
      </c>
      <c r="G1051" s="35">
        <v>0.67708333333333337</v>
      </c>
      <c r="H1051" s="35">
        <v>0.6875</v>
      </c>
      <c r="I1051" s="36">
        <v>15</v>
      </c>
      <c r="J1051" s="86" t="s">
        <v>52</v>
      </c>
      <c r="K1051" s="116" t="s">
        <v>445</v>
      </c>
      <c r="L1051" s="86" t="s">
        <v>59</v>
      </c>
      <c r="M1051" s="58" t="s">
        <v>59</v>
      </c>
    </row>
    <row r="1052" spans="1:13" x14ac:dyDescent="0.35">
      <c r="A1052" s="123">
        <v>46105</v>
      </c>
      <c r="B1052" s="45">
        <v>58</v>
      </c>
      <c r="C1052" s="45">
        <v>5.47</v>
      </c>
      <c r="D1052" s="39">
        <v>12603024</v>
      </c>
      <c r="E1052" s="39" t="s">
        <v>57</v>
      </c>
      <c r="F1052" s="39">
        <v>1250</v>
      </c>
      <c r="G1052" s="35">
        <v>0.93055555555555558</v>
      </c>
      <c r="H1052" s="35">
        <v>0.95138888888888884</v>
      </c>
      <c r="I1052" s="36">
        <v>30</v>
      </c>
      <c r="J1052" s="86" t="s">
        <v>51</v>
      </c>
      <c r="K1052" s="116" t="s">
        <v>445</v>
      </c>
      <c r="L1052" s="86" t="s">
        <v>53</v>
      </c>
      <c r="M1052" s="58" t="s">
        <v>54</v>
      </c>
    </row>
    <row r="1053" spans="1:13" x14ac:dyDescent="0.35">
      <c r="A1053" s="123">
        <v>46105</v>
      </c>
      <c r="B1053" s="45">
        <v>57.85</v>
      </c>
      <c r="C1053" s="45">
        <v>5.4</v>
      </c>
      <c r="D1053" s="39">
        <v>12603024</v>
      </c>
      <c r="E1053" s="39" t="s">
        <v>57</v>
      </c>
      <c r="F1053" s="39">
        <v>1250</v>
      </c>
      <c r="G1053" s="35">
        <v>0.95138888888888884</v>
      </c>
      <c r="H1053" s="35">
        <v>0.95694444444444449</v>
      </c>
      <c r="I1053" s="36">
        <v>8</v>
      </c>
      <c r="J1053" s="86" t="s">
        <v>446</v>
      </c>
      <c r="K1053" s="86" t="s">
        <v>26</v>
      </c>
      <c r="L1053" s="86" t="s">
        <v>32</v>
      </c>
      <c r="M1053" s="58" t="s">
        <v>1110</v>
      </c>
    </row>
    <row r="1054" spans="1:13" x14ac:dyDescent="0.35">
      <c r="A1054" s="167">
        <v>46106</v>
      </c>
      <c r="B1054" s="168">
        <v>58</v>
      </c>
      <c r="C1054" s="168">
        <v>5.22</v>
      </c>
      <c r="D1054" s="168">
        <v>12603025</v>
      </c>
      <c r="E1054" s="168" t="s">
        <v>141</v>
      </c>
      <c r="F1054" s="168">
        <v>1250</v>
      </c>
      <c r="G1054" s="169">
        <v>0.3125</v>
      </c>
      <c r="H1054" s="169">
        <v>0.33333333333333331</v>
      </c>
      <c r="I1054" s="168">
        <v>30</v>
      </c>
      <c r="J1054" s="168" t="s">
        <v>51</v>
      </c>
      <c r="K1054" s="168" t="s">
        <v>445</v>
      </c>
      <c r="L1054" s="168" t="s">
        <v>53</v>
      </c>
      <c r="M1054" s="168" t="s">
        <v>54</v>
      </c>
    </row>
    <row r="1055" spans="1:13" x14ac:dyDescent="0.35">
      <c r="A1055" s="167">
        <v>46106</v>
      </c>
      <c r="B1055" s="168">
        <v>58</v>
      </c>
      <c r="C1055" s="168">
        <v>5.22</v>
      </c>
      <c r="D1055" s="168">
        <v>12603025</v>
      </c>
      <c r="E1055" s="168" t="s">
        <v>141</v>
      </c>
      <c r="F1055" s="168">
        <v>1250</v>
      </c>
      <c r="G1055" s="169">
        <v>0.33333333333333331</v>
      </c>
      <c r="H1055" s="169">
        <v>0.33888888888888891</v>
      </c>
      <c r="I1055" s="168">
        <v>8</v>
      </c>
      <c r="J1055" s="168" t="s">
        <v>52</v>
      </c>
      <c r="K1055" s="168" t="s">
        <v>445</v>
      </c>
      <c r="L1055" s="168" t="s">
        <v>59</v>
      </c>
      <c r="M1055" s="168" t="s">
        <v>59</v>
      </c>
    </row>
    <row r="1056" spans="1:13" x14ac:dyDescent="0.35">
      <c r="A1056" s="167">
        <v>46106</v>
      </c>
      <c r="B1056" s="168">
        <v>58</v>
      </c>
      <c r="C1056" s="168">
        <v>5.22</v>
      </c>
      <c r="D1056" s="168">
        <v>12603025</v>
      </c>
      <c r="E1056" s="168" t="s">
        <v>141</v>
      </c>
      <c r="F1056" s="168">
        <v>1250</v>
      </c>
      <c r="G1056" s="169">
        <v>0.33888888888888891</v>
      </c>
      <c r="H1056" s="169">
        <v>0.34236111111111112</v>
      </c>
      <c r="I1056" s="168">
        <v>5</v>
      </c>
      <c r="J1056" s="168" t="s">
        <v>446</v>
      </c>
      <c r="K1056" s="168" t="s">
        <v>19</v>
      </c>
      <c r="L1056" s="168" t="s">
        <v>143</v>
      </c>
      <c r="M1056" s="168" t="s">
        <v>1111</v>
      </c>
    </row>
    <row r="1057" spans="1:13" x14ac:dyDescent="0.35">
      <c r="A1057" s="167">
        <v>46106</v>
      </c>
      <c r="B1057" s="168">
        <v>58</v>
      </c>
      <c r="C1057" s="168">
        <v>5.22</v>
      </c>
      <c r="D1057" s="168">
        <v>12603025</v>
      </c>
      <c r="E1057" s="168" t="s">
        <v>141</v>
      </c>
      <c r="F1057" s="168">
        <v>1250</v>
      </c>
      <c r="G1057" s="169">
        <v>0.34236111111111112</v>
      </c>
      <c r="H1057" s="169">
        <v>0.34722222222222221</v>
      </c>
      <c r="I1057" s="168">
        <v>7</v>
      </c>
      <c r="J1057" s="168" t="s">
        <v>52</v>
      </c>
      <c r="K1057" s="168" t="s">
        <v>62</v>
      </c>
      <c r="L1057" s="168" t="s">
        <v>130</v>
      </c>
      <c r="M1057" s="168" t="s">
        <v>268</v>
      </c>
    </row>
    <row r="1058" spans="1:13" x14ac:dyDescent="0.35">
      <c r="A1058" s="123">
        <v>46107</v>
      </c>
      <c r="B1058" s="39">
        <v>58</v>
      </c>
      <c r="C1058" s="39">
        <v>5.03</v>
      </c>
      <c r="D1058" s="39">
        <v>12603026</v>
      </c>
      <c r="E1058" s="39" t="s">
        <v>82</v>
      </c>
      <c r="F1058" s="39">
        <v>1230</v>
      </c>
      <c r="G1058" s="35">
        <v>0.44861111111111113</v>
      </c>
      <c r="H1058" s="35">
        <v>0.51111111111111107</v>
      </c>
      <c r="I1058" s="36">
        <v>90</v>
      </c>
      <c r="J1058" s="86" t="s">
        <v>463</v>
      </c>
      <c r="K1058" s="86" t="s">
        <v>26</v>
      </c>
      <c r="L1058" s="86" t="s">
        <v>331</v>
      </c>
      <c r="M1058" s="47" t="s">
        <v>1112</v>
      </c>
    </row>
    <row r="1059" spans="1:13" x14ac:dyDescent="0.35">
      <c r="A1059" s="123">
        <v>46107</v>
      </c>
      <c r="B1059" s="39">
        <v>58</v>
      </c>
      <c r="C1059" s="39">
        <v>5.03</v>
      </c>
      <c r="D1059" s="39">
        <v>12603026</v>
      </c>
      <c r="E1059" s="39" t="s">
        <v>82</v>
      </c>
      <c r="F1059" s="39">
        <v>1230</v>
      </c>
      <c r="G1059" s="35">
        <v>0.51111111111111107</v>
      </c>
      <c r="H1059" s="35">
        <v>0.54166666666666663</v>
      </c>
      <c r="I1059" s="36">
        <v>44</v>
      </c>
      <c r="J1059" s="86" t="s">
        <v>463</v>
      </c>
      <c r="K1059" s="86" t="s">
        <v>41</v>
      </c>
      <c r="L1059" s="86" t="s">
        <v>124</v>
      </c>
      <c r="M1059" s="47" t="s">
        <v>1113</v>
      </c>
    </row>
    <row r="1060" spans="1:13" x14ac:dyDescent="0.35">
      <c r="A1060" s="123">
        <v>46108</v>
      </c>
      <c r="B1060" s="39">
        <v>58</v>
      </c>
      <c r="C1060" s="39">
        <v>5.53</v>
      </c>
      <c r="D1060" s="39">
        <v>12603027</v>
      </c>
      <c r="E1060" s="39" t="s">
        <v>141</v>
      </c>
      <c r="F1060" s="39">
        <v>1240</v>
      </c>
      <c r="G1060" s="35">
        <v>0.80972222222222223</v>
      </c>
      <c r="H1060" s="35">
        <v>0.8305555555555556</v>
      </c>
      <c r="I1060" s="36">
        <v>30</v>
      </c>
      <c r="J1060" s="86" t="s">
        <v>51</v>
      </c>
      <c r="K1060" s="116" t="s">
        <v>445</v>
      </c>
      <c r="L1060" s="86" t="s">
        <v>53</v>
      </c>
      <c r="M1060" s="58" t="s">
        <v>54</v>
      </c>
    </row>
    <row r="1061" spans="1:13" x14ac:dyDescent="0.35">
      <c r="A1061" s="123">
        <v>46108</v>
      </c>
      <c r="B1061" s="39">
        <v>58</v>
      </c>
      <c r="C1061" s="39">
        <v>5.53</v>
      </c>
      <c r="D1061" s="39">
        <v>12603027</v>
      </c>
      <c r="E1061" s="39" t="s">
        <v>141</v>
      </c>
      <c r="F1061" s="39">
        <v>1240</v>
      </c>
      <c r="G1061" s="35">
        <v>0.8305555555555556</v>
      </c>
      <c r="H1061" s="35">
        <v>0.83263888888888893</v>
      </c>
      <c r="I1061" s="36">
        <v>3</v>
      </c>
      <c r="J1061" s="86" t="s">
        <v>52</v>
      </c>
      <c r="K1061" s="116" t="s">
        <v>445</v>
      </c>
      <c r="L1061" s="86" t="s">
        <v>59</v>
      </c>
      <c r="M1061" s="58" t="s">
        <v>59</v>
      </c>
    </row>
    <row r="1062" spans="1:13" x14ac:dyDescent="0.35">
      <c r="A1062" s="167">
        <v>46109</v>
      </c>
      <c r="B1062" s="168">
        <v>58</v>
      </c>
      <c r="C1062" s="168">
        <v>5.35</v>
      </c>
      <c r="D1062" s="168">
        <v>12603028</v>
      </c>
      <c r="E1062" s="168" t="s">
        <v>208</v>
      </c>
      <c r="F1062" s="168">
        <v>1250</v>
      </c>
      <c r="G1062" s="169">
        <v>0.54236111111111107</v>
      </c>
      <c r="H1062" s="169">
        <v>0.59652777777777777</v>
      </c>
      <c r="I1062" s="168">
        <v>78</v>
      </c>
      <c r="J1062" s="168" t="s">
        <v>35</v>
      </c>
      <c r="K1062" s="168" t="s">
        <v>62</v>
      </c>
      <c r="L1062" s="168" t="s">
        <v>190</v>
      </c>
      <c r="M1062" s="168" t="s">
        <v>1115</v>
      </c>
    </row>
    <row r="1063" spans="1:13" ht="29" x14ac:dyDescent="0.35">
      <c r="A1063" s="167">
        <v>46110</v>
      </c>
      <c r="B1063" s="168">
        <v>58</v>
      </c>
      <c r="C1063" s="168">
        <v>5.13</v>
      </c>
      <c r="D1063" s="168">
        <v>12603029</v>
      </c>
      <c r="E1063" s="168" t="s">
        <v>69</v>
      </c>
      <c r="F1063" s="168" t="s">
        <v>1116</v>
      </c>
      <c r="G1063" s="169">
        <v>0.61388888888888893</v>
      </c>
      <c r="H1063" s="169">
        <v>0.66874999999999996</v>
      </c>
      <c r="I1063" s="168">
        <v>79</v>
      </c>
      <c r="J1063" s="168" t="s">
        <v>25</v>
      </c>
      <c r="K1063" s="168" t="s">
        <v>445</v>
      </c>
      <c r="L1063" s="168" t="s">
        <v>456</v>
      </c>
      <c r="M1063" s="168" t="s">
        <v>323</v>
      </c>
    </row>
    <row r="1064" spans="1:13" x14ac:dyDescent="0.35">
      <c r="A1064" s="123">
        <v>46112</v>
      </c>
      <c r="B1064" s="35">
        <v>0</v>
      </c>
      <c r="C1064" s="35">
        <v>0.87430555555555556</v>
      </c>
      <c r="D1064" s="45">
        <v>12603030</v>
      </c>
      <c r="E1064" s="98" t="s">
        <v>80</v>
      </c>
      <c r="F1064" s="45">
        <v>1250</v>
      </c>
      <c r="G1064" s="35">
        <v>0.92222222222222228</v>
      </c>
      <c r="H1064" s="35">
        <v>0.95416666666666672</v>
      </c>
      <c r="I1064" s="36">
        <v>46</v>
      </c>
      <c r="J1064" s="86" t="s">
        <v>35</v>
      </c>
      <c r="K1064" s="116" t="s">
        <v>62</v>
      </c>
      <c r="L1064" s="86"/>
      <c r="M1064" s="62" t="s">
        <v>1117</v>
      </c>
    </row>
    <row r="1065" spans="1:13" x14ac:dyDescent="0.35">
      <c r="A1065" s="123">
        <v>46112</v>
      </c>
      <c r="B1065" s="35">
        <v>0</v>
      </c>
      <c r="C1065" s="35">
        <v>0.53472222222222221</v>
      </c>
      <c r="D1065" s="45">
        <v>12603031</v>
      </c>
      <c r="E1065" s="98" t="s">
        <v>50</v>
      </c>
      <c r="F1065" s="45">
        <v>1250</v>
      </c>
      <c r="G1065" s="35">
        <v>0.875</v>
      </c>
      <c r="H1065" s="35">
        <v>0.91666666666666663</v>
      </c>
      <c r="I1065" s="36">
        <v>60</v>
      </c>
      <c r="J1065" s="86" t="s">
        <v>25</v>
      </c>
      <c r="K1065" s="116" t="s">
        <v>445</v>
      </c>
      <c r="L1065" s="86" t="s">
        <v>456</v>
      </c>
      <c r="M1065" s="92" t="s">
        <v>323</v>
      </c>
    </row>
    <row r="1066" spans="1:13" x14ac:dyDescent="0.35">
      <c r="A1066" s="123">
        <v>46113</v>
      </c>
      <c r="B1066" s="170">
        <v>58</v>
      </c>
      <c r="C1066" s="170">
        <v>4.8600000000000003</v>
      </c>
      <c r="D1066" s="85">
        <v>12603031</v>
      </c>
      <c r="E1066" s="85" t="s">
        <v>50</v>
      </c>
      <c r="F1066" s="85">
        <v>1250</v>
      </c>
      <c r="G1066" s="35">
        <v>0.91666666666666663</v>
      </c>
      <c r="H1066" s="35">
        <v>0.97222222222222221</v>
      </c>
      <c r="I1066" s="36">
        <v>80</v>
      </c>
      <c r="J1066" s="86" t="s">
        <v>446</v>
      </c>
      <c r="K1066" s="116" t="s">
        <v>445</v>
      </c>
      <c r="L1066" s="86" t="s">
        <v>650</v>
      </c>
    </row>
    <row r="1067" spans="1:13" x14ac:dyDescent="0.35">
      <c r="A1067" s="122">
        <v>46114</v>
      </c>
      <c r="B1067" s="172">
        <v>58</v>
      </c>
      <c r="C1067" s="172">
        <v>4.9400000000000004</v>
      </c>
      <c r="D1067" s="45">
        <v>12604001</v>
      </c>
      <c r="E1067" s="45" t="s">
        <v>57</v>
      </c>
      <c r="F1067" s="45">
        <v>1250</v>
      </c>
      <c r="G1067" s="35">
        <v>0.33750000000000002</v>
      </c>
      <c r="H1067" s="35">
        <v>0.3576388888888889</v>
      </c>
      <c r="I1067" s="36">
        <v>29</v>
      </c>
      <c r="J1067" s="86" t="s">
        <v>51</v>
      </c>
      <c r="K1067" s="116" t="s">
        <v>445</v>
      </c>
      <c r="L1067" s="86" t="s">
        <v>53</v>
      </c>
      <c r="M1067" s="58" t="s">
        <v>54</v>
      </c>
    </row>
    <row r="1068" spans="1:13" x14ac:dyDescent="0.35">
      <c r="A1068" s="167">
        <v>46115</v>
      </c>
      <c r="B1068" s="168">
        <v>57.51</v>
      </c>
      <c r="C1068" s="168">
        <v>5.41</v>
      </c>
      <c r="D1068" s="168">
        <v>12604002</v>
      </c>
      <c r="E1068" s="168" t="s">
        <v>57</v>
      </c>
      <c r="F1068" s="168" t="s">
        <v>1063</v>
      </c>
      <c r="G1068" s="169">
        <v>0.59305555555555556</v>
      </c>
      <c r="H1068" s="169">
        <v>0.61388888888888893</v>
      </c>
      <c r="I1068" s="168">
        <v>30</v>
      </c>
      <c r="J1068" s="168" t="s">
        <v>51</v>
      </c>
      <c r="K1068" s="168" t="s">
        <v>445</v>
      </c>
      <c r="L1068" s="168" t="s">
        <v>53</v>
      </c>
      <c r="M1068" s="168" t="s">
        <v>54</v>
      </c>
    </row>
    <row r="1069" spans="1:13" x14ac:dyDescent="0.35">
      <c r="A1069" s="167">
        <v>46115</v>
      </c>
      <c r="B1069" s="168">
        <v>57.51</v>
      </c>
      <c r="C1069" s="168">
        <v>5.41</v>
      </c>
      <c r="D1069" s="168">
        <v>12604002</v>
      </c>
      <c r="E1069" s="168" t="s">
        <v>57</v>
      </c>
      <c r="F1069" s="168" t="s">
        <v>1063</v>
      </c>
      <c r="G1069" s="169">
        <v>0.61388888888888893</v>
      </c>
      <c r="H1069" s="169">
        <v>0.61875000000000002</v>
      </c>
      <c r="I1069" s="168">
        <v>7</v>
      </c>
      <c r="J1069" s="168" t="s">
        <v>52</v>
      </c>
      <c r="K1069" s="168" t="s">
        <v>445</v>
      </c>
      <c r="L1069" s="168" t="s">
        <v>59</v>
      </c>
      <c r="M1069" s="168" t="s">
        <v>59</v>
      </c>
    </row>
    <row r="1070" spans="1:13" x14ac:dyDescent="0.35">
      <c r="A1070" s="167">
        <v>46115</v>
      </c>
      <c r="B1070" s="168">
        <v>57.51</v>
      </c>
      <c r="C1070" s="168">
        <v>5.41</v>
      </c>
      <c r="D1070" s="168">
        <v>12604002</v>
      </c>
      <c r="E1070" s="168" t="s">
        <v>57</v>
      </c>
      <c r="F1070" s="168" t="s">
        <v>1063</v>
      </c>
      <c r="G1070" s="169">
        <v>0.61875000000000002</v>
      </c>
      <c r="H1070" s="169">
        <v>0.62430555555555556</v>
      </c>
      <c r="I1070" s="168">
        <v>8</v>
      </c>
      <c r="J1070" s="168" t="s">
        <v>52</v>
      </c>
      <c r="K1070" s="168" t="s">
        <v>62</v>
      </c>
      <c r="L1070" s="168" t="s">
        <v>130</v>
      </c>
      <c r="M1070" s="168" t="s">
        <v>131</v>
      </c>
    </row>
    <row r="1071" spans="1:13" x14ac:dyDescent="0.35">
      <c r="A1071" s="167">
        <v>46116</v>
      </c>
      <c r="B1071" s="168">
        <v>58</v>
      </c>
      <c r="C1071" s="168">
        <v>5.27</v>
      </c>
      <c r="D1071" s="168">
        <v>12604003</v>
      </c>
      <c r="E1071" s="168" t="s">
        <v>119</v>
      </c>
      <c r="F1071" s="168">
        <v>1255</v>
      </c>
      <c r="G1071" s="169">
        <v>0.85347222222222219</v>
      </c>
      <c r="H1071" s="169">
        <v>0.87430555555555556</v>
      </c>
      <c r="I1071" s="168">
        <v>30</v>
      </c>
      <c r="J1071" s="168" t="s">
        <v>51</v>
      </c>
      <c r="K1071" s="168" t="s">
        <v>445</v>
      </c>
      <c r="L1071" s="168" t="s">
        <v>53</v>
      </c>
      <c r="M1071" s="168" t="s">
        <v>54</v>
      </c>
    </row>
    <row r="1072" spans="1:13" x14ac:dyDescent="0.35">
      <c r="A1072" s="123">
        <v>46117</v>
      </c>
      <c r="B1072" s="39">
        <v>58</v>
      </c>
      <c r="C1072" s="39">
        <v>5.39</v>
      </c>
      <c r="D1072" s="39">
        <v>12604004</v>
      </c>
      <c r="E1072" s="39" t="s">
        <v>122</v>
      </c>
      <c r="F1072" s="39" t="s">
        <v>1121</v>
      </c>
      <c r="G1072" s="35">
        <v>0.84375</v>
      </c>
      <c r="H1072" s="35">
        <v>0.86458333333333337</v>
      </c>
      <c r="I1072" s="36">
        <v>30</v>
      </c>
      <c r="J1072" s="86" t="s">
        <v>51</v>
      </c>
      <c r="K1072" s="116" t="s">
        <v>445</v>
      </c>
      <c r="L1072" s="86" t="s">
        <v>53</v>
      </c>
      <c r="M1072" s="47" t="s">
        <v>54</v>
      </c>
    </row>
    <row r="1073" spans="1:13" x14ac:dyDescent="0.35">
      <c r="A1073" s="123">
        <v>46117</v>
      </c>
      <c r="B1073" s="39">
        <v>58</v>
      </c>
      <c r="C1073" s="39">
        <v>5.39</v>
      </c>
      <c r="D1073" s="39">
        <v>12604004</v>
      </c>
      <c r="E1073" s="39" t="s">
        <v>122</v>
      </c>
      <c r="F1073" s="39" t="s">
        <v>1121</v>
      </c>
      <c r="G1073" s="35">
        <v>0.86458333333333337</v>
      </c>
      <c r="H1073" s="35">
        <v>0.86944444444444446</v>
      </c>
      <c r="I1073" s="36">
        <v>7</v>
      </c>
      <c r="J1073" s="86" t="s">
        <v>52</v>
      </c>
      <c r="K1073" s="116" t="s">
        <v>445</v>
      </c>
      <c r="L1073" s="86" t="s">
        <v>59</v>
      </c>
      <c r="M1073" s="47" t="s">
        <v>59</v>
      </c>
    </row>
    <row r="1074" spans="1:13" x14ac:dyDescent="0.35">
      <c r="A1074" s="123">
        <v>46117</v>
      </c>
      <c r="B1074" s="39">
        <v>58</v>
      </c>
      <c r="C1074" s="39">
        <v>5.39</v>
      </c>
      <c r="D1074" s="39">
        <v>12604004</v>
      </c>
      <c r="E1074" s="39" t="s">
        <v>122</v>
      </c>
      <c r="F1074" s="39" t="s">
        <v>1121</v>
      </c>
      <c r="G1074" s="35">
        <v>0.86944444444444446</v>
      </c>
      <c r="H1074" s="35">
        <v>0.87430555555555556</v>
      </c>
      <c r="I1074" s="36">
        <v>7</v>
      </c>
      <c r="J1074" s="86" t="s">
        <v>52</v>
      </c>
      <c r="K1074" s="116" t="s">
        <v>62</v>
      </c>
      <c r="L1074" s="86" t="s">
        <v>130</v>
      </c>
      <c r="M1074" s="47" t="s">
        <v>131</v>
      </c>
    </row>
    <row r="1075" spans="1:13" x14ac:dyDescent="0.35">
      <c r="A1075" s="123">
        <v>46117</v>
      </c>
      <c r="B1075" s="39">
        <v>58</v>
      </c>
      <c r="C1075" s="39">
        <v>5.39</v>
      </c>
      <c r="D1075" s="39">
        <v>12604004</v>
      </c>
      <c r="E1075" s="39" t="s">
        <v>122</v>
      </c>
      <c r="F1075" s="39" t="s">
        <v>1121</v>
      </c>
      <c r="G1075" s="35">
        <v>0.87430555555555556</v>
      </c>
      <c r="H1075" s="35">
        <v>0.87708333333333333</v>
      </c>
      <c r="I1075" s="36">
        <v>4</v>
      </c>
      <c r="J1075" s="86" t="s">
        <v>446</v>
      </c>
      <c r="K1075" s="116" t="s">
        <v>41</v>
      </c>
      <c r="L1075" s="86" t="s">
        <v>454</v>
      </c>
      <c r="M1075" s="47" t="s">
        <v>1122</v>
      </c>
    </row>
    <row r="1076" spans="1:13" x14ac:dyDescent="0.35">
      <c r="A1076" s="123">
        <v>46117</v>
      </c>
      <c r="B1076" s="39">
        <v>58</v>
      </c>
      <c r="C1076" s="39">
        <v>5.39</v>
      </c>
      <c r="D1076" s="39">
        <v>12604005</v>
      </c>
      <c r="E1076" s="39" t="s">
        <v>173</v>
      </c>
      <c r="F1076" s="39">
        <v>1250</v>
      </c>
      <c r="G1076" s="35">
        <v>0.9145833333333333</v>
      </c>
      <c r="H1076" s="35">
        <v>0.91666666666666663</v>
      </c>
      <c r="I1076" s="36">
        <v>3</v>
      </c>
      <c r="J1076" s="86" t="s">
        <v>35</v>
      </c>
      <c r="K1076" s="116" t="s">
        <v>41</v>
      </c>
      <c r="L1076" s="86" t="s">
        <v>401</v>
      </c>
      <c r="M1076" s="47" t="s">
        <v>1123</v>
      </c>
    </row>
    <row r="1077" spans="1:13" x14ac:dyDescent="0.35">
      <c r="A1077" s="122">
        <v>46118</v>
      </c>
      <c r="B1077" s="45">
        <v>58</v>
      </c>
      <c r="C1077" s="45">
        <v>5.4</v>
      </c>
      <c r="D1077" s="39">
        <v>12604005</v>
      </c>
      <c r="E1077" s="39" t="s">
        <v>173</v>
      </c>
      <c r="F1077" s="39">
        <v>1250</v>
      </c>
      <c r="G1077" s="35">
        <v>0.91666666666666663</v>
      </c>
      <c r="H1077" s="35">
        <v>6.7361111111111108E-2</v>
      </c>
      <c r="I1077" s="36">
        <v>217</v>
      </c>
      <c r="J1077" s="86" t="s">
        <v>35</v>
      </c>
      <c r="K1077" s="116" t="s">
        <v>41</v>
      </c>
      <c r="L1077" s="86" t="s">
        <v>401</v>
      </c>
      <c r="M1077" s="47" t="s">
        <v>1123</v>
      </c>
    </row>
    <row r="1078" spans="1:13" x14ac:dyDescent="0.35">
      <c r="A1078" s="122">
        <v>46119</v>
      </c>
      <c r="B1078" s="45">
        <v>57.8</v>
      </c>
      <c r="C1078" s="45">
        <v>5.21</v>
      </c>
      <c r="D1078" s="45">
        <v>12604006</v>
      </c>
      <c r="E1078" s="45" t="s">
        <v>119</v>
      </c>
      <c r="F1078" s="45">
        <v>1250</v>
      </c>
      <c r="G1078" s="35">
        <v>0.35347222222222224</v>
      </c>
      <c r="H1078" s="35">
        <v>0.37430555555555556</v>
      </c>
      <c r="I1078" s="36">
        <v>30</v>
      </c>
      <c r="J1078" s="86" t="s">
        <v>51</v>
      </c>
      <c r="K1078" s="116" t="s">
        <v>445</v>
      </c>
      <c r="L1078" s="86" t="s">
        <v>53</v>
      </c>
      <c r="M1078" s="47" t="s">
        <v>54</v>
      </c>
    </row>
    <row r="1079" spans="1:13" x14ac:dyDescent="0.35">
      <c r="A1079" s="123">
        <v>46120</v>
      </c>
      <c r="B1079" s="39">
        <v>58</v>
      </c>
      <c r="C1079" s="39">
        <v>5.52</v>
      </c>
      <c r="D1079" s="39">
        <v>12604007</v>
      </c>
      <c r="E1079" s="39" t="s">
        <v>119</v>
      </c>
      <c r="F1079" s="39" t="s">
        <v>1126</v>
      </c>
      <c r="G1079" s="35">
        <v>0.60416666666666663</v>
      </c>
      <c r="H1079" s="35">
        <v>0.625</v>
      </c>
      <c r="I1079" s="36">
        <v>30</v>
      </c>
      <c r="J1079" s="86" t="s">
        <v>51</v>
      </c>
      <c r="K1079" s="116" t="s">
        <v>445</v>
      </c>
      <c r="L1079" s="86" t="s">
        <v>53</v>
      </c>
      <c r="M1079" s="58" t="s">
        <v>54</v>
      </c>
    </row>
    <row r="1080" spans="1:13" x14ac:dyDescent="0.35">
      <c r="A1080" s="123">
        <v>46120</v>
      </c>
      <c r="B1080" s="39">
        <v>58</v>
      </c>
      <c r="C1080" s="39">
        <v>5.52</v>
      </c>
      <c r="D1080" s="39">
        <v>12604007</v>
      </c>
      <c r="E1080" s="39" t="s">
        <v>119</v>
      </c>
      <c r="F1080" s="39" t="s">
        <v>1126</v>
      </c>
      <c r="G1080" s="35">
        <v>0.625</v>
      </c>
      <c r="H1080" s="35">
        <v>0.62986111111111109</v>
      </c>
      <c r="I1080" s="36">
        <v>7</v>
      </c>
      <c r="J1080" s="86" t="s">
        <v>52</v>
      </c>
      <c r="K1080" s="116" t="s">
        <v>445</v>
      </c>
      <c r="L1080" s="86" t="s">
        <v>59</v>
      </c>
      <c r="M1080" s="58" t="s">
        <v>59</v>
      </c>
    </row>
    <row r="1081" spans="1:13" x14ac:dyDescent="0.35">
      <c r="A1081" s="123">
        <v>46120</v>
      </c>
      <c r="B1081" s="39">
        <v>58</v>
      </c>
      <c r="C1081" s="39">
        <v>5.52</v>
      </c>
      <c r="D1081" s="39">
        <v>12604007</v>
      </c>
      <c r="E1081" s="39" t="s">
        <v>119</v>
      </c>
      <c r="F1081" s="39" t="s">
        <v>1126</v>
      </c>
      <c r="G1081" s="35">
        <v>0.62986111111111109</v>
      </c>
      <c r="H1081" s="35">
        <v>0.63541666666666663</v>
      </c>
      <c r="I1081" s="36">
        <v>8</v>
      </c>
      <c r="J1081" s="86" t="s">
        <v>52</v>
      </c>
      <c r="K1081" s="116" t="s">
        <v>62</v>
      </c>
      <c r="L1081" s="86" t="s">
        <v>130</v>
      </c>
      <c r="M1081" s="58" t="s">
        <v>164</v>
      </c>
    </row>
  </sheetData>
  <autoFilter ref="A1:M1051" xr:uid="{0D3FAC4F-9BF3-42D7-86D6-EF33D167B0CC}"/>
  <phoneticPr fontId="10" type="noConversion"/>
  <dataValidations count="1">
    <dataValidation type="list" allowBlank="1" showInputMessage="1" showErrorMessage="1" sqref="L37:L66 L1:L3 L5:L10 L12 L14 L16 L18:L25 L27:L35 L421:L424 L639:L659 L662:L663 L665:L674 L974 L1082:L1048576" xr:uid="{E2E64AF4-6892-4961-A969-E4795907C862}">
      <formula1>INDIRECT($K1)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F96C-AA0C-444A-AA6B-D2959639F74C}">
  <dimension ref="A1:AC1176"/>
  <sheetViews>
    <sheetView tabSelected="1" topLeftCell="B1162" zoomScale="87" workbookViewId="0">
      <selection activeCell="D1173" sqref="D1173:F1175"/>
    </sheetView>
  </sheetViews>
  <sheetFormatPr defaultRowHeight="14.5" x14ac:dyDescent="0.35"/>
  <cols>
    <col min="1" max="1" width="12.453125" customWidth="1"/>
    <col min="2" max="2" width="11" customWidth="1"/>
    <col min="3" max="3" width="10.81640625" customWidth="1"/>
    <col min="4" max="6" width="12.453125" customWidth="1"/>
    <col min="7" max="9" width="10" customWidth="1"/>
    <col min="10" max="10" width="11.81640625" customWidth="1"/>
    <col min="11" max="11" width="19.54296875" customWidth="1"/>
    <col min="12" max="12" width="50.7265625" bestFit="1" customWidth="1"/>
    <col min="13" max="13" width="65.81640625" customWidth="1"/>
  </cols>
  <sheetData>
    <row r="1" spans="1:13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35">
      <c r="A2" s="17">
        <v>45566</v>
      </c>
      <c r="B2" s="10">
        <v>57</v>
      </c>
      <c r="C2" s="10">
        <v>4.7508532423208178</v>
      </c>
      <c r="D2" s="15">
        <v>22409029</v>
      </c>
      <c r="E2" s="15" t="s">
        <v>50</v>
      </c>
      <c r="F2" s="15">
        <v>1230</v>
      </c>
      <c r="G2" s="4">
        <v>0.32361111111111113</v>
      </c>
      <c r="H2" s="4">
        <v>0.91666666666666663</v>
      </c>
      <c r="I2" s="5">
        <v>853.99999999999989</v>
      </c>
      <c r="J2" t="s">
        <v>14</v>
      </c>
      <c r="K2" t="s">
        <v>15</v>
      </c>
      <c r="L2" t="s">
        <v>16</v>
      </c>
      <c r="M2" s="6" t="s">
        <v>17</v>
      </c>
    </row>
    <row r="3" spans="1:13" x14ac:dyDescent="0.35">
      <c r="A3" s="17">
        <v>45567</v>
      </c>
      <c r="B3" s="18">
        <v>57.68</v>
      </c>
      <c r="C3" s="18">
        <v>5.3439153439153442</v>
      </c>
      <c r="D3" s="16">
        <f t="shared" ref="D3:F3" si="0">D2</f>
        <v>22409029</v>
      </c>
      <c r="E3" s="16" t="str">
        <f t="shared" si="0"/>
        <v>L+40</v>
      </c>
      <c r="F3" s="16">
        <f t="shared" si="0"/>
        <v>1230</v>
      </c>
      <c r="G3" s="4">
        <v>0.91666666666666663</v>
      </c>
      <c r="H3" s="4">
        <v>0.22569444444444445</v>
      </c>
      <c r="I3" s="5">
        <v>445</v>
      </c>
      <c r="J3" t="str">
        <f>J2</f>
        <v>Dsicontinued</v>
      </c>
      <c r="K3" t="s">
        <v>15</v>
      </c>
      <c r="L3" t="s">
        <v>16</v>
      </c>
      <c r="M3" s="6" t="s">
        <v>17</v>
      </c>
    </row>
    <row r="4" spans="1:13" x14ac:dyDescent="0.35">
      <c r="A4" s="17">
        <f t="shared" ref="A4:C4" si="1">A3</f>
        <v>45567</v>
      </c>
      <c r="B4" s="19">
        <f t="shared" si="1"/>
        <v>57.68</v>
      </c>
      <c r="C4" s="19">
        <f t="shared" si="1"/>
        <v>5.3439153439153442</v>
      </c>
      <c r="D4" s="15">
        <v>22410001</v>
      </c>
      <c r="E4" s="15" t="s">
        <v>90</v>
      </c>
      <c r="F4" s="15">
        <v>1010</v>
      </c>
      <c r="G4" s="4">
        <v>0.62847222222222221</v>
      </c>
      <c r="H4" s="4">
        <v>0.65972222222222221</v>
      </c>
      <c r="I4" s="5">
        <v>45</v>
      </c>
      <c r="J4" t="s">
        <v>14</v>
      </c>
      <c r="K4" t="s">
        <v>41</v>
      </c>
      <c r="L4" t="s">
        <v>91</v>
      </c>
      <c r="M4" s="6" t="s">
        <v>92</v>
      </c>
    </row>
    <row r="5" spans="1:13" x14ac:dyDescent="0.35">
      <c r="A5" s="17">
        <f t="shared" ref="A5:F5" si="2">A4</f>
        <v>45567</v>
      </c>
      <c r="B5" s="20">
        <f t="shared" si="2"/>
        <v>57.68</v>
      </c>
      <c r="C5" s="20">
        <f t="shared" si="2"/>
        <v>5.3439153439153442</v>
      </c>
      <c r="D5" s="16">
        <f t="shared" si="2"/>
        <v>22410001</v>
      </c>
      <c r="E5" s="16" t="str">
        <f t="shared" si="2"/>
        <v>L+13</v>
      </c>
      <c r="F5" s="16">
        <f t="shared" si="2"/>
        <v>1010</v>
      </c>
      <c r="G5" s="4">
        <v>0.65972222222222221</v>
      </c>
      <c r="H5" s="13">
        <v>0.66319444444444442</v>
      </c>
      <c r="I5" s="5">
        <v>4.9999999999999822</v>
      </c>
      <c r="J5" t="str">
        <f>J4</f>
        <v>Dsicontinued</v>
      </c>
      <c r="K5" t="s">
        <v>21</v>
      </c>
      <c r="L5" t="s">
        <v>74</v>
      </c>
      <c r="M5" s="6" t="s">
        <v>75</v>
      </c>
    </row>
    <row r="6" spans="1:13" x14ac:dyDescent="0.35">
      <c r="A6" s="17">
        <v>45568</v>
      </c>
      <c r="B6" s="18">
        <v>58</v>
      </c>
      <c r="C6" s="18">
        <v>4.8852517985611508</v>
      </c>
      <c r="D6" s="15">
        <v>22410002</v>
      </c>
      <c r="E6" s="15" t="s">
        <v>93</v>
      </c>
      <c r="F6" s="15">
        <v>1255</v>
      </c>
      <c r="G6" s="4">
        <v>0.8125</v>
      </c>
      <c r="H6" s="4">
        <v>0.83333333333333337</v>
      </c>
      <c r="I6" s="5">
        <v>30.000000000000053</v>
      </c>
      <c r="J6" t="s">
        <v>51</v>
      </c>
      <c r="K6" t="s">
        <v>52</v>
      </c>
      <c r="L6" t="s">
        <v>53</v>
      </c>
      <c r="M6" s="6" t="s">
        <v>54</v>
      </c>
    </row>
    <row r="7" spans="1:13" x14ac:dyDescent="0.35">
      <c r="A7" s="17">
        <f t="shared" ref="A7:F7" si="3">A6</f>
        <v>45568</v>
      </c>
      <c r="B7" s="20">
        <f t="shared" si="3"/>
        <v>58</v>
      </c>
      <c r="C7" s="20">
        <f t="shared" si="3"/>
        <v>4.8852517985611508</v>
      </c>
      <c r="D7" s="16">
        <f t="shared" si="3"/>
        <v>22410002</v>
      </c>
      <c r="E7" s="16" t="str">
        <f t="shared" si="3"/>
        <v>L+46</v>
      </c>
      <c r="F7" s="16">
        <f t="shared" si="3"/>
        <v>1255</v>
      </c>
      <c r="G7" s="4">
        <v>0.83333333333333337</v>
      </c>
      <c r="H7" s="4">
        <v>0.84722222222222221</v>
      </c>
      <c r="I7" s="5">
        <v>19.999999999999929</v>
      </c>
      <c r="J7" t="str">
        <f>J6</f>
        <v>Complete</v>
      </c>
      <c r="K7" t="s">
        <v>21</v>
      </c>
      <c r="L7" t="s">
        <v>22</v>
      </c>
      <c r="M7" s="6" t="s">
        <v>23</v>
      </c>
    </row>
    <row r="8" spans="1:13" x14ac:dyDescent="0.35">
      <c r="A8" s="17">
        <v>45570</v>
      </c>
      <c r="B8" s="10">
        <v>58</v>
      </c>
      <c r="C8" s="10">
        <v>5.2451388888888886</v>
      </c>
      <c r="D8" s="15">
        <v>22410003</v>
      </c>
      <c r="E8" s="15" t="s">
        <v>80</v>
      </c>
      <c r="F8" s="15">
        <v>1250</v>
      </c>
      <c r="G8" s="4">
        <v>5.2083333333333336E-2</v>
      </c>
      <c r="H8" s="4">
        <v>0.125</v>
      </c>
      <c r="I8" s="5">
        <v>104.99999999999999</v>
      </c>
      <c r="J8" t="s">
        <v>35</v>
      </c>
      <c r="K8" t="s">
        <v>19</v>
      </c>
      <c r="L8" t="s">
        <v>94</v>
      </c>
      <c r="M8" s="9" t="s">
        <v>95</v>
      </c>
    </row>
    <row r="9" spans="1:13" x14ac:dyDescent="0.35">
      <c r="A9" s="17">
        <f>A8</f>
        <v>45570</v>
      </c>
      <c r="B9" s="10">
        <v>57.270270270270274</v>
      </c>
      <c r="C9" s="10">
        <v>5.1800784313725492</v>
      </c>
      <c r="D9" s="16">
        <f t="shared" ref="D9:F9" si="4">D8</f>
        <v>22410003</v>
      </c>
      <c r="E9" s="16" t="str">
        <f t="shared" si="4"/>
        <v>L+49</v>
      </c>
      <c r="F9" s="16">
        <f t="shared" si="4"/>
        <v>1250</v>
      </c>
      <c r="G9" s="4">
        <v>0.125</v>
      </c>
      <c r="H9" s="4">
        <v>0.16666666666666666</v>
      </c>
      <c r="I9" s="5">
        <v>59.999999999999986</v>
      </c>
      <c r="J9" t="str">
        <f>J8</f>
        <v>Castabort</v>
      </c>
      <c r="K9" t="s">
        <v>21</v>
      </c>
      <c r="L9" t="s">
        <v>96</v>
      </c>
      <c r="M9" s="6" t="s">
        <v>97</v>
      </c>
    </row>
    <row r="10" spans="1:13" x14ac:dyDescent="0.35">
      <c r="A10" s="17">
        <v>45571</v>
      </c>
      <c r="B10" s="18">
        <v>57.972972972972975</v>
      </c>
      <c r="C10" s="18">
        <v>5.3652380952380962</v>
      </c>
      <c r="D10" s="15">
        <v>22410004</v>
      </c>
      <c r="E10" s="15" t="s">
        <v>98</v>
      </c>
      <c r="F10" s="15">
        <v>1230</v>
      </c>
      <c r="G10" s="4">
        <v>4.1666666666666664E-2</v>
      </c>
      <c r="H10" s="4">
        <v>0.125</v>
      </c>
      <c r="I10" s="5">
        <v>120.00000000000001</v>
      </c>
      <c r="J10" t="s">
        <v>25</v>
      </c>
      <c r="K10" t="s">
        <v>21</v>
      </c>
      <c r="L10" t="s">
        <v>83</v>
      </c>
      <c r="M10" s="7" t="s">
        <v>84</v>
      </c>
    </row>
    <row r="11" spans="1:13" x14ac:dyDescent="0.35">
      <c r="A11" s="17">
        <f t="shared" ref="A11:F11" si="5">A10</f>
        <v>45571</v>
      </c>
      <c r="B11" s="20">
        <f t="shared" si="5"/>
        <v>57.972972972972975</v>
      </c>
      <c r="C11" s="20">
        <f t="shared" si="5"/>
        <v>5.3652380952380962</v>
      </c>
      <c r="D11" s="16">
        <f t="shared" si="5"/>
        <v>22410004</v>
      </c>
      <c r="E11" s="16" t="str">
        <f t="shared" si="5"/>
        <v>L+36</v>
      </c>
      <c r="F11" s="16">
        <f t="shared" si="5"/>
        <v>1230</v>
      </c>
      <c r="G11" s="4">
        <v>0.125</v>
      </c>
      <c r="H11" s="4">
        <v>0.16666666666666666</v>
      </c>
      <c r="I11" s="5">
        <v>59.999999999999986</v>
      </c>
      <c r="J11" t="str">
        <f>J10</f>
        <v>Breakout</v>
      </c>
      <c r="K11" t="s">
        <v>21</v>
      </c>
      <c r="L11" t="s">
        <v>55</v>
      </c>
      <c r="M11" s="6" t="s">
        <v>99</v>
      </c>
    </row>
    <row r="12" spans="1:13" x14ac:dyDescent="0.35">
      <c r="A12" s="17">
        <v>45572</v>
      </c>
      <c r="B12" s="18">
        <v>55.825000000000003</v>
      </c>
      <c r="C12" s="18">
        <v>5.1644688644688648</v>
      </c>
      <c r="D12" s="15">
        <v>22410005</v>
      </c>
      <c r="E12" s="15" t="s">
        <v>80</v>
      </c>
      <c r="F12" s="15" t="s">
        <v>58</v>
      </c>
      <c r="G12" s="4">
        <v>0.3659722222222222</v>
      </c>
      <c r="H12" s="4">
        <v>0.38680555555555557</v>
      </c>
      <c r="I12" s="5">
        <v>30.000000000000053</v>
      </c>
      <c r="J12" t="s">
        <v>51</v>
      </c>
      <c r="K12" t="s">
        <v>52</v>
      </c>
      <c r="L12" t="s">
        <v>53</v>
      </c>
      <c r="M12" s="6" t="s">
        <v>54</v>
      </c>
    </row>
    <row r="13" spans="1:13" x14ac:dyDescent="0.35">
      <c r="A13" s="17">
        <f t="shared" ref="A13:F15" si="6">A12</f>
        <v>45572</v>
      </c>
      <c r="B13" s="19">
        <f t="shared" si="6"/>
        <v>55.825000000000003</v>
      </c>
      <c r="C13" s="19">
        <f t="shared" si="6"/>
        <v>5.1644688644688648</v>
      </c>
      <c r="D13" s="21">
        <f t="shared" si="6"/>
        <v>22410005</v>
      </c>
      <c r="E13" s="21" t="str">
        <f t="shared" si="6"/>
        <v>L+49</v>
      </c>
      <c r="F13" s="21" t="str">
        <f t="shared" si="6"/>
        <v>1230/1250</v>
      </c>
      <c r="G13" s="4">
        <v>0.38680555555555557</v>
      </c>
      <c r="H13" s="4">
        <v>0.3972222222222222</v>
      </c>
      <c r="I13" s="5">
        <v>14.999999999999947</v>
      </c>
      <c r="J13" t="str">
        <f t="shared" ref="J13:J15" si="7">J12</f>
        <v>Complete</v>
      </c>
      <c r="K13" t="s">
        <v>21</v>
      </c>
      <c r="L13" t="s">
        <v>73</v>
      </c>
      <c r="M13" s="6" t="s">
        <v>59</v>
      </c>
    </row>
    <row r="14" spans="1:13" x14ac:dyDescent="0.35">
      <c r="A14" s="17">
        <f t="shared" si="6"/>
        <v>45572</v>
      </c>
      <c r="B14" s="19">
        <f t="shared" si="6"/>
        <v>55.825000000000003</v>
      </c>
      <c r="C14" s="19">
        <f t="shared" si="6"/>
        <v>5.1644688644688648</v>
      </c>
      <c r="D14" s="21">
        <f t="shared" si="6"/>
        <v>22410005</v>
      </c>
      <c r="E14" s="21" t="str">
        <f t="shared" si="6"/>
        <v>L+49</v>
      </c>
      <c r="F14" s="21" t="str">
        <f t="shared" si="6"/>
        <v>1230/1250</v>
      </c>
      <c r="G14" s="4">
        <v>0.3972222222222222</v>
      </c>
      <c r="H14" s="4">
        <v>0.40416666666666667</v>
      </c>
      <c r="I14" s="5">
        <v>10.000000000000044</v>
      </c>
      <c r="J14" t="str">
        <f t="shared" si="7"/>
        <v>Complete</v>
      </c>
      <c r="K14" t="s">
        <v>21</v>
      </c>
      <c r="L14" t="s">
        <v>74</v>
      </c>
      <c r="M14" s="6" t="s">
        <v>75</v>
      </c>
    </row>
    <row r="15" spans="1:13" x14ac:dyDescent="0.35">
      <c r="A15" s="17">
        <f t="shared" si="6"/>
        <v>45572</v>
      </c>
      <c r="B15" s="20">
        <f t="shared" si="6"/>
        <v>55.825000000000003</v>
      </c>
      <c r="C15" s="20">
        <f t="shared" si="6"/>
        <v>5.1644688644688648</v>
      </c>
      <c r="D15" s="16">
        <f t="shared" si="6"/>
        <v>22410005</v>
      </c>
      <c r="E15" s="16" t="str">
        <f t="shared" si="6"/>
        <v>L+49</v>
      </c>
      <c r="F15" s="16" t="str">
        <f t="shared" si="6"/>
        <v>1230/1250</v>
      </c>
      <c r="G15" s="4">
        <v>0.40416666666666667</v>
      </c>
      <c r="H15" s="4">
        <v>0.41805555555555557</v>
      </c>
      <c r="I15" s="5">
        <v>20.000000000000007</v>
      </c>
      <c r="J15" t="str">
        <f t="shared" si="7"/>
        <v>Complete</v>
      </c>
      <c r="K15" t="s">
        <v>19</v>
      </c>
      <c r="L15" s="6" t="s">
        <v>100</v>
      </c>
      <c r="M15" s="6" t="s">
        <v>100</v>
      </c>
    </row>
    <row r="16" spans="1:13" x14ac:dyDescent="0.35">
      <c r="A16" s="17">
        <v>45573</v>
      </c>
      <c r="B16" s="18">
        <v>56.128205128205131</v>
      </c>
      <c r="C16" s="18">
        <v>5.1671744097486672</v>
      </c>
      <c r="D16" s="15">
        <v>22410006</v>
      </c>
      <c r="E16" s="15" t="s">
        <v>101</v>
      </c>
      <c r="F16" s="15">
        <v>1350</v>
      </c>
      <c r="G16" s="4">
        <v>0.49236111111111114</v>
      </c>
      <c r="H16" s="4">
        <v>0.5708333333333333</v>
      </c>
      <c r="I16" s="5">
        <v>112.99999999999991</v>
      </c>
      <c r="J16" t="s">
        <v>35</v>
      </c>
      <c r="K16" t="s">
        <v>62</v>
      </c>
      <c r="L16" t="s">
        <v>63</v>
      </c>
      <c r="M16" s="9" t="s">
        <v>102</v>
      </c>
    </row>
    <row r="17" spans="1:13" x14ac:dyDescent="0.35">
      <c r="A17" s="17">
        <f t="shared" ref="A17:F17" si="8">A16</f>
        <v>45573</v>
      </c>
      <c r="B17" s="20">
        <f t="shared" si="8"/>
        <v>56.128205128205131</v>
      </c>
      <c r="C17" s="20">
        <f t="shared" si="8"/>
        <v>5.1671744097486672</v>
      </c>
      <c r="D17" s="16">
        <f t="shared" si="8"/>
        <v>22410006</v>
      </c>
      <c r="E17" s="16" t="str">
        <f t="shared" si="8"/>
        <v>L+45</v>
      </c>
      <c r="F17" s="16">
        <f t="shared" si="8"/>
        <v>1350</v>
      </c>
      <c r="G17" s="4">
        <v>0.5708333333333333</v>
      </c>
      <c r="H17" s="4">
        <v>0.5805555555555556</v>
      </c>
      <c r="I17" s="5">
        <v>14.00000000000011</v>
      </c>
      <c r="J17" t="str">
        <f>J16</f>
        <v>Castabort</v>
      </c>
      <c r="K17" t="s">
        <v>21</v>
      </c>
      <c r="L17" t="s">
        <v>74</v>
      </c>
      <c r="M17" s="6" t="s">
        <v>75</v>
      </c>
    </row>
    <row r="18" spans="1:13" x14ac:dyDescent="0.35">
      <c r="A18" s="17">
        <v>45574</v>
      </c>
      <c r="B18" s="10">
        <v>58</v>
      </c>
      <c r="C18" s="10">
        <v>5.24079236977256</v>
      </c>
      <c r="D18" s="8">
        <v>22410007</v>
      </c>
      <c r="E18" s="8" t="s">
        <v>103</v>
      </c>
      <c r="F18" s="8">
        <v>1260</v>
      </c>
      <c r="G18" s="4">
        <v>0.40833333333333333</v>
      </c>
      <c r="H18" s="4">
        <v>0.46180555555555558</v>
      </c>
      <c r="I18" s="5">
        <v>77.000000000000043</v>
      </c>
      <c r="J18" t="s">
        <v>14</v>
      </c>
      <c r="K18" t="s">
        <v>26</v>
      </c>
      <c r="L18" t="s">
        <v>29</v>
      </c>
      <c r="M18" s="6" t="s">
        <v>68</v>
      </c>
    </row>
    <row r="19" spans="1:13" x14ac:dyDescent="0.35">
      <c r="A19" s="17">
        <v>45575</v>
      </c>
      <c r="B19" s="18">
        <v>58</v>
      </c>
      <c r="C19" s="18">
        <v>5.3555634807417976</v>
      </c>
      <c r="D19" s="15">
        <v>22410008</v>
      </c>
      <c r="E19" s="15" t="s">
        <v>104</v>
      </c>
      <c r="F19" s="15" t="s">
        <v>58</v>
      </c>
      <c r="G19" s="4">
        <v>0.69374999999999998</v>
      </c>
      <c r="H19" s="4">
        <v>0.71458333333333335</v>
      </c>
      <c r="I19" s="5">
        <v>30.000000000000053</v>
      </c>
      <c r="J19" t="s">
        <v>51</v>
      </c>
      <c r="K19" t="s">
        <v>52</v>
      </c>
      <c r="L19" t="s">
        <v>53</v>
      </c>
      <c r="M19" s="6" t="s">
        <v>54</v>
      </c>
    </row>
    <row r="20" spans="1:13" x14ac:dyDescent="0.35">
      <c r="A20" s="17">
        <f t="shared" ref="A20:F20" si="9">A19</f>
        <v>45575</v>
      </c>
      <c r="B20" s="20">
        <f t="shared" si="9"/>
        <v>58</v>
      </c>
      <c r="C20" s="20">
        <f t="shared" si="9"/>
        <v>5.3555634807417976</v>
      </c>
      <c r="D20" s="16">
        <f t="shared" si="9"/>
        <v>22410008</v>
      </c>
      <c r="E20" s="16" t="str">
        <f t="shared" si="9"/>
        <v>L+54</v>
      </c>
      <c r="F20" s="16" t="str">
        <f t="shared" si="9"/>
        <v>1230/1250</v>
      </c>
      <c r="G20" s="4">
        <v>0.71458333333333335</v>
      </c>
      <c r="H20" s="4">
        <v>0.72013888888888888</v>
      </c>
      <c r="I20" s="5">
        <v>7.9999999999999716</v>
      </c>
      <c r="J20" t="str">
        <f>J19</f>
        <v>Complete</v>
      </c>
      <c r="K20" t="s">
        <v>19</v>
      </c>
      <c r="L20" s="6" t="s">
        <v>105</v>
      </c>
      <c r="M20" s="6" t="s">
        <v>105</v>
      </c>
    </row>
    <row r="21" spans="1:13" x14ac:dyDescent="0.35">
      <c r="A21" s="17">
        <v>45577</v>
      </c>
      <c r="B21" s="10">
        <v>58</v>
      </c>
      <c r="C21" s="10">
        <v>5.4260416666666664</v>
      </c>
      <c r="D21" s="15">
        <v>22410009</v>
      </c>
      <c r="E21" s="15" t="s">
        <v>104</v>
      </c>
      <c r="F21" s="15">
        <v>1260</v>
      </c>
      <c r="G21" s="4">
        <v>0.93055555555555558</v>
      </c>
      <c r="H21" s="4">
        <v>0.99305555555555558</v>
      </c>
      <c r="I21" s="5">
        <v>90</v>
      </c>
      <c r="J21" t="s">
        <v>25</v>
      </c>
      <c r="K21" t="s">
        <v>21</v>
      </c>
      <c r="L21" t="s">
        <v>83</v>
      </c>
      <c r="M21" s="7" t="s">
        <v>106</v>
      </c>
    </row>
    <row r="22" spans="1:13" x14ac:dyDescent="0.35">
      <c r="A22" s="17">
        <f>A21</f>
        <v>45577</v>
      </c>
      <c r="B22" s="18">
        <v>58</v>
      </c>
      <c r="C22" s="18">
        <v>5.2271719038817004</v>
      </c>
      <c r="D22" s="16">
        <f t="shared" ref="D22:F22" si="10">D21</f>
        <v>22410009</v>
      </c>
      <c r="E22" s="16" t="str">
        <f t="shared" si="10"/>
        <v>L+54</v>
      </c>
      <c r="F22" s="16">
        <f t="shared" si="10"/>
        <v>1260</v>
      </c>
      <c r="G22" s="4">
        <v>0.99305555555555558</v>
      </c>
      <c r="H22" s="4">
        <v>2.0833333333333332E-2</v>
      </c>
      <c r="I22" s="5">
        <v>40.000000000000014</v>
      </c>
      <c r="J22" t="str">
        <f>J21</f>
        <v>Breakout</v>
      </c>
      <c r="K22" t="s">
        <v>19</v>
      </c>
      <c r="L22" s="6" t="s">
        <v>107</v>
      </c>
      <c r="M22" s="6" t="s">
        <v>107</v>
      </c>
    </row>
    <row r="23" spans="1:13" x14ac:dyDescent="0.35">
      <c r="A23" s="17">
        <f t="shared" ref="A23:C24" si="11">A22</f>
        <v>45577</v>
      </c>
      <c r="B23" s="19">
        <f t="shared" si="11"/>
        <v>58</v>
      </c>
      <c r="C23" s="19">
        <f t="shared" si="11"/>
        <v>5.2271719038817004</v>
      </c>
      <c r="D23" s="14">
        <v>22410010</v>
      </c>
      <c r="E23" s="8" t="s">
        <v>44</v>
      </c>
      <c r="F23" s="8">
        <v>1205</v>
      </c>
      <c r="G23" s="4">
        <v>0.13541666666666666</v>
      </c>
      <c r="H23" s="4">
        <v>0.21736111111111112</v>
      </c>
      <c r="I23" s="5">
        <v>118.00000000000001</v>
      </c>
      <c r="J23" t="s">
        <v>25</v>
      </c>
      <c r="K23" t="s">
        <v>21</v>
      </c>
      <c r="L23" t="s">
        <v>83</v>
      </c>
      <c r="M23" s="7" t="s">
        <v>84</v>
      </c>
    </row>
    <row r="24" spans="1:13" x14ac:dyDescent="0.35">
      <c r="A24" s="17">
        <f t="shared" si="11"/>
        <v>45577</v>
      </c>
      <c r="B24" s="20">
        <f t="shared" si="11"/>
        <v>58</v>
      </c>
      <c r="C24" s="20">
        <f t="shared" si="11"/>
        <v>5.2271719038817004</v>
      </c>
      <c r="D24" s="14">
        <v>22401011</v>
      </c>
      <c r="E24" s="8" t="s">
        <v>24</v>
      </c>
      <c r="F24" s="8">
        <v>1230</v>
      </c>
      <c r="G24" s="4">
        <v>0.43055555555555558</v>
      </c>
      <c r="H24" s="4">
        <v>0.50694444444444442</v>
      </c>
      <c r="I24" s="5">
        <v>109.99999999999993</v>
      </c>
      <c r="J24" t="s">
        <v>25</v>
      </c>
      <c r="K24" t="s">
        <v>21</v>
      </c>
      <c r="L24" t="s">
        <v>83</v>
      </c>
      <c r="M24" s="7" t="s">
        <v>84</v>
      </c>
    </row>
    <row r="25" spans="1:13" x14ac:dyDescent="0.35">
      <c r="A25" s="17">
        <v>45578</v>
      </c>
      <c r="B25" s="18">
        <v>57.485714285714288</v>
      </c>
      <c r="C25" s="18">
        <v>5.0640343347639467</v>
      </c>
      <c r="D25" s="14">
        <v>22401012</v>
      </c>
      <c r="E25" s="8" t="s">
        <v>76</v>
      </c>
      <c r="F25" s="8">
        <v>1230</v>
      </c>
      <c r="G25" s="4">
        <v>7.6388888888888895E-2</v>
      </c>
      <c r="H25" s="4">
        <v>0.13194444444444445</v>
      </c>
      <c r="I25" s="5">
        <v>80</v>
      </c>
      <c r="J25" t="s">
        <v>35</v>
      </c>
      <c r="K25" t="s">
        <v>21</v>
      </c>
      <c r="L25" s="9" t="s">
        <v>108</v>
      </c>
      <c r="M25" s="9" t="s">
        <v>108</v>
      </c>
    </row>
    <row r="26" spans="1:13" x14ac:dyDescent="0.35">
      <c r="A26" s="17">
        <f t="shared" ref="A26:C26" si="12">A25</f>
        <v>45578</v>
      </c>
      <c r="B26" s="20">
        <f t="shared" si="12"/>
        <v>57.485714285714288</v>
      </c>
      <c r="C26" s="20">
        <f t="shared" si="12"/>
        <v>5.0640343347639467</v>
      </c>
      <c r="D26" s="15">
        <v>22401013</v>
      </c>
      <c r="E26" s="15" t="s">
        <v>109</v>
      </c>
      <c r="F26" s="15">
        <v>1250</v>
      </c>
      <c r="G26" s="4">
        <v>0.78125</v>
      </c>
      <c r="H26" s="4">
        <v>0.91666666666666663</v>
      </c>
      <c r="I26" s="5">
        <v>194.99999999999994</v>
      </c>
      <c r="J26" t="s">
        <v>35</v>
      </c>
      <c r="K26" t="s">
        <v>62</v>
      </c>
      <c r="L26" t="s">
        <v>110</v>
      </c>
      <c r="M26" s="9" t="s">
        <v>78</v>
      </c>
    </row>
    <row r="27" spans="1:13" x14ac:dyDescent="0.35">
      <c r="A27" s="17">
        <v>45579</v>
      </c>
      <c r="B27" s="18">
        <v>58</v>
      </c>
      <c r="C27" s="18">
        <v>4.9802083333333336</v>
      </c>
      <c r="D27" s="16">
        <f t="shared" ref="D27:F27" si="13">D26</f>
        <v>22401013</v>
      </c>
      <c r="E27" s="16" t="str">
        <f t="shared" si="13"/>
        <v>L+27</v>
      </c>
      <c r="F27" s="16">
        <f t="shared" si="13"/>
        <v>1250</v>
      </c>
      <c r="G27" s="4">
        <v>0.91666666666666663</v>
      </c>
      <c r="H27" s="4">
        <v>0.96875</v>
      </c>
      <c r="I27" s="5">
        <v>75.000000000000057</v>
      </c>
      <c r="J27" t="str">
        <f>J26</f>
        <v>Castabort</v>
      </c>
      <c r="K27" t="s">
        <v>62</v>
      </c>
      <c r="L27" t="s">
        <v>110</v>
      </c>
      <c r="M27" s="6" t="s">
        <v>79</v>
      </c>
    </row>
    <row r="28" spans="1:13" x14ac:dyDescent="0.35">
      <c r="A28" s="17">
        <f t="shared" ref="A28:C28" si="14">A27</f>
        <v>45579</v>
      </c>
      <c r="B28" s="20">
        <f t="shared" si="14"/>
        <v>58</v>
      </c>
      <c r="C28" s="20">
        <f t="shared" si="14"/>
        <v>4.9802083333333336</v>
      </c>
      <c r="D28" s="14">
        <v>22401014</v>
      </c>
      <c r="E28" s="8" t="s">
        <v>111</v>
      </c>
      <c r="F28" s="8">
        <v>1250</v>
      </c>
      <c r="G28" s="4">
        <v>0.59722222222222221</v>
      </c>
      <c r="H28" s="4">
        <v>0.87847222222222221</v>
      </c>
      <c r="I28" s="5">
        <v>405</v>
      </c>
      <c r="J28" t="s">
        <v>35</v>
      </c>
      <c r="K28" t="s">
        <v>19</v>
      </c>
      <c r="L28" t="s">
        <v>112</v>
      </c>
      <c r="M28" s="9" t="s">
        <v>113</v>
      </c>
    </row>
    <row r="29" spans="1:13" x14ac:dyDescent="0.35">
      <c r="A29" s="17">
        <v>45580</v>
      </c>
      <c r="B29" s="10">
        <v>58</v>
      </c>
      <c r="C29" s="10">
        <v>5.1752459016393448</v>
      </c>
      <c r="D29" s="14">
        <v>22410015</v>
      </c>
      <c r="E29" s="8" t="s">
        <v>114</v>
      </c>
      <c r="F29" s="8">
        <v>1230</v>
      </c>
      <c r="G29" s="4">
        <v>0.64583333333333337</v>
      </c>
      <c r="H29" s="4">
        <v>0.79861111111111116</v>
      </c>
      <c r="I29" s="5">
        <v>220.00000000000003</v>
      </c>
      <c r="J29" t="str">
        <f>J28</f>
        <v>Castabort</v>
      </c>
      <c r="K29" t="s">
        <v>19</v>
      </c>
      <c r="L29" t="s">
        <v>112</v>
      </c>
      <c r="M29" s="9" t="s">
        <v>115</v>
      </c>
    </row>
    <row r="30" spans="1:13" x14ac:dyDescent="0.35">
      <c r="A30" s="17">
        <v>45582</v>
      </c>
      <c r="B30" s="10">
        <v>57.560975609756099</v>
      </c>
      <c r="C30" s="10">
        <v>5.085</v>
      </c>
      <c r="D30" s="15">
        <v>22410016</v>
      </c>
      <c r="E30" s="15" t="s">
        <v>116</v>
      </c>
      <c r="F30" s="15">
        <v>1230</v>
      </c>
      <c r="G30" s="4">
        <v>1.0131944444444445</v>
      </c>
      <c r="H30" s="4">
        <v>1.0340277777777778</v>
      </c>
      <c r="I30" s="5">
        <v>29.999999999999893</v>
      </c>
      <c r="J30" t="s">
        <v>51</v>
      </c>
      <c r="K30" t="s">
        <v>52</v>
      </c>
      <c r="L30" t="s">
        <v>53</v>
      </c>
      <c r="M30" s="6" t="s">
        <v>54</v>
      </c>
    </row>
    <row r="31" spans="1:13" x14ac:dyDescent="0.35">
      <c r="A31" s="17">
        <f>A30</f>
        <v>45582</v>
      </c>
      <c r="B31" s="18">
        <v>57.846153846153847</v>
      </c>
      <c r="C31" s="18">
        <v>5.1297277409860182</v>
      </c>
      <c r="D31" s="21">
        <f t="shared" ref="D31:F31" si="15">D30</f>
        <v>22410016</v>
      </c>
      <c r="E31" s="21" t="str">
        <f t="shared" si="15"/>
        <v>L+48</v>
      </c>
      <c r="F31" s="21">
        <f t="shared" si="15"/>
        <v>1230</v>
      </c>
      <c r="G31" s="4">
        <v>1.0340277777777778</v>
      </c>
      <c r="H31" s="4">
        <v>4.4444444444444446E-2</v>
      </c>
      <c r="I31" s="5">
        <v>14.999999999999947</v>
      </c>
      <c r="J31" t="str">
        <f t="shared" ref="J31:J33" si="16">J30</f>
        <v>Complete</v>
      </c>
      <c r="K31" t="s">
        <v>21</v>
      </c>
      <c r="L31" t="s">
        <v>73</v>
      </c>
      <c r="M31" s="6" t="s">
        <v>59</v>
      </c>
    </row>
    <row r="32" spans="1:13" x14ac:dyDescent="0.35">
      <c r="A32" s="17">
        <f t="shared" ref="A32:F33" si="17">A31</f>
        <v>45582</v>
      </c>
      <c r="B32" s="19">
        <f t="shared" si="17"/>
        <v>57.846153846153847</v>
      </c>
      <c r="C32" s="19">
        <f t="shared" si="17"/>
        <v>5.1297277409860182</v>
      </c>
      <c r="D32" s="21">
        <f t="shared" si="17"/>
        <v>22410016</v>
      </c>
      <c r="E32" s="21" t="str">
        <f t="shared" si="17"/>
        <v>L+48</v>
      </c>
      <c r="F32" s="21">
        <f t="shared" si="17"/>
        <v>1230</v>
      </c>
      <c r="G32" s="4">
        <v>4.4444444444444446E-2</v>
      </c>
      <c r="H32" s="4">
        <v>5.6944444444444443E-2</v>
      </c>
      <c r="I32" s="5">
        <v>17.999999999999996</v>
      </c>
      <c r="J32" t="str">
        <f t="shared" si="16"/>
        <v>Complete</v>
      </c>
      <c r="K32" t="s">
        <v>19</v>
      </c>
      <c r="L32" s="6" t="s">
        <v>117</v>
      </c>
      <c r="M32" s="6" t="s">
        <v>117</v>
      </c>
    </row>
    <row r="33" spans="1:13" x14ac:dyDescent="0.35">
      <c r="A33" s="17">
        <f t="shared" si="17"/>
        <v>45582</v>
      </c>
      <c r="B33" s="20">
        <f t="shared" si="17"/>
        <v>57.846153846153847</v>
      </c>
      <c r="C33" s="20">
        <f t="shared" si="17"/>
        <v>5.1297277409860182</v>
      </c>
      <c r="D33" s="16">
        <f t="shared" si="17"/>
        <v>22410016</v>
      </c>
      <c r="E33" s="16" t="str">
        <f t="shared" si="17"/>
        <v>L+48</v>
      </c>
      <c r="F33" s="16">
        <f t="shared" si="17"/>
        <v>1230</v>
      </c>
      <c r="G33" s="4">
        <v>5.6944444444444443E-2</v>
      </c>
      <c r="H33" s="4">
        <v>6.9444444444444448E-2</v>
      </c>
      <c r="I33" s="5">
        <v>18.000000000000007</v>
      </c>
      <c r="J33" t="str">
        <f t="shared" si="16"/>
        <v>Complete</v>
      </c>
      <c r="K33" t="s">
        <v>21</v>
      </c>
      <c r="L33" t="s">
        <v>22</v>
      </c>
      <c r="M33" s="6" t="s">
        <v>118</v>
      </c>
    </row>
    <row r="34" spans="1:13" x14ac:dyDescent="0.35">
      <c r="A34" s="17">
        <v>45583</v>
      </c>
      <c r="B34" s="18">
        <v>58</v>
      </c>
      <c r="C34" s="18">
        <v>5.2714057507987215</v>
      </c>
      <c r="D34" s="15">
        <v>22410017</v>
      </c>
      <c r="E34" s="15" t="s">
        <v>119</v>
      </c>
      <c r="F34" s="15">
        <v>1250</v>
      </c>
      <c r="G34" s="4">
        <v>0.30555555555555558</v>
      </c>
      <c r="H34" s="4">
        <v>0.3263888888888889</v>
      </c>
      <c r="I34" s="5">
        <f t="shared" ref="I34:I37" si="18">IF(H34=0,"",(IF(H34&gt;G34,(H34-G34)*1440,(H34-G34+1)*1440)))</f>
        <v>29.999999999999972</v>
      </c>
      <c r="J34" t="s">
        <v>51</v>
      </c>
      <c r="K34" t="s">
        <v>52</v>
      </c>
      <c r="L34" t="s">
        <v>53</v>
      </c>
      <c r="M34" s="6" t="s">
        <v>54</v>
      </c>
    </row>
    <row r="35" spans="1:13" x14ac:dyDescent="0.35">
      <c r="A35" s="17">
        <f t="shared" ref="A35:F35" si="19">A34</f>
        <v>45583</v>
      </c>
      <c r="B35" s="19">
        <f t="shared" si="19"/>
        <v>58</v>
      </c>
      <c r="C35" s="19">
        <f t="shared" si="19"/>
        <v>5.2714057507987215</v>
      </c>
      <c r="D35" s="16">
        <f t="shared" si="19"/>
        <v>22410017</v>
      </c>
      <c r="E35" s="16" t="str">
        <f t="shared" si="19"/>
        <v>L+51</v>
      </c>
      <c r="F35" s="16">
        <f t="shared" si="19"/>
        <v>1250</v>
      </c>
      <c r="G35" s="4">
        <v>0.3263888888888889</v>
      </c>
      <c r="H35" s="4">
        <v>0.33541666666666664</v>
      </c>
      <c r="I35" s="5">
        <f t="shared" si="18"/>
        <v>12.999999999999954</v>
      </c>
      <c r="J35" t="str">
        <f>J34</f>
        <v>Complete</v>
      </c>
      <c r="K35" t="s">
        <v>26</v>
      </c>
      <c r="L35" t="s">
        <v>32</v>
      </c>
      <c r="M35" s="6" t="s">
        <v>61</v>
      </c>
    </row>
    <row r="36" spans="1:13" x14ac:dyDescent="0.35">
      <c r="A36" s="17">
        <f t="shared" ref="A36:C36" si="20">A35</f>
        <v>45583</v>
      </c>
      <c r="B36" s="19">
        <f t="shared" si="20"/>
        <v>58</v>
      </c>
      <c r="C36" s="19">
        <f t="shared" si="20"/>
        <v>5.2714057507987215</v>
      </c>
      <c r="D36" s="15">
        <v>22410018</v>
      </c>
      <c r="E36" s="15" t="s">
        <v>47</v>
      </c>
      <c r="F36" s="15">
        <v>1260</v>
      </c>
      <c r="G36" s="4">
        <v>0.34027777777777779</v>
      </c>
      <c r="H36" s="4">
        <v>0.4236111111111111</v>
      </c>
      <c r="I36" s="5">
        <f t="shared" si="18"/>
        <v>119.99999999999997</v>
      </c>
      <c r="J36" t="s">
        <v>35</v>
      </c>
      <c r="K36" t="s">
        <v>19</v>
      </c>
      <c r="L36" s="9" t="s">
        <v>120</v>
      </c>
      <c r="M36" s="9" t="s">
        <v>120</v>
      </c>
    </row>
    <row r="37" spans="1:13" x14ac:dyDescent="0.35">
      <c r="A37" s="17">
        <f t="shared" ref="A37:F37" si="21">A36</f>
        <v>45583</v>
      </c>
      <c r="B37" s="20">
        <f t="shared" si="21"/>
        <v>58</v>
      </c>
      <c r="C37" s="20">
        <f t="shared" si="21"/>
        <v>5.2714057507987215</v>
      </c>
      <c r="D37" s="16">
        <f t="shared" si="21"/>
        <v>22410018</v>
      </c>
      <c r="E37" s="16" t="str">
        <f t="shared" si="21"/>
        <v>L+0</v>
      </c>
      <c r="F37" s="16">
        <f t="shared" si="21"/>
        <v>1260</v>
      </c>
      <c r="G37" s="4">
        <v>0.4236111111111111</v>
      </c>
      <c r="H37" s="4">
        <v>0.44097222222222221</v>
      </c>
      <c r="I37" s="5">
        <f t="shared" si="18"/>
        <v>24.999999999999993</v>
      </c>
      <c r="J37" t="str">
        <f>J36</f>
        <v>Castabort</v>
      </c>
      <c r="K37" t="s">
        <v>41</v>
      </c>
      <c r="L37" s="6" t="s">
        <v>121</v>
      </c>
      <c r="M37" s="6" t="s">
        <v>121</v>
      </c>
    </row>
    <row r="38" spans="1:13" x14ac:dyDescent="0.35">
      <c r="A38" s="17">
        <v>45584</v>
      </c>
      <c r="B38" s="18">
        <v>58</v>
      </c>
      <c r="C38" s="18">
        <v>4.8499999999999996</v>
      </c>
      <c r="D38" s="32">
        <v>22410019</v>
      </c>
      <c r="E38" s="15" t="s">
        <v>122</v>
      </c>
      <c r="F38" s="27">
        <v>1260</v>
      </c>
      <c r="G38" s="4">
        <v>0.42708333333333331</v>
      </c>
      <c r="H38" s="4">
        <v>0.55208333333333337</v>
      </c>
      <c r="I38" s="5">
        <v>180.00000000000009</v>
      </c>
      <c r="J38" t="s">
        <v>14</v>
      </c>
      <c r="K38" t="s">
        <v>26</v>
      </c>
      <c r="L38" t="s">
        <v>29</v>
      </c>
      <c r="M38" s="30" t="s">
        <v>123</v>
      </c>
    </row>
    <row r="39" spans="1:13" x14ac:dyDescent="0.35">
      <c r="A39" s="17">
        <f t="shared" ref="A39:F39" si="22">A38</f>
        <v>45584</v>
      </c>
      <c r="B39" s="19">
        <f t="shared" si="22"/>
        <v>58</v>
      </c>
      <c r="C39" s="19">
        <f t="shared" si="22"/>
        <v>4.8499999999999996</v>
      </c>
      <c r="D39" s="33">
        <f t="shared" si="22"/>
        <v>22410019</v>
      </c>
      <c r="E39" s="24" t="str">
        <f t="shared" si="22"/>
        <v>L+39</v>
      </c>
      <c r="F39" s="29">
        <f t="shared" si="22"/>
        <v>1260</v>
      </c>
      <c r="G39" s="4">
        <v>0.55208333333333337</v>
      </c>
      <c r="H39" s="4">
        <v>0.56597222222222221</v>
      </c>
      <c r="I39" s="5">
        <v>19.999999999999929</v>
      </c>
      <c r="J39" t="str">
        <f>J38</f>
        <v>Dsicontinued</v>
      </c>
      <c r="K39" t="s">
        <v>41</v>
      </c>
      <c r="L39" t="s">
        <v>124</v>
      </c>
      <c r="M39" s="30" t="s">
        <v>125</v>
      </c>
    </row>
    <row r="40" spans="1:13" x14ac:dyDescent="0.35">
      <c r="A40" s="17">
        <f t="shared" ref="A40:C40" si="23">A39</f>
        <v>45584</v>
      </c>
      <c r="B40" s="19">
        <f t="shared" si="23"/>
        <v>58</v>
      </c>
      <c r="C40" s="19">
        <f t="shared" si="23"/>
        <v>4.8499999999999996</v>
      </c>
      <c r="D40" s="32">
        <v>22410020</v>
      </c>
      <c r="E40" s="15" t="s">
        <v>126</v>
      </c>
      <c r="F40" s="27">
        <v>1230</v>
      </c>
      <c r="G40" s="4">
        <v>0.65902777777777777</v>
      </c>
      <c r="H40" s="4">
        <v>0.72152777777777777</v>
      </c>
      <c r="I40" s="5">
        <v>90</v>
      </c>
      <c r="J40" t="s">
        <v>35</v>
      </c>
      <c r="K40" t="s">
        <v>19</v>
      </c>
      <c r="L40" t="s">
        <v>127</v>
      </c>
      <c r="M40" s="30" t="s">
        <v>128</v>
      </c>
    </row>
    <row r="41" spans="1:13" x14ac:dyDescent="0.35">
      <c r="A41" s="17">
        <f t="shared" ref="A41:F41" si="24">A40</f>
        <v>45584</v>
      </c>
      <c r="B41" s="20">
        <f t="shared" si="24"/>
        <v>58</v>
      </c>
      <c r="C41" s="20">
        <f t="shared" si="24"/>
        <v>4.8499999999999996</v>
      </c>
      <c r="D41" s="33">
        <f t="shared" si="24"/>
        <v>22410020</v>
      </c>
      <c r="E41" s="24" t="str">
        <f t="shared" si="24"/>
        <v>L+3</v>
      </c>
      <c r="F41" s="29">
        <f t="shared" si="24"/>
        <v>1230</v>
      </c>
      <c r="G41" s="4">
        <v>0.72152777777777777</v>
      </c>
      <c r="H41" s="4">
        <v>0.80208333333333337</v>
      </c>
      <c r="I41" s="5">
        <v>116.00000000000007</v>
      </c>
      <c r="J41" t="str">
        <f>J40</f>
        <v>Castabort</v>
      </c>
      <c r="K41" t="s">
        <v>19</v>
      </c>
      <c r="L41" t="s">
        <v>149</v>
      </c>
      <c r="M41" s="30" t="s">
        <v>129</v>
      </c>
    </row>
    <row r="42" spans="1:13" x14ac:dyDescent="0.35">
      <c r="A42" s="17">
        <v>45586</v>
      </c>
      <c r="B42" s="10">
        <v>57.428571428571431</v>
      </c>
      <c r="C42" s="10">
        <v>5.2346527777777778</v>
      </c>
      <c r="D42" s="32">
        <v>22410021</v>
      </c>
      <c r="E42" s="15" t="s">
        <v>57</v>
      </c>
      <c r="F42" s="27" t="s">
        <v>58</v>
      </c>
      <c r="G42" s="4">
        <v>1.0277777777777777</v>
      </c>
      <c r="H42" s="4">
        <v>4.8611111111111112E-2</v>
      </c>
      <c r="I42" s="5">
        <f t="shared" ref="I42:I53" si="25">IF(H42=0,"",(IF(H42&gt;G42,(H42-G42)*1440,(H42-G42+1)*1440)))</f>
        <v>30.000000000000213</v>
      </c>
      <c r="J42" t="s">
        <v>51</v>
      </c>
      <c r="K42" t="s">
        <v>52</v>
      </c>
      <c r="L42" t="s">
        <v>53</v>
      </c>
      <c r="M42" s="30" t="s">
        <v>54</v>
      </c>
    </row>
    <row r="43" spans="1:13" x14ac:dyDescent="0.35">
      <c r="A43" s="17">
        <f>A42</f>
        <v>45586</v>
      </c>
      <c r="B43" s="18">
        <v>58</v>
      </c>
      <c r="C43" s="18">
        <v>5.3475812274368231</v>
      </c>
      <c r="D43" s="34">
        <f t="shared" ref="D43:F43" si="26">D42</f>
        <v>22410021</v>
      </c>
      <c r="E43" s="23" t="str">
        <f t="shared" si="26"/>
        <v>L+50</v>
      </c>
      <c r="F43" s="28" t="str">
        <f t="shared" si="26"/>
        <v>1230/1250</v>
      </c>
      <c r="G43" s="4">
        <v>4.8611111111111112E-2</v>
      </c>
      <c r="H43" s="4">
        <v>5.9027777777777776E-2</v>
      </c>
      <c r="I43" s="5">
        <f t="shared" si="25"/>
        <v>14.999999999999996</v>
      </c>
      <c r="J43" t="str">
        <f t="shared" ref="J43:J45" si="27">J42</f>
        <v>Complete</v>
      </c>
      <c r="K43" t="s">
        <v>21</v>
      </c>
      <c r="L43" t="s">
        <v>73</v>
      </c>
      <c r="M43" s="30" t="s">
        <v>59</v>
      </c>
    </row>
    <row r="44" spans="1:13" x14ac:dyDescent="0.35">
      <c r="A44" s="17">
        <f t="shared" ref="A44:F45" si="28">A43</f>
        <v>45586</v>
      </c>
      <c r="B44" s="19">
        <f t="shared" si="28"/>
        <v>58</v>
      </c>
      <c r="C44" s="19">
        <f t="shared" si="28"/>
        <v>5.3475812274368231</v>
      </c>
      <c r="D44" s="34">
        <f t="shared" si="28"/>
        <v>22410021</v>
      </c>
      <c r="E44" s="23" t="str">
        <f t="shared" si="28"/>
        <v>L+50</v>
      </c>
      <c r="F44" s="28" t="str">
        <f t="shared" si="28"/>
        <v>1230/1250</v>
      </c>
      <c r="G44" s="4">
        <v>5.9027777777777776E-2</v>
      </c>
      <c r="H44" s="4">
        <v>6.25E-2</v>
      </c>
      <c r="I44" s="5">
        <f t="shared" si="25"/>
        <v>5.0000000000000018</v>
      </c>
      <c r="J44" t="str">
        <f t="shared" si="27"/>
        <v>Complete</v>
      </c>
      <c r="K44" t="s">
        <v>26</v>
      </c>
      <c r="L44" t="s">
        <v>150</v>
      </c>
      <c r="M44" s="30" t="s">
        <v>151</v>
      </c>
    </row>
    <row r="45" spans="1:13" x14ac:dyDescent="0.35">
      <c r="A45" s="17">
        <f t="shared" si="28"/>
        <v>45586</v>
      </c>
      <c r="B45" s="20">
        <f t="shared" si="28"/>
        <v>58</v>
      </c>
      <c r="C45" s="20">
        <f t="shared" si="28"/>
        <v>5.3475812274368231</v>
      </c>
      <c r="D45" s="33">
        <f t="shared" si="28"/>
        <v>22410021</v>
      </c>
      <c r="E45" s="24" t="str">
        <f t="shared" si="28"/>
        <v>L+50</v>
      </c>
      <c r="F45" s="29" t="str">
        <f t="shared" si="28"/>
        <v>1230/1250</v>
      </c>
      <c r="G45" s="4">
        <v>6.25E-2</v>
      </c>
      <c r="H45" s="4">
        <v>6.5972222222222224E-2</v>
      </c>
      <c r="I45" s="5">
        <f t="shared" si="25"/>
        <v>5.0000000000000018</v>
      </c>
      <c r="J45" t="str">
        <f t="shared" si="27"/>
        <v>Complete</v>
      </c>
      <c r="K45" t="s">
        <v>41</v>
      </c>
      <c r="L45" t="s">
        <v>152</v>
      </c>
      <c r="M45" s="30" t="s">
        <v>153</v>
      </c>
    </row>
    <row r="46" spans="1:13" x14ac:dyDescent="0.35">
      <c r="A46" s="17">
        <v>45587</v>
      </c>
      <c r="B46" s="11">
        <v>58</v>
      </c>
      <c r="C46" s="11">
        <v>5.2336225596529289</v>
      </c>
      <c r="D46" s="26">
        <v>22410022</v>
      </c>
      <c r="E46" s="14" t="s">
        <v>141</v>
      </c>
      <c r="F46" s="25">
        <v>1260</v>
      </c>
      <c r="G46" s="4">
        <v>0.30208333333333331</v>
      </c>
      <c r="H46" s="4">
        <v>0.32291666666666669</v>
      </c>
      <c r="I46" s="5">
        <f t="shared" si="25"/>
        <v>30.000000000000053</v>
      </c>
      <c r="J46" t="s">
        <v>51</v>
      </c>
      <c r="K46" t="s">
        <v>52</v>
      </c>
      <c r="L46" t="s">
        <v>53</v>
      </c>
      <c r="M46" s="30" t="s">
        <v>54</v>
      </c>
    </row>
    <row r="47" spans="1:13" x14ac:dyDescent="0.35">
      <c r="A47" s="17">
        <f t="shared" ref="A47:F48" si="29">A46</f>
        <v>45587</v>
      </c>
      <c r="B47" s="11">
        <f t="shared" si="29"/>
        <v>58</v>
      </c>
      <c r="C47" s="11">
        <f t="shared" si="29"/>
        <v>5.2336225596529289</v>
      </c>
      <c r="D47" s="26">
        <f t="shared" si="29"/>
        <v>22410022</v>
      </c>
      <c r="E47" s="22" t="str">
        <f t="shared" si="29"/>
        <v>L+53</v>
      </c>
      <c r="F47" s="25">
        <f t="shared" si="29"/>
        <v>1260</v>
      </c>
      <c r="G47" s="4">
        <v>0.32291666666666669</v>
      </c>
      <c r="H47" s="4">
        <v>0.3298611111111111</v>
      </c>
      <c r="I47" s="5">
        <f t="shared" si="25"/>
        <v>9.9999999999999645</v>
      </c>
      <c r="J47" t="str">
        <f t="shared" ref="J47:J48" si="30">J46</f>
        <v>Complete</v>
      </c>
      <c r="K47" t="s">
        <v>21</v>
      </c>
      <c r="L47" t="s">
        <v>73</v>
      </c>
      <c r="M47" s="30" t="s">
        <v>154</v>
      </c>
    </row>
    <row r="48" spans="1:13" x14ac:dyDescent="0.35">
      <c r="A48" s="17">
        <f t="shared" si="29"/>
        <v>45587</v>
      </c>
      <c r="B48" s="11">
        <f t="shared" si="29"/>
        <v>58</v>
      </c>
      <c r="C48" s="11">
        <f t="shared" si="29"/>
        <v>5.2336225596529289</v>
      </c>
      <c r="D48" s="26">
        <f t="shared" si="29"/>
        <v>22410022</v>
      </c>
      <c r="E48" s="22" t="str">
        <f t="shared" si="29"/>
        <v>L+53</v>
      </c>
      <c r="F48" s="25">
        <f t="shared" si="29"/>
        <v>1260</v>
      </c>
      <c r="G48" s="4">
        <v>0.3298611111111111</v>
      </c>
      <c r="H48" s="4">
        <v>0.34166666666666667</v>
      </c>
      <c r="I48" s="5">
        <f t="shared" si="25"/>
        <v>17.000000000000021</v>
      </c>
      <c r="J48" t="str">
        <f t="shared" si="30"/>
        <v>Complete</v>
      </c>
      <c r="K48" t="s">
        <v>26</v>
      </c>
      <c r="L48" t="s">
        <v>150</v>
      </c>
      <c r="M48" s="30" t="s">
        <v>155</v>
      </c>
    </row>
    <row r="49" spans="1:13" x14ac:dyDescent="0.35">
      <c r="A49" s="17">
        <v>45588</v>
      </c>
      <c r="B49" s="10">
        <v>58</v>
      </c>
      <c r="C49" s="10">
        <v>5.2408610271903324</v>
      </c>
      <c r="D49" s="26">
        <v>22410023</v>
      </c>
      <c r="E49" s="8" t="s">
        <v>69</v>
      </c>
      <c r="F49" s="26">
        <v>1250</v>
      </c>
      <c r="G49" s="4">
        <v>0.36944444444444446</v>
      </c>
      <c r="H49" s="4">
        <v>0.45</v>
      </c>
      <c r="I49" s="5">
        <f t="shared" si="25"/>
        <v>115.99999999999999</v>
      </c>
      <c r="J49" t="s">
        <v>25</v>
      </c>
      <c r="K49" t="s">
        <v>21</v>
      </c>
      <c r="L49" t="s">
        <v>83</v>
      </c>
      <c r="M49" s="30" t="s">
        <v>84</v>
      </c>
    </row>
    <row r="50" spans="1:13" x14ac:dyDescent="0.35">
      <c r="A50" s="17">
        <v>45589</v>
      </c>
      <c r="B50" s="10">
        <v>58</v>
      </c>
      <c r="C50" s="10">
        <v>5.2907801418439711</v>
      </c>
      <c r="D50" s="26">
        <v>22410024</v>
      </c>
      <c r="E50" s="8" t="s">
        <v>57</v>
      </c>
      <c r="F50" s="26">
        <v>1235</v>
      </c>
      <c r="G50" s="4">
        <v>0.64236111111111116</v>
      </c>
      <c r="H50" s="4">
        <v>0.66319444444444442</v>
      </c>
      <c r="I50" s="5">
        <f t="shared" si="25"/>
        <v>29.999999999999893</v>
      </c>
      <c r="J50" t="s">
        <v>51</v>
      </c>
      <c r="K50" t="s">
        <v>52</v>
      </c>
      <c r="L50" t="s">
        <v>53</v>
      </c>
      <c r="M50" s="30" t="s">
        <v>54</v>
      </c>
    </row>
    <row r="51" spans="1:13" x14ac:dyDescent="0.35">
      <c r="A51" s="17">
        <v>45590</v>
      </c>
      <c r="B51" s="10">
        <v>58</v>
      </c>
      <c r="C51" s="10">
        <v>5.1591900311526482</v>
      </c>
      <c r="D51" s="26">
        <v>22410025</v>
      </c>
      <c r="E51" s="8" t="s">
        <v>156</v>
      </c>
      <c r="F51" s="26">
        <v>1235</v>
      </c>
      <c r="G51" s="4">
        <v>0.57291666666666663</v>
      </c>
      <c r="H51" s="4">
        <v>0.68125000000000002</v>
      </c>
      <c r="I51" s="5">
        <f t="shared" si="25"/>
        <v>156.00000000000009</v>
      </c>
      <c r="J51" t="s">
        <v>35</v>
      </c>
      <c r="K51" t="s">
        <v>62</v>
      </c>
      <c r="L51" t="s">
        <v>139</v>
      </c>
      <c r="M51" s="30" t="s">
        <v>140</v>
      </c>
    </row>
    <row r="52" spans="1:13" x14ac:dyDescent="0.35">
      <c r="A52" s="17">
        <v>45591</v>
      </c>
      <c r="B52" s="18">
        <v>58</v>
      </c>
      <c r="C52" s="18">
        <v>5.1026217228464423</v>
      </c>
      <c r="D52" s="32">
        <v>22410026</v>
      </c>
      <c r="E52" s="15" t="s">
        <v>80</v>
      </c>
      <c r="F52" s="27">
        <v>1250</v>
      </c>
      <c r="G52" s="4">
        <v>0.83680555555555558</v>
      </c>
      <c r="H52" s="4">
        <v>0.89930555555555558</v>
      </c>
      <c r="I52" s="5">
        <f t="shared" si="25"/>
        <v>90</v>
      </c>
      <c r="J52" t="s">
        <v>25</v>
      </c>
      <c r="K52" t="s">
        <v>21</v>
      </c>
      <c r="L52" t="s">
        <v>83</v>
      </c>
      <c r="M52" s="31" t="s">
        <v>84</v>
      </c>
    </row>
    <row r="53" spans="1:13" x14ac:dyDescent="0.35">
      <c r="A53" s="17">
        <f t="shared" ref="A53:F53" si="31">A52</f>
        <v>45591</v>
      </c>
      <c r="B53" s="20">
        <f t="shared" si="31"/>
        <v>58</v>
      </c>
      <c r="C53" s="20">
        <f t="shared" si="31"/>
        <v>5.1026217228464423</v>
      </c>
      <c r="D53" s="33">
        <f t="shared" si="31"/>
        <v>22410026</v>
      </c>
      <c r="E53" s="24" t="str">
        <f t="shared" si="31"/>
        <v>L+49</v>
      </c>
      <c r="F53" s="29">
        <f t="shared" si="31"/>
        <v>1250</v>
      </c>
      <c r="G53" s="4">
        <v>0.89930555555555558</v>
      </c>
      <c r="H53" s="4">
        <v>0.90972222222222221</v>
      </c>
      <c r="I53" s="5">
        <f t="shared" si="25"/>
        <v>14.999999999999947</v>
      </c>
      <c r="J53" t="str">
        <f>J52</f>
        <v>Breakout</v>
      </c>
      <c r="K53" t="s">
        <v>21</v>
      </c>
      <c r="L53" t="s">
        <v>74</v>
      </c>
      <c r="M53" s="30" t="s">
        <v>157</v>
      </c>
    </row>
    <row r="54" spans="1:13" x14ac:dyDescent="0.35">
      <c r="A54" s="17">
        <v>45592</v>
      </c>
      <c r="B54" s="10">
        <v>57.842105263157897</v>
      </c>
      <c r="C54" s="10">
        <v>5.0206361520558573</v>
      </c>
      <c r="D54" s="26">
        <v>22410027</v>
      </c>
      <c r="E54" s="8" t="s">
        <v>126</v>
      </c>
      <c r="F54" s="26">
        <v>1350</v>
      </c>
      <c r="G54" s="4">
        <v>0.98888888888888893</v>
      </c>
      <c r="H54" s="4">
        <v>9.375E-2</v>
      </c>
      <c r="I54" s="5">
        <v>150.99999999999994</v>
      </c>
      <c r="J54" t="s">
        <v>35</v>
      </c>
      <c r="K54" t="s">
        <v>62</v>
      </c>
      <c r="L54" t="s">
        <v>139</v>
      </c>
      <c r="M54" s="30" t="s">
        <v>158</v>
      </c>
    </row>
    <row r="55" spans="1:13" x14ac:dyDescent="0.35">
      <c r="A55" s="17">
        <v>45593</v>
      </c>
      <c r="B55" s="18">
        <v>57.736842105263158</v>
      </c>
      <c r="C55" s="18">
        <v>5.0461713419257013</v>
      </c>
      <c r="D55" s="26">
        <v>22410028</v>
      </c>
      <c r="E55" s="8" t="s">
        <v>159</v>
      </c>
      <c r="F55" s="26">
        <v>1260</v>
      </c>
      <c r="G55" s="4">
        <v>0.28125</v>
      </c>
      <c r="H55" s="4">
        <v>0.30208333333333331</v>
      </c>
      <c r="I55" s="5">
        <v>29.999999999999972</v>
      </c>
      <c r="J55" t="s">
        <v>51</v>
      </c>
      <c r="K55" t="s">
        <v>52</v>
      </c>
      <c r="L55" t="s">
        <v>53</v>
      </c>
      <c r="M55" s="30" t="s">
        <v>54</v>
      </c>
    </row>
    <row r="56" spans="1:13" x14ac:dyDescent="0.35">
      <c r="A56" s="17">
        <f t="shared" ref="A56:C56" si="32">A55</f>
        <v>45593</v>
      </c>
      <c r="B56" s="20">
        <f t="shared" si="32"/>
        <v>57.736842105263158</v>
      </c>
      <c r="C56" s="20">
        <f t="shared" si="32"/>
        <v>5.0461713419257013</v>
      </c>
      <c r="D56" s="26">
        <v>22410029</v>
      </c>
      <c r="E56" s="8" t="s">
        <v>160</v>
      </c>
      <c r="F56" s="26">
        <v>1230</v>
      </c>
      <c r="G56" s="4">
        <v>0.59513888888888888</v>
      </c>
      <c r="H56" s="4">
        <v>0.65833333333333333</v>
      </c>
      <c r="I56" s="5">
        <v>91</v>
      </c>
      <c r="J56" t="s">
        <v>35</v>
      </c>
      <c r="K56" t="s">
        <v>161</v>
      </c>
      <c r="L56" t="s">
        <v>162</v>
      </c>
      <c r="M56" s="30" t="s">
        <v>163</v>
      </c>
    </row>
    <row r="57" spans="1:13" x14ac:dyDescent="0.35">
      <c r="A57" s="17">
        <v>45594</v>
      </c>
      <c r="B57" s="18">
        <v>58</v>
      </c>
      <c r="C57" s="18">
        <v>5.1376978417266184</v>
      </c>
      <c r="D57" s="32">
        <v>22410030</v>
      </c>
      <c r="E57" s="15" t="s">
        <v>101</v>
      </c>
      <c r="F57" s="27">
        <v>1255</v>
      </c>
      <c r="G57" s="4">
        <v>0.75</v>
      </c>
      <c r="H57" s="4">
        <v>0.77083333333333337</v>
      </c>
      <c r="I57" s="5">
        <f t="shared" ref="I57:I59" si="33">IF(H57=0,"",(IF(H57&gt;G57,(H57-G57)*1440,(H57-G57+1)*1440)))</f>
        <v>30.000000000000053</v>
      </c>
      <c r="J57" t="s">
        <v>51</v>
      </c>
      <c r="K57" t="s">
        <v>52</v>
      </c>
      <c r="L57" t="s">
        <v>53</v>
      </c>
      <c r="M57" s="6" t="s">
        <v>54</v>
      </c>
    </row>
    <row r="58" spans="1:13" x14ac:dyDescent="0.35">
      <c r="A58" s="17">
        <f t="shared" ref="A58:F59" si="34">A57</f>
        <v>45594</v>
      </c>
      <c r="B58" s="19">
        <f t="shared" si="34"/>
        <v>58</v>
      </c>
      <c r="C58" s="19">
        <f t="shared" si="34"/>
        <v>5.1376978417266184</v>
      </c>
      <c r="D58" s="34">
        <f t="shared" si="34"/>
        <v>22410030</v>
      </c>
      <c r="E58" s="23" t="str">
        <f t="shared" si="34"/>
        <v>L+45</v>
      </c>
      <c r="F58" s="28">
        <f t="shared" si="34"/>
        <v>1255</v>
      </c>
      <c r="G58" s="4">
        <v>0.77083333333333337</v>
      </c>
      <c r="H58" s="4">
        <v>0.77638888888888891</v>
      </c>
      <c r="I58" s="5">
        <f t="shared" si="33"/>
        <v>7.9999999999999716</v>
      </c>
      <c r="J58" t="str">
        <f t="shared" ref="J58:J59" si="35">J57</f>
        <v>Complete</v>
      </c>
      <c r="K58" t="s">
        <v>52</v>
      </c>
      <c r="L58" t="s">
        <v>59</v>
      </c>
      <c r="M58" s="6" t="s">
        <v>59</v>
      </c>
    </row>
    <row r="59" spans="1:13" x14ac:dyDescent="0.35">
      <c r="A59" s="17">
        <f t="shared" si="34"/>
        <v>45594</v>
      </c>
      <c r="B59" s="20">
        <f t="shared" si="34"/>
        <v>58</v>
      </c>
      <c r="C59" s="20">
        <f t="shared" si="34"/>
        <v>5.1376978417266184</v>
      </c>
      <c r="D59" s="33">
        <f t="shared" si="34"/>
        <v>22410030</v>
      </c>
      <c r="E59" s="24" t="str">
        <f t="shared" si="34"/>
        <v>L+45</v>
      </c>
      <c r="F59" s="29">
        <f t="shared" si="34"/>
        <v>1255</v>
      </c>
      <c r="G59" s="4">
        <v>0.77638888888888891</v>
      </c>
      <c r="H59" s="4">
        <v>0.78472222222222221</v>
      </c>
      <c r="I59" s="5">
        <f t="shared" si="33"/>
        <v>11.999999999999957</v>
      </c>
      <c r="J59" t="str">
        <f t="shared" si="35"/>
        <v>Complete</v>
      </c>
      <c r="K59" t="s">
        <v>62</v>
      </c>
      <c r="L59" t="s">
        <v>130</v>
      </c>
      <c r="M59" s="6" t="s">
        <v>164</v>
      </c>
    </row>
    <row r="60" spans="1:13" x14ac:dyDescent="0.35">
      <c r="A60" s="17">
        <v>45596</v>
      </c>
      <c r="B60" s="45">
        <v>57.85</v>
      </c>
      <c r="C60" s="45">
        <v>5.1100000000000003</v>
      </c>
      <c r="D60" s="46">
        <v>22410031</v>
      </c>
      <c r="E60" s="45" t="s">
        <v>116</v>
      </c>
      <c r="F60" s="45">
        <v>1255</v>
      </c>
      <c r="G60" s="35">
        <v>0.99652777777777779</v>
      </c>
      <c r="H60" s="35">
        <v>1.7361111111111112E-2</v>
      </c>
      <c r="I60" s="36">
        <v>30</v>
      </c>
      <c r="J60" s="37" t="s">
        <v>51</v>
      </c>
      <c r="K60" s="37" t="s">
        <v>52</v>
      </c>
      <c r="L60" s="37" t="s">
        <v>53</v>
      </c>
      <c r="M60" s="47" t="s">
        <v>54</v>
      </c>
    </row>
    <row r="61" spans="1:13" x14ac:dyDescent="0.35">
      <c r="A61" s="17">
        <v>45596</v>
      </c>
      <c r="B61" s="45">
        <v>58</v>
      </c>
      <c r="C61" s="45">
        <v>5.22</v>
      </c>
      <c r="D61" s="46">
        <v>22410032</v>
      </c>
      <c r="E61" s="45" t="s">
        <v>167</v>
      </c>
      <c r="F61" s="45">
        <v>1230</v>
      </c>
      <c r="G61" s="35">
        <v>0.78541666666666665</v>
      </c>
      <c r="H61" s="35">
        <v>0.85902777777777772</v>
      </c>
      <c r="I61" s="36">
        <v>106</v>
      </c>
      <c r="J61" s="37" t="s">
        <v>35</v>
      </c>
      <c r="K61" s="37" t="s">
        <v>161</v>
      </c>
      <c r="L61" s="37" t="s">
        <v>168</v>
      </c>
      <c r="M61" s="48" t="s">
        <v>169</v>
      </c>
    </row>
    <row r="62" spans="1:13" x14ac:dyDescent="0.35">
      <c r="A62" s="17">
        <v>45597</v>
      </c>
      <c r="B62" s="54">
        <v>57.79</v>
      </c>
      <c r="C62" s="54">
        <v>4.3600000000000003</v>
      </c>
      <c r="D62" s="43">
        <v>22410033</v>
      </c>
      <c r="E62" s="54" t="s">
        <v>18</v>
      </c>
      <c r="F62" s="43">
        <v>1250</v>
      </c>
      <c r="G62" s="35">
        <v>0.34305555555555556</v>
      </c>
      <c r="H62" s="35">
        <v>0.44791666666666669</v>
      </c>
      <c r="I62" s="36">
        <v>151</v>
      </c>
      <c r="J62" s="37" t="s">
        <v>14</v>
      </c>
      <c r="K62" s="37" t="s">
        <v>62</v>
      </c>
      <c r="L62" s="47" t="s">
        <v>200</v>
      </c>
      <c r="M62" s="47" t="s">
        <v>200</v>
      </c>
    </row>
    <row r="63" spans="1:13" x14ac:dyDescent="0.35">
      <c r="A63" s="17">
        <f t="shared" ref="A63:F63" si="36">A62</f>
        <v>45597</v>
      </c>
      <c r="B63" s="55">
        <f t="shared" si="36"/>
        <v>57.79</v>
      </c>
      <c r="C63" s="55">
        <f t="shared" si="36"/>
        <v>4.3600000000000003</v>
      </c>
      <c r="D63" s="57">
        <f t="shared" si="36"/>
        <v>22410033</v>
      </c>
      <c r="E63" s="55" t="str">
        <f t="shared" si="36"/>
        <v>L+17</v>
      </c>
      <c r="F63" s="57">
        <f t="shared" si="36"/>
        <v>1250</v>
      </c>
      <c r="G63" s="35">
        <v>0.44791666666666669</v>
      </c>
      <c r="H63" s="35">
        <v>0.51249999999999996</v>
      </c>
      <c r="I63" s="36">
        <v>93</v>
      </c>
      <c r="J63" s="37" t="str">
        <f>J62</f>
        <v>Dsicontinued</v>
      </c>
      <c r="K63" s="37" t="s">
        <v>26</v>
      </c>
      <c r="L63" s="37" t="s">
        <v>67</v>
      </c>
      <c r="M63" s="47" t="s">
        <v>201</v>
      </c>
    </row>
    <row r="64" spans="1:13" x14ac:dyDescent="0.35">
      <c r="A64" s="17">
        <v>45598</v>
      </c>
      <c r="B64" s="54">
        <v>57.89</v>
      </c>
      <c r="C64" s="54">
        <v>5.05</v>
      </c>
      <c r="D64" s="43">
        <v>22411001</v>
      </c>
      <c r="E64" s="54" t="s">
        <v>202</v>
      </c>
      <c r="F64" s="43">
        <v>1250</v>
      </c>
      <c r="G64" s="35">
        <v>0.63194444444444442</v>
      </c>
      <c r="H64" s="35">
        <v>0.65277777777777779</v>
      </c>
      <c r="I64" s="36">
        <v>30</v>
      </c>
      <c r="J64" s="37" t="s">
        <v>51</v>
      </c>
      <c r="K64" s="37" t="s">
        <v>52</v>
      </c>
      <c r="L64" s="37" t="s">
        <v>53</v>
      </c>
      <c r="M64" s="58" t="s">
        <v>54</v>
      </c>
    </row>
    <row r="65" spans="1:13" x14ac:dyDescent="0.35">
      <c r="A65" s="17">
        <f t="shared" ref="A65:F66" si="37">A64</f>
        <v>45598</v>
      </c>
      <c r="B65" s="42">
        <f t="shared" si="37"/>
        <v>57.89</v>
      </c>
      <c r="C65" s="42">
        <f t="shared" si="37"/>
        <v>5.05</v>
      </c>
      <c r="D65" s="44">
        <f t="shared" si="37"/>
        <v>22411001</v>
      </c>
      <c r="E65" s="42" t="str">
        <f t="shared" si="37"/>
        <v>L+43</v>
      </c>
      <c r="F65" s="44">
        <f t="shared" si="37"/>
        <v>1250</v>
      </c>
      <c r="G65" s="35">
        <v>0.65277777777777779</v>
      </c>
      <c r="H65" s="59">
        <v>0.6875</v>
      </c>
      <c r="I65" s="36">
        <v>50</v>
      </c>
      <c r="J65" s="37" t="str">
        <f t="shared" ref="J65:J66" si="38">J64</f>
        <v>Complete</v>
      </c>
      <c r="K65" s="37" t="s">
        <v>19</v>
      </c>
      <c r="L65" s="37" t="s">
        <v>203</v>
      </c>
      <c r="M65" s="58" t="s">
        <v>204</v>
      </c>
    </row>
    <row r="66" spans="1:13" x14ac:dyDescent="0.35">
      <c r="A66" s="17">
        <f t="shared" si="37"/>
        <v>45598</v>
      </c>
      <c r="B66" s="55">
        <f t="shared" si="37"/>
        <v>57.89</v>
      </c>
      <c r="C66" s="55">
        <f t="shared" si="37"/>
        <v>5.05</v>
      </c>
      <c r="D66" s="57">
        <f t="shared" si="37"/>
        <v>22411001</v>
      </c>
      <c r="E66" s="55" t="str">
        <f t="shared" si="37"/>
        <v>L+43</v>
      </c>
      <c r="F66" s="57">
        <f t="shared" si="37"/>
        <v>1250</v>
      </c>
      <c r="G66" s="35">
        <v>0.6875</v>
      </c>
      <c r="H66" s="35">
        <v>0.7319444444444444</v>
      </c>
      <c r="I66" s="36">
        <v>64</v>
      </c>
      <c r="J66" s="37" t="str">
        <f t="shared" si="38"/>
        <v>Complete</v>
      </c>
      <c r="K66" t="s">
        <v>21</v>
      </c>
      <c r="L66" s="37" t="s">
        <v>22</v>
      </c>
      <c r="M66" s="58" t="s">
        <v>205</v>
      </c>
    </row>
    <row r="67" spans="1:13" x14ac:dyDescent="0.35">
      <c r="A67" s="17">
        <v>45599</v>
      </c>
      <c r="B67" s="54">
        <v>57.18</v>
      </c>
      <c r="C67" s="54">
        <v>5.21</v>
      </c>
      <c r="D67" s="43">
        <v>22411002</v>
      </c>
      <c r="E67" s="54" t="s">
        <v>50</v>
      </c>
      <c r="F67" s="43">
        <v>1260</v>
      </c>
      <c r="G67" s="35">
        <v>0.72569444444444442</v>
      </c>
      <c r="H67" s="35">
        <v>0.74652777777777779</v>
      </c>
      <c r="I67" s="36">
        <v>30</v>
      </c>
      <c r="J67" s="37" t="s">
        <v>51</v>
      </c>
      <c r="K67" s="37" t="s">
        <v>52</v>
      </c>
      <c r="L67" s="37" t="s">
        <v>53</v>
      </c>
      <c r="M67" s="47" t="s">
        <v>54</v>
      </c>
    </row>
    <row r="68" spans="1:13" x14ac:dyDescent="0.35">
      <c r="A68" s="17">
        <f t="shared" ref="A68:F70" si="39">A67</f>
        <v>45599</v>
      </c>
      <c r="B68" s="42">
        <f t="shared" si="39"/>
        <v>57.18</v>
      </c>
      <c r="C68" s="42">
        <f t="shared" si="39"/>
        <v>5.21</v>
      </c>
      <c r="D68" s="44">
        <f t="shared" si="39"/>
        <v>22411002</v>
      </c>
      <c r="E68" s="42" t="str">
        <f t="shared" si="39"/>
        <v>L+40</v>
      </c>
      <c r="F68" s="44">
        <f t="shared" si="39"/>
        <v>1260</v>
      </c>
      <c r="G68" s="35">
        <v>0.74652777777777779</v>
      </c>
      <c r="H68" s="59">
        <v>0.75694444444444442</v>
      </c>
      <c r="I68" s="36">
        <v>15</v>
      </c>
      <c r="J68" s="37" t="str">
        <f t="shared" ref="J68:J77" si="40">J67</f>
        <v>Complete</v>
      </c>
      <c r="K68" s="37" t="s">
        <v>52</v>
      </c>
      <c r="L68" s="37" t="s">
        <v>59</v>
      </c>
      <c r="M68" s="58" t="s">
        <v>59</v>
      </c>
    </row>
    <row r="69" spans="1:13" x14ac:dyDescent="0.35">
      <c r="A69" s="17">
        <f t="shared" si="39"/>
        <v>45599</v>
      </c>
      <c r="B69" s="42">
        <f t="shared" si="39"/>
        <v>57.18</v>
      </c>
      <c r="C69" s="42">
        <f t="shared" si="39"/>
        <v>5.21</v>
      </c>
      <c r="D69" s="44">
        <f t="shared" si="39"/>
        <v>22411002</v>
      </c>
      <c r="E69" s="42" t="str">
        <f t="shared" si="39"/>
        <v>L+40</v>
      </c>
      <c r="F69" s="44">
        <f t="shared" si="39"/>
        <v>1260</v>
      </c>
      <c r="G69" s="35">
        <v>0.75694444444444442</v>
      </c>
      <c r="H69" s="35">
        <v>0.76388888888888884</v>
      </c>
      <c r="I69" s="36">
        <v>10</v>
      </c>
      <c r="J69" s="37" t="str">
        <f t="shared" si="40"/>
        <v>Complete</v>
      </c>
      <c r="K69" t="s">
        <v>21</v>
      </c>
      <c r="L69" s="58" t="s">
        <v>206</v>
      </c>
      <c r="M69" s="58" t="s">
        <v>206</v>
      </c>
    </row>
    <row r="70" spans="1:13" x14ac:dyDescent="0.35">
      <c r="A70" s="17">
        <f t="shared" si="39"/>
        <v>45599</v>
      </c>
      <c r="B70" s="55">
        <f t="shared" si="39"/>
        <v>57.18</v>
      </c>
      <c r="C70" s="55">
        <f t="shared" si="39"/>
        <v>5.21</v>
      </c>
      <c r="D70" s="57">
        <f t="shared" si="39"/>
        <v>22411002</v>
      </c>
      <c r="E70" s="55" t="str">
        <f t="shared" si="39"/>
        <v>L+40</v>
      </c>
      <c r="F70" s="57">
        <f t="shared" si="39"/>
        <v>1260</v>
      </c>
      <c r="G70" s="35">
        <v>0.76388888888888884</v>
      </c>
      <c r="H70" s="35">
        <v>0.76875000000000004</v>
      </c>
      <c r="I70" s="36">
        <v>7</v>
      </c>
      <c r="J70" s="37" t="str">
        <f t="shared" si="40"/>
        <v>Complete</v>
      </c>
      <c r="K70" s="37" t="s">
        <v>19</v>
      </c>
      <c r="L70" s="37" t="s">
        <v>143</v>
      </c>
      <c r="M70" s="58" t="s">
        <v>207</v>
      </c>
    </row>
    <row r="71" spans="1:13" x14ac:dyDescent="0.35">
      <c r="A71" s="17">
        <v>45600</v>
      </c>
      <c r="B71" s="54">
        <v>57.86</v>
      </c>
      <c r="C71" s="54">
        <v>4.45</v>
      </c>
      <c r="D71" s="43">
        <v>22411003</v>
      </c>
      <c r="E71" s="54" t="s">
        <v>189</v>
      </c>
      <c r="F71" s="43">
        <v>1255</v>
      </c>
      <c r="G71" s="35">
        <v>2.0833333333333332E-2</v>
      </c>
      <c r="H71" s="35">
        <v>0.13194444444444445</v>
      </c>
      <c r="I71" s="36">
        <v>160</v>
      </c>
      <c r="J71" s="37" t="str">
        <f t="shared" si="40"/>
        <v>Complete</v>
      </c>
      <c r="K71" s="37" t="s">
        <v>161</v>
      </c>
      <c r="L71" s="37" t="s">
        <v>168</v>
      </c>
      <c r="M71" s="58" t="s">
        <v>174</v>
      </c>
    </row>
    <row r="72" spans="1:13" x14ac:dyDescent="0.35">
      <c r="A72" s="17">
        <f t="shared" ref="A72:F73" si="41">A71</f>
        <v>45600</v>
      </c>
      <c r="B72" s="42">
        <f t="shared" si="41"/>
        <v>57.86</v>
      </c>
      <c r="C72" s="42">
        <f t="shared" si="41"/>
        <v>4.45</v>
      </c>
      <c r="D72" s="44">
        <f t="shared" si="41"/>
        <v>22411003</v>
      </c>
      <c r="E72" s="42" t="str">
        <f t="shared" si="41"/>
        <v>L+10</v>
      </c>
      <c r="F72" s="44">
        <f t="shared" si="41"/>
        <v>1255</v>
      </c>
      <c r="G72" s="35">
        <v>0.21666666666666667</v>
      </c>
      <c r="H72" s="59">
        <v>0.36180555555555555</v>
      </c>
      <c r="I72" s="36">
        <v>209</v>
      </c>
      <c r="J72" s="37" t="str">
        <f t="shared" si="40"/>
        <v>Complete</v>
      </c>
      <c r="K72" s="37" t="s">
        <v>161</v>
      </c>
      <c r="L72" s="37" t="s">
        <v>168</v>
      </c>
      <c r="M72" s="58" t="s">
        <v>174</v>
      </c>
    </row>
    <row r="73" spans="1:13" x14ac:dyDescent="0.35">
      <c r="A73" s="17">
        <f t="shared" si="41"/>
        <v>45600</v>
      </c>
      <c r="B73" s="55">
        <f t="shared" si="41"/>
        <v>57.86</v>
      </c>
      <c r="C73" s="55">
        <f t="shared" si="41"/>
        <v>4.45</v>
      </c>
      <c r="D73" s="57">
        <f t="shared" si="41"/>
        <v>22411003</v>
      </c>
      <c r="E73" s="55" t="str">
        <f t="shared" si="41"/>
        <v>L+10</v>
      </c>
      <c r="F73" s="57">
        <f t="shared" si="41"/>
        <v>1255</v>
      </c>
      <c r="G73" s="35">
        <v>0.40972222222222221</v>
      </c>
      <c r="H73" s="35">
        <v>0.61250000000000004</v>
      </c>
      <c r="I73" s="36">
        <v>292</v>
      </c>
      <c r="J73" s="37" t="str">
        <f t="shared" si="40"/>
        <v>Complete</v>
      </c>
      <c r="K73" s="37" t="s">
        <v>19</v>
      </c>
      <c r="L73" s="37" t="s">
        <v>176</v>
      </c>
      <c r="M73" s="58" t="s">
        <v>177</v>
      </c>
    </row>
    <row r="74" spans="1:13" x14ac:dyDescent="0.35">
      <c r="A74" s="17">
        <v>45601</v>
      </c>
      <c r="B74" s="54">
        <v>58</v>
      </c>
      <c r="C74" s="54">
        <v>4.9000000000000004</v>
      </c>
      <c r="D74" s="43">
        <v>22411006</v>
      </c>
      <c r="E74" s="54" t="s">
        <v>208</v>
      </c>
      <c r="F74" s="43" t="s">
        <v>88</v>
      </c>
      <c r="G74" s="35">
        <v>0.44583333333333336</v>
      </c>
      <c r="H74" s="35">
        <v>0.52916666666666667</v>
      </c>
      <c r="I74" s="36">
        <v>120</v>
      </c>
      <c r="J74" s="37" t="str">
        <f t="shared" si="40"/>
        <v>Complete</v>
      </c>
      <c r="K74" t="s">
        <v>21</v>
      </c>
      <c r="L74" s="37" t="s">
        <v>83</v>
      </c>
      <c r="M74" s="60" t="s">
        <v>209</v>
      </c>
    </row>
    <row r="75" spans="1:13" x14ac:dyDescent="0.35">
      <c r="A75" s="17">
        <f t="shared" ref="A75:F77" si="42">A74</f>
        <v>45601</v>
      </c>
      <c r="B75" s="42">
        <f t="shared" si="42"/>
        <v>58</v>
      </c>
      <c r="C75" s="42">
        <f t="shared" si="42"/>
        <v>4.9000000000000004</v>
      </c>
      <c r="D75" s="44">
        <f t="shared" si="42"/>
        <v>22411006</v>
      </c>
      <c r="E75" s="42" t="str">
        <f t="shared" si="42"/>
        <v>L+31</v>
      </c>
      <c r="F75" s="44" t="str">
        <f t="shared" si="42"/>
        <v>1250/1230</v>
      </c>
      <c r="G75" s="35">
        <v>0.52916666666666667</v>
      </c>
      <c r="H75" s="35">
        <v>0.5395833333333333</v>
      </c>
      <c r="I75" s="36">
        <v>15</v>
      </c>
      <c r="J75" s="37" t="str">
        <f t="shared" si="40"/>
        <v>Complete</v>
      </c>
      <c r="K75" s="37" t="s">
        <v>41</v>
      </c>
      <c r="L75" s="49" t="s">
        <v>210</v>
      </c>
      <c r="M75" s="49" t="s">
        <v>210</v>
      </c>
    </row>
    <row r="76" spans="1:13" x14ac:dyDescent="0.35">
      <c r="A76" s="17">
        <f t="shared" si="42"/>
        <v>45601</v>
      </c>
      <c r="B76" s="42">
        <f t="shared" si="42"/>
        <v>58</v>
      </c>
      <c r="C76" s="42">
        <f t="shared" si="42"/>
        <v>4.9000000000000004</v>
      </c>
      <c r="D76" s="44">
        <f t="shared" si="42"/>
        <v>22411006</v>
      </c>
      <c r="E76" s="42" t="str">
        <f t="shared" si="42"/>
        <v>L+31</v>
      </c>
      <c r="F76" s="44" t="str">
        <f t="shared" si="42"/>
        <v>1250/1230</v>
      </c>
      <c r="G76" s="35">
        <v>0.5395833333333333</v>
      </c>
      <c r="H76" s="35">
        <v>0.59513888888888888</v>
      </c>
      <c r="I76" s="36">
        <v>80</v>
      </c>
      <c r="J76" s="37" t="str">
        <f t="shared" si="40"/>
        <v>Complete</v>
      </c>
      <c r="K76" s="37" t="s">
        <v>19</v>
      </c>
      <c r="L76" s="47" t="s">
        <v>211</v>
      </c>
      <c r="M76" s="47" t="s">
        <v>211</v>
      </c>
    </row>
    <row r="77" spans="1:13" x14ac:dyDescent="0.35">
      <c r="A77" s="17">
        <f t="shared" si="42"/>
        <v>45601</v>
      </c>
      <c r="B77" s="55">
        <f t="shared" si="42"/>
        <v>58</v>
      </c>
      <c r="C77" s="55">
        <f t="shared" si="42"/>
        <v>4.9000000000000004</v>
      </c>
      <c r="D77" s="57">
        <f t="shared" si="42"/>
        <v>22411006</v>
      </c>
      <c r="E77" s="55" t="str">
        <f t="shared" si="42"/>
        <v>L+31</v>
      </c>
      <c r="F77" s="57" t="str">
        <f t="shared" si="42"/>
        <v>1250/1230</v>
      </c>
      <c r="G77" s="35">
        <v>0.59513888888888888</v>
      </c>
      <c r="H77" s="35">
        <v>0.61458333333333337</v>
      </c>
      <c r="I77" s="36">
        <v>28</v>
      </c>
      <c r="J77" s="37" t="str">
        <f t="shared" si="40"/>
        <v>Complete</v>
      </c>
      <c r="K77" s="37" t="s">
        <v>26</v>
      </c>
      <c r="L77" s="37" t="s">
        <v>32</v>
      </c>
      <c r="M77" s="49" t="s">
        <v>212</v>
      </c>
    </row>
    <row r="78" spans="1:13" x14ac:dyDescent="0.35">
      <c r="A78" s="17">
        <v>45602</v>
      </c>
      <c r="B78" s="54">
        <v>58</v>
      </c>
      <c r="C78" s="54">
        <v>5.18</v>
      </c>
      <c r="D78" s="43">
        <v>22411007</v>
      </c>
      <c r="E78" s="54" t="s">
        <v>57</v>
      </c>
      <c r="F78" s="43">
        <v>1255</v>
      </c>
      <c r="G78" s="35">
        <v>0.83680555555555558</v>
      </c>
      <c r="H78" s="35">
        <v>0.85763888888888884</v>
      </c>
      <c r="I78" s="36">
        <v>30</v>
      </c>
      <c r="J78" s="37" t="s">
        <v>51</v>
      </c>
      <c r="K78" s="37" t="s">
        <v>52</v>
      </c>
      <c r="L78" s="37" t="s">
        <v>53</v>
      </c>
      <c r="M78" s="47" t="s">
        <v>54</v>
      </c>
    </row>
    <row r="79" spans="1:13" x14ac:dyDescent="0.35">
      <c r="A79" s="17">
        <f t="shared" ref="A79:F79" si="43">A78</f>
        <v>45602</v>
      </c>
      <c r="B79" s="42">
        <f t="shared" si="43"/>
        <v>58</v>
      </c>
      <c r="C79" s="42">
        <f t="shared" si="43"/>
        <v>5.18</v>
      </c>
      <c r="D79" s="57">
        <f t="shared" si="43"/>
        <v>22411007</v>
      </c>
      <c r="E79" s="55" t="str">
        <f t="shared" si="43"/>
        <v>L+50</v>
      </c>
      <c r="F79" s="57">
        <f t="shared" si="43"/>
        <v>1255</v>
      </c>
      <c r="G79" s="35">
        <v>0.85763888888888884</v>
      </c>
      <c r="H79" s="35">
        <v>0.89375000000000004</v>
      </c>
      <c r="I79" s="36">
        <v>52</v>
      </c>
      <c r="J79" s="37" t="str">
        <f>J78</f>
        <v>Complete</v>
      </c>
      <c r="K79" s="37" t="s">
        <v>19</v>
      </c>
      <c r="L79" s="37" t="s">
        <v>213</v>
      </c>
      <c r="M79" s="47" t="s">
        <v>214</v>
      </c>
    </row>
    <row r="80" spans="1:13" x14ac:dyDescent="0.35">
      <c r="A80" s="17">
        <f t="shared" ref="A80:C80" si="44">A79</f>
        <v>45602</v>
      </c>
      <c r="B80" s="55">
        <f t="shared" si="44"/>
        <v>58</v>
      </c>
      <c r="C80" s="55">
        <f t="shared" si="44"/>
        <v>5.18</v>
      </c>
      <c r="D80" s="43">
        <v>22411008</v>
      </c>
      <c r="E80" s="54" t="s">
        <v>47</v>
      </c>
      <c r="F80" s="43">
        <v>1250</v>
      </c>
      <c r="G80" s="35">
        <v>0.89652777777777781</v>
      </c>
      <c r="H80" s="35">
        <v>0.91666666666666663</v>
      </c>
      <c r="I80" s="36">
        <v>29</v>
      </c>
      <c r="J80" s="37" t="s">
        <v>35</v>
      </c>
      <c r="K80" s="37" t="s">
        <v>19</v>
      </c>
      <c r="L80" s="49" t="s">
        <v>215</v>
      </c>
      <c r="M80" s="49" t="s">
        <v>215</v>
      </c>
    </row>
    <row r="81" spans="1:13" x14ac:dyDescent="0.35">
      <c r="A81" s="17">
        <v>45603</v>
      </c>
      <c r="B81" s="54">
        <v>58</v>
      </c>
      <c r="C81" s="54">
        <v>4.9400000000000004</v>
      </c>
      <c r="D81" s="44">
        <f t="shared" ref="D81:F81" si="45">D80</f>
        <v>22411008</v>
      </c>
      <c r="E81" s="42" t="str">
        <f t="shared" si="45"/>
        <v>L+0</v>
      </c>
      <c r="F81" s="44">
        <f t="shared" si="45"/>
        <v>1250</v>
      </c>
      <c r="G81" s="35">
        <v>0.91666666666666663</v>
      </c>
      <c r="H81" s="35">
        <v>6.3888888888888884E-2</v>
      </c>
      <c r="I81" s="36">
        <v>212</v>
      </c>
      <c r="J81" s="37" t="str">
        <f t="shared" ref="J81:J82" si="46">J80</f>
        <v>Castabort</v>
      </c>
      <c r="K81" s="37" t="s">
        <v>19</v>
      </c>
      <c r="L81" s="49" t="s">
        <v>215</v>
      </c>
      <c r="M81" s="49" t="s">
        <v>215</v>
      </c>
    </row>
    <row r="82" spans="1:13" x14ac:dyDescent="0.35">
      <c r="A82" s="17">
        <f t="shared" ref="A82:F82" si="47">A81</f>
        <v>45603</v>
      </c>
      <c r="B82" s="42">
        <f t="shared" si="47"/>
        <v>58</v>
      </c>
      <c r="C82" s="42">
        <f t="shared" si="47"/>
        <v>4.9400000000000004</v>
      </c>
      <c r="D82" s="57">
        <f t="shared" si="47"/>
        <v>22411008</v>
      </c>
      <c r="E82" s="55" t="str">
        <f t="shared" si="47"/>
        <v>L+0</v>
      </c>
      <c r="F82" s="57">
        <f t="shared" si="47"/>
        <v>1250</v>
      </c>
      <c r="G82" s="35">
        <v>6.3888888888888884E-2</v>
      </c>
      <c r="H82" s="35">
        <v>0.12013888888888889</v>
      </c>
      <c r="I82" s="36">
        <v>81</v>
      </c>
      <c r="J82" s="37" t="str">
        <f t="shared" si="46"/>
        <v>Castabort</v>
      </c>
      <c r="K82" s="37" t="s">
        <v>41</v>
      </c>
      <c r="L82" s="37" t="s">
        <v>91</v>
      </c>
      <c r="M82" s="61" t="s">
        <v>216</v>
      </c>
    </row>
    <row r="83" spans="1:13" x14ac:dyDescent="0.35">
      <c r="A83" s="17">
        <f t="shared" ref="A83:C85" si="48">A82</f>
        <v>45603</v>
      </c>
      <c r="B83" s="42">
        <f t="shared" si="48"/>
        <v>58</v>
      </c>
      <c r="C83" s="42">
        <f t="shared" si="48"/>
        <v>4.9400000000000004</v>
      </c>
      <c r="D83" s="64">
        <v>22411009</v>
      </c>
      <c r="E83" s="53" t="s">
        <v>47</v>
      </c>
      <c r="F83" s="56">
        <v>1250</v>
      </c>
      <c r="G83" s="35">
        <v>0.12083333333333333</v>
      </c>
      <c r="H83" s="35">
        <v>0.24236111111111111</v>
      </c>
      <c r="I83" s="36">
        <v>175</v>
      </c>
      <c r="J83" s="37" t="s">
        <v>35</v>
      </c>
      <c r="K83" s="37" t="s">
        <v>19</v>
      </c>
      <c r="L83" s="37" t="s">
        <v>149</v>
      </c>
      <c r="M83" s="49" t="s">
        <v>217</v>
      </c>
    </row>
    <row r="84" spans="1:13" x14ac:dyDescent="0.35">
      <c r="A84" s="17">
        <f t="shared" si="48"/>
        <v>45603</v>
      </c>
      <c r="B84" s="42">
        <f t="shared" si="48"/>
        <v>58</v>
      </c>
      <c r="C84" s="42">
        <f t="shared" si="48"/>
        <v>4.9400000000000004</v>
      </c>
      <c r="D84" s="64">
        <v>22411010</v>
      </c>
      <c r="E84" s="53" t="s">
        <v>44</v>
      </c>
      <c r="F84" s="56">
        <v>1250</v>
      </c>
      <c r="G84" s="35">
        <v>0.3659722222222222</v>
      </c>
      <c r="H84" s="35">
        <v>0.43819444444444444</v>
      </c>
      <c r="I84" s="36">
        <v>104</v>
      </c>
      <c r="J84" s="37" t="s">
        <v>35</v>
      </c>
      <c r="K84" s="37" t="s">
        <v>19</v>
      </c>
      <c r="L84" s="37" t="s">
        <v>94</v>
      </c>
      <c r="M84" s="49" t="s">
        <v>95</v>
      </c>
    </row>
    <row r="85" spans="1:13" x14ac:dyDescent="0.35">
      <c r="A85" s="17">
        <f t="shared" si="48"/>
        <v>45603</v>
      </c>
      <c r="B85" s="42">
        <f t="shared" si="48"/>
        <v>58</v>
      </c>
      <c r="C85" s="42">
        <f t="shared" si="48"/>
        <v>4.9400000000000004</v>
      </c>
      <c r="D85" s="43">
        <v>22411011</v>
      </c>
      <c r="E85" s="54" t="s">
        <v>126</v>
      </c>
      <c r="F85" s="43">
        <v>1250</v>
      </c>
      <c r="G85" s="35">
        <v>0.52083333333333337</v>
      </c>
      <c r="H85" s="35">
        <v>0.67222222222222228</v>
      </c>
      <c r="I85" s="36">
        <v>218</v>
      </c>
      <c r="J85" s="37" t="s">
        <v>35</v>
      </c>
      <c r="K85" s="37" t="s">
        <v>161</v>
      </c>
      <c r="L85" s="37" t="s">
        <v>168</v>
      </c>
      <c r="M85" s="49" t="s">
        <v>218</v>
      </c>
    </row>
    <row r="86" spans="1:13" x14ac:dyDescent="0.35">
      <c r="A86" s="17">
        <f t="shared" ref="A86:F86" si="49">A85</f>
        <v>45603</v>
      </c>
      <c r="B86" s="55">
        <f t="shared" si="49"/>
        <v>58</v>
      </c>
      <c r="C86" s="55">
        <f t="shared" si="49"/>
        <v>4.9400000000000004</v>
      </c>
      <c r="D86" s="57">
        <f t="shared" si="49"/>
        <v>22411011</v>
      </c>
      <c r="E86" s="55" t="str">
        <f t="shared" si="49"/>
        <v>L+3</v>
      </c>
      <c r="F86" s="57">
        <f t="shared" si="49"/>
        <v>1250</v>
      </c>
      <c r="G86" s="35">
        <v>0.67222222222222228</v>
      </c>
      <c r="H86" s="35">
        <v>0.72222222222222221</v>
      </c>
      <c r="I86" s="36">
        <v>72</v>
      </c>
      <c r="J86" s="37" t="str">
        <f>J85</f>
        <v>Castabort</v>
      </c>
      <c r="K86" s="37" t="s">
        <v>41</v>
      </c>
      <c r="L86" s="37" t="s">
        <v>124</v>
      </c>
      <c r="M86" s="47" t="s">
        <v>219</v>
      </c>
    </row>
    <row r="87" spans="1:13" x14ac:dyDescent="0.35">
      <c r="A87" s="17">
        <v>45604</v>
      </c>
      <c r="B87" s="54">
        <v>58</v>
      </c>
      <c r="C87" s="54">
        <v>5.15</v>
      </c>
      <c r="D87" s="56">
        <v>22411012</v>
      </c>
      <c r="E87" s="53" t="s">
        <v>103</v>
      </c>
      <c r="F87" s="56">
        <v>1230</v>
      </c>
      <c r="G87" s="35">
        <v>0.53125</v>
      </c>
      <c r="H87" s="35">
        <v>0.66597222222222219</v>
      </c>
      <c r="I87" s="36">
        <v>194</v>
      </c>
      <c r="J87" s="37" t="s">
        <v>35</v>
      </c>
      <c r="K87" s="37" t="s">
        <v>62</v>
      </c>
      <c r="L87" s="37" t="s">
        <v>182</v>
      </c>
      <c r="M87" s="49" t="s">
        <v>183</v>
      </c>
    </row>
    <row r="88" spans="1:13" x14ac:dyDescent="0.35">
      <c r="A88" s="17">
        <f t="shared" ref="A88:C88" si="50">A87</f>
        <v>45604</v>
      </c>
      <c r="B88" s="55">
        <f t="shared" si="50"/>
        <v>58</v>
      </c>
      <c r="C88" s="55">
        <f t="shared" si="50"/>
        <v>5.15</v>
      </c>
      <c r="D88" s="43">
        <v>22411013</v>
      </c>
      <c r="E88" s="54" t="s">
        <v>173</v>
      </c>
      <c r="F88" s="43">
        <v>1230</v>
      </c>
      <c r="G88" s="35">
        <v>0.70833333333333337</v>
      </c>
      <c r="H88" s="35">
        <v>0.91666666666666663</v>
      </c>
      <c r="I88" s="36">
        <v>300</v>
      </c>
      <c r="J88" s="37" t="s">
        <v>35</v>
      </c>
      <c r="K88" s="37" t="s">
        <v>41</v>
      </c>
      <c r="L88" s="37" t="s">
        <v>220</v>
      </c>
      <c r="M88" s="49" t="s">
        <v>221</v>
      </c>
    </row>
    <row r="89" spans="1:13" x14ac:dyDescent="0.35">
      <c r="A89" s="17">
        <v>45605</v>
      </c>
      <c r="B89" s="53">
        <v>57.56</v>
      </c>
      <c r="C89" s="53">
        <v>5.25</v>
      </c>
      <c r="D89" s="57">
        <f t="shared" ref="D89:F89" si="51">D88</f>
        <v>22411013</v>
      </c>
      <c r="E89" s="55" t="str">
        <f t="shared" si="51"/>
        <v>L+1</v>
      </c>
      <c r="F89" s="57">
        <f t="shared" si="51"/>
        <v>1230</v>
      </c>
      <c r="G89" s="35">
        <v>0.91666666666666663</v>
      </c>
      <c r="H89" s="35">
        <v>0.95138888888888884</v>
      </c>
      <c r="I89" s="36">
        <v>50</v>
      </c>
      <c r="J89" s="37" t="str">
        <f>J88</f>
        <v>Castabort</v>
      </c>
      <c r="K89" s="37" t="s">
        <v>41</v>
      </c>
      <c r="L89" s="58" t="s">
        <v>222</v>
      </c>
      <c r="M89" s="58" t="s">
        <v>222</v>
      </c>
    </row>
    <row r="90" spans="1:13" x14ac:dyDescent="0.35">
      <c r="A90" s="17">
        <v>45606</v>
      </c>
      <c r="B90" s="54">
        <v>57.88</v>
      </c>
      <c r="C90" s="54">
        <v>4.8899999999999997</v>
      </c>
      <c r="D90" s="43">
        <v>22411014</v>
      </c>
      <c r="E90" s="54" t="s">
        <v>57</v>
      </c>
      <c r="F90" s="43">
        <v>1250</v>
      </c>
      <c r="G90" s="35">
        <v>0.17708333333333334</v>
      </c>
      <c r="H90" s="35">
        <v>0.19791666666666666</v>
      </c>
      <c r="I90" s="36">
        <v>30</v>
      </c>
      <c r="J90" s="37" t="s">
        <v>51</v>
      </c>
      <c r="K90" s="37" t="s">
        <v>52</v>
      </c>
      <c r="L90" s="37" t="s">
        <v>53</v>
      </c>
      <c r="M90" s="58" t="s">
        <v>54</v>
      </c>
    </row>
    <row r="91" spans="1:13" x14ac:dyDescent="0.35">
      <c r="A91" s="17">
        <f t="shared" ref="A91:F93" si="52">A90</f>
        <v>45606</v>
      </c>
      <c r="B91" s="42">
        <f t="shared" si="52"/>
        <v>57.88</v>
      </c>
      <c r="C91" s="42">
        <f t="shared" si="52"/>
        <v>4.8899999999999997</v>
      </c>
      <c r="D91" s="44">
        <f t="shared" si="52"/>
        <v>22411014</v>
      </c>
      <c r="E91" s="42" t="str">
        <f t="shared" si="52"/>
        <v>L+50</v>
      </c>
      <c r="F91" s="44">
        <f t="shared" si="52"/>
        <v>1250</v>
      </c>
      <c r="G91" s="35">
        <v>0.19791666666666666</v>
      </c>
      <c r="H91" s="35">
        <v>0.20833333333333334</v>
      </c>
      <c r="I91" s="36">
        <v>15</v>
      </c>
      <c r="J91" s="37" t="str">
        <f t="shared" ref="J91:J93" si="53">J90</f>
        <v>Complete</v>
      </c>
      <c r="K91" s="37" t="s">
        <v>52</v>
      </c>
      <c r="L91" s="37" t="s">
        <v>59</v>
      </c>
      <c r="M91" s="58" t="s">
        <v>59</v>
      </c>
    </row>
    <row r="92" spans="1:13" x14ac:dyDescent="0.35">
      <c r="A92" s="17">
        <f t="shared" si="52"/>
        <v>45606</v>
      </c>
      <c r="B92" s="42">
        <f t="shared" si="52"/>
        <v>57.88</v>
      </c>
      <c r="C92" s="42">
        <f t="shared" si="52"/>
        <v>4.8899999999999997</v>
      </c>
      <c r="D92" s="44">
        <f t="shared" si="52"/>
        <v>22411014</v>
      </c>
      <c r="E92" s="42" t="str">
        <f t="shared" si="52"/>
        <v>L+50</v>
      </c>
      <c r="F92" s="44">
        <f t="shared" si="52"/>
        <v>1250</v>
      </c>
      <c r="G92" s="35">
        <v>0.20833333333333334</v>
      </c>
      <c r="H92" s="35">
        <v>0.21527777777777779</v>
      </c>
      <c r="I92" s="36">
        <v>10</v>
      </c>
      <c r="J92" s="37" t="str">
        <f t="shared" si="53"/>
        <v>Complete</v>
      </c>
      <c r="K92" t="s">
        <v>21</v>
      </c>
      <c r="L92" s="58" t="s">
        <v>206</v>
      </c>
      <c r="M92" s="58" t="s">
        <v>206</v>
      </c>
    </row>
    <row r="93" spans="1:13" x14ac:dyDescent="0.35">
      <c r="A93" s="17">
        <f t="shared" si="52"/>
        <v>45606</v>
      </c>
      <c r="B93" s="42">
        <f t="shared" si="52"/>
        <v>57.88</v>
      </c>
      <c r="C93" s="42">
        <f t="shared" si="52"/>
        <v>4.8899999999999997</v>
      </c>
      <c r="D93" s="57">
        <f t="shared" si="52"/>
        <v>22411014</v>
      </c>
      <c r="E93" s="55" t="str">
        <f t="shared" si="52"/>
        <v>L+50</v>
      </c>
      <c r="F93" s="57">
        <f t="shared" si="52"/>
        <v>1250</v>
      </c>
      <c r="G93" s="35">
        <v>0.21527777777777779</v>
      </c>
      <c r="H93" s="35">
        <v>0.22916666666666666</v>
      </c>
      <c r="I93" s="36">
        <v>20</v>
      </c>
      <c r="J93" s="37" t="str">
        <f t="shared" si="53"/>
        <v>Complete</v>
      </c>
      <c r="K93" s="37" t="s">
        <v>19</v>
      </c>
      <c r="L93" s="37" t="s">
        <v>213</v>
      </c>
      <c r="M93" s="58" t="s">
        <v>223</v>
      </c>
    </row>
    <row r="94" spans="1:13" x14ac:dyDescent="0.35">
      <c r="A94" s="17">
        <f t="shared" ref="A94:C94" si="54">A93</f>
        <v>45606</v>
      </c>
      <c r="B94" s="42">
        <f t="shared" si="54"/>
        <v>57.88</v>
      </c>
      <c r="C94" s="42">
        <f t="shared" si="54"/>
        <v>4.8899999999999997</v>
      </c>
      <c r="D94" s="43">
        <v>22411015</v>
      </c>
      <c r="E94" s="54" t="s">
        <v>175</v>
      </c>
      <c r="F94" s="43">
        <v>1250</v>
      </c>
      <c r="G94" s="35">
        <v>0.3923611111111111</v>
      </c>
      <c r="H94" s="35">
        <v>0.47569444444444442</v>
      </c>
      <c r="I94" s="36">
        <v>120</v>
      </c>
      <c r="J94" s="37" t="s">
        <v>35</v>
      </c>
      <c r="K94" s="37" t="s">
        <v>62</v>
      </c>
      <c r="L94" s="62" t="s">
        <v>187</v>
      </c>
      <c r="M94" s="62" t="s">
        <v>187</v>
      </c>
    </row>
    <row r="95" spans="1:13" x14ac:dyDescent="0.35">
      <c r="A95" s="17">
        <f t="shared" ref="A95:F95" si="55">A94</f>
        <v>45606</v>
      </c>
      <c r="B95" s="55">
        <f t="shared" si="55"/>
        <v>57.88</v>
      </c>
      <c r="C95" s="55">
        <f t="shared" si="55"/>
        <v>4.8899999999999997</v>
      </c>
      <c r="D95" s="57">
        <f t="shared" si="55"/>
        <v>22411015</v>
      </c>
      <c r="E95" s="55" t="str">
        <f t="shared" si="55"/>
        <v>L+5</v>
      </c>
      <c r="F95" s="57">
        <f t="shared" si="55"/>
        <v>1250</v>
      </c>
      <c r="G95" s="35">
        <v>0.47569444444444442</v>
      </c>
      <c r="H95" s="35">
        <v>0.51388888888888884</v>
      </c>
      <c r="I95" s="36">
        <v>55</v>
      </c>
      <c r="J95" s="37" t="str">
        <f>J94</f>
        <v>Castabort</v>
      </c>
      <c r="K95" s="37" t="s">
        <v>19</v>
      </c>
      <c r="L95" s="58" t="s">
        <v>224</v>
      </c>
      <c r="M95" s="58" t="s">
        <v>224</v>
      </c>
    </row>
    <row r="96" spans="1:13" x14ac:dyDescent="0.35">
      <c r="A96" s="17">
        <v>45607</v>
      </c>
      <c r="B96" s="53">
        <v>58</v>
      </c>
      <c r="C96" s="53">
        <v>5.18</v>
      </c>
      <c r="D96" s="56">
        <v>22411016</v>
      </c>
      <c r="E96" s="53" t="s">
        <v>57</v>
      </c>
      <c r="F96" s="56">
        <v>1250</v>
      </c>
      <c r="G96" s="35">
        <v>0.75694444444444442</v>
      </c>
      <c r="H96" s="35">
        <v>0.77777777777777779</v>
      </c>
      <c r="I96" s="36">
        <v>30</v>
      </c>
      <c r="J96" s="37" t="s">
        <v>51</v>
      </c>
      <c r="K96" s="37" t="s">
        <v>52</v>
      </c>
      <c r="L96" s="37" t="s">
        <v>53</v>
      </c>
      <c r="M96" s="58" t="s">
        <v>54</v>
      </c>
    </row>
    <row r="97" spans="1:13" x14ac:dyDescent="0.35">
      <c r="A97" s="17">
        <f t="shared" ref="A97:F97" si="56">A96</f>
        <v>45607</v>
      </c>
      <c r="B97" s="53">
        <f t="shared" si="56"/>
        <v>58</v>
      </c>
      <c r="C97" s="53">
        <f t="shared" si="56"/>
        <v>5.18</v>
      </c>
      <c r="D97" s="56">
        <f t="shared" si="56"/>
        <v>22411016</v>
      </c>
      <c r="E97" s="53" t="str">
        <f t="shared" si="56"/>
        <v>L+50</v>
      </c>
      <c r="F97" s="56">
        <f t="shared" si="56"/>
        <v>1250</v>
      </c>
      <c r="G97" s="35">
        <v>0.77777777777777779</v>
      </c>
      <c r="H97" s="35">
        <v>0.79097222222222219</v>
      </c>
      <c r="I97" s="36">
        <v>19</v>
      </c>
      <c r="J97" s="37" t="str">
        <f>J96</f>
        <v>Complete</v>
      </c>
      <c r="K97" s="37" t="s">
        <v>19</v>
      </c>
      <c r="L97" s="37" t="s">
        <v>225</v>
      </c>
      <c r="M97" s="48" t="s">
        <v>224</v>
      </c>
    </row>
    <row r="98" spans="1:13" x14ac:dyDescent="0.35">
      <c r="A98" s="17">
        <v>45608</v>
      </c>
      <c r="B98" s="54">
        <v>56.13</v>
      </c>
      <c r="C98" s="54">
        <v>4.45</v>
      </c>
      <c r="D98" s="64">
        <v>22411017</v>
      </c>
      <c r="E98" s="53" t="s">
        <v>31</v>
      </c>
      <c r="F98" s="56">
        <v>1250</v>
      </c>
      <c r="G98" s="35">
        <v>0.96458333333333335</v>
      </c>
      <c r="H98" s="35">
        <v>0.2298611111111111</v>
      </c>
      <c r="I98" s="36">
        <v>382</v>
      </c>
      <c r="J98" s="37" t="s">
        <v>35</v>
      </c>
      <c r="K98" s="37" t="s">
        <v>62</v>
      </c>
      <c r="L98" s="37" t="s">
        <v>190</v>
      </c>
      <c r="M98" s="63" t="s">
        <v>191</v>
      </c>
    </row>
    <row r="99" spans="1:13" x14ac:dyDescent="0.35">
      <c r="A99" s="17">
        <f t="shared" ref="A99:C99" si="57">A98</f>
        <v>45608</v>
      </c>
      <c r="B99" s="55">
        <f t="shared" si="57"/>
        <v>56.13</v>
      </c>
      <c r="C99" s="55">
        <f t="shared" si="57"/>
        <v>4.45</v>
      </c>
      <c r="D99" s="43">
        <v>22411018</v>
      </c>
      <c r="E99" s="54" t="s">
        <v>31</v>
      </c>
      <c r="F99" s="43">
        <v>1250</v>
      </c>
      <c r="G99" s="35">
        <v>0.40416666666666667</v>
      </c>
      <c r="H99" s="35">
        <v>0.91666666666666663</v>
      </c>
      <c r="I99" s="36">
        <v>738</v>
      </c>
      <c r="J99" s="37" t="s">
        <v>14</v>
      </c>
      <c r="K99" s="37" t="s">
        <v>15</v>
      </c>
      <c r="L99" s="37" t="s">
        <v>16</v>
      </c>
      <c r="M99" s="63" t="s">
        <v>17</v>
      </c>
    </row>
    <row r="100" spans="1:13" x14ac:dyDescent="0.35">
      <c r="A100" s="17">
        <v>45609</v>
      </c>
      <c r="B100" s="54">
        <v>58</v>
      </c>
      <c r="C100" s="54">
        <v>5.43</v>
      </c>
      <c r="D100" s="44">
        <f t="shared" ref="D100:F100" si="58">D99</f>
        <v>22411018</v>
      </c>
      <c r="E100" s="42" t="str">
        <f t="shared" si="58"/>
        <v>L+6</v>
      </c>
      <c r="F100" s="44">
        <f t="shared" si="58"/>
        <v>1250</v>
      </c>
      <c r="G100" s="35">
        <v>0.91666666666666663</v>
      </c>
      <c r="H100" s="35">
        <v>0.16666666666666666</v>
      </c>
      <c r="I100" s="36">
        <v>360</v>
      </c>
      <c r="J100" s="37" t="str">
        <f t="shared" ref="J100:J101" si="59">J99</f>
        <v>Dsicontinued</v>
      </c>
      <c r="K100" s="37" t="s">
        <v>15</v>
      </c>
      <c r="L100" s="37" t="s">
        <v>16</v>
      </c>
      <c r="M100" s="47" t="s">
        <v>17</v>
      </c>
    </row>
    <row r="101" spans="1:13" x14ac:dyDescent="0.35">
      <c r="A101" s="17">
        <f t="shared" ref="A101:F101" si="60">A100</f>
        <v>45609</v>
      </c>
      <c r="B101" s="55">
        <f t="shared" si="60"/>
        <v>58</v>
      </c>
      <c r="C101" s="55">
        <f t="shared" si="60"/>
        <v>5.43</v>
      </c>
      <c r="D101" s="57">
        <f t="shared" si="60"/>
        <v>22411018</v>
      </c>
      <c r="E101" s="55" t="str">
        <f t="shared" si="60"/>
        <v>L+6</v>
      </c>
      <c r="F101" s="57">
        <f t="shared" si="60"/>
        <v>1250</v>
      </c>
      <c r="G101" s="35">
        <v>0.16666666666666666</v>
      </c>
      <c r="H101" s="35">
        <v>0.73958333333333337</v>
      </c>
      <c r="I101" s="36">
        <v>825</v>
      </c>
      <c r="J101" s="37" t="str">
        <f t="shared" si="59"/>
        <v>Dsicontinued</v>
      </c>
      <c r="K101" s="37" t="s">
        <v>62</v>
      </c>
      <c r="L101" s="37" t="s">
        <v>182</v>
      </c>
      <c r="M101" s="47" t="s">
        <v>196</v>
      </c>
    </row>
    <row r="102" spans="1:13" x14ac:dyDescent="0.35">
      <c r="A102" s="17">
        <v>45610</v>
      </c>
      <c r="B102" s="54">
        <v>57.29</v>
      </c>
      <c r="C102" s="54">
        <v>5.19</v>
      </c>
      <c r="D102" s="43">
        <v>22411019</v>
      </c>
      <c r="E102" s="54" t="s">
        <v>226</v>
      </c>
      <c r="F102" s="43">
        <v>1230</v>
      </c>
      <c r="G102" s="35">
        <v>9.930555555555555E-2</v>
      </c>
      <c r="H102" s="35">
        <v>0.18263888888888888</v>
      </c>
      <c r="I102" s="36">
        <v>120</v>
      </c>
      <c r="J102" s="37" t="s">
        <v>25</v>
      </c>
      <c r="K102" t="s">
        <v>21</v>
      </c>
      <c r="L102" s="37" t="s">
        <v>83</v>
      </c>
      <c r="M102" s="60" t="s">
        <v>227</v>
      </c>
    </row>
    <row r="103" spans="1:13" x14ac:dyDescent="0.35">
      <c r="A103" s="17">
        <f t="shared" ref="A103:F104" si="61">A102</f>
        <v>45610</v>
      </c>
      <c r="B103" s="42">
        <f t="shared" si="61"/>
        <v>57.29</v>
      </c>
      <c r="C103" s="42">
        <f t="shared" si="61"/>
        <v>5.19</v>
      </c>
      <c r="D103" s="44">
        <f t="shared" si="61"/>
        <v>22411019</v>
      </c>
      <c r="E103" s="42" t="str">
        <f t="shared" si="61"/>
        <v>L+14</v>
      </c>
      <c r="F103" s="44">
        <f t="shared" si="61"/>
        <v>1230</v>
      </c>
      <c r="G103" s="35">
        <v>0.18263888888888888</v>
      </c>
      <c r="H103" s="35">
        <v>0.20972222222222223</v>
      </c>
      <c r="I103" s="36">
        <v>39</v>
      </c>
      <c r="J103" s="37" t="str">
        <f t="shared" ref="J103:J104" si="62">J102</f>
        <v>Breakout</v>
      </c>
      <c r="K103" t="s">
        <v>21</v>
      </c>
      <c r="L103" s="37" t="s">
        <v>22</v>
      </c>
      <c r="M103" s="48" t="s">
        <v>228</v>
      </c>
    </row>
    <row r="104" spans="1:13" x14ac:dyDescent="0.35">
      <c r="A104" s="17">
        <f t="shared" si="61"/>
        <v>45610</v>
      </c>
      <c r="B104" s="42">
        <f t="shared" si="61"/>
        <v>57.29</v>
      </c>
      <c r="C104" s="42">
        <f t="shared" si="61"/>
        <v>5.19</v>
      </c>
      <c r="D104" s="44">
        <f t="shared" si="61"/>
        <v>22411019</v>
      </c>
      <c r="E104" s="42" t="str">
        <f t="shared" si="61"/>
        <v>L+14</v>
      </c>
      <c r="F104" s="44">
        <f t="shared" si="61"/>
        <v>1230</v>
      </c>
      <c r="G104" s="35">
        <v>0.20972222222222223</v>
      </c>
      <c r="H104" s="35">
        <v>0.24097222222222223</v>
      </c>
      <c r="I104" s="36">
        <v>45</v>
      </c>
      <c r="J104" s="37" t="str">
        <f t="shared" si="62"/>
        <v>Breakout</v>
      </c>
      <c r="K104" s="37" t="s">
        <v>41</v>
      </c>
      <c r="L104" s="48" t="s">
        <v>228</v>
      </c>
      <c r="M104" s="48" t="s">
        <v>228</v>
      </c>
    </row>
    <row r="105" spans="1:13" x14ac:dyDescent="0.35">
      <c r="A105" s="17">
        <v>45611</v>
      </c>
      <c r="B105" s="45">
        <v>58</v>
      </c>
      <c r="C105" s="45">
        <v>5.05</v>
      </c>
      <c r="D105" s="45">
        <v>22411020</v>
      </c>
      <c r="E105" s="45" t="s">
        <v>93</v>
      </c>
      <c r="F105" s="45">
        <v>1230</v>
      </c>
      <c r="G105" s="35">
        <v>0.4513888888888889</v>
      </c>
      <c r="H105" s="35">
        <v>0.54513888888888884</v>
      </c>
      <c r="I105" s="36">
        <v>135</v>
      </c>
      <c r="J105" s="37" t="s">
        <v>35</v>
      </c>
      <c r="K105" s="37" t="s">
        <v>62</v>
      </c>
      <c r="L105" s="37" t="s">
        <v>182</v>
      </c>
      <c r="M105" s="65" t="s">
        <v>229</v>
      </c>
    </row>
    <row r="106" spans="1:13" x14ac:dyDescent="0.35">
      <c r="A106" s="17">
        <v>45612</v>
      </c>
      <c r="B106" s="39">
        <v>58</v>
      </c>
      <c r="C106" s="54">
        <v>5.08</v>
      </c>
      <c r="D106" s="43">
        <v>22411021</v>
      </c>
      <c r="E106" s="39" t="s">
        <v>18</v>
      </c>
      <c r="F106" s="43">
        <v>1250</v>
      </c>
      <c r="G106" s="35">
        <v>0.99375000000000002</v>
      </c>
      <c r="H106" s="35">
        <v>5.6250000000000001E-2</v>
      </c>
      <c r="I106" s="36">
        <v>90</v>
      </c>
      <c r="J106" s="37" t="s">
        <v>35</v>
      </c>
      <c r="K106" s="37" t="s">
        <v>62</v>
      </c>
      <c r="L106" s="37" t="s">
        <v>236</v>
      </c>
      <c r="M106" s="49" t="s">
        <v>237</v>
      </c>
    </row>
    <row r="107" spans="1:13" x14ac:dyDescent="0.35">
      <c r="A107" s="17">
        <f t="shared" ref="A107:F108" si="63">A106</f>
        <v>45612</v>
      </c>
      <c r="B107" s="42">
        <f t="shared" si="63"/>
        <v>58</v>
      </c>
      <c r="C107" s="42">
        <f t="shared" si="63"/>
        <v>5.08</v>
      </c>
      <c r="D107" s="44">
        <f t="shared" si="63"/>
        <v>22411021</v>
      </c>
      <c r="E107" s="40" t="str">
        <f t="shared" si="63"/>
        <v>L+17</v>
      </c>
      <c r="F107" s="44">
        <f t="shared" si="63"/>
        <v>1250</v>
      </c>
      <c r="G107" s="35">
        <v>5.6250000000000001E-2</v>
      </c>
      <c r="H107" s="35">
        <v>7.3611111111111113E-2</v>
      </c>
      <c r="I107" s="36">
        <v>25</v>
      </c>
      <c r="J107" s="37" t="s">
        <v>35</v>
      </c>
      <c r="K107" s="37" t="s">
        <v>19</v>
      </c>
      <c r="L107" s="37" t="s">
        <v>143</v>
      </c>
      <c r="M107" s="47" t="s">
        <v>238</v>
      </c>
    </row>
    <row r="108" spans="1:13" x14ac:dyDescent="0.35">
      <c r="A108" s="17">
        <f t="shared" si="63"/>
        <v>45612</v>
      </c>
      <c r="B108" s="55">
        <f t="shared" si="63"/>
        <v>58</v>
      </c>
      <c r="C108" s="55">
        <f t="shared" si="63"/>
        <v>5.08</v>
      </c>
      <c r="D108" s="57">
        <f t="shared" si="63"/>
        <v>22411021</v>
      </c>
      <c r="E108" s="71" t="str">
        <f t="shared" si="63"/>
        <v>L+17</v>
      </c>
      <c r="F108" s="57">
        <f t="shared" si="63"/>
        <v>1250</v>
      </c>
      <c r="G108" s="35">
        <v>7.3611111111111113E-2</v>
      </c>
      <c r="H108" s="35">
        <v>8.6805555555555552E-2</v>
      </c>
      <c r="I108" s="36">
        <v>19</v>
      </c>
      <c r="J108" s="37" t="s">
        <v>35</v>
      </c>
      <c r="K108" t="s">
        <v>21</v>
      </c>
      <c r="L108" s="47" t="s">
        <v>206</v>
      </c>
      <c r="M108" s="47" t="s">
        <v>206</v>
      </c>
    </row>
    <row r="109" spans="1:13" x14ac:dyDescent="0.35">
      <c r="A109" s="17">
        <v>45613</v>
      </c>
      <c r="B109" s="54">
        <v>58</v>
      </c>
      <c r="C109" s="54">
        <v>5.21</v>
      </c>
      <c r="D109" s="43">
        <v>22411022</v>
      </c>
      <c r="E109" s="39" t="s">
        <v>50</v>
      </c>
      <c r="F109" s="43">
        <v>1250</v>
      </c>
      <c r="G109" s="35">
        <v>9.0277777777777776E-2</v>
      </c>
      <c r="H109" s="35">
        <v>0.1111111111111111</v>
      </c>
      <c r="I109" s="36">
        <v>30</v>
      </c>
      <c r="J109" s="37" t="s">
        <v>51</v>
      </c>
      <c r="K109" s="37" t="s">
        <v>52</v>
      </c>
      <c r="L109" s="37" t="s">
        <v>53</v>
      </c>
      <c r="M109" s="48" t="s">
        <v>54</v>
      </c>
    </row>
    <row r="110" spans="1:13" x14ac:dyDescent="0.35">
      <c r="A110" s="17">
        <f t="shared" ref="A110:F112" si="64">A109</f>
        <v>45613</v>
      </c>
      <c r="B110" s="42">
        <f t="shared" si="64"/>
        <v>58</v>
      </c>
      <c r="C110" s="42">
        <f t="shared" si="64"/>
        <v>5.21</v>
      </c>
      <c r="D110" s="44">
        <f t="shared" si="64"/>
        <v>22411022</v>
      </c>
      <c r="E110" s="40" t="str">
        <f t="shared" si="64"/>
        <v>L+40</v>
      </c>
      <c r="F110" s="44">
        <f t="shared" si="64"/>
        <v>1250</v>
      </c>
      <c r="G110" s="35">
        <v>0.1111111111111111</v>
      </c>
      <c r="H110" s="35">
        <v>0.12152777777777778</v>
      </c>
      <c r="I110" s="36">
        <v>15</v>
      </c>
      <c r="J110" s="37" t="s">
        <v>51</v>
      </c>
      <c r="K110" s="37" t="s">
        <v>52</v>
      </c>
      <c r="L110" s="37" t="s">
        <v>59</v>
      </c>
      <c r="M110" s="48" t="s">
        <v>59</v>
      </c>
    </row>
    <row r="111" spans="1:13" x14ac:dyDescent="0.35">
      <c r="A111" s="17">
        <f t="shared" si="64"/>
        <v>45613</v>
      </c>
      <c r="B111" s="42">
        <f t="shared" si="64"/>
        <v>58</v>
      </c>
      <c r="C111" s="42">
        <f t="shared" si="64"/>
        <v>5.21</v>
      </c>
      <c r="D111" s="44">
        <f t="shared" si="64"/>
        <v>22411022</v>
      </c>
      <c r="E111" s="40" t="str">
        <f t="shared" si="64"/>
        <v>L+40</v>
      </c>
      <c r="F111" s="44">
        <f t="shared" si="64"/>
        <v>1250</v>
      </c>
      <c r="G111" s="35">
        <v>0.12152777777777778</v>
      </c>
      <c r="H111" s="35">
        <v>0.14583333333333334</v>
      </c>
      <c r="I111" s="36">
        <v>35</v>
      </c>
      <c r="J111" s="37" t="s">
        <v>51</v>
      </c>
      <c r="K111" t="s">
        <v>21</v>
      </c>
      <c r="L111" s="48" t="s">
        <v>239</v>
      </c>
      <c r="M111" s="48" t="s">
        <v>239</v>
      </c>
    </row>
    <row r="112" spans="1:13" x14ac:dyDescent="0.35">
      <c r="A112" s="17">
        <f t="shared" si="64"/>
        <v>45613</v>
      </c>
      <c r="B112" s="42">
        <f t="shared" si="64"/>
        <v>58</v>
      </c>
      <c r="C112" s="42">
        <f t="shared" si="64"/>
        <v>5.21</v>
      </c>
      <c r="D112" s="44">
        <f t="shared" si="64"/>
        <v>22411022</v>
      </c>
      <c r="E112" s="40" t="str">
        <f t="shared" si="64"/>
        <v>L+40</v>
      </c>
      <c r="F112" s="44">
        <f t="shared" si="64"/>
        <v>1250</v>
      </c>
      <c r="G112" s="35">
        <v>0.14583333333333334</v>
      </c>
      <c r="H112" s="35">
        <v>0.15972222222222221</v>
      </c>
      <c r="I112" s="36">
        <v>20</v>
      </c>
      <c r="J112" s="37" t="s">
        <v>51</v>
      </c>
      <c r="K112" s="37" t="s">
        <v>41</v>
      </c>
      <c r="L112" s="48" t="s">
        <v>240</v>
      </c>
      <c r="M112" s="48" t="s">
        <v>240</v>
      </c>
    </row>
    <row r="113" spans="1:13" x14ac:dyDescent="0.35">
      <c r="A113" s="17">
        <v>45614</v>
      </c>
      <c r="B113" s="39">
        <v>58</v>
      </c>
      <c r="C113" s="39">
        <v>5.34</v>
      </c>
      <c r="D113" s="39">
        <v>22411023</v>
      </c>
      <c r="E113" s="39" t="s">
        <v>80</v>
      </c>
      <c r="F113" s="39">
        <v>1230</v>
      </c>
      <c r="G113" s="35">
        <v>0.36875000000000002</v>
      </c>
      <c r="H113" s="35">
        <v>0.38958333333333334</v>
      </c>
      <c r="I113" s="36">
        <v>30</v>
      </c>
      <c r="J113" s="37" t="s">
        <v>51</v>
      </c>
      <c r="K113" s="37" t="s">
        <v>52</v>
      </c>
      <c r="L113" s="37" t="s">
        <v>53</v>
      </c>
      <c r="M113" s="48" t="s">
        <v>54</v>
      </c>
    </row>
    <row r="114" spans="1:13" x14ac:dyDescent="0.35">
      <c r="A114" s="17">
        <v>45614</v>
      </c>
      <c r="B114" s="39">
        <v>58</v>
      </c>
      <c r="C114" s="39">
        <v>5.34</v>
      </c>
      <c r="D114" s="39">
        <v>22411023</v>
      </c>
      <c r="E114" s="39" t="s">
        <v>80</v>
      </c>
      <c r="F114" s="39">
        <v>1230</v>
      </c>
      <c r="G114" s="35">
        <v>0.38958333333333334</v>
      </c>
      <c r="H114" s="35">
        <v>0.39652777777777776</v>
      </c>
      <c r="I114" s="36">
        <v>10</v>
      </c>
      <c r="J114" s="37" t="s">
        <v>51</v>
      </c>
      <c r="K114" s="37" t="s">
        <v>19</v>
      </c>
      <c r="L114" s="48" t="s">
        <v>224</v>
      </c>
      <c r="M114" s="48" t="s">
        <v>224</v>
      </c>
    </row>
    <row r="115" spans="1:13" x14ac:dyDescent="0.35">
      <c r="A115" s="17">
        <v>45614</v>
      </c>
      <c r="B115" s="39">
        <v>58</v>
      </c>
      <c r="C115" s="39">
        <v>5.34</v>
      </c>
      <c r="D115" s="39">
        <v>22411023</v>
      </c>
      <c r="E115" s="39" t="s">
        <v>80</v>
      </c>
      <c r="F115" s="39">
        <v>1230</v>
      </c>
      <c r="G115" s="35">
        <v>0.39652777777777776</v>
      </c>
      <c r="H115" s="35">
        <v>0.40277777777777779</v>
      </c>
      <c r="I115" s="36">
        <v>9</v>
      </c>
      <c r="J115" s="37" t="s">
        <v>51</v>
      </c>
      <c r="K115" s="37" t="s">
        <v>62</v>
      </c>
      <c r="L115" s="37" t="s">
        <v>130</v>
      </c>
      <c r="M115" s="48" t="s">
        <v>131</v>
      </c>
    </row>
    <row r="116" spans="1:13" x14ac:dyDescent="0.35">
      <c r="A116" s="17">
        <v>45615</v>
      </c>
      <c r="B116" s="39">
        <v>58</v>
      </c>
      <c r="C116" s="39">
        <v>5.09</v>
      </c>
      <c r="D116" s="39">
        <v>22411024</v>
      </c>
      <c r="E116" s="39" t="s">
        <v>119</v>
      </c>
      <c r="F116" s="39">
        <v>1260</v>
      </c>
      <c r="G116" s="35">
        <v>0.64930555555555558</v>
      </c>
      <c r="H116" s="35">
        <v>0.67013888888888884</v>
      </c>
      <c r="I116" s="36">
        <v>30</v>
      </c>
      <c r="J116" s="80" t="s">
        <v>51</v>
      </c>
      <c r="K116" s="80" t="s">
        <v>52</v>
      </c>
      <c r="L116" s="80" t="s">
        <v>53</v>
      </c>
      <c r="M116" s="47" t="s">
        <v>54</v>
      </c>
    </row>
    <row r="117" spans="1:13" x14ac:dyDescent="0.35">
      <c r="A117" s="17">
        <v>45615</v>
      </c>
      <c r="B117" s="39">
        <v>58</v>
      </c>
      <c r="C117" s="39">
        <v>5.09</v>
      </c>
      <c r="D117" s="39">
        <v>22411024</v>
      </c>
      <c r="E117" s="39" t="s">
        <v>119</v>
      </c>
      <c r="F117" s="39">
        <v>1260</v>
      </c>
      <c r="G117" s="35">
        <v>0.67013888888888884</v>
      </c>
      <c r="H117" s="35">
        <v>0.68055555555555558</v>
      </c>
      <c r="I117" s="36">
        <v>15</v>
      </c>
      <c r="J117" s="80" t="s">
        <v>51</v>
      </c>
      <c r="K117" s="80" t="s">
        <v>52</v>
      </c>
      <c r="L117" s="80" t="s">
        <v>59</v>
      </c>
      <c r="M117" s="47" t="s">
        <v>59</v>
      </c>
    </row>
    <row r="118" spans="1:13" x14ac:dyDescent="0.35">
      <c r="A118" s="17">
        <v>45615</v>
      </c>
      <c r="B118" s="39">
        <v>58</v>
      </c>
      <c r="C118" s="39">
        <v>5.09</v>
      </c>
      <c r="D118" s="39">
        <v>22411024</v>
      </c>
      <c r="E118" s="39" t="s">
        <v>119</v>
      </c>
      <c r="F118" s="39">
        <v>1260</v>
      </c>
      <c r="G118" s="35">
        <v>0.68055555555555558</v>
      </c>
      <c r="H118" s="35">
        <v>0.70833333333333337</v>
      </c>
      <c r="I118" s="36">
        <v>40</v>
      </c>
      <c r="J118" s="80" t="s">
        <v>51</v>
      </c>
      <c r="K118" s="80" t="s">
        <v>19</v>
      </c>
      <c r="L118" s="80" t="s">
        <v>225</v>
      </c>
      <c r="M118" s="47" t="s">
        <v>243</v>
      </c>
    </row>
    <row r="119" spans="1:13" x14ac:dyDescent="0.35">
      <c r="A119" s="17">
        <v>45617</v>
      </c>
      <c r="B119" s="45">
        <v>58</v>
      </c>
      <c r="C119" s="45">
        <v>5.41</v>
      </c>
      <c r="D119" s="39">
        <v>22411025</v>
      </c>
      <c r="E119" s="39" t="s">
        <v>72</v>
      </c>
      <c r="F119" s="39">
        <v>1270</v>
      </c>
      <c r="G119" s="35">
        <v>0.94097222222222221</v>
      </c>
      <c r="H119" s="35">
        <v>0.96180555555555558</v>
      </c>
      <c r="I119" s="36">
        <v>30</v>
      </c>
      <c r="J119" s="80" t="s">
        <v>51</v>
      </c>
      <c r="K119" s="80" t="s">
        <v>52</v>
      </c>
      <c r="L119" s="80" t="s">
        <v>53</v>
      </c>
      <c r="M119" s="47" t="s">
        <v>54</v>
      </c>
    </row>
    <row r="120" spans="1:13" x14ac:dyDescent="0.35">
      <c r="A120" s="17">
        <v>45617</v>
      </c>
      <c r="B120" s="45">
        <v>57</v>
      </c>
      <c r="C120" s="45">
        <v>5.09</v>
      </c>
      <c r="D120" s="39">
        <v>22411025</v>
      </c>
      <c r="E120" s="39" t="s">
        <v>72</v>
      </c>
      <c r="F120" s="39">
        <v>1270</v>
      </c>
      <c r="G120" s="35">
        <v>0.96180555555555558</v>
      </c>
      <c r="H120" s="35">
        <v>0.97569444444444442</v>
      </c>
      <c r="I120" s="36">
        <v>20</v>
      </c>
      <c r="J120" s="80" t="s">
        <v>51</v>
      </c>
      <c r="K120" s="80" t="s">
        <v>62</v>
      </c>
      <c r="L120" s="80" t="s">
        <v>130</v>
      </c>
      <c r="M120" s="47" t="s">
        <v>250</v>
      </c>
    </row>
    <row r="121" spans="1:13" x14ac:dyDescent="0.35">
      <c r="A121" s="17">
        <v>45618</v>
      </c>
      <c r="B121" s="39">
        <v>58</v>
      </c>
      <c r="C121" s="39">
        <v>4.93</v>
      </c>
      <c r="D121" s="39">
        <v>22411026</v>
      </c>
      <c r="E121" s="39" t="s">
        <v>93</v>
      </c>
      <c r="F121" s="39">
        <v>1250</v>
      </c>
      <c r="G121" s="35">
        <v>0.15347222222222223</v>
      </c>
      <c r="H121" s="35">
        <v>0.17430555555555555</v>
      </c>
      <c r="I121" s="36">
        <v>30</v>
      </c>
      <c r="J121" s="80" t="s">
        <v>51</v>
      </c>
      <c r="K121" s="80" t="s">
        <v>52</v>
      </c>
      <c r="L121" s="80" t="s">
        <v>53</v>
      </c>
      <c r="M121" s="47" t="s">
        <v>54</v>
      </c>
    </row>
    <row r="122" spans="1:13" x14ac:dyDescent="0.35">
      <c r="A122" s="17">
        <v>45618</v>
      </c>
      <c r="B122" s="39">
        <v>58</v>
      </c>
      <c r="C122" s="39">
        <v>4.93</v>
      </c>
      <c r="D122" s="39">
        <v>22411026</v>
      </c>
      <c r="E122" s="39" t="s">
        <v>93</v>
      </c>
      <c r="F122" s="39">
        <v>1250</v>
      </c>
      <c r="G122" s="35">
        <v>0.17430555555555555</v>
      </c>
      <c r="H122" s="35">
        <v>0.19513888888888889</v>
      </c>
      <c r="I122" s="36">
        <v>30</v>
      </c>
      <c r="J122" s="80" t="s">
        <v>51</v>
      </c>
      <c r="K122" s="80" t="s">
        <v>52</v>
      </c>
      <c r="L122" s="80" t="s">
        <v>59</v>
      </c>
      <c r="M122" s="47" t="s">
        <v>253</v>
      </c>
    </row>
    <row r="123" spans="1:13" x14ac:dyDescent="0.35">
      <c r="A123" s="17">
        <v>45618</v>
      </c>
      <c r="B123" s="39">
        <v>58</v>
      </c>
      <c r="C123" s="39">
        <v>4.93</v>
      </c>
      <c r="D123" s="39">
        <v>22411026</v>
      </c>
      <c r="E123" s="39" t="s">
        <v>93</v>
      </c>
      <c r="F123" s="39">
        <v>1250</v>
      </c>
      <c r="G123" s="35">
        <v>0.19513888888888889</v>
      </c>
      <c r="H123" s="35">
        <v>0.20208333333333334</v>
      </c>
      <c r="I123" s="36">
        <v>10</v>
      </c>
      <c r="J123" s="80" t="s">
        <v>51</v>
      </c>
      <c r="K123" s="80" t="s">
        <v>41</v>
      </c>
      <c r="L123" s="47" t="s">
        <v>254</v>
      </c>
      <c r="M123" s="47" t="s">
        <v>254</v>
      </c>
    </row>
    <row r="124" spans="1:13" x14ac:dyDescent="0.35">
      <c r="A124" s="17">
        <v>45618</v>
      </c>
      <c r="B124" s="39">
        <v>58</v>
      </c>
      <c r="C124" s="39">
        <v>4.93</v>
      </c>
      <c r="D124" s="39">
        <v>22411026</v>
      </c>
      <c r="E124" s="39" t="s">
        <v>93</v>
      </c>
      <c r="F124" s="39">
        <v>1250</v>
      </c>
      <c r="G124" s="35">
        <v>0.20208333333333334</v>
      </c>
      <c r="H124" s="35">
        <v>0.20972222222222223</v>
      </c>
      <c r="I124" s="36">
        <v>11</v>
      </c>
      <c r="J124" s="80" t="s">
        <v>51</v>
      </c>
      <c r="K124" t="s">
        <v>21</v>
      </c>
      <c r="L124" s="47" t="s">
        <v>255</v>
      </c>
      <c r="M124" s="47" t="s">
        <v>255</v>
      </c>
    </row>
    <row r="125" spans="1:13" x14ac:dyDescent="0.35">
      <c r="A125" s="17">
        <v>45618</v>
      </c>
      <c r="B125" s="39">
        <v>58</v>
      </c>
      <c r="C125" s="39">
        <v>4.93</v>
      </c>
      <c r="D125" s="39">
        <v>22411027</v>
      </c>
      <c r="E125" s="39" t="s">
        <v>47</v>
      </c>
      <c r="F125" s="39">
        <v>1250</v>
      </c>
      <c r="G125" s="35">
        <v>0.21041666666666667</v>
      </c>
      <c r="H125" s="35">
        <v>0.29375000000000001</v>
      </c>
      <c r="I125" s="36">
        <v>120</v>
      </c>
      <c r="J125" s="80" t="s">
        <v>25</v>
      </c>
      <c r="K125" t="s">
        <v>21</v>
      </c>
      <c r="L125" s="80" t="s">
        <v>83</v>
      </c>
      <c r="M125" s="60" t="s">
        <v>227</v>
      </c>
    </row>
    <row r="126" spans="1:13" x14ac:dyDescent="0.35">
      <c r="A126" s="17">
        <v>45618</v>
      </c>
      <c r="B126" s="39">
        <v>58</v>
      </c>
      <c r="C126" s="39">
        <v>4.93</v>
      </c>
      <c r="D126" s="39">
        <v>22411027</v>
      </c>
      <c r="E126" s="39" t="s">
        <v>47</v>
      </c>
      <c r="F126" s="39">
        <v>1250</v>
      </c>
      <c r="G126" s="35">
        <v>0.29375000000000001</v>
      </c>
      <c r="H126" s="35">
        <v>0.41666666666666669</v>
      </c>
      <c r="I126" s="36">
        <v>177</v>
      </c>
      <c r="J126" s="80" t="s">
        <v>25</v>
      </c>
      <c r="K126" t="s">
        <v>21</v>
      </c>
      <c r="L126" s="80" t="s">
        <v>55</v>
      </c>
      <c r="M126" s="47" t="s">
        <v>256</v>
      </c>
    </row>
    <row r="127" spans="1:13" x14ac:dyDescent="0.35">
      <c r="A127" s="17">
        <v>45618</v>
      </c>
      <c r="B127" s="39">
        <v>58</v>
      </c>
      <c r="C127" s="39">
        <v>4.93</v>
      </c>
      <c r="D127" s="39">
        <v>22411027</v>
      </c>
      <c r="E127" s="39" t="s">
        <v>47</v>
      </c>
      <c r="F127" s="39">
        <v>1250</v>
      </c>
      <c r="G127" s="35">
        <v>0.41666666666666669</v>
      </c>
      <c r="H127" s="35">
        <v>0.48958333333333331</v>
      </c>
      <c r="I127" s="36">
        <v>105</v>
      </c>
      <c r="J127" s="80" t="s">
        <v>25</v>
      </c>
      <c r="K127" s="80" t="s">
        <v>19</v>
      </c>
      <c r="L127" s="80" t="s">
        <v>85</v>
      </c>
      <c r="M127" s="47" t="s">
        <v>257</v>
      </c>
    </row>
    <row r="128" spans="1:13" x14ac:dyDescent="0.35">
      <c r="A128" s="17">
        <v>45618</v>
      </c>
      <c r="B128" s="39">
        <v>58</v>
      </c>
      <c r="C128" s="39">
        <v>4.93</v>
      </c>
      <c r="D128" s="45">
        <v>12411028</v>
      </c>
      <c r="E128" s="45" t="s">
        <v>90</v>
      </c>
      <c r="F128" s="45">
        <v>1230</v>
      </c>
      <c r="G128" s="35">
        <v>0.83680555555555558</v>
      </c>
      <c r="H128" s="35">
        <v>0.91666666666666663</v>
      </c>
      <c r="I128" s="36">
        <v>115</v>
      </c>
      <c r="J128" s="80" t="s">
        <v>25</v>
      </c>
      <c r="K128" t="s">
        <v>21</v>
      </c>
      <c r="L128" s="80" t="s">
        <v>83</v>
      </c>
      <c r="M128" s="60" t="s">
        <v>258</v>
      </c>
    </row>
    <row r="129" spans="1:13" x14ac:dyDescent="0.35">
      <c r="A129" s="17">
        <v>45619</v>
      </c>
      <c r="B129" s="45">
        <v>58</v>
      </c>
      <c r="C129" s="45">
        <v>5.35</v>
      </c>
      <c r="D129" s="45">
        <v>12411028</v>
      </c>
      <c r="E129" s="45" t="s">
        <v>90</v>
      </c>
      <c r="F129" s="45">
        <v>1230</v>
      </c>
      <c r="G129" s="35">
        <v>0.91666666666666663</v>
      </c>
      <c r="H129" s="81">
        <v>0.92708333333333337</v>
      </c>
      <c r="I129" s="84">
        <v>15</v>
      </c>
      <c r="J129" s="80" t="s">
        <v>25</v>
      </c>
      <c r="K129" t="s">
        <v>21</v>
      </c>
      <c r="L129" s="37" t="s">
        <v>74</v>
      </c>
      <c r="M129" s="47" t="s">
        <v>157</v>
      </c>
    </row>
    <row r="130" spans="1:13" x14ac:dyDescent="0.35">
      <c r="A130" s="17">
        <v>45620</v>
      </c>
      <c r="B130" s="39">
        <v>58</v>
      </c>
      <c r="C130" s="39">
        <v>5.1100000000000003</v>
      </c>
      <c r="D130" s="39">
        <v>22411029</v>
      </c>
      <c r="E130" s="39" t="s">
        <v>57</v>
      </c>
      <c r="F130" s="39">
        <v>1230</v>
      </c>
      <c r="G130" s="35">
        <v>0.16666666666666666</v>
      </c>
      <c r="H130" s="35">
        <v>0.1875</v>
      </c>
      <c r="I130" s="36">
        <v>30</v>
      </c>
      <c r="J130" s="37" t="s">
        <v>51</v>
      </c>
      <c r="K130" s="37" t="s">
        <v>52</v>
      </c>
      <c r="L130" s="37" t="s">
        <v>53</v>
      </c>
      <c r="M130" s="48" t="s">
        <v>54</v>
      </c>
    </row>
    <row r="131" spans="1:13" x14ac:dyDescent="0.35">
      <c r="A131" s="17">
        <v>45620</v>
      </c>
      <c r="B131" s="39">
        <v>58</v>
      </c>
      <c r="C131" s="39">
        <v>5.1100000000000003</v>
      </c>
      <c r="D131" s="39">
        <v>22411029</v>
      </c>
      <c r="E131" s="39" t="s">
        <v>57</v>
      </c>
      <c r="F131" s="39">
        <v>1230</v>
      </c>
      <c r="G131" s="35">
        <v>0.1875</v>
      </c>
      <c r="H131" s="35">
        <v>0.19444444444444445</v>
      </c>
      <c r="I131" s="36">
        <v>10</v>
      </c>
      <c r="J131" s="37" t="s">
        <v>51</v>
      </c>
      <c r="K131" s="37" t="s">
        <v>19</v>
      </c>
      <c r="L131" s="48" t="s">
        <v>262</v>
      </c>
      <c r="M131" s="48" t="s">
        <v>262</v>
      </c>
    </row>
    <row r="132" spans="1:13" x14ac:dyDescent="0.35">
      <c r="A132" s="17">
        <v>45620</v>
      </c>
      <c r="B132" s="39">
        <v>58</v>
      </c>
      <c r="C132" s="39">
        <v>5.1100000000000003</v>
      </c>
      <c r="D132" s="39">
        <v>22411029</v>
      </c>
      <c r="E132" s="39" t="s">
        <v>57</v>
      </c>
      <c r="F132" s="39">
        <v>1230</v>
      </c>
      <c r="G132" s="35">
        <v>0.19444444444444445</v>
      </c>
      <c r="H132" s="35">
        <v>0.2</v>
      </c>
      <c r="I132" s="36">
        <v>8</v>
      </c>
      <c r="J132" s="37" t="s">
        <v>51</v>
      </c>
      <c r="K132" s="37" t="s">
        <v>62</v>
      </c>
      <c r="L132" s="37" t="s">
        <v>130</v>
      </c>
      <c r="M132" s="48" t="s">
        <v>147</v>
      </c>
    </row>
    <row r="133" spans="1:13" x14ac:dyDescent="0.35">
      <c r="A133" s="17">
        <v>45621</v>
      </c>
      <c r="B133" s="39">
        <v>58</v>
      </c>
      <c r="C133" s="39">
        <v>5.14</v>
      </c>
      <c r="D133" s="39">
        <v>22411030</v>
      </c>
      <c r="E133" s="39" t="s">
        <v>57</v>
      </c>
      <c r="F133" s="39" t="s">
        <v>264</v>
      </c>
      <c r="G133" s="35">
        <v>0.43055555555555558</v>
      </c>
      <c r="H133" s="35">
        <v>0.4513888888888889</v>
      </c>
      <c r="I133" s="36">
        <v>30</v>
      </c>
      <c r="J133" s="37" t="s">
        <v>51</v>
      </c>
      <c r="K133" s="37" t="s">
        <v>52</v>
      </c>
      <c r="L133" s="37" t="s">
        <v>53</v>
      </c>
      <c r="M133" s="47" t="s">
        <v>54</v>
      </c>
    </row>
    <row r="134" spans="1:13" x14ac:dyDescent="0.35">
      <c r="A134" s="17">
        <v>45621</v>
      </c>
      <c r="B134" s="39">
        <v>58</v>
      </c>
      <c r="C134" s="39">
        <v>5.14</v>
      </c>
      <c r="D134" s="39">
        <v>22411030</v>
      </c>
      <c r="E134" s="39" t="s">
        <v>57</v>
      </c>
      <c r="F134" s="39" t="s">
        <v>264</v>
      </c>
      <c r="G134" s="35">
        <v>0.4513888888888889</v>
      </c>
      <c r="H134" s="35">
        <v>0.45833333333333331</v>
      </c>
      <c r="I134" s="36">
        <v>10</v>
      </c>
      <c r="J134" s="37" t="s">
        <v>51</v>
      </c>
      <c r="K134" s="37" t="s">
        <v>52</v>
      </c>
      <c r="L134" s="37" t="s">
        <v>59</v>
      </c>
      <c r="M134" s="47" t="s">
        <v>59</v>
      </c>
    </row>
    <row r="135" spans="1:13" x14ac:dyDescent="0.35">
      <c r="A135" s="17">
        <v>45621</v>
      </c>
      <c r="B135" s="39">
        <v>58</v>
      </c>
      <c r="C135" s="39">
        <v>5.14</v>
      </c>
      <c r="D135" s="39">
        <v>22411030</v>
      </c>
      <c r="E135" s="39" t="s">
        <v>57</v>
      </c>
      <c r="F135" s="39" t="s">
        <v>264</v>
      </c>
      <c r="G135" s="35">
        <v>0.45833333333333331</v>
      </c>
      <c r="H135" s="35">
        <v>0.46527777777777779</v>
      </c>
      <c r="I135" s="36">
        <v>10</v>
      </c>
      <c r="J135" s="37" t="s">
        <v>51</v>
      </c>
      <c r="K135" s="37" t="s">
        <v>62</v>
      </c>
      <c r="L135" s="37" t="s">
        <v>130</v>
      </c>
      <c r="M135" s="47" t="s">
        <v>164</v>
      </c>
    </row>
    <row r="136" spans="1:13" x14ac:dyDescent="0.35">
      <c r="A136" s="17">
        <v>45621</v>
      </c>
      <c r="B136" s="39">
        <v>58</v>
      </c>
      <c r="C136" s="39">
        <v>5.14</v>
      </c>
      <c r="D136" s="39">
        <v>22411030</v>
      </c>
      <c r="E136" s="39" t="s">
        <v>57</v>
      </c>
      <c r="F136" s="39" t="s">
        <v>264</v>
      </c>
      <c r="G136" s="35">
        <v>0.46527777777777779</v>
      </c>
      <c r="H136" s="35">
        <v>0.48888888888888887</v>
      </c>
      <c r="I136" s="36">
        <v>34</v>
      </c>
      <c r="J136" s="37" t="s">
        <v>51</v>
      </c>
      <c r="K136" s="37" t="s">
        <v>19</v>
      </c>
      <c r="L136" s="47" t="s">
        <v>265</v>
      </c>
      <c r="M136" s="47" t="s">
        <v>265</v>
      </c>
    </row>
    <row r="137" spans="1:13" x14ac:dyDescent="0.35">
      <c r="A137" s="17">
        <v>45621</v>
      </c>
      <c r="B137" s="39">
        <v>58</v>
      </c>
      <c r="C137" s="39">
        <v>5.14</v>
      </c>
      <c r="D137" s="39">
        <v>22411030</v>
      </c>
      <c r="E137" s="39" t="s">
        <v>57</v>
      </c>
      <c r="F137" s="39" t="s">
        <v>264</v>
      </c>
      <c r="G137" s="35">
        <v>0.48888888888888887</v>
      </c>
      <c r="H137" s="35">
        <v>0.50277777777777777</v>
      </c>
      <c r="I137" s="36">
        <v>20</v>
      </c>
      <c r="J137" s="37" t="s">
        <v>51</v>
      </c>
      <c r="K137" s="37" t="s">
        <v>41</v>
      </c>
      <c r="L137" s="47" t="s">
        <v>266</v>
      </c>
      <c r="M137" s="47" t="s">
        <v>266</v>
      </c>
    </row>
    <row r="138" spans="1:13" x14ac:dyDescent="0.35">
      <c r="A138" s="17">
        <v>45622</v>
      </c>
      <c r="B138" s="39">
        <v>58</v>
      </c>
      <c r="C138" s="39">
        <v>5.34</v>
      </c>
      <c r="D138" s="39">
        <v>22411031</v>
      </c>
      <c r="E138" s="39" t="s">
        <v>119</v>
      </c>
      <c r="F138" s="39">
        <v>1260</v>
      </c>
      <c r="G138" s="35">
        <v>0.70486111111111116</v>
      </c>
      <c r="H138" s="35">
        <v>0.72569444444444442</v>
      </c>
      <c r="I138" s="36">
        <v>30</v>
      </c>
      <c r="J138" s="80" t="s">
        <v>51</v>
      </c>
      <c r="K138" s="80" t="s">
        <v>52</v>
      </c>
      <c r="L138" s="80" t="s">
        <v>53</v>
      </c>
      <c r="M138" s="47" t="s">
        <v>54</v>
      </c>
    </row>
    <row r="139" spans="1:13" x14ac:dyDescent="0.35">
      <c r="A139" s="17">
        <v>45622</v>
      </c>
      <c r="B139" s="39">
        <v>58</v>
      </c>
      <c r="C139" s="39">
        <v>5.34</v>
      </c>
      <c r="D139" s="39">
        <v>22411031</v>
      </c>
      <c r="E139" s="39" t="s">
        <v>119</v>
      </c>
      <c r="F139" s="39">
        <v>1260</v>
      </c>
      <c r="G139" s="35">
        <v>0.72569444444444442</v>
      </c>
      <c r="H139" s="35">
        <v>0.74375000000000002</v>
      </c>
      <c r="I139" s="36">
        <v>26</v>
      </c>
      <c r="J139" s="80" t="s">
        <v>51</v>
      </c>
      <c r="K139" s="80" t="s">
        <v>19</v>
      </c>
      <c r="L139" s="80" t="s">
        <v>225</v>
      </c>
      <c r="M139" s="47" t="s">
        <v>267</v>
      </c>
    </row>
    <row r="140" spans="1:13" x14ac:dyDescent="0.35">
      <c r="A140" s="17">
        <v>45624</v>
      </c>
      <c r="B140" s="45">
        <v>58</v>
      </c>
      <c r="C140" s="45">
        <v>5.13</v>
      </c>
      <c r="D140" s="39">
        <v>22411032</v>
      </c>
      <c r="E140" s="39" t="s">
        <v>57</v>
      </c>
      <c r="F140" s="39">
        <v>1230</v>
      </c>
      <c r="G140" s="35">
        <v>0.93472222222222223</v>
      </c>
      <c r="H140" s="35">
        <v>0.9555555555555556</v>
      </c>
      <c r="I140" s="36">
        <v>30</v>
      </c>
      <c r="J140" s="80" t="s">
        <v>51</v>
      </c>
      <c r="K140" s="80" t="s">
        <v>52</v>
      </c>
      <c r="L140" s="80" t="s">
        <v>53</v>
      </c>
      <c r="M140" s="47" t="s">
        <v>54</v>
      </c>
    </row>
    <row r="141" spans="1:13" x14ac:dyDescent="0.35">
      <c r="A141" s="17">
        <v>45624</v>
      </c>
      <c r="B141" s="39">
        <v>58</v>
      </c>
      <c r="C141" s="39">
        <v>4.9000000000000004</v>
      </c>
      <c r="D141" s="39">
        <v>22411032</v>
      </c>
      <c r="E141" s="39" t="s">
        <v>57</v>
      </c>
      <c r="F141" s="39">
        <v>1230</v>
      </c>
      <c r="G141" s="35">
        <v>0.9555555555555556</v>
      </c>
      <c r="H141" s="35">
        <v>0.96111111111111114</v>
      </c>
      <c r="I141" s="36">
        <v>8</v>
      </c>
      <c r="J141" s="80" t="s">
        <v>51</v>
      </c>
      <c r="K141" s="80" t="s">
        <v>52</v>
      </c>
      <c r="L141" s="80" t="s">
        <v>59</v>
      </c>
      <c r="M141" s="47" t="s">
        <v>59</v>
      </c>
    </row>
    <row r="142" spans="1:13" x14ac:dyDescent="0.35">
      <c r="A142" s="17">
        <v>45624</v>
      </c>
      <c r="B142" s="39">
        <v>58</v>
      </c>
      <c r="C142" s="39">
        <v>4.9000000000000004</v>
      </c>
      <c r="D142" s="39">
        <v>22411032</v>
      </c>
      <c r="E142" s="39" t="s">
        <v>57</v>
      </c>
      <c r="F142" s="39">
        <v>1230</v>
      </c>
      <c r="G142" s="35">
        <v>0.96111111111111114</v>
      </c>
      <c r="H142" s="35">
        <v>0.96944444444444444</v>
      </c>
      <c r="I142" s="36">
        <v>12</v>
      </c>
      <c r="J142" s="80" t="s">
        <v>51</v>
      </c>
      <c r="K142" s="80" t="s">
        <v>62</v>
      </c>
      <c r="L142" s="80" t="s">
        <v>130</v>
      </c>
      <c r="M142" s="47" t="s">
        <v>164</v>
      </c>
    </row>
    <row r="143" spans="1:13" x14ac:dyDescent="0.35">
      <c r="A143" s="17">
        <v>45624</v>
      </c>
      <c r="B143" s="39">
        <v>58</v>
      </c>
      <c r="C143" s="39">
        <v>4.9000000000000004</v>
      </c>
      <c r="D143" s="39">
        <v>22411032</v>
      </c>
      <c r="E143" s="39" t="s">
        <v>57</v>
      </c>
      <c r="F143" s="39">
        <v>1230</v>
      </c>
      <c r="G143" s="35">
        <v>0.96944444444444444</v>
      </c>
      <c r="H143" s="35">
        <v>0.32291666666666669</v>
      </c>
      <c r="I143" s="36">
        <v>509</v>
      </c>
      <c r="J143" s="80" t="s">
        <v>51</v>
      </c>
      <c r="K143" s="80" t="s">
        <v>41</v>
      </c>
      <c r="L143" s="47" t="s">
        <v>272</v>
      </c>
      <c r="M143" s="47" t="s">
        <v>272</v>
      </c>
    </row>
    <row r="144" spans="1:13" x14ac:dyDescent="0.35">
      <c r="A144" s="17">
        <v>45625</v>
      </c>
      <c r="B144" s="39">
        <v>58</v>
      </c>
      <c r="C144" s="39">
        <v>5.24</v>
      </c>
      <c r="D144" s="39">
        <v>22411033</v>
      </c>
      <c r="E144" s="39" t="s">
        <v>273</v>
      </c>
      <c r="F144" s="39">
        <v>1230</v>
      </c>
      <c r="G144" s="35">
        <v>0.15972222222222221</v>
      </c>
      <c r="H144" s="35">
        <v>0.18055555555555555</v>
      </c>
      <c r="I144" s="36">
        <v>30</v>
      </c>
      <c r="J144" s="80" t="s">
        <v>51</v>
      </c>
      <c r="K144" s="80" t="s">
        <v>52</v>
      </c>
      <c r="L144" s="80" t="s">
        <v>53</v>
      </c>
      <c r="M144" s="47" t="s">
        <v>274</v>
      </c>
    </row>
    <row r="145" spans="1:13" x14ac:dyDescent="0.35">
      <c r="A145" s="17">
        <v>45625</v>
      </c>
      <c r="B145" s="39">
        <v>58</v>
      </c>
      <c r="C145" s="39">
        <v>5.24</v>
      </c>
      <c r="D145" s="39">
        <v>22411033</v>
      </c>
      <c r="E145" s="39" t="s">
        <v>273</v>
      </c>
      <c r="F145" s="39">
        <v>1230</v>
      </c>
      <c r="G145" s="35">
        <v>0.18055555555555555</v>
      </c>
      <c r="H145" s="35">
        <v>0.19097222222222221</v>
      </c>
      <c r="I145" s="36">
        <v>15</v>
      </c>
      <c r="J145" s="80" t="s">
        <v>51</v>
      </c>
      <c r="K145" s="80" t="s">
        <v>52</v>
      </c>
      <c r="L145" s="80" t="s">
        <v>59</v>
      </c>
      <c r="M145" s="47" t="s">
        <v>59</v>
      </c>
    </row>
    <row r="146" spans="1:13" x14ac:dyDescent="0.35">
      <c r="A146" s="17">
        <v>45625</v>
      </c>
      <c r="B146" s="39">
        <v>58</v>
      </c>
      <c r="C146" s="39">
        <v>5.24</v>
      </c>
      <c r="D146" s="39">
        <v>22411033</v>
      </c>
      <c r="E146" s="39" t="s">
        <v>273</v>
      </c>
      <c r="F146" s="39">
        <v>1230</v>
      </c>
      <c r="G146" s="35">
        <v>0.19097222222222221</v>
      </c>
      <c r="H146" s="35">
        <v>0.2326388888888889</v>
      </c>
      <c r="I146" s="36">
        <v>60</v>
      </c>
      <c r="J146" s="80" t="s">
        <v>51</v>
      </c>
      <c r="K146" s="80" t="s">
        <v>19</v>
      </c>
      <c r="L146" s="80" t="s">
        <v>149</v>
      </c>
      <c r="M146" s="47" t="s">
        <v>275</v>
      </c>
    </row>
    <row r="147" spans="1:13" x14ac:dyDescent="0.35">
      <c r="A147" s="17">
        <v>45626</v>
      </c>
      <c r="B147" s="39">
        <v>58</v>
      </c>
      <c r="C147" s="39">
        <v>5.13</v>
      </c>
      <c r="D147" s="39">
        <v>22411034</v>
      </c>
      <c r="E147" s="39" t="s">
        <v>119</v>
      </c>
      <c r="F147" s="39">
        <v>1250</v>
      </c>
      <c r="G147" s="35">
        <v>0.4513888888888889</v>
      </c>
      <c r="H147" s="35">
        <v>0.47222222222222221</v>
      </c>
      <c r="I147" s="36">
        <v>30</v>
      </c>
      <c r="J147" s="37" t="s">
        <v>51</v>
      </c>
      <c r="K147" s="37" t="s">
        <v>52</v>
      </c>
      <c r="L147" s="37" t="s">
        <v>53</v>
      </c>
      <c r="M147" s="47" t="s">
        <v>54</v>
      </c>
    </row>
    <row r="148" spans="1:13" x14ac:dyDescent="0.35">
      <c r="A148" s="17">
        <v>45626</v>
      </c>
      <c r="B148" s="39">
        <v>58</v>
      </c>
      <c r="C148" s="39">
        <v>5.13</v>
      </c>
      <c r="D148" s="39">
        <v>22411034</v>
      </c>
      <c r="E148" s="39" t="s">
        <v>119</v>
      </c>
      <c r="F148" s="39">
        <v>1250</v>
      </c>
      <c r="G148" s="35">
        <v>0.47222222222222221</v>
      </c>
      <c r="H148" s="35">
        <v>0.50694444444444442</v>
      </c>
      <c r="I148" s="36">
        <v>50</v>
      </c>
      <c r="J148" s="37" t="s">
        <v>51</v>
      </c>
      <c r="K148" s="37" t="s">
        <v>19</v>
      </c>
      <c r="L148" s="37" t="s">
        <v>53</v>
      </c>
      <c r="M148" s="47" t="s">
        <v>239</v>
      </c>
    </row>
    <row r="149" spans="1:13" x14ac:dyDescent="0.35">
      <c r="A149" s="17">
        <v>45626</v>
      </c>
      <c r="B149" s="39">
        <v>58</v>
      </c>
      <c r="C149" s="39">
        <v>5.13</v>
      </c>
      <c r="D149" s="39">
        <v>22411034</v>
      </c>
      <c r="E149" s="39" t="s">
        <v>119</v>
      </c>
      <c r="F149" s="39">
        <v>1250</v>
      </c>
      <c r="G149" s="35">
        <v>0.50694444444444442</v>
      </c>
      <c r="H149" s="35">
        <v>0.56388888888888888</v>
      </c>
      <c r="I149" s="36">
        <v>82</v>
      </c>
      <c r="J149" s="37" t="s">
        <v>51</v>
      </c>
      <c r="K149" s="37" t="s">
        <v>19</v>
      </c>
      <c r="L149" s="37" t="s">
        <v>53</v>
      </c>
      <c r="M149" s="47" t="s">
        <v>276</v>
      </c>
    </row>
    <row r="150" spans="1:13" x14ac:dyDescent="0.35">
      <c r="A150" s="17">
        <v>45627</v>
      </c>
      <c r="B150" s="39">
        <v>58</v>
      </c>
      <c r="C150" s="39">
        <v>4.8600000000000003</v>
      </c>
      <c r="D150" s="39">
        <v>22411035</v>
      </c>
      <c r="E150" s="39" t="s">
        <v>82</v>
      </c>
      <c r="F150" s="39">
        <v>1255</v>
      </c>
      <c r="G150" s="35">
        <v>0.64930555555555558</v>
      </c>
      <c r="H150" s="35">
        <v>0.67013888888888884</v>
      </c>
      <c r="I150" s="36">
        <v>30</v>
      </c>
      <c r="J150" s="37" t="s">
        <v>51</v>
      </c>
      <c r="K150" s="37" t="s">
        <v>52</v>
      </c>
      <c r="L150" s="37" t="s">
        <v>53</v>
      </c>
      <c r="M150" s="47" t="s">
        <v>54</v>
      </c>
    </row>
    <row r="151" spans="1:13" x14ac:dyDescent="0.35">
      <c r="A151" s="17">
        <v>45627</v>
      </c>
      <c r="B151" s="39">
        <v>58</v>
      </c>
      <c r="C151" s="39">
        <v>4.8600000000000003</v>
      </c>
      <c r="D151" s="39">
        <v>22411035</v>
      </c>
      <c r="E151" s="39" t="s">
        <v>82</v>
      </c>
      <c r="F151" s="39">
        <v>1255</v>
      </c>
      <c r="G151" s="35">
        <v>0.67013888888888884</v>
      </c>
      <c r="H151" s="35">
        <v>0.70486111111111116</v>
      </c>
      <c r="I151" s="36">
        <v>50</v>
      </c>
      <c r="J151" s="37" t="s">
        <v>51</v>
      </c>
      <c r="K151" s="37" t="s">
        <v>52</v>
      </c>
      <c r="L151" s="37" t="s">
        <v>277</v>
      </c>
      <c r="M151" s="47" t="s">
        <v>278</v>
      </c>
    </row>
    <row r="152" spans="1:13" x14ac:dyDescent="0.35">
      <c r="A152" s="17">
        <v>45628</v>
      </c>
      <c r="B152" s="45">
        <v>58</v>
      </c>
      <c r="C152" s="45">
        <v>4.95</v>
      </c>
      <c r="D152" s="45">
        <v>22412001</v>
      </c>
      <c r="E152" s="45" t="s">
        <v>18</v>
      </c>
      <c r="F152" s="45">
        <v>1255</v>
      </c>
      <c r="G152" s="35">
        <v>0.15763888888888888</v>
      </c>
      <c r="H152" s="35">
        <v>0.22777777777777777</v>
      </c>
      <c r="I152" s="36">
        <v>101</v>
      </c>
      <c r="J152" s="37" t="s">
        <v>35</v>
      </c>
      <c r="K152" s="80" t="s">
        <v>62</v>
      </c>
      <c r="L152" s="49" t="s">
        <v>279</v>
      </c>
      <c r="M152" s="49" t="s">
        <v>279</v>
      </c>
    </row>
    <row r="153" spans="1:13" x14ac:dyDescent="0.35">
      <c r="A153" s="17">
        <v>45629</v>
      </c>
      <c r="B153" s="45">
        <v>58</v>
      </c>
      <c r="C153" s="45">
        <v>5.01</v>
      </c>
      <c r="D153" s="39">
        <v>22412002</v>
      </c>
      <c r="E153" s="39" t="s">
        <v>82</v>
      </c>
      <c r="F153" s="39">
        <v>1230</v>
      </c>
      <c r="G153" s="35">
        <v>0.31666666666666665</v>
      </c>
      <c r="H153" s="35">
        <v>0.91666666666666663</v>
      </c>
      <c r="I153" s="36">
        <v>864</v>
      </c>
      <c r="J153" s="86" t="s">
        <v>51</v>
      </c>
      <c r="K153" s="86" t="s">
        <v>15</v>
      </c>
      <c r="L153" s="86" t="s">
        <v>16</v>
      </c>
      <c r="M153" s="47" t="s">
        <v>17</v>
      </c>
    </row>
    <row r="154" spans="1:13" x14ac:dyDescent="0.35">
      <c r="A154" s="17">
        <v>45630</v>
      </c>
      <c r="B154" s="39">
        <v>58</v>
      </c>
      <c r="C154" s="39">
        <v>6.2</v>
      </c>
      <c r="D154" s="39">
        <v>22412002</v>
      </c>
      <c r="E154" s="39" t="s">
        <v>82</v>
      </c>
      <c r="F154" s="39">
        <v>1230</v>
      </c>
      <c r="G154" s="35">
        <v>0.91666666666666663</v>
      </c>
      <c r="H154" s="35">
        <v>0.29166666666666669</v>
      </c>
      <c r="I154" s="36">
        <v>540</v>
      </c>
      <c r="J154" s="86" t="s">
        <v>51</v>
      </c>
      <c r="K154" s="86" t="s">
        <v>15</v>
      </c>
      <c r="L154" s="86" t="s">
        <v>16</v>
      </c>
      <c r="M154" s="47" t="s">
        <v>17</v>
      </c>
    </row>
    <row r="155" spans="1:13" x14ac:dyDescent="0.35">
      <c r="A155" s="17">
        <v>45630</v>
      </c>
      <c r="B155" s="39">
        <v>58</v>
      </c>
      <c r="C155" s="39">
        <v>6.2</v>
      </c>
      <c r="D155" s="39">
        <v>22412002</v>
      </c>
      <c r="E155" s="39" t="s">
        <v>82</v>
      </c>
      <c r="F155" s="39">
        <v>1230</v>
      </c>
      <c r="G155" s="35">
        <v>0.29166666666666669</v>
      </c>
      <c r="H155" s="35">
        <v>0.57638888888888884</v>
      </c>
      <c r="I155" s="36">
        <v>410</v>
      </c>
      <c r="J155" s="86" t="s">
        <v>51</v>
      </c>
      <c r="K155" s="86" t="s">
        <v>41</v>
      </c>
      <c r="L155" s="47" t="s">
        <v>280</v>
      </c>
      <c r="M155" s="47" t="s">
        <v>280</v>
      </c>
    </row>
    <row r="156" spans="1:13" x14ac:dyDescent="0.35">
      <c r="A156" s="17">
        <v>45630</v>
      </c>
      <c r="B156" s="39">
        <v>58</v>
      </c>
      <c r="C156" s="39">
        <v>6.2</v>
      </c>
      <c r="D156" s="39">
        <v>22412002</v>
      </c>
      <c r="E156" s="39" t="s">
        <v>82</v>
      </c>
      <c r="F156" s="39">
        <v>1230</v>
      </c>
      <c r="G156" s="35">
        <v>0.57638888888888884</v>
      </c>
      <c r="H156" s="35">
        <v>0.86111111111111116</v>
      </c>
      <c r="I156" s="36">
        <v>410</v>
      </c>
      <c r="J156" s="86" t="s">
        <v>51</v>
      </c>
      <c r="K156" s="86" t="s">
        <v>19</v>
      </c>
      <c r="L156" s="47" t="s">
        <v>280</v>
      </c>
      <c r="M156" s="47" t="s">
        <v>280</v>
      </c>
    </row>
    <row r="157" spans="1:13" x14ac:dyDescent="0.35">
      <c r="A157" s="17">
        <v>45631</v>
      </c>
      <c r="B157" s="39">
        <v>58</v>
      </c>
      <c r="C157" s="39">
        <v>4.54</v>
      </c>
      <c r="D157" s="46">
        <v>22412003</v>
      </c>
      <c r="E157" s="45" t="s">
        <v>285</v>
      </c>
      <c r="F157" s="45">
        <v>1230</v>
      </c>
      <c r="G157" s="35">
        <v>6.5972222222222224E-2</v>
      </c>
      <c r="H157" s="35">
        <v>0.30833333333333335</v>
      </c>
      <c r="I157" s="36">
        <v>349</v>
      </c>
      <c r="J157" s="86" t="s">
        <v>14</v>
      </c>
      <c r="K157" s="86" t="s">
        <v>283</v>
      </c>
      <c r="L157" s="47" t="s">
        <v>286</v>
      </c>
      <c r="M157" s="47" t="s">
        <v>286</v>
      </c>
    </row>
    <row r="158" spans="1:13" x14ac:dyDescent="0.35">
      <c r="A158" s="17">
        <v>45631</v>
      </c>
      <c r="B158" s="39">
        <v>58</v>
      </c>
      <c r="C158" s="39">
        <v>4.54</v>
      </c>
      <c r="D158" s="46">
        <v>22412004</v>
      </c>
      <c r="E158" s="45" t="s">
        <v>226</v>
      </c>
      <c r="F158" s="45">
        <v>1230</v>
      </c>
      <c r="G158" s="35">
        <v>0.69444444444444442</v>
      </c>
      <c r="H158" s="35">
        <v>0.90277777777777779</v>
      </c>
      <c r="I158" s="36">
        <v>300</v>
      </c>
      <c r="J158" s="86" t="s">
        <v>14</v>
      </c>
      <c r="K158" s="86" t="s">
        <v>283</v>
      </c>
      <c r="L158" s="47" t="s">
        <v>286</v>
      </c>
      <c r="M158" s="47" t="s">
        <v>286</v>
      </c>
    </row>
    <row r="159" spans="1:13" x14ac:dyDescent="0.35">
      <c r="A159" s="17">
        <v>45631</v>
      </c>
      <c r="B159" s="39">
        <v>58</v>
      </c>
      <c r="C159" s="39">
        <v>4.54</v>
      </c>
      <c r="D159" s="46">
        <v>22412005</v>
      </c>
      <c r="E159" s="45" t="s">
        <v>47</v>
      </c>
      <c r="F159" s="45">
        <v>1240</v>
      </c>
      <c r="G159" s="35">
        <v>0.90416666666666667</v>
      </c>
      <c r="H159" s="35">
        <v>0.91666666666666663</v>
      </c>
      <c r="I159" s="36">
        <v>18</v>
      </c>
      <c r="J159" s="86" t="s">
        <v>35</v>
      </c>
      <c r="K159" t="s">
        <v>21</v>
      </c>
      <c r="L159" s="86" t="s">
        <v>287</v>
      </c>
      <c r="M159" s="49" t="s">
        <v>288</v>
      </c>
    </row>
    <row r="160" spans="1:13" x14ac:dyDescent="0.35">
      <c r="A160" s="17">
        <v>45632</v>
      </c>
      <c r="B160" s="39">
        <v>58</v>
      </c>
      <c r="C160" s="39">
        <v>5.17</v>
      </c>
      <c r="D160" s="46">
        <v>22412005</v>
      </c>
      <c r="E160" s="45" t="s">
        <v>47</v>
      </c>
      <c r="F160" s="45">
        <v>1240</v>
      </c>
      <c r="G160" s="35">
        <v>0.91666666666666663</v>
      </c>
      <c r="H160" s="35">
        <v>0.98750000000000004</v>
      </c>
      <c r="I160" s="36">
        <v>102</v>
      </c>
      <c r="J160" s="86" t="s">
        <v>35</v>
      </c>
      <c r="K160" t="s">
        <v>21</v>
      </c>
      <c r="L160" s="67" t="s">
        <v>287</v>
      </c>
      <c r="M160" s="47" t="s">
        <v>291</v>
      </c>
    </row>
    <row r="161" spans="1:13" x14ac:dyDescent="0.35">
      <c r="A161" s="17">
        <v>45632</v>
      </c>
      <c r="B161" s="39">
        <v>58</v>
      </c>
      <c r="C161" s="39">
        <v>5.17</v>
      </c>
      <c r="D161" s="46">
        <v>22412005</v>
      </c>
      <c r="E161" s="45" t="s">
        <v>47</v>
      </c>
      <c r="F161" s="45">
        <v>1240</v>
      </c>
      <c r="G161" s="35">
        <v>0.98750000000000004</v>
      </c>
      <c r="H161" s="35">
        <v>9.0277777777777776E-2</v>
      </c>
      <c r="I161" s="36">
        <v>148</v>
      </c>
      <c r="J161" s="86" t="s">
        <v>35</v>
      </c>
      <c r="K161" t="s">
        <v>21</v>
      </c>
      <c r="L161" s="67" t="s">
        <v>292</v>
      </c>
      <c r="M161" s="47" t="s">
        <v>293</v>
      </c>
    </row>
    <row r="162" spans="1:13" x14ac:dyDescent="0.35">
      <c r="A162" s="17">
        <v>45633</v>
      </c>
      <c r="B162" s="39">
        <v>58</v>
      </c>
      <c r="C162" s="39">
        <v>5.31</v>
      </c>
      <c r="D162" s="39">
        <v>22412006</v>
      </c>
      <c r="E162" s="39" t="s">
        <v>80</v>
      </c>
      <c r="F162" s="39">
        <v>1350</v>
      </c>
      <c r="G162" s="35">
        <v>0.29166666666666669</v>
      </c>
      <c r="H162" s="35">
        <v>0.3125</v>
      </c>
      <c r="I162" s="36">
        <v>30</v>
      </c>
      <c r="J162" s="67" t="s">
        <v>51</v>
      </c>
      <c r="K162" s="67" t="s">
        <v>52</v>
      </c>
      <c r="L162" s="67" t="s">
        <v>53</v>
      </c>
      <c r="M162" s="47" t="s">
        <v>54</v>
      </c>
    </row>
    <row r="163" spans="1:13" x14ac:dyDescent="0.35">
      <c r="A163" s="17">
        <v>45633</v>
      </c>
      <c r="B163" s="39">
        <v>58</v>
      </c>
      <c r="C163" s="39">
        <v>5.31</v>
      </c>
      <c r="D163" s="39">
        <v>22412006</v>
      </c>
      <c r="E163" s="39" t="s">
        <v>80</v>
      </c>
      <c r="F163" s="39">
        <v>1350</v>
      </c>
      <c r="G163" s="35">
        <v>0.3125</v>
      </c>
      <c r="H163" s="35">
        <v>0.33333333333333331</v>
      </c>
      <c r="I163" s="36">
        <v>30</v>
      </c>
      <c r="J163" s="67" t="s">
        <v>51</v>
      </c>
      <c r="K163" s="67" t="s">
        <v>52</v>
      </c>
      <c r="L163" s="67" t="s">
        <v>178</v>
      </c>
      <c r="M163" s="47" t="s">
        <v>136</v>
      </c>
    </row>
    <row r="164" spans="1:13" x14ac:dyDescent="0.35">
      <c r="A164" s="17">
        <v>45633</v>
      </c>
      <c r="B164" s="39">
        <v>58</v>
      </c>
      <c r="C164" s="39">
        <v>5.31</v>
      </c>
      <c r="D164" s="39">
        <v>22412006</v>
      </c>
      <c r="E164" s="39" t="s">
        <v>80</v>
      </c>
      <c r="F164" s="39">
        <v>1350</v>
      </c>
      <c r="G164" s="35">
        <v>0.33333333333333331</v>
      </c>
      <c r="H164" s="35">
        <v>0.3888888888888889</v>
      </c>
      <c r="I164" s="36">
        <v>80</v>
      </c>
      <c r="J164" s="67" t="s">
        <v>51</v>
      </c>
      <c r="K164" s="67" t="s">
        <v>26</v>
      </c>
      <c r="L164" s="67" t="s">
        <v>29</v>
      </c>
      <c r="M164" s="47" t="s">
        <v>294</v>
      </c>
    </row>
    <row r="165" spans="1:13" x14ac:dyDescent="0.35">
      <c r="A165" s="17">
        <v>45634</v>
      </c>
      <c r="B165" s="39">
        <v>57.6</v>
      </c>
      <c r="C165" s="39">
        <v>5.32</v>
      </c>
      <c r="D165" s="39">
        <v>22412007</v>
      </c>
      <c r="E165" s="39" t="s">
        <v>50</v>
      </c>
      <c r="F165" s="39">
        <v>1260</v>
      </c>
      <c r="G165" s="35">
        <v>0.33680555555555558</v>
      </c>
      <c r="H165" s="35">
        <v>0.3576388888888889</v>
      </c>
      <c r="I165" s="36">
        <v>30</v>
      </c>
      <c r="J165" s="67" t="s">
        <v>51</v>
      </c>
      <c r="K165" s="67" t="s">
        <v>52</v>
      </c>
      <c r="L165" s="67" t="s">
        <v>53</v>
      </c>
      <c r="M165" s="47" t="s">
        <v>54</v>
      </c>
    </row>
    <row r="166" spans="1:13" x14ac:dyDescent="0.35">
      <c r="A166" s="17">
        <v>45634</v>
      </c>
      <c r="B166" s="39">
        <v>57.6</v>
      </c>
      <c r="C166" s="39">
        <v>5.32</v>
      </c>
      <c r="D166" s="39">
        <v>22412007</v>
      </c>
      <c r="E166" s="39" t="s">
        <v>50</v>
      </c>
      <c r="F166" s="39">
        <v>1260</v>
      </c>
      <c r="G166" s="35">
        <v>0.3576388888888889</v>
      </c>
      <c r="H166" s="35">
        <v>0.36388888888888887</v>
      </c>
      <c r="I166" s="36">
        <v>9</v>
      </c>
      <c r="J166" s="67" t="s">
        <v>51</v>
      </c>
      <c r="K166" s="67" t="s">
        <v>52</v>
      </c>
      <c r="L166" s="67" t="s">
        <v>59</v>
      </c>
      <c r="M166" s="47" t="s">
        <v>59</v>
      </c>
    </row>
    <row r="167" spans="1:13" x14ac:dyDescent="0.35">
      <c r="A167" s="17">
        <v>45634</v>
      </c>
      <c r="B167" s="39">
        <v>57.6</v>
      </c>
      <c r="C167" s="39">
        <v>5.32</v>
      </c>
      <c r="D167" s="39">
        <v>22412007</v>
      </c>
      <c r="E167" s="39" t="s">
        <v>50</v>
      </c>
      <c r="F167" s="39">
        <v>1260</v>
      </c>
      <c r="G167" s="35">
        <v>0.36388888888888887</v>
      </c>
      <c r="H167" s="35">
        <v>0.37152777777777779</v>
      </c>
      <c r="I167" s="36">
        <v>11</v>
      </c>
      <c r="J167" s="67" t="s">
        <v>51</v>
      </c>
      <c r="K167" s="67" t="s">
        <v>62</v>
      </c>
      <c r="L167" s="67" t="s">
        <v>130</v>
      </c>
      <c r="M167" s="47" t="s">
        <v>164</v>
      </c>
    </row>
    <row r="168" spans="1:13" x14ac:dyDescent="0.35">
      <c r="A168" s="17">
        <v>45634</v>
      </c>
      <c r="B168" s="39">
        <v>57.6</v>
      </c>
      <c r="C168" s="39">
        <v>5.32</v>
      </c>
      <c r="D168" s="39">
        <v>22412007</v>
      </c>
      <c r="E168" s="39" t="s">
        <v>50</v>
      </c>
      <c r="F168" s="39">
        <v>1260</v>
      </c>
      <c r="G168" s="35">
        <v>0.37152777777777779</v>
      </c>
      <c r="H168" s="35">
        <v>0.375</v>
      </c>
      <c r="I168" s="36">
        <v>5</v>
      </c>
      <c r="J168" s="67" t="s">
        <v>51</v>
      </c>
      <c r="K168" t="s">
        <v>21</v>
      </c>
      <c r="L168" s="67" t="s">
        <v>22</v>
      </c>
      <c r="M168" s="47" t="s">
        <v>295</v>
      </c>
    </row>
    <row r="169" spans="1:13" x14ac:dyDescent="0.35">
      <c r="A169" s="17">
        <v>45635</v>
      </c>
      <c r="B169" s="45">
        <v>57.84</v>
      </c>
      <c r="C169" s="45">
        <v>4.91</v>
      </c>
      <c r="D169" s="46">
        <v>22412008</v>
      </c>
      <c r="E169" s="45" t="s">
        <v>116</v>
      </c>
      <c r="F169" s="45">
        <v>12501230</v>
      </c>
      <c r="G169" s="35">
        <v>0.61111111111111116</v>
      </c>
      <c r="H169" s="35">
        <v>0.63194444444444442</v>
      </c>
      <c r="I169" s="36">
        <v>30</v>
      </c>
      <c r="J169" s="67" t="s">
        <v>51</v>
      </c>
      <c r="K169" s="67" t="s">
        <v>52</v>
      </c>
      <c r="L169" s="67" t="s">
        <v>53</v>
      </c>
      <c r="M169" s="47" t="s">
        <v>54</v>
      </c>
    </row>
    <row r="170" spans="1:13" x14ac:dyDescent="0.35">
      <c r="A170" s="17">
        <v>45636</v>
      </c>
      <c r="B170" s="39">
        <v>57.88</v>
      </c>
      <c r="C170" s="39">
        <v>5.28</v>
      </c>
      <c r="D170" s="39">
        <v>22412009</v>
      </c>
      <c r="E170" s="39" t="s">
        <v>80</v>
      </c>
      <c r="F170" s="39">
        <v>1250</v>
      </c>
      <c r="G170" s="35">
        <v>0.84375</v>
      </c>
      <c r="H170" s="35">
        <v>0.86458333333333337</v>
      </c>
      <c r="I170" s="36">
        <v>30</v>
      </c>
      <c r="J170" s="67" t="s">
        <v>51</v>
      </c>
      <c r="K170" s="67" t="s">
        <v>52</v>
      </c>
      <c r="L170" s="67" t="s">
        <v>53</v>
      </c>
      <c r="M170" s="47" t="s">
        <v>54</v>
      </c>
    </row>
    <row r="171" spans="1:13" x14ac:dyDescent="0.35">
      <c r="A171" s="17">
        <v>45636</v>
      </c>
      <c r="B171" s="39">
        <v>57.88</v>
      </c>
      <c r="C171" s="39">
        <v>5.28</v>
      </c>
      <c r="D171" s="39">
        <v>22412009</v>
      </c>
      <c r="E171" s="39" t="s">
        <v>80</v>
      </c>
      <c r="F171" s="39">
        <v>1250</v>
      </c>
      <c r="G171" s="35">
        <v>0.86458333333333337</v>
      </c>
      <c r="H171" s="35">
        <v>0.87013888888888891</v>
      </c>
      <c r="I171" s="36">
        <v>8</v>
      </c>
      <c r="J171" s="67" t="s">
        <v>51</v>
      </c>
      <c r="K171" s="67" t="s">
        <v>52</v>
      </c>
      <c r="L171" s="67" t="s">
        <v>59</v>
      </c>
      <c r="M171" s="47" t="s">
        <v>59</v>
      </c>
    </row>
    <row r="172" spans="1:13" x14ac:dyDescent="0.35">
      <c r="A172" s="17">
        <v>45636</v>
      </c>
      <c r="B172" s="39">
        <v>57.88</v>
      </c>
      <c r="C172" s="39">
        <v>5.28</v>
      </c>
      <c r="D172" s="39">
        <v>22412009</v>
      </c>
      <c r="E172" s="39" t="s">
        <v>80</v>
      </c>
      <c r="F172" s="39">
        <v>1250</v>
      </c>
      <c r="G172" s="35">
        <v>0.87013888888888891</v>
      </c>
      <c r="H172" s="35">
        <v>0.87847222222222221</v>
      </c>
      <c r="I172" s="36">
        <v>12</v>
      </c>
      <c r="J172" s="67" t="s">
        <v>51</v>
      </c>
      <c r="K172" s="67" t="s">
        <v>62</v>
      </c>
      <c r="L172" s="67" t="s">
        <v>130</v>
      </c>
      <c r="M172" s="47" t="s">
        <v>131</v>
      </c>
    </row>
    <row r="173" spans="1:13" x14ac:dyDescent="0.35">
      <c r="A173" s="17">
        <v>45638</v>
      </c>
      <c r="B173" s="45">
        <v>56.88</v>
      </c>
      <c r="C173" s="45">
        <v>5.32</v>
      </c>
      <c r="D173" s="46">
        <v>22412010</v>
      </c>
      <c r="E173" s="45" t="s">
        <v>116</v>
      </c>
      <c r="F173" s="45">
        <v>1250</v>
      </c>
      <c r="G173" s="35">
        <v>9.375E-2</v>
      </c>
      <c r="H173" s="35">
        <v>0.11458333333333333</v>
      </c>
      <c r="I173" s="36">
        <v>30</v>
      </c>
      <c r="J173" s="67" t="s">
        <v>51</v>
      </c>
      <c r="K173" s="67" t="s">
        <v>52</v>
      </c>
      <c r="L173" s="67" t="s">
        <v>53</v>
      </c>
      <c r="M173" s="47" t="s">
        <v>54</v>
      </c>
    </row>
    <row r="174" spans="1:13" x14ac:dyDescent="0.35">
      <c r="A174" s="17">
        <v>45639</v>
      </c>
      <c r="B174" s="39">
        <v>56.85</v>
      </c>
      <c r="C174" s="39">
        <v>5.33</v>
      </c>
      <c r="D174" s="39">
        <v>22412011</v>
      </c>
      <c r="E174" s="39" t="s">
        <v>159</v>
      </c>
      <c r="F174" s="39">
        <v>1260</v>
      </c>
      <c r="G174" s="35">
        <v>0.26944444444444443</v>
      </c>
      <c r="H174" s="35">
        <v>0.2902777777777778</v>
      </c>
      <c r="I174" s="36">
        <v>30</v>
      </c>
      <c r="J174" s="67" t="s">
        <v>51</v>
      </c>
      <c r="K174" s="67" t="s">
        <v>52</v>
      </c>
      <c r="L174" s="67" t="s">
        <v>53</v>
      </c>
      <c r="M174" s="47" t="s">
        <v>54</v>
      </c>
    </row>
    <row r="175" spans="1:13" x14ac:dyDescent="0.35">
      <c r="A175" s="17">
        <v>45639</v>
      </c>
      <c r="B175" s="39">
        <v>56.85</v>
      </c>
      <c r="C175" s="39">
        <v>5.33</v>
      </c>
      <c r="D175" s="39">
        <v>22412011</v>
      </c>
      <c r="E175" s="39" t="s">
        <v>159</v>
      </c>
      <c r="F175" s="39">
        <v>1260</v>
      </c>
      <c r="G175" s="35">
        <v>0.2902777777777778</v>
      </c>
      <c r="H175" s="35">
        <v>0.30069444444444443</v>
      </c>
      <c r="I175" s="36">
        <v>15</v>
      </c>
      <c r="J175" s="67" t="s">
        <v>51</v>
      </c>
      <c r="K175" s="67" t="s">
        <v>52</v>
      </c>
      <c r="L175" s="67" t="s">
        <v>59</v>
      </c>
      <c r="M175" s="47" t="s">
        <v>59</v>
      </c>
    </row>
    <row r="176" spans="1:13" x14ac:dyDescent="0.35">
      <c r="A176" s="17">
        <v>45639</v>
      </c>
      <c r="B176" s="39">
        <v>56.85</v>
      </c>
      <c r="C176" s="39">
        <v>5.33</v>
      </c>
      <c r="D176" s="39">
        <v>22412011</v>
      </c>
      <c r="E176" s="39" t="s">
        <v>159</v>
      </c>
      <c r="F176" s="39">
        <v>1260</v>
      </c>
      <c r="G176" s="35">
        <v>0.30069444444444443</v>
      </c>
      <c r="H176" s="35">
        <v>0.30763888888888891</v>
      </c>
      <c r="I176" s="36">
        <v>10</v>
      </c>
      <c r="J176" s="67" t="s">
        <v>51</v>
      </c>
      <c r="K176" t="s">
        <v>21</v>
      </c>
      <c r="L176" s="47" t="s">
        <v>304</v>
      </c>
      <c r="M176" s="47" t="s">
        <v>304</v>
      </c>
    </row>
    <row r="177" spans="1:13" x14ac:dyDescent="0.35">
      <c r="A177" s="17">
        <v>45639</v>
      </c>
      <c r="B177" s="39">
        <v>56.85</v>
      </c>
      <c r="C177" s="39">
        <v>5.33</v>
      </c>
      <c r="D177" s="39">
        <v>22412011</v>
      </c>
      <c r="E177" s="39" t="s">
        <v>159</v>
      </c>
      <c r="F177" s="39">
        <v>1260</v>
      </c>
      <c r="G177" s="35">
        <v>0.30763888888888891</v>
      </c>
      <c r="H177" s="35">
        <v>0.31597222222222221</v>
      </c>
      <c r="I177" s="36">
        <v>12</v>
      </c>
      <c r="J177" s="67" t="s">
        <v>51</v>
      </c>
      <c r="K177" t="s">
        <v>21</v>
      </c>
      <c r="L177" s="47" t="s">
        <v>305</v>
      </c>
      <c r="M177" s="47" t="s">
        <v>305</v>
      </c>
    </row>
    <row r="178" spans="1:13" x14ac:dyDescent="0.35">
      <c r="A178" s="17">
        <v>45640</v>
      </c>
      <c r="B178" s="39">
        <v>56.39</v>
      </c>
      <c r="C178" s="39">
        <v>5.25</v>
      </c>
      <c r="D178" s="39">
        <v>22412012</v>
      </c>
      <c r="E178" s="39" t="s">
        <v>57</v>
      </c>
      <c r="F178" s="39">
        <v>1235</v>
      </c>
      <c r="G178" s="35">
        <v>0.50694444444444442</v>
      </c>
      <c r="H178" s="35">
        <v>0.52777777777777779</v>
      </c>
      <c r="I178" s="36">
        <v>30</v>
      </c>
      <c r="J178" s="67" t="s">
        <v>51</v>
      </c>
      <c r="K178" s="67" t="s">
        <v>52</v>
      </c>
      <c r="L178" s="67" t="s">
        <v>53</v>
      </c>
      <c r="M178" s="47" t="s">
        <v>54</v>
      </c>
    </row>
    <row r="179" spans="1:13" x14ac:dyDescent="0.35">
      <c r="A179" s="17">
        <v>45640</v>
      </c>
      <c r="B179" s="39">
        <v>56.39</v>
      </c>
      <c r="C179" s="39">
        <v>5.25</v>
      </c>
      <c r="D179" s="39">
        <v>22412012</v>
      </c>
      <c r="E179" s="39" t="s">
        <v>57</v>
      </c>
      <c r="F179" s="39">
        <v>1235</v>
      </c>
      <c r="G179" s="35">
        <v>0.52777777777777779</v>
      </c>
      <c r="H179" s="35">
        <v>0.54166666666666663</v>
      </c>
      <c r="I179" s="36">
        <v>20</v>
      </c>
      <c r="J179" s="67" t="s">
        <v>51</v>
      </c>
      <c r="K179" s="67" t="s">
        <v>26</v>
      </c>
      <c r="L179" s="47" t="s">
        <v>308</v>
      </c>
      <c r="M179" s="47" t="s">
        <v>308</v>
      </c>
    </row>
    <row r="180" spans="1:13" x14ac:dyDescent="0.35">
      <c r="A180" s="17">
        <v>45640</v>
      </c>
      <c r="B180" s="39">
        <v>56.39</v>
      </c>
      <c r="C180" s="39">
        <v>5.25</v>
      </c>
      <c r="D180" s="45">
        <v>22411013</v>
      </c>
      <c r="E180" s="45" t="s">
        <v>173</v>
      </c>
      <c r="F180" s="45">
        <v>1255</v>
      </c>
      <c r="G180" s="35">
        <v>0.60069444444444442</v>
      </c>
      <c r="H180" s="35">
        <v>0.65625</v>
      </c>
      <c r="I180" s="36">
        <v>80</v>
      </c>
      <c r="J180" s="37" t="s">
        <v>14</v>
      </c>
      <c r="K180" s="67" t="s">
        <v>26</v>
      </c>
      <c r="L180" s="47" t="s">
        <v>309</v>
      </c>
      <c r="M180" s="47" t="s">
        <v>309</v>
      </c>
    </row>
    <row r="181" spans="1:13" x14ac:dyDescent="0.35">
      <c r="A181" s="17">
        <v>45641</v>
      </c>
      <c r="B181" s="39">
        <v>56.82</v>
      </c>
      <c r="C181" s="39">
        <v>5</v>
      </c>
      <c r="D181" s="39">
        <v>22412014</v>
      </c>
      <c r="E181" s="39" t="s">
        <v>159</v>
      </c>
      <c r="F181" s="39" t="s">
        <v>310</v>
      </c>
      <c r="G181" s="35">
        <v>0.84722222222222221</v>
      </c>
      <c r="H181" s="35">
        <v>0.86805555555555558</v>
      </c>
      <c r="I181" s="36">
        <v>30</v>
      </c>
      <c r="J181" s="67" t="s">
        <v>51</v>
      </c>
      <c r="K181" s="67" t="s">
        <v>52</v>
      </c>
      <c r="L181" s="67" t="s">
        <v>53</v>
      </c>
      <c r="M181" s="47" t="s">
        <v>54</v>
      </c>
    </row>
    <row r="182" spans="1:13" x14ac:dyDescent="0.35">
      <c r="A182" s="17">
        <v>45641</v>
      </c>
      <c r="B182" s="39">
        <v>56.82</v>
      </c>
      <c r="C182" s="39">
        <v>5</v>
      </c>
      <c r="D182" s="39">
        <v>22412014</v>
      </c>
      <c r="E182" s="39" t="s">
        <v>159</v>
      </c>
      <c r="F182" s="39" t="s">
        <v>310</v>
      </c>
      <c r="G182" s="35">
        <v>0.86805555555555558</v>
      </c>
      <c r="H182" s="35">
        <v>0.88888888888888884</v>
      </c>
      <c r="I182" s="36">
        <v>30</v>
      </c>
      <c r="J182" s="67" t="s">
        <v>51</v>
      </c>
      <c r="K182" s="67" t="s">
        <v>283</v>
      </c>
      <c r="L182" s="47" t="s">
        <v>136</v>
      </c>
      <c r="M182" s="47" t="s">
        <v>136</v>
      </c>
    </row>
    <row r="183" spans="1:13" x14ac:dyDescent="0.35">
      <c r="A183" s="17">
        <v>45641</v>
      </c>
      <c r="B183" s="39">
        <v>56.82</v>
      </c>
      <c r="C183" s="39">
        <v>5</v>
      </c>
      <c r="D183" s="39">
        <v>22412014</v>
      </c>
      <c r="E183" s="39" t="s">
        <v>159</v>
      </c>
      <c r="F183" s="39" t="s">
        <v>310</v>
      </c>
      <c r="G183" s="35">
        <v>0.88888888888888884</v>
      </c>
      <c r="H183" s="35">
        <v>0.89375000000000004</v>
      </c>
      <c r="I183" s="36">
        <v>7</v>
      </c>
      <c r="J183" s="67" t="s">
        <v>51</v>
      </c>
      <c r="K183" t="s">
        <v>21</v>
      </c>
      <c r="L183" s="47" t="s">
        <v>206</v>
      </c>
      <c r="M183" s="47" t="s">
        <v>206</v>
      </c>
    </row>
    <row r="184" spans="1:13" x14ac:dyDescent="0.35">
      <c r="A184" s="17">
        <v>45641</v>
      </c>
      <c r="B184" s="39">
        <v>56.82</v>
      </c>
      <c r="C184" s="39">
        <v>5</v>
      </c>
      <c r="D184" s="39">
        <v>22412014</v>
      </c>
      <c r="E184" s="39" t="s">
        <v>159</v>
      </c>
      <c r="F184" s="39" t="s">
        <v>310</v>
      </c>
      <c r="G184" s="35">
        <v>0.88888888888888884</v>
      </c>
      <c r="H184" s="35">
        <v>0.89375000000000004</v>
      </c>
      <c r="I184" s="36">
        <v>7</v>
      </c>
      <c r="J184" s="67" t="s">
        <v>51</v>
      </c>
      <c r="K184" t="s">
        <v>21</v>
      </c>
      <c r="L184" s="47" t="s">
        <v>206</v>
      </c>
      <c r="M184" s="47" t="s">
        <v>206</v>
      </c>
    </row>
    <row r="185" spans="1:13" x14ac:dyDescent="0.35">
      <c r="A185" s="17">
        <v>45642</v>
      </c>
      <c r="B185" s="45">
        <v>57</v>
      </c>
      <c r="C185" s="45">
        <v>5.68</v>
      </c>
      <c r="D185" s="39">
        <v>22412015</v>
      </c>
      <c r="E185" s="39" t="s">
        <v>119</v>
      </c>
      <c r="F185" s="39">
        <v>1250</v>
      </c>
      <c r="G185" s="35">
        <v>8.6805555555555552E-2</v>
      </c>
      <c r="H185" s="35">
        <v>0.1076388888888889</v>
      </c>
      <c r="I185" s="36">
        <v>30</v>
      </c>
      <c r="J185" s="37" t="s">
        <v>51</v>
      </c>
      <c r="K185" s="67" t="s">
        <v>52</v>
      </c>
      <c r="L185" s="67" t="s">
        <v>53</v>
      </c>
      <c r="M185" s="48" t="s">
        <v>54</v>
      </c>
    </row>
    <row r="186" spans="1:13" x14ac:dyDescent="0.35">
      <c r="A186" s="17">
        <v>45643</v>
      </c>
      <c r="B186" s="39">
        <v>56.68</v>
      </c>
      <c r="C186" s="39">
        <v>4.88</v>
      </c>
      <c r="D186" s="39">
        <v>22412015</v>
      </c>
      <c r="E186" s="39" t="s">
        <v>119</v>
      </c>
      <c r="F186" s="39">
        <v>1250</v>
      </c>
      <c r="G186" s="35">
        <v>0.1076388888888889</v>
      </c>
      <c r="H186" s="35">
        <v>0.11805555555555555</v>
      </c>
      <c r="I186" s="36">
        <v>15</v>
      </c>
      <c r="J186" s="37" t="s">
        <v>51</v>
      </c>
      <c r="K186" s="67" t="s">
        <v>41</v>
      </c>
      <c r="L186" s="48" t="s">
        <v>317</v>
      </c>
      <c r="M186" s="48" t="s">
        <v>317</v>
      </c>
    </row>
    <row r="187" spans="1:13" x14ac:dyDescent="0.35">
      <c r="A187" s="17">
        <v>45643</v>
      </c>
      <c r="B187" s="39">
        <v>56.68</v>
      </c>
      <c r="C187" s="39">
        <v>4.88</v>
      </c>
      <c r="D187" s="39">
        <v>22412015</v>
      </c>
      <c r="E187" s="39" t="s">
        <v>119</v>
      </c>
      <c r="F187" s="39">
        <v>1250</v>
      </c>
      <c r="G187" s="35">
        <v>0.11805555555555555</v>
      </c>
      <c r="H187" s="35">
        <v>0.15277777777777779</v>
      </c>
      <c r="I187" s="36">
        <v>50</v>
      </c>
      <c r="J187" s="37" t="s">
        <v>51</v>
      </c>
      <c r="K187" s="67" t="s">
        <v>41</v>
      </c>
      <c r="L187" s="48" t="s">
        <v>318</v>
      </c>
      <c r="M187" s="48" t="s">
        <v>318</v>
      </c>
    </row>
    <row r="188" spans="1:13" x14ac:dyDescent="0.35">
      <c r="A188" s="17">
        <v>45643</v>
      </c>
      <c r="B188" s="39">
        <v>56.68</v>
      </c>
      <c r="C188" s="39">
        <v>4.88</v>
      </c>
      <c r="D188" s="39">
        <v>22412016</v>
      </c>
      <c r="E188" s="39" t="s">
        <v>175</v>
      </c>
      <c r="F188" s="39">
        <v>1250</v>
      </c>
      <c r="G188" s="35">
        <v>0.31944444444444442</v>
      </c>
      <c r="H188" s="35">
        <v>0.38194444444444442</v>
      </c>
      <c r="I188" s="36">
        <v>90</v>
      </c>
      <c r="J188" s="37" t="s">
        <v>35</v>
      </c>
      <c r="K188" s="67" t="s">
        <v>19</v>
      </c>
      <c r="L188" s="37" t="s">
        <v>319</v>
      </c>
      <c r="M188" s="63" t="s">
        <v>320</v>
      </c>
    </row>
    <row r="189" spans="1:13" x14ac:dyDescent="0.35">
      <c r="A189" s="17">
        <v>45643</v>
      </c>
      <c r="B189" s="39">
        <v>56.68</v>
      </c>
      <c r="C189" s="39">
        <v>4.88</v>
      </c>
      <c r="D189" s="39">
        <v>22412016</v>
      </c>
      <c r="E189" s="39" t="s">
        <v>175</v>
      </c>
      <c r="F189" s="39">
        <v>1250</v>
      </c>
      <c r="G189" s="35">
        <v>0.38194444444444442</v>
      </c>
      <c r="H189" s="35">
        <v>0.3923611111111111</v>
      </c>
      <c r="I189" s="36">
        <v>15</v>
      </c>
      <c r="J189" s="37" t="s">
        <v>35</v>
      </c>
      <c r="K189" s="67" t="s">
        <v>26</v>
      </c>
      <c r="L189" s="37" t="s">
        <v>32</v>
      </c>
      <c r="M189" s="48" t="s">
        <v>32</v>
      </c>
    </row>
    <row r="190" spans="1:13" x14ac:dyDescent="0.35">
      <c r="A190" s="17">
        <v>45644</v>
      </c>
      <c r="B190" s="39">
        <v>56.72</v>
      </c>
      <c r="C190" s="39">
        <v>5.16</v>
      </c>
      <c r="D190" s="46">
        <v>22412017</v>
      </c>
      <c r="E190" s="45" t="s">
        <v>208</v>
      </c>
      <c r="F190" s="45">
        <v>1250</v>
      </c>
      <c r="G190" s="35">
        <v>0.18402777777777779</v>
      </c>
      <c r="H190" s="35">
        <v>0.21875</v>
      </c>
      <c r="I190" s="36">
        <v>50</v>
      </c>
      <c r="J190" s="37" t="s">
        <v>14</v>
      </c>
      <c r="K190" s="67" t="s">
        <v>62</v>
      </c>
      <c r="L190" s="58" t="s">
        <v>322</v>
      </c>
      <c r="M190" s="58" t="s">
        <v>322</v>
      </c>
    </row>
    <row r="191" spans="1:13" x14ac:dyDescent="0.35">
      <c r="A191" s="17">
        <v>45644</v>
      </c>
      <c r="B191" s="39">
        <v>56.72</v>
      </c>
      <c r="C191" s="39">
        <v>5.16</v>
      </c>
      <c r="D191" s="39">
        <v>22412018</v>
      </c>
      <c r="E191" s="39" t="s">
        <v>24</v>
      </c>
      <c r="F191" s="39">
        <v>1250</v>
      </c>
      <c r="G191" s="35">
        <v>0.45208333333333334</v>
      </c>
      <c r="H191" s="35">
        <v>0.51458333333333328</v>
      </c>
      <c r="I191" s="36">
        <v>90</v>
      </c>
      <c r="J191" s="37" t="s">
        <v>25</v>
      </c>
      <c r="K191" t="s">
        <v>21</v>
      </c>
      <c r="L191" s="37" t="s">
        <v>83</v>
      </c>
      <c r="M191" s="92" t="s">
        <v>323</v>
      </c>
    </row>
    <row r="192" spans="1:13" x14ac:dyDescent="0.35">
      <c r="A192" s="17">
        <v>45644</v>
      </c>
      <c r="B192" s="39">
        <v>56.72</v>
      </c>
      <c r="C192" s="39">
        <v>5.16</v>
      </c>
      <c r="D192" s="39">
        <v>22412018</v>
      </c>
      <c r="E192" s="39" t="s">
        <v>24</v>
      </c>
      <c r="F192" s="39">
        <v>1250</v>
      </c>
      <c r="G192" s="35">
        <v>0.51458333333333328</v>
      </c>
      <c r="H192" s="35">
        <v>0.52777777777777779</v>
      </c>
      <c r="I192" s="36">
        <v>19</v>
      </c>
      <c r="J192" s="37" t="s">
        <v>25</v>
      </c>
      <c r="K192" t="s">
        <v>21</v>
      </c>
      <c r="L192" s="37" t="s">
        <v>55</v>
      </c>
      <c r="M192" s="58" t="s">
        <v>324</v>
      </c>
    </row>
    <row r="193" spans="1:13" x14ac:dyDescent="0.35">
      <c r="A193" s="17">
        <v>45645</v>
      </c>
      <c r="B193" s="39">
        <v>56.83</v>
      </c>
      <c r="C193" s="39">
        <v>5.3</v>
      </c>
      <c r="D193" s="39">
        <v>22412019</v>
      </c>
      <c r="E193" s="39" t="s">
        <v>57</v>
      </c>
      <c r="F193" s="39">
        <v>1250</v>
      </c>
      <c r="G193" s="35">
        <v>0.74652777777777779</v>
      </c>
      <c r="H193" s="35">
        <v>0.76736111111111116</v>
      </c>
      <c r="I193" s="36">
        <v>30</v>
      </c>
      <c r="J193" s="37" t="s">
        <v>51</v>
      </c>
      <c r="K193" s="67" t="s">
        <v>52</v>
      </c>
      <c r="L193" s="67" t="s">
        <v>53</v>
      </c>
      <c r="M193" s="58" t="s">
        <v>54</v>
      </c>
    </row>
    <row r="194" spans="1:13" x14ac:dyDescent="0.35">
      <c r="A194" s="17">
        <v>45645</v>
      </c>
      <c r="B194" s="39">
        <v>56.83</v>
      </c>
      <c r="C194" s="39">
        <v>5.3</v>
      </c>
      <c r="D194" s="39">
        <v>22412019</v>
      </c>
      <c r="E194" s="39" t="s">
        <v>57</v>
      </c>
      <c r="F194" s="39">
        <v>1250</v>
      </c>
      <c r="G194" s="35">
        <v>0.76736111111111116</v>
      </c>
      <c r="H194" s="35">
        <v>0.77777777777777779</v>
      </c>
      <c r="I194" s="36">
        <v>15</v>
      </c>
      <c r="J194" s="37" t="s">
        <v>51</v>
      </c>
      <c r="K194" s="67" t="s">
        <v>52</v>
      </c>
      <c r="L194" s="37" t="s">
        <v>59</v>
      </c>
      <c r="M194" s="58" t="s">
        <v>59</v>
      </c>
    </row>
    <row r="195" spans="1:13" x14ac:dyDescent="0.35">
      <c r="A195" s="17">
        <v>45645</v>
      </c>
      <c r="B195" s="39">
        <v>56.83</v>
      </c>
      <c r="C195" s="39">
        <v>5.3</v>
      </c>
      <c r="D195" s="39">
        <v>22412019</v>
      </c>
      <c r="E195" s="39" t="s">
        <v>57</v>
      </c>
      <c r="F195" s="39">
        <v>1250</v>
      </c>
      <c r="G195" s="35">
        <v>0.77777777777777779</v>
      </c>
      <c r="H195" s="35">
        <v>0.78125</v>
      </c>
      <c r="I195" s="36">
        <v>5</v>
      </c>
      <c r="J195" s="37" t="s">
        <v>51</v>
      </c>
      <c r="K195" s="67" t="s">
        <v>19</v>
      </c>
      <c r="L195" s="58" t="s">
        <v>206</v>
      </c>
      <c r="M195" s="58" t="s">
        <v>206</v>
      </c>
    </row>
    <row r="196" spans="1:13" x14ac:dyDescent="0.35">
      <c r="A196" s="17">
        <v>45645</v>
      </c>
      <c r="B196" s="39">
        <v>56.83</v>
      </c>
      <c r="C196" s="39">
        <v>5.3</v>
      </c>
      <c r="D196" s="39">
        <v>22412019</v>
      </c>
      <c r="E196" s="39" t="s">
        <v>57</v>
      </c>
      <c r="F196" s="39">
        <v>1250</v>
      </c>
      <c r="G196" s="35">
        <v>0.78125</v>
      </c>
      <c r="H196" s="35">
        <v>0.78402777777777777</v>
      </c>
      <c r="I196" s="36">
        <v>4</v>
      </c>
      <c r="J196" s="37" t="s">
        <v>51</v>
      </c>
      <c r="K196" t="s">
        <v>21</v>
      </c>
      <c r="L196" s="37" t="s">
        <v>74</v>
      </c>
      <c r="M196" s="58" t="s">
        <v>199</v>
      </c>
    </row>
    <row r="197" spans="1:13" x14ac:dyDescent="0.35">
      <c r="A197" s="17">
        <v>45646</v>
      </c>
      <c r="B197" s="45">
        <v>57</v>
      </c>
      <c r="C197" s="45">
        <v>5.1100000000000003</v>
      </c>
      <c r="D197" s="39">
        <v>22412020</v>
      </c>
      <c r="E197" s="39" t="s">
        <v>93</v>
      </c>
      <c r="F197" s="39">
        <v>1230</v>
      </c>
      <c r="G197" s="35">
        <v>0.94791666666666663</v>
      </c>
      <c r="H197" s="35">
        <v>0.96875</v>
      </c>
      <c r="I197" s="36">
        <v>30</v>
      </c>
      <c r="J197" s="37" t="s">
        <v>51</v>
      </c>
      <c r="K197" s="67" t="s">
        <v>52</v>
      </c>
      <c r="L197" s="67" t="s">
        <v>53</v>
      </c>
      <c r="M197" s="47" t="s">
        <v>54</v>
      </c>
    </row>
    <row r="198" spans="1:13" x14ac:dyDescent="0.35">
      <c r="A198" s="17">
        <v>45647</v>
      </c>
      <c r="B198" s="39">
        <v>57.03</v>
      </c>
      <c r="C198" s="39">
        <v>5.25</v>
      </c>
      <c r="D198" s="39">
        <v>22412020</v>
      </c>
      <c r="E198" s="39" t="s">
        <v>93</v>
      </c>
      <c r="F198" s="39">
        <v>1230</v>
      </c>
      <c r="G198" s="35">
        <v>0.96875</v>
      </c>
      <c r="H198" s="35">
        <v>0.97916666666666663</v>
      </c>
      <c r="I198" s="36">
        <v>15</v>
      </c>
      <c r="J198" s="37" t="s">
        <v>51</v>
      </c>
      <c r="K198" s="67" t="s">
        <v>52</v>
      </c>
      <c r="L198" s="37" t="s">
        <v>59</v>
      </c>
      <c r="M198" s="47" t="s">
        <v>59</v>
      </c>
    </row>
    <row r="199" spans="1:13" x14ac:dyDescent="0.35">
      <c r="A199" s="17">
        <v>45647</v>
      </c>
      <c r="B199" s="39">
        <v>57.03</v>
      </c>
      <c r="C199" s="39">
        <v>5.25</v>
      </c>
      <c r="D199" s="39">
        <v>22412020</v>
      </c>
      <c r="E199" s="39" t="s">
        <v>93</v>
      </c>
      <c r="F199" s="39">
        <v>1230</v>
      </c>
      <c r="G199" s="35">
        <v>0.97916666666666663</v>
      </c>
      <c r="H199" s="35">
        <v>0.98819444444444449</v>
      </c>
      <c r="I199" s="36">
        <v>13</v>
      </c>
      <c r="J199" s="37" t="s">
        <v>51</v>
      </c>
      <c r="K199" s="67" t="s">
        <v>19</v>
      </c>
      <c r="L199" s="47" t="s">
        <v>329</v>
      </c>
      <c r="M199" s="47" t="s">
        <v>329</v>
      </c>
    </row>
    <row r="200" spans="1:13" x14ac:dyDescent="0.35">
      <c r="A200" s="17">
        <v>45648</v>
      </c>
      <c r="B200" s="45">
        <v>57.02</v>
      </c>
      <c r="C200" s="45">
        <v>5.36</v>
      </c>
      <c r="D200" s="46">
        <v>22412021</v>
      </c>
      <c r="E200" s="45" t="s">
        <v>72</v>
      </c>
      <c r="F200" s="45">
        <v>1250</v>
      </c>
      <c r="G200" s="35">
        <v>0.22222222222222221</v>
      </c>
      <c r="H200" s="35">
        <v>0.24305555555555555</v>
      </c>
      <c r="I200" s="36">
        <v>30</v>
      </c>
      <c r="J200" s="37" t="s">
        <v>51</v>
      </c>
      <c r="K200" s="67" t="s">
        <v>52</v>
      </c>
      <c r="L200" s="67" t="s">
        <v>53</v>
      </c>
      <c r="M200" s="47" t="s">
        <v>54</v>
      </c>
    </row>
    <row r="201" spans="1:13" x14ac:dyDescent="0.35">
      <c r="A201" s="17">
        <v>45649</v>
      </c>
      <c r="B201" s="39">
        <v>56.97</v>
      </c>
      <c r="C201" s="39">
        <v>5.31</v>
      </c>
      <c r="D201" s="39">
        <v>22412022</v>
      </c>
      <c r="E201" s="39" t="s">
        <v>57</v>
      </c>
      <c r="F201" s="39" t="s">
        <v>330</v>
      </c>
      <c r="G201" s="35">
        <v>0.44097222222222221</v>
      </c>
      <c r="H201" s="35">
        <v>0.46180555555555558</v>
      </c>
      <c r="I201" s="36">
        <v>30</v>
      </c>
      <c r="J201" s="37" t="s">
        <v>51</v>
      </c>
      <c r="K201" s="67" t="s">
        <v>52</v>
      </c>
      <c r="L201" s="67" t="s">
        <v>53</v>
      </c>
      <c r="M201" s="47" t="s">
        <v>54</v>
      </c>
    </row>
    <row r="202" spans="1:13" x14ac:dyDescent="0.35">
      <c r="A202" s="17">
        <v>45649</v>
      </c>
      <c r="B202" s="39">
        <v>56.97</v>
      </c>
      <c r="C202" s="39">
        <v>5.31</v>
      </c>
      <c r="D202" s="39">
        <v>22412022</v>
      </c>
      <c r="E202" s="39" t="s">
        <v>57</v>
      </c>
      <c r="F202" s="39" t="s">
        <v>330</v>
      </c>
      <c r="G202" s="35">
        <v>0.46180555555555558</v>
      </c>
      <c r="H202" s="35">
        <v>0.47222222222222221</v>
      </c>
      <c r="I202" s="36">
        <v>15</v>
      </c>
      <c r="J202" s="37" t="s">
        <v>51</v>
      </c>
      <c r="K202" s="67" t="s">
        <v>52</v>
      </c>
      <c r="L202" s="37" t="s">
        <v>59</v>
      </c>
      <c r="M202" s="47" t="s">
        <v>59</v>
      </c>
    </row>
    <row r="203" spans="1:13" x14ac:dyDescent="0.35">
      <c r="A203" s="17">
        <v>45649</v>
      </c>
      <c r="B203" s="39">
        <v>56.97</v>
      </c>
      <c r="C203" s="39">
        <v>5.31</v>
      </c>
      <c r="D203" s="39">
        <v>22412022</v>
      </c>
      <c r="E203" s="39" t="s">
        <v>57</v>
      </c>
      <c r="F203" s="39" t="s">
        <v>330</v>
      </c>
      <c r="G203" s="35">
        <v>0.47222222222222221</v>
      </c>
      <c r="H203" s="35">
        <v>0.54513888888888884</v>
      </c>
      <c r="I203" s="36">
        <v>105</v>
      </c>
      <c r="J203" s="37" t="s">
        <v>51</v>
      </c>
      <c r="K203" t="s">
        <v>21</v>
      </c>
      <c r="L203" s="47" t="s">
        <v>333</v>
      </c>
      <c r="M203" s="47" t="s">
        <v>333</v>
      </c>
    </row>
    <row r="204" spans="1:13" x14ac:dyDescent="0.35">
      <c r="A204" s="17">
        <v>45650</v>
      </c>
      <c r="B204" s="39">
        <v>57</v>
      </c>
      <c r="C204" s="39">
        <v>5.19</v>
      </c>
      <c r="D204" s="39">
        <v>22412023</v>
      </c>
      <c r="E204" s="39" t="s">
        <v>101</v>
      </c>
      <c r="F204" s="39">
        <v>1250</v>
      </c>
      <c r="G204" s="35">
        <v>0.63541666666666663</v>
      </c>
      <c r="H204" s="35">
        <v>0.68055555555555558</v>
      </c>
      <c r="I204" s="36">
        <v>65</v>
      </c>
      <c r="J204" s="37" t="s">
        <v>14</v>
      </c>
      <c r="K204" s="67" t="s">
        <v>26</v>
      </c>
      <c r="L204" s="37" t="s">
        <v>150</v>
      </c>
      <c r="M204" s="48" t="s">
        <v>335</v>
      </c>
    </row>
    <row r="205" spans="1:13" x14ac:dyDescent="0.35">
      <c r="A205" s="17">
        <v>45650</v>
      </c>
      <c r="B205" s="39">
        <v>57</v>
      </c>
      <c r="C205" s="39">
        <v>5.19</v>
      </c>
      <c r="D205" s="39">
        <v>22412023</v>
      </c>
      <c r="E205" s="39" t="s">
        <v>101</v>
      </c>
      <c r="F205" s="39">
        <v>1250</v>
      </c>
      <c r="G205" s="35">
        <v>0.68055555555555558</v>
      </c>
      <c r="H205" s="35">
        <v>0.91666666666666663</v>
      </c>
      <c r="I205" s="36">
        <v>340</v>
      </c>
      <c r="J205" s="37" t="s">
        <v>14</v>
      </c>
      <c r="K205" s="67" t="s">
        <v>19</v>
      </c>
      <c r="L205" s="48" t="s">
        <v>336</v>
      </c>
      <c r="M205" s="48" t="s">
        <v>336</v>
      </c>
    </row>
    <row r="206" spans="1:13" x14ac:dyDescent="0.35">
      <c r="A206" s="17">
        <v>45651</v>
      </c>
      <c r="B206" s="45">
        <v>57.36</v>
      </c>
      <c r="C206" s="45">
        <v>5.39</v>
      </c>
      <c r="D206" s="39">
        <v>22412023</v>
      </c>
      <c r="E206" s="39" t="s">
        <v>101</v>
      </c>
      <c r="F206" s="39">
        <v>1250</v>
      </c>
      <c r="G206" s="35">
        <v>0.91666666666666663</v>
      </c>
      <c r="H206" s="35">
        <v>0.99652777777777779</v>
      </c>
      <c r="I206" s="36">
        <v>115</v>
      </c>
      <c r="J206" s="37" t="s">
        <v>14</v>
      </c>
      <c r="K206" s="67" t="s">
        <v>19</v>
      </c>
      <c r="L206" s="48" t="s">
        <v>336</v>
      </c>
      <c r="M206" s="48" t="s">
        <v>336</v>
      </c>
    </row>
    <row r="207" spans="1:13" x14ac:dyDescent="0.35">
      <c r="A207" s="17">
        <v>45652</v>
      </c>
      <c r="B207" s="39">
        <v>57.21</v>
      </c>
      <c r="C207" s="39">
        <v>5.12</v>
      </c>
      <c r="D207" s="39">
        <v>22412024</v>
      </c>
      <c r="E207" s="39" t="s">
        <v>80</v>
      </c>
      <c r="F207" s="39">
        <v>1250</v>
      </c>
      <c r="G207" s="35">
        <v>0.19791666666666666</v>
      </c>
      <c r="H207" s="35">
        <v>0.21875</v>
      </c>
      <c r="I207" s="36">
        <v>30</v>
      </c>
      <c r="J207" s="37" t="s">
        <v>51</v>
      </c>
      <c r="K207" s="67" t="s">
        <v>52</v>
      </c>
      <c r="L207" s="67" t="s">
        <v>53</v>
      </c>
      <c r="M207" s="48" t="s">
        <v>54</v>
      </c>
    </row>
    <row r="208" spans="1:13" x14ac:dyDescent="0.35">
      <c r="A208" s="17">
        <v>45652</v>
      </c>
      <c r="B208" s="39">
        <v>57.21</v>
      </c>
      <c r="C208" s="39">
        <v>5.12</v>
      </c>
      <c r="D208" s="39">
        <v>22412024</v>
      </c>
      <c r="E208" s="39" t="s">
        <v>80</v>
      </c>
      <c r="F208" s="39">
        <v>1250</v>
      </c>
      <c r="G208" s="35">
        <v>0.21875</v>
      </c>
      <c r="H208" s="35">
        <v>0.22916666666666666</v>
      </c>
      <c r="I208" s="36">
        <v>15</v>
      </c>
      <c r="J208" s="37" t="s">
        <v>51</v>
      </c>
      <c r="K208" s="67" t="s">
        <v>52</v>
      </c>
      <c r="L208" s="37" t="s">
        <v>59</v>
      </c>
      <c r="M208" s="48" t="s">
        <v>59</v>
      </c>
    </row>
    <row r="209" spans="1:13" x14ac:dyDescent="0.35">
      <c r="A209" s="17">
        <v>45652</v>
      </c>
      <c r="B209" s="39">
        <v>57.21</v>
      </c>
      <c r="C209" s="39">
        <v>5.12</v>
      </c>
      <c r="D209" s="39">
        <v>22412024</v>
      </c>
      <c r="E209" s="39" t="s">
        <v>80</v>
      </c>
      <c r="F209" s="39">
        <v>1250</v>
      </c>
      <c r="G209" s="35">
        <v>0.22916666666666666</v>
      </c>
      <c r="H209" s="35">
        <v>0.2361111111111111</v>
      </c>
      <c r="I209" s="36">
        <v>10</v>
      </c>
      <c r="J209" s="37" t="s">
        <v>51</v>
      </c>
      <c r="K209" t="s">
        <v>21</v>
      </c>
      <c r="L209" s="37" t="s">
        <v>74</v>
      </c>
      <c r="M209" s="48" t="s">
        <v>339</v>
      </c>
    </row>
    <row r="210" spans="1:13" x14ac:dyDescent="0.35">
      <c r="A210" s="17">
        <v>45653</v>
      </c>
      <c r="B210" s="39">
        <v>57.08</v>
      </c>
      <c r="C210" s="39">
        <v>5.0599999999999996</v>
      </c>
      <c r="D210" s="39">
        <v>22412025</v>
      </c>
      <c r="E210" s="39" t="s">
        <v>80</v>
      </c>
      <c r="F210" s="39">
        <v>1250</v>
      </c>
      <c r="G210" s="35">
        <v>0.47638888888888886</v>
      </c>
      <c r="H210" s="35">
        <v>0.49722222222222223</v>
      </c>
      <c r="I210" s="36">
        <v>30</v>
      </c>
      <c r="J210" s="37" t="s">
        <v>51</v>
      </c>
      <c r="K210" s="67" t="s">
        <v>52</v>
      </c>
      <c r="L210" s="67" t="s">
        <v>53</v>
      </c>
      <c r="M210" s="48" t="s">
        <v>54</v>
      </c>
    </row>
    <row r="211" spans="1:13" x14ac:dyDescent="0.35">
      <c r="A211" s="17">
        <v>45653</v>
      </c>
      <c r="B211" s="39">
        <v>57.08</v>
      </c>
      <c r="C211" s="39">
        <v>5.0599999999999996</v>
      </c>
      <c r="D211" s="39">
        <v>22412025</v>
      </c>
      <c r="E211" s="39" t="s">
        <v>80</v>
      </c>
      <c r="F211" s="39">
        <v>1250</v>
      </c>
      <c r="G211" s="35">
        <v>0.49722222222222223</v>
      </c>
      <c r="H211" s="35">
        <v>0.51041666666666663</v>
      </c>
      <c r="I211" s="36">
        <v>19</v>
      </c>
      <c r="J211" s="37" t="s">
        <v>51</v>
      </c>
      <c r="K211" s="67" t="s">
        <v>41</v>
      </c>
      <c r="L211" s="48" t="s">
        <v>340</v>
      </c>
      <c r="M211" s="48" t="s">
        <v>340</v>
      </c>
    </row>
    <row r="212" spans="1:13" x14ac:dyDescent="0.35">
      <c r="A212" s="17">
        <v>45653</v>
      </c>
      <c r="B212" s="39">
        <v>57.08</v>
      </c>
      <c r="C212" s="39">
        <v>5.0599999999999996</v>
      </c>
      <c r="D212" s="46">
        <v>22412026</v>
      </c>
      <c r="E212" s="45" t="s">
        <v>341</v>
      </c>
      <c r="F212" s="45">
        <v>1250</v>
      </c>
      <c r="G212" s="35">
        <v>0.90138888888888891</v>
      </c>
      <c r="H212" s="35">
        <v>0.98472222222222228</v>
      </c>
      <c r="I212" s="36">
        <v>120</v>
      </c>
      <c r="J212" s="37" t="s">
        <v>25</v>
      </c>
      <c r="K212" t="s">
        <v>21</v>
      </c>
      <c r="L212" s="37" t="s">
        <v>83</v>
      </c>
      <c r="M212" s="93" t="s">
        <v>227</v>
      </c>
    </row>
    <row r="213" spans="1:13" x14ac:dyDescent="0.35">
      <c r="A213" s="17">
        <v>45654</v>
      </c>
      <c r="B213" s="45">
        <v>57.03</v>
      </c>
      <c r="C213" s="45">
        <v>5.2</v>
      </c>
      <c r="D213" s="46">
        <v>22412026</v>
      </c>
      <c r="E213" s="45" t="s">
        <v>341</v>
      </c>
      <c r="F213" s="45">
        <v>1250</v>
      </c>
      <c r="G213" s="35">
        <v>0.98472222222222228</v>
      </c>
      <c r="H213" s="35">
        <v>3.125E-2</v>
      </c>
      <c r="I213" s="36">
        <v>67</v>
      </c>
      <c r="J213" s="37" t="s">
        <v>25</v>
      </c>
      <c r="K213" s="67" t="s">
        <v>41</v>
      </c>
      <c r="L213" s="48" t="s">
        <v>344</v>
      </c>
      <c r="M213" s="48" t="s">
        <v>344</v>
      </c>
    </row>
    <row r="214" spans="1:13" x14ac:dyDescent="0.35">
      <c r="A214" s="17">
        <v>45655</v>
      </c>
      <c r="B214" s="39">
        <v>57.03</v>
      </c>
      <c r="C214" s="39">
        <v>4.97</v>
      </c>
      <c r="D214" s="39">
        <v>22412027</v>
      </c>
      <c r="E214" s="39" t="s">
        <v>122</v>
      </c>
      <c r="F214" s="39">
        <v>1250</v>
      </c>
      <c r="G214" s="35">
        <v>3.4722222222222224E-2</v>
      </c>
      <c r="H214" s="35">
        <v>9.7222222222222224E-2</v>
      </c>
      <c r="I214" s="36">
        <v>90</v>
      </c>
      <c r="J214" s="37" t="s">
        <v>14</v>
      </c>
      <c r="K214" s="67" t="s">
        <v>26</v>
      </c>
      <c r="L214" s="37" t="s">
        <v>150</v>
      </c>
      <c r="M214" s="47" t="s">
        <v>345</v>
      </c>
    </row>
    <row r="215" spans="1:13" x14ac:dyDescent="0.35">
      <c r="A215" s="17">
        <v>45655</v>
      </c>
      <c r="B215" s="39">
        <v>57.03</v>
      </c>
      <c r="C215" s="39">
        <v>4.97</v>
      </c>
      <c r="D215" s="39">
        <v>22412027</v>
      </c>
      <c r="E215" s="39" t="s">
        <v>122</v>
      </c>
      <c r="F215" s="39">
        <v>1250</v>
      </c>
      <c r="G215" s="35">
        <v>9.7222222222222224E-2</v>
      </c>
      <c r="H215" s="35">
        <v>0.15069444444444444</v>
      </c>
      <c r="I215" s="36">
        <v>77</v>
      </c>
      <c r="J215" s="37" t="s">
        <v>14</v>
      </c>
      <c r="K215" s="67" t="s">
        <v>19</v>
      </c>
      <c r="L215" s="47" t="s">
        <v>346</v>
      </c>
      <c r="M215" s="47" t="s">
        <v>346</v>
      </c>
    </row>
    <row r="216" spans="1:13" x14ac:dyDescent="0.35">
      <c r="A216" s="17">
        <v>45655</v>
      </c>
      <c r="B216" s="39">
        <v>57.03</v>
      </c>
      <c r="C216" s="39">
        <v>4.97</v>
      </c>
      <c r="D216" s="39">
        <v>22412027</v>
      </c>
      <c r="E216" s="39" t="s">
        <v>122</v>
      </c>
      <c r="F216" s="39">
        <v>1250</v>
      </c>
      <c r="G216" s="35">
        <v>0.15069444444444444</v>
      </c>
      <c r="H216" s="35">
        <v>0.16111111111111112</v>
      </c>
      <c r="I216" s="36">
        <v>15</v>
      </c>
      <c r="J216" s="37" t="s">
        <v>14</v>
      </c>
      <c r="K216" t="s">
        <v>21</v>
      </c>
      <c r="L216" s="37" t="s">
        <v>22</v>
      </c>
      <c r="M216" s="47" t="s">
        <v>347</v>
      </c>
    </row>
    <row r="217" spans="1:13" x14ac:dyDescent="0.35">
      <c r="A217" s="17">
        <v>45656</v>
      </c>
      <c r="B217" s="39">
        <v>56.95</v>
      </c>
      <c r="C217" s="39">
        <v>5.01</v>
      </c>
      <c r="D217" s="39">
        <v>22412028</v>
      </c>
      <c r="E217" s="39" t="s">
        <v>313</v>
      </c>
      <c r="F217" s="39">
        <v>1230</v>
      </c>
      <c r="G217" s="35">
        <v>0.96527777777777779</v>
      </c>
      <c r="H217" s="35">
        <v>0.98611111111111116</v>
      </c>
      <c r="I217" s="36">
        <v>30</v>
      </c>
      <c r="J217" s="37" t="s">
        <v>14</v>
      </c>
      <c r="K217" s="67" t="s">
        <v>19</v>
      </c>
      <c r="L217" s="37" t="s">
        <v>225</v>
      </c>
      <c r="M217" s="48" t="s">
        <v>351</v>
      </c>
    </row>
    <row r="218" spans="1:13" x14ac:dyDescent="0.35">
      <c r="A218" s="17">
        <v>45656</v>
      </c>
      <c r="B218" s="39">
        <v>56.95</v>
      </c>
      <c r="C218" s="39">
        <v>5.01</v>
      </c>
      <c r="D218" s="39">
        <v>22412028</v>
      </c>
      <c r="E218" s="39" t="s">
        <v>313</v>
      </c>
      <c r="F218" s="39">
        <v>1230</v>
      </c>
      <c r="G218" s="35">
        <v>0.98611111111111116</v>
      </c>
      <c r="H218" s="35">
        <v>2.0833333333333333E-3</v>
      </c>
      <c r="I218" s="36">
        <v>23</v>
      </c>
      <c r="J218" s="37" t="s">
        <v>14</v>
      </c>
      <c r="K218" s="67" t="s">
        <v>19</v>
      </c>
      <c r="L218" s="48" t="s">
        <v>276</v>
      </c>
      <c r="M218" s="48" t="s">
        <v>276</v>
      </c>
    </row>
    <row r="219" spans="1:13" x14ac:dyDescent="0.35">
      <c r="A219" s="17">
        <v>45657</v>
      </c>
      <c r="B219" s="39">
        <v>57.06</v>
      </c>
      <c r="C219" s="39">
        <v>5</v>
      </c>
      <c r="D219" s="39">
        <v>22412029</v>
      </c>
      <c r="E219" s="39" t="s">
        <v>66</v>
      </c>
      <c r="F219" s="39">
        <v>1250</v>
      </c>
      <c r="G219" s="35">
        <v>7.6388888888888895E-2</v>
      </c>
      <c r="H219" s="35">
        <v>9.7222222222222224E-2</v>
      </c>
      <c r="I219" s="36">
        <v>30</v>
      </c>
      <c r="J219" s="37" t="s">
        <v>51</v>
      </c>
      <c r="K219" s="67" t="s">
        <v>52</v>
      </c>
      <c r="L219" s="67" t="s">
        <v>53</v>
      </c>
      <c r="M219" s="48" t="s">
        <v>54</v>
      </c>
    </row>
    <row r="220" spans="1:13" x14ac:dyDescent="0.35">
      <c r="A220" s="17">
        <v>45657</v>
      </c>
      <c r="B220" s="39">
        <v>57.06</v>
      </c>
      <c r="C220" s="39">
        <v>5</v>
      </c>
      <c r="D220" s="39">
        <v>22412029</v>
      </c>
      <c r="E220" s="39" t="s">
        <v>66</v>
      </c>
      <c r="F220" s="39">
        <v>1250</v>
      </c>
      <c r="G220" s="35">
        <v>9.7222222222222224E-2</v>
      </c>
      <c r="H220" s="35">
        <v>0.1076388888888889</v>
      </c>
      <c r="I220" s="36">
        <v>15</v>
      </c>
      <c r="J220" s="37" t="s">
        <v>51</v>
      </c>
      <c r="K220" s="67" t="s">
        <v>52</v>
      </c>
      <c r="L220" s="37" t="s">
        <v>59</v>
      </c>
      <c r="M220" s="48" t="s">
        <v>59</v>
      </c>
    </row>
    <row r="221" spans="1:13" x14ac:dyDescent="0.35">
      <c r="A221" s="17">
        <v>45657</v>
      </c>
      <c r="B221" s="39">
        <v>57.06</v>
      </c>
      <c r="C221" s="39">
        <v>5</v>
      </c>
      <c r="D221" s="39">
        <v>22412029</v>
      </c>
      <c r="E221" s="39" t="s">
        <v>66</v>
      </c>
      <c r="F221" s="39">
        <v>1250</v>
      </c>
      <c r="G221" s="35">
        <v>0.1076388888888889</v>
      </c>
      <c r="H221" s="35">
        <v>0.11458333333333333</v>
      </c>
      <c r="I221" s="36">
        <v>10</v>
      </c>
      <c r="J221" s="37" t="s">
        <v>51</v>
      </c>
      <c r="K221" t="s">
        <v>21</v>
      </c>
      <c r="L221" s="37" t="s">
        <v>96</v>
      </c>
      <c r="M221" s="48" t="s">
        <v>206</v>
      </c>
    </row>
    <row r="222" spans="1:13" x14ac:dyDescent="0.35">
      <c r="A222" s="17">
        <v>45657</v>
      </c>
      <c r="B222" s="39">
        <v>57.06</v>
      </c>
      <c r="C222" s="39">
        <v>5</v>
      </c>
      <c r="D222" s="39">
        <v>22412029</v>
      </c>
      <c r="E222" s="39" t="s">
        <v>66</v>
      </c>
      <c r="F222" s="39">
        <v>1250</v>
      </c>
      <c r="G222" s="35">
        <v>0.11458333333333333</v>
      </c>
      <c r="H222" s="35">
        <v>0.13819444444444445</v>
      </c>
      <c r="I222" s="36">
        <v>34</v>
      </c>
      <c r="J222" s="37" t="s">
        <v>51</v>
      </c>
      <c r="K222" s="67" t="s">
        <v>41</v>
      </c>
      <c r="L222" s="37" t="s">
        <v>352</v>
      </c>
      <c r="M222" s="48" t="s">
        <v>353</v>
      </c>
    </row>
    <row r="223" spans="1:13" x14ac:dyDescent="0.35">
      <c r="A223" s="17">
        <v>45657</v>
      </c>
      <c r="B223" s="39">
        <v>57.06</v>
      </c>
      <c r="C223" s="39">
        <v>5</v>
      </c>
      <c r="D223" s="46">
        <v>22412030</v>
      </c>
      <c r="E223" s="45" t="s">
        <v>47</v>
      </c>
      <c r="F223" s="45">
        <v>1260</v>
      </c>
      <c r="G223" s="35">
        <v>0.1388888888888889</v>
      </c>
      <c r="H223" s="35">
        <v>0.22569444444444445</v>
      </c>
      <c r="I223" s="36">
        <v>125</v>
      </c>
      <c r="J223" s="37" t="s">
        <v>35</v>
      </c>
      <c r="K223" s="67" t="s">
        <v>19</v>
      </c>
      <c r="L223" s="37" t="s">
        <v>354</v>
      </c>
      <c r="M223" s="63" t="s">
        <v>355</v>
      </c>
    </row>
    <row r="224" spans="1:13" x14ac:dyDescent="0.35">
      <c r="A224" s="17">
        <v>45658</v>
      </c>
      <c r="B224" s="39">
        <v>57.03</v>
      </c>
      <c r="C224" s="45"/>
      <c r="D224" s="46"/>
      <c r="E224" s="45"/>
      <c r="F224" s="45"/>
      <c r="G224" s="98"/>
      <c r="H224" s="35">
        <v>0.91666666666666663</v>
      </c>
      <c r="I224" s="36"/>
      <c r="J224" s="67"/>
      <c r="K224" s="67"/>
      <c r="L224" s="67"/>
      <c r="M224" s="97"/>
    </row>
    <row r="225" spans="1:13" x14ac:dyDescent="0.35">
      <c r="A225" s="17">
        <v>45658</v>
      </c>
      <c r="B225" s="39">
        <v>57.03</v>
      </c>
      <c r="C225" s="39">
        <v>5.08</v>
      </c>
      <c r="D225" s="39">
        <v>22412031</v>
      </c>
      <c r="E225" s="39" t="s">
        <v>116</v>
      </c>
      <c r="F225" s="39">
        <v>1260</v>
      </c>
      <c r="G225" s="35">
        <v>0.42708333333333331</v>
      </c>
      <c r="H225" s="35">
        <v>0.44791666666666669</v>
      </c>
      <c r="I225" s="36">
        <v>30</v>
      </c>
      <c r="J225" s="67" t="s">
        <v>51</v>
      </c>
      <c r="K225" s="67" t="s">
        <v>52</v>
      </c>
      <c r="L225" s="67" t="s">
        <v>53</v>
      </c>
      <c r="M225" s="95" t="s">
        <v>54</v>
      </c>
    </row>
    <row r="226" spans="1:13" x14ac:dyDescent="0.35">
      <c r="A226" s="17">
        <v>45658</v>
      </c>
      <c r="B226" s="39">
        <v>57.03</v>
      </c>
      <c r="C226" s="39">
        <v>5.08</v>
      </c>
      <c r="D226" s="39">
        <v>22412031</v>
      </c>
      <c r="E226" s="39" t="s">
        <v>116</v>
      </c>
      <c r="F226" s="39">
        <v>1260</v>
      </c>
      <c r="G226" s="35">
        <v>0.44791666666666669</v>
      </c>
      <c r="H226" s="35">
        <v>0.45833333333333331</v>
      </c>
      <c r="I226" s="36">
        <v>15</v>
      </c>
      <c r="J226" s="67" t="s">
        <v>51</v>
      </c>
      <c r="K226" t="s">
        <v>21</v>
      </c>
      <c r="L226" s="37" t="s">
        <v>96</v>
      </c>
      <c r="M226" s="95" t="s">
        <v>206</v>
      </c>
    </row>
    <row r="227" spans="1:13" x14ac:dyDescent="0.35">
      <c r="A227" s="17">
        <v>45658</v>
      </c>
      <c r="B227" s="39">
        <v>57.03</v>
      </c>
      <c r="C227" s="39">
        <v>5.08</v>
      </c>
      <c r="D227" s="46">
        <v>22501001</v>
      </c>
      <c r="E227" s="45" t="s">
        <v>18</v>
      </c>
      <c r="F227" s="45">
        <v>1260</v>
      </c>
      <c r="G227" s="35">
        <v>0.87152777777777779</v>
      </c>
      <c r="H227" s="35">
        <v>0.91666666666666663</v>
      </c>
      <c r="I227" s="36">
        <v>65</v>
      </c>
      <c r="J227" s="37" t="s">
        <v>35</v>
      </c>
      <c r="K227" s="67" t="s">
        <v>62</v>
      </c>
      <c r="L227" s="37" t="s">
        <v>190</v>
      </c>
      <c r="M227" s="97" t="s">
        <v>102</v>
      </c>
    </row>
    <row r="228" spans="1:13" x14ac:dyDescent="0.35">
      <c r="A228" s="17">
        <v>45659</v>
      </c>
      <c r="B228" s="39">
        <v>57.08</v>
      </c>
      <c r="C228" s="39">
        <v>4.95</v>
      </c>
      <c r="D228" s="46">
        <v>22501001</v>
      </c>
      <c r="E228" s="45" t="s">
        <v>18</v>
      </c>
      <c r="F228" s="45">
        <v>1260</v>
      </c>
      <c r="G228" s="35">
        <v>0.91666666666666663</v>
      </c>
      <c r="H228" s="35">
        <v>0.93402777777777779</v>
      </c>
      <c r="I228" s="36">
        <v>25</v>
      </c>
      <c r="J228" s="37" t="s">
        <v>35</v>
      </c>
      <c r="K228" s="67" t="s">
        <v>62</v>
      </c>
      <c r="L228" s="37" t="s">
        <v>190</v>
      </c>
      <c r="M228" s="95" t="s">
        <v>366</v>
      </c>
    </row>
    <row r="229" spans="1:13" x14ac:dyDescent="0.35">
      <c r="A229" s="17">
        <v>45659</v>
      </c>
      <c r="B229" s="39">
        <v>57.08</v>
      </c>
      <c r="C229" s="39">
        <v>4.95</v>
      </c>
      <c r="D229" s="46">
        <v>22501001</v>
      </c>
      <c r="E229" s="45" t="s">
        <v>18</v>
      </c>
      <c r="F229" s="45">
        <v>1260</v>
      </c>
      <c r="G229" s="35">
        <v>0.93402777777777779</v>
      </c>
      <c r="H229" s="35">
        <v>0.9555555555555556</v>
      </c>
      <c r="I229" s="36">
        <v>31</v>
      </c>
      <c r="J229" s="37" t="s">
        <v>35</v>
      </c>
      <c r="K229" t="s">
        <v>21</v>
      </c>
      <c r="L229" s="37" t="s">
        <v>74</v>
      </c>
      <c r="M229" s="95" t="s">
        <v>367</v>
      </c>
    </row>
    <row r="230" spans="1:13" x14ac:dyDescent="0.35">
      <c r="A230" s="17">
        <v>45659</v>
      </c>
      <c r="B230" s="39">
        <v>57.08</v>
      </c>
      <c r="C230" s="39">
        <v>4.95</v>
      </c>
      <c r="D230" s="46">
        <v>22501002</v>
      </c>
      <c r="E230" s="45" t="s">
        <v>18</v>
      </c>
      <c r="F230" s="45">
        <v>1255</v>
      </c>
      <c r="G230" s="35">
        <v>0.38611111111111113</v>
      </c>
      <c r="H230" s="35">
        <v>0.75902777777777775</v>
      </c>
      <c r="I230" s="36">
        <v>537</v>
      </c>
      <c r="J230" s="37" t="s">
        <v>35</v>
      </c>
      <c r="K230" s="67" t="s">
        <v>62</v>
      </c>
      <c r="L230" s="37" t="s">
        <v>236</v>
      </c>
      <c r="M230" s="97" t="s">
        <v>368</v>
      </c>
    </row>
    <row r="231" spans="1:13" x14ac:dyDescent="0.35">
      <c r="A231" s="17">
        <v>45660</v>
      </c>
      <c r="B231" s="39">
        <v>56.25</v>
      </c>
      <c r="C231" s="39">
        <v>5.0599999999999996</v>
      </c>
      <c r="D231" s="39">
        <v>22501003</v>
      </c>
      <c r="E231" s="39" t="s">
        <v>122</v>
      </c>
      <c r="F231" s="39">
        <v>1255</v>
      </c>
      <c r="G231" s="35">
        <v>0.72569444444444442</v>
      </c>
      <c r="H231" s="35">
        <v>0.74652777777777779</v>
      </c>
      <c r="I231" s="36">
        <v>30</v>
      </c>
      <c r="J231" s="37" t="s">
        <v>51</v>
      </c>
      <c r="K231" s="67" t="s">
        <v>52</v>
      </c>
      <c r="L231" s="67" t="s">
        <v>53</v>
      </c>
      <c r="M231" s="47" t="s">
        <v>54</v>
      </c>
    </row>
    <row r="232" spans="1:13" x14ac:dyDescent="0.35">
      <c r="A232" s="17">
        <v>45660</v>
      </c>
      <c r="B232" s="39">
        <v>56.25</v>
      </c>
      <c r="C232" s="39">
        <v>5.0599999999999996</v>
      </c>
      <c r="D232" s="39">
        <v>22501003</v>
      </c>
      <c r="E232" s="39" t="s">
        <v>122</v>
      </c>
      <c r="F232" s="39">
        <v>1255</v>
      </c>
      <c r="G232" s="35">
        <v>0.74652777777777779</v>
      </c>
      <c r="H232" s="35">
        <v>0.74791666666666667</v>
      </c>
      <c r="I232" s="36">
        <v>2</v>
      </c>
      <c r="J232" s="37" t="s">
        <v>51</v>
      </c>
      <c r="K232" t="s">
        <v>21</v>
      </c>
      <c r="L232" s="47" t="s">
        <v>206</v>
      </c>
      <c r="M232" s="47" t="s">
        <v>206</v>
      </c>
    </row>
    <row r="233" spans="1:13" x14ac:dyDescent="0.35">
      <c r="A233" s="17">
        <v>45661</v>
      </c>
      <c r="B233" s="39">
        <v>57</v>
      </c>
      <c r="C233" s="39">
        <v>4.87</v>
      </c>
      <c r="D233" s="39">
        <v>22501004</v>
      </c>
      <c r="E233" s="39" t="s">
        <v>379</v>
      </c>
      <c r="F233" s="39">
        <v>1170</v>
      </c>
      <c r="G233" s="35">
        <v>0.31458333333333333</v>
      </c>
      <c r="H233" s="35">
        <v>0.39583333333333331</v>
      </c>
      <c r="I233" s="36">
        <v>117</v>
      </c>
      <c r="J233" s="37" t="s">
        <v>35</v>
      </c>
      <c r="K233" s="67" t="s">
        <v>41</v>
      </c>
      <c r="L233" s="49" t="s">
        <v>380</v>
      </c>
      <c r="M233" s="49" t="s">
        <v>380</v>
      </c>
    </row>
    <row r="234" spans="1:13" x14ac:dyDescent="0.35">
      <c r="A234" s="17">
        <v>45661</v>
      </c>
      <c r="B234" s="39">
        <v>57</v>
      </c>
      <c r="C234" s="39">
        <v>4.87</v>
      </c>
      <c r="D234" s="39">
        <v>22501004</v>
      </c>
      <c r="E234" s="39" t="s">
        <v>379</v>
      </c>
      <c r="F234" s="39">
        <v>1170</v>
      </c>
      <c r="G234" s="35">
        <v>0.39583333333333331</v>
      </c>
      <c r="H234" s="35">
        <v>0.91666666666666663</v>
      </c>
      <c r="I234" s="36">
        <v>750</v>
      </c>
      <c r="J234" s="37" t="s">
        <v>14</v>
      </c>
      <c r="K234" s="67" t="s">
        <v>15</v>
      </c>
      <c r="L234" s="37" t="s">
        <v>16</v>
      </c>
      <c r="M234" s="47" t="s">
        <v>17</v>
      </c>
    </row>
    <row r="235" spans="1:13" x14ac:dyDescent="0.35">
      <c r="A235" s="17">
        <v>45662</v>
      </c>
      <c r="B235" s="39">
        <v>58</v>
      </c>
      <c r="C235" s="39">
        <v>5.01</v>
      </c>
      <c r="D235" s="39">
        <v>22501004</v>
      </c>
      <c r="E235" s="39" t="s">
        <v>379</v>
      </c>
      <c r="F235" s="39">
        <v>1170</v>
      </c>
      <c r="G235" s="35">
        <v>0.91666666666666663</v>
      </c>
      <c r="H235" s="35">
        <v>0.28819444444444442</v>
      </c>
      <c r="I235" s="36">
        <v>535</v>
      </c>
      <c r="J235" s="37" t="s">
        <v>14</v>
      </c>
      <c r="K235" s="67" t="s">
        <v>15</v>
      </c>
      <c r="L235" s="37" t="s">
        <v>16</v>
      </c>
      <c r="M235" s="47" t="s">
        <v>17</v>
      </c>
    </row>
    <row r="236" spans="1:13" x14ac:dyDescent="0.35">
      <c r="A236" s="17">
        <v>45662</v>
      </c>
      <c r="B236" s="39">
        <v>58</v>
      </c>
      <c r="C236" s="39">
        <v>5.01</v>
      </c>
      <c r="D236" s="45">
        <v>22501005</v>
      </c>
      <c r="E236" s="45" t="s">
        <v>285</v>
      </c>
      <c r="F236" s="45">
        <v>1010</v>
      </c>
      <c r="G236" s="35">
        <v>0.54166666666666663</v>
      </c>
      <c r="H236" s="35">
        <v>0.64930555555555558</v>
      </c>
      <c r="I236" s="36">
        <v>155</v>
      </c>
      <c r="J236" s="37" t="s">
        <v>14</v>
      </c>
      <c r="K236" s="67" t="s">
        <v>26</v>
      </c>
      <c r="L236" s="37" t="s">
        <v>362</v>
      </c>
      <c r="M236" s="47" t="s">
        <v>375</v>
      </c>
    </row>
    <row r="237" spans="1:13" x14ac:dyDescent="0.35">
      <c r="A237" s="17">
        <v>45663</v>
      </c>
      <c r="B237" s="39">
        <v>58</v>
      </c>
      <c r="C237" s="39">
        <v>5.13</v>
      </c>
      <c r="D237" s="39">
        <v>22501006</v>
      </c>
      <c r="E237" s="39" t="s">
        <v>114</v>
      </c>
      <c r="F237" s="39" t="s">
        <v>381</v>
      </c>
      <c r="G237" s="35">
        <v>0.60763888888888884</v>
      </c>
      <c r="H237" s="35">
        <v>0.62847222222222221</v>
      </c>
      <c r="I237" s="36">
        <v>30</v>
      </c>
      <c r="J237" s="37" t="s">
        <v>51</v>
      </c>
      <c r="K237" s="67" t="s">
        <v>52</v>
      </c>
      <c r="L237" s="67" t="s">
        <v>53</v>
      </c>
      <c r="M237" s="47" t="s">
        <v>54</v>
      </c>
    </row>
    <row r="238" spans="1:13" x14ac:dyDescent="0.35">
      <c r="A238" s="17">
        <v>45663</v>
      </c>
      <c r="B238" s="39">
        <v>58</v>
      </c>
      <c r="C238" s="39">
        <v>5.13</v>
      </c>
      <c r="D238" s="39">
        <v>22501006</v>
      </c>
      <c r="E238" s="39" t="s">
        <v>114</v>
      </c>
      <c r="F238" s="39" t="s">
        <v>381</v>
      </c>
      <c r="G238" s="35">
        <v>0.62847222222222221</v>
      </c>
      <c r="H238" s="35">
        <v>0.63888888888888884</v>
      </c>
      <c r="I238" s="36">
        <v>15</v>
      </c>
      <c r="J238" s="37" t="s">
        <v>51</v>
      </c>
      <c r="K238" s="67" t="s">
        <v>52</v>
      </c>
      <c r="L238" s="67" t="s">
        <v>59</v>
      </c>
      <c r="M238" s="47" t="s">
        <v>59</v>
      </c>
    </row>
    <row r="239" spans="1:13" x14ac:dyDescent="0.35">
      <c r="A239" s="17">
        <v>45663</v>
      </c>
      <c r="B239" s="39">
        <v>58</v>
      </c>
      <c r="C239" s="39">
        <v>5.13</v>
      </c>
      <c r="D239" s="39">
        <v>22501006</v>
      </c>
      <c r="E239" s="39" t="s">
        <v>114</v>
      </c>
      <c r="F239" s="39" t="s">
        <v>381</v>
      </c>
      <c r="G239" s="35">
        <v>0.63888888888888884</v>
      </c>
      <c r="H239" s="35">
        <v>0.64236111111111116</v>
      </c>
      <c r="I239" s="36">
        <v>5</v>
      </c>
      <c r="J239" s="37" t="s">
        <v>51</v>
      </c>
      <c r="K239" t="s">
        <v>21</v>
      </c>
      <c r="L239" s="47" t="s">
        <v>206</v>
      </c>
      <c r="M239" s="47" t="s">
        <v>206</v>
      </c>
    </row>
    <row r="240" spans="1:13" x14ac:dyDescent="0.35">
      <c r="A240" s="17">
        <v>45663</v>
      </c>
      <c r="B240" s="39">
        <v>58</v>
      </c>
      <c r="C240" s="39">
        <v>5.13</v>
      </c>
      <c r="D240" s="39">
        <v>22501006</v>
      </c>
      <c r="E240" s="39" t="s">
        <v>114</v>
      </c>
      <c r="F240" s="39" t="s">
        <v>381</v>
      </c>
      <c r="G240" s="35">
        <v>0.64236111111111116</v>
      </c>
      <c r="H240" s="35">
        <v>0.67361111111111116</v>
      </c>
      <c r="I240" s="36">
        <v>45</v>
      </c>
      <c r="J240" s="37" t="s">
        <v>51</v>
      </c>
      <c r="K240" s="67" t="s">
        <v>41</v>
      </c>
      <c r="L240" s="47" t="s">
        <v>383</v>
      </c>
      <c r="M240" s="47" t="s">
        <v>383</v>
      </c>
    </row>
    <row r="241" spans="1:13" x14ac:dyDescent="0.35">
      <c r="A241" s="17">
        <v>45663</v>
      </c>
      <c r="B241" s="39">
        <v>58</v>
      </c>
      <c r="C241" s="39">
        <v>5.13</v>
      </c>
      <c r="D241" s="39">
        <v>22501006</v>
      </c>
      <c r="E241" s="39" t="s">
        <v>114</v>
      </c>
      <c r="F241" s="39" t="s">
        <v>381</v>
      </c>
      <c r="G241" s="35">
        <v>0.67361111111111116</v>
      </c>
      <c r="H241" s="35">
        <v>0.70972222222222225</v>
      </c>
      <c r="I241" s="36">
        <v>52</v>
      </c>
      <c r="J241" s="37" t="s">
        <v>51</v>
      </c>
      <c r="K241" s="67" t="s">
        <v>41</v>
      </c>
      <c r="L241" s="47" t="s">
        <v>384</v>
      </c>
      <c r="M241" s="47" t="s">
        <v>384</v>
      </c>
    </row>
    <row r="242" spans="1:13" x14ac:dyDescent="0.35">
      <c r="A242" s="17">
        <v>45665</v>
      </c>
      <c r="B242" s="45">
        <v>55.4</v>
      </c>
      <c r="C242" s="45">
        <v>5.56</v>
      </c>
      <c r="D242" s="39">
        <v>22501007</v>
      </c>
      <c r="E242" s="39" t="s">
        <v>80</v>
      </c>
      <c r="F242" s="39">
        <v>1230</v>
      </c>
      <c r="G242" s="35">
        <v>0.9375</v>
      </c>
      <c r="H242" s="35">
        <v>0.95833333333333337</v>
      </c>
      <c r="I242" s="36">
        <v>30</v>
      </c>
      <c r="J242" s="37" t="s">
        <v>51</v>
      </c>
      <c r="K242" s="67" t="s">
        <v>52</v>
      </c>
      <c r="L242" s="67" t="s">
        <v>53</v>
      </c>
      <c r="M242" s="58" t="s">
        <v>54</v>
      </c>
    </row>
    <row r="243" spans="1:13" x14ac:dyDescent="0.35">
      <c r="A243" s="17">
        <v>45665</v>
      </c>
      <c r="B243" s="39">
        <v>56.05</v>
      </c>
      <c r="C243" s="39">
        <v>5.19</v>
      </c>
      <c r="D243" s="39">
        <v>22501007</v>
      </c>
      <c r="E243" s="39" t="s">
        <v>80</v>
      </c>
      <c r="F243" s="39">
        <v>1230</v>
      </c>
      <c r="G243" s="35">
        <v>0.95833333333333337</v>
      </c>
      <c r="H243" s="35">
        <v>0.96875</v>
      </c>
      <c r="I243" s="36">
        <v>15</v>
      </c>
      <c r="J243" s="37" t="s">
        <v>51</v>
      </c>
      <c r="K243" s="67" t="s">
        <v>19</v>
      </c>
      <c r="L243" s="58" t="s">
        <v>388</v>
      </c>
      <c r="M243" s="58" t="s">
        <v>388</v>
      </c>
    </row>
    <row r="244" spans="1:13" x14ac:dyDescent="0.35">
      <c r="A244" s="17">
        <v>45665</v>
      </c>
      <c r="B244" s="39">
        <v>56.05</v>
      </c>
      <c r="C244" s="39">
        <v>5.19</v>
      </c>
      <c r="D244" s="39">
        <v>22501007</v>
      </c>
      <c r="E244" s="39" t="s">
        <v>80</v>
      </c>
      <c r="F244" s="39">
        <v>1230</v>
      </c>
      <c r="G244" s="35">
        <v>0.96875</v>
      </c>
      <c r="H244" s="35">
        <v>0</v>
      </c>
      <c r="I244" s="36">
        <v>45</v>
      </c>
      <c r="J244" s="37" t="s">
        <v>51</v>
      </c>
      <c r="K244" t="s">
        <v>21</v>
      </c>
      <c r="L244" s="37" t="s">
        <v>22</v>
      </c>
      <c r="M244" s="58" t="s">
        <v>389</v>
      </c>
    </row>
    <row r="245" spans="1:13" x14ac:dyDescent="0.35">
      <c r="A245" s="17">
        <v>45666</v>
      </c>
      <c r="B245" s="39">
        <v>56.16</v>
      </c>
      <c r="C245" s="39">
        <v>4.9800000000000004</v>
      </c>
      <c r="D245" s="39">
        <v>22501008</v>
      </c>
      <c r="E245" s="39" t="s">
        <v>119</v>
      </c>
      <c r="F245" s="39">
        <v>1250</v>
      </c>
      <c r="G245" s="35">
        <v>0.28819444444444442</v>
      </c>
      <c r="H245" s="35">
        <v>0.30902777777777779</v>
      </c>
      <c r="I245" s="36">
        <v>30</v>
      </c>
      <c r="J245" s="37" t="s">
        <v>51</v>
      </c>
      <c r="K245" s="67" t="s">
        <v>52</v>
      </c>
      <c r="L245" s="67" t="s">
        <v>53</v>
      </c>
      <c r="M245" s="58" t="s">
        <v>54</v>
      </c>
    </row>
    <row r="246" spans="1:13" x14ac:dyDescent="0.35">
      <c r="A246" s="17">
        <v>45666</v>
      </c>
      <c r="B246" s="39">
        <v>56.16</v>
      </c>
      <c r="C246" s="39">
        <v>4.9800000000000004</v>
      </c>
      <c r="D246" s="39">
        <v>22501008</v>
      </c>
      <c r="E246" s="39" t="s">
        <v>119</v>
      </c>
      <c r="F246" s="39">
        <v>1250</v>
      </c>
      <c r="G246" s="35">
        <v>0.30902777777777779</v>
      </c>
      <c r="H246" s="35">
        <v>0.3298611111111111</v>
      </c>
      <c r="I246" s="36">
        <v>30</v>
      </c>
      <c r="J246" s="37" t="s">
        <v>51</v>
      </c>
      <c r="K246" s="67" t="s">
        <v>52</v>
      </c>
      <c r="L246" s="67" t="s">
        <v>178</v>
      </c>
      <c r="M246" s="58" t="s">
        <v>390</v>
      </c>
    </row>
    <row r="247" spans="1:13" x14ac:dyDescent="0.35">
      <c r="A247" s="17">
        <v>45666</v>
      </c>
      <c r="B247" s="39">
        <v>56.16</v>
      </c>
      <c r="C247" s="39">
        <v>4.9800000000000004</v>
      </c>
      <c r="D247" s="39">
        <v>22501008</v>
      </c>
      <c r="E247" s="39" t="s">
        <v>119</v>
      </c>
      <c r="F247" s="39">
        <v>1250</v>
      </c>
      <c r="G247" s="35">
        <v>0.3298611111111111</v>
      </c>
      <c r="H247" s="35">
        <v>0.34722222222222221</v>
      </c>
      <c r="I247" s="36">
        <v>25</v>
      </c>
      <c r="J247" s="37" t="s">
        <v>51</v>
      </c>
      <c r="K247" s="67" t="s">
        <v>19</v>
      </c>
      <c r="L247" s="58" t="s">
        <v>391</v>
      </c>
      <c r="M247" s="58" t="s">
        <v>391</v>
      </c>
    </row>
    <row r="248" spans="1:13" x14ac:dyDescent="0.35">
      <c r="A248" s="17">
        <v>45667</v>
      </c>
      <c r="B248" s="39">
        <v>56.59</v>
      </c>
      <c r="C248" s="39">
        <v>5.18</v>
      </c>
      <c r="D248" s="39">
        <v>22501009</v>
      </c>
      <c r="E248" s="39" t="s">
        <v>98</v>
      </c>
      <c r="F248" s="39">
        <v>1230</v>
      </c>
      <c r="G248" s="35">
        <v>0.2361111111111111</v>
      </c>
      <c r="H248" s="35">
        <v>0.3611111111111111</v>
      </c>
      <c r="I248" s="36">
        <v>180</v>
      </c>
      <c r="J248" s="37" t="s">
        <v>25</v>
      </c>
      <c r="K248" t="s">
        <v>21</v>
      </c>
      <c r="L248" s="37" t="s">
        <v>83</v>
      </c>
      <c r="M248" s="60" t="s">
        <v>323</v>
      </c>
    </row>
    <row r="249" spans="1:13" x14ac:dyDescent="0.35">
      <c r="A249" s="17">
        <v>45667</v>
      </c>
      <c r="B249" s="39">
        <v>56.59</v>
      </c>
      <c r="C249" s="39">
        <v>5.18</v>
      </c>
      <c r="D249" s="39">
        <v>22501009</v>
      </c>
      <c r="E249" s="39" t="s">
        <v>98</v>
      </c>
      <c r="F249" s="39">
        <v>1230</v>
      </c>
      <c r="G249" s="35">
        <v>0.3611111111111111</v>
      </c>
      <c r="H249" s="35">
        <v>0.44444444444444442</v>
      </c>
      <c r="I249" s="36">
        <v>120</v>
      </c>
      <c r="J249" s="37" t="s">
        <v>25</v>
      </c>
      <c r="K249" s="67" t="s">
        <v>41</v>
      </c>
      <c r="L249" s="47" t="s">
        <v>392</v>
      </c>
      <c r="M249" s="47" t="s">
        <v>392</v>
      </c>
    </row>
    <row r="250" spans="1:13" x14ac:dyDescent="0.35">
      <c r="A250" s="17">
        <v>45667</v>
      </c>
      <c r="B250" s="39">
        <v>56.59</v>
      </c>
      <c r="C250" s="39">
        <v>5.18</v>
      </c>
      <c r="D250" s="39">
        <v>22501009</v>
      </c>
      <c r="E250" s="39" t="s">
        <v>98</v>
      </c>
      <c r="F250" s="39">
        <v>1230</v>
      </c>
      <c r="G250" s="35">
        <v>0.44444444444444442</v>
      </c>
      <c r="H250" s="35">
        <v>0.47569444444444442</v>
      </c>
      <c r="I250" s="36">
        <v>45</v>
      </c>
      <c r="J250" s="37" t="s">
        <v>25</v>
      </c>
      <c r="K250" s="67" t="s">
        <v>41</v>
      </c>
      <c r="L250" s="47" t="s">
        <v>394</v>
      </c>
      <c r="M250" s="47" t="s">
        <v>394</v>
      </c>
    </row>
    <row r="251" spans="1:13" x14ac:dyDescent="0.35">
      <c r="A251" s="17">
        <v>45667</v>
      </c>
      <c r="B251" s="39">
        <v>56.59</v>
      </c>
      <c r="C251" s="39">
        <v>5.18</v>
      </c>
      <c r="D251" s="39">
        <v>22501009</v>
      </c>
      <c r="E251" s="39" t="s">
        <v>98</v>
      </c>
      <c r="F251" s="39">
        <v>1230</v>
      </c>
      <c r="G251" s="35">
        <v>0.47569444444444442</v>
      </c>
      <c r="H251" s="35">
        <v>0.51736111111111116</v>
      </c>
      <c r="I251" s="36">
        <v>60</v>
      </c>
      <c r="J251" s="37" t="s">
        <v>25</v>
      </c>
      <c r="K251" s="67" t="s">
        <v>19</v>
      </c>
      <c r="L251" s="47" t="s">
        <v>295</v>
      </c>
      <c r="M251" s="47" t="s">
        <v>295</v>
      </c>
    </row>
    <row r="252" spans="1:13" x14ac:dyDescent="0.35">
      <c r="A252" s="17">
        <v>45667</v>
      </c>
      <c r="B252" s="39">
        <v>56.59</v>
      </c>
      <c r="C252" s="39">
        <v>5.18</v>
      </c>
      <c r="D252" s="39">
        <v>22501009</v>
      </c>
      <c r="E252" s="39" t="s">
        <v>98</v>
      </c>
      <c r="F252" s="39">
        <v>1230</v>
      </c>
      <c r="G252" s="35">
        <v>0.51736111111111116</v>
      </c>
      <c r="H252" s="35">
        <v>0.58333333333333337</v>
      </c>
      <c r="I252" s="36">
        <v>95</v>
      </c>
      <c r="J252" s="37" t="s">
        <v>25</v>
      </c>
      <c r="K252" t="s">
        <v>21</v>
      </c>
      <c r="L252" s="47" t="s">
        <v>295</v>
      </c>
      <c r="M252" s="47" t="s">
        <v>295</v>
      </c>
    </row>
    <row r="253" spans="1:13" x14ac:dyDescent="0.35">
      <c r="A253" s="17">
        <v>45668</v>
      </c>
      <c r="B253" s="39">
        <v>57.45</v>
      </c>
      <c r="C253" s="39">
        <v>5.01</v>
      </c>
      <c r="D253" s="39">
        <v>22501010</v>
      </c>
      <c r="E253" s="39" t="s">
        <v>273</v>
      </c>
      <c r="F253" s="39">
        <v>1260</v>
      </c>
      <c r="G253" s="35">
        <v>0.41319444444444442</v>
      </c>
      <c r="H253" s="35">
        <v>0.43402777777777779</v>
      </c>
      <c r="I253" s="36">
        <v>30</v>
      </c>
      <c r="J253" s="37" t="s">
        <v>51</v>
      </c>
      <c r="K253" s="67" t="s">
        <v>52</v>
      </c>
      <c r="L253" s="37" t="s">
        <v>53</v>
      </c>
      <c r="M253" s="47" t="s">
        <v>395</v>
      </c>
    </row>
    <row r="254" spans="1:13" x14ac:dyDescent="0.35">
      <c r="A254" s="17">
        <v>45668</v>
      </c>
      <c r="B254" s="39">
        <v>57.45</v>
      </c>
      <c r="C254" s="39">
        <v>5.01</v>
      </c>
      <c r="D254" s="39">
        <v>22501010</v>
      </c>
      <c r="E254" s="39" t="s">
        <v>273</v>
      </c>
      <c r="F254" s="39">
        <v>1260</v>
      </c>
      <c r="G254" s="35">
        <v>0.43402777777777779</v>
      </c>
      <c r="H254" s="35">
        <v>0.44097222222222221</v>
      </c>
      <c r="I254" s="36">
        <v>10</v>
      </c>
      <c r="J254" s="37" t="s">
        <v>51</v>
      </c>
      <c r="K254" t="s">
        <v>21</v>
      </c>
      <c r="L254" s="37" t="s">
        <v>96</v>
      </c>
      <c r="M254" s="47" t="s">
        <v>206</v>
      </c>
    </row>
    <row r="255" spans="1:13" x14ac:dyDescent="0.35">
      <c r="A255" s="17">
        <v>45668</v>
      </c>
      <c r="B255" s="39">
        <v>57.45</v>
      </c>
      <c r="C255" s="39">
        <v>5.01</v>
      </c>
      <c r="D255" s="39">
        <v>22501010</v>
      </c>
      <c r="E255" s="39" t="s">
        <v>273</v>
      </c>
      <c r="F255" s="39">
        <v>1260</v>
      </c>
      <c r="G255" s="35">
        <v>0.44097222222222221</v>
      </c>
      <c r="H255" s="35">
        <v>0.44791666666666669</v>
      </c>
      <c r="I255" s="36">
        <v>10</v>
      </c>
      <c r="J255" s="37" t="s">
        <v>51</v>
      </c>
      <c r="K255" s="67" t="s">
        <v>62</v>
      </c>
      <c r="L255" s="37" t="s">
        <v>130</v>
      </c>
      <c r="M255" s="47" t="s">
        <v>268</v>
      </c>
    </row>
    <row r="256" spans="1:13" x14ac:dyDescent="0.35">
      <c r="A256" s="17">
        <v>45668</v>
      </c>
      <c r="B256" s="39">
        <v>57.45</v>
      </c>
      <c r="C256" s="39">
        <v>5.01</v>
      </c>
      <c r="D256" s="39">
        <v>22501010</v>
      </c>
      <c r="E256" s="39" t="s">
        <v>273</v>
      </c>
      <c r="F256" s="39">
        <v>1260</v>
      </c>
      <c r="G256" s="35">
        <v>0.44791666666666669</v>
      </c>
      <c r="H256" s="35">
        <v>0.47916666666666669</v>
      </c>
      <c r="I256" s="36">
        <v>45</v>
      </c>
      <c r="J256" s="37" t="s">
        <v>51</v>
      </c>
      <c r="K256" t="s">
        <v>21</v>
      </c>
      <c r="L256" s="37" t="s">
        <v>22</v>
      </c>
      <c r="M256" s="47" t="s">
        <v>396</v>
      </c>
    </row>
    <row r="257" spans="1:13" x14ac:dyDescent="0.35">
      <c r="A257" s="17">
        <v>45669</v>
      </c>
      <c r="B257" s="39">
        <v>57.85</v>
      </c>
      <c r="C257" s="39">
        <v>5.0199999999999996</v>
      </c>
      <c r="D257" s="39">
        <v>22501011</v>
      </c>
      <c r="E257" s="39" t="s">
        <v>80</v>
      </c>
      <c r="F257" s="39">
        <v>1250</v>
      </c>
      <c r="G257" s="35">
        <v>0.70833333333333337</v>
      </c>
      <c r="H257" s="35">
        <v>0.72916666666666663</v>
      </c>
      <c r="I257" s="36">
        <v>30</v>
      </c>
      <c r="J257" s="37" t="s">
        <v>51</v>
      </c>
      <c r="K257" s="67" t="s">
        <v>52</v>
      </c>
      <c r="L257" s="37" t="s">
        <v>53</v>
      </c>
      <c r="M257" s="47" t="s">
        <v>54</v>
      </c>
    </row>
    <row r="258" spans="1:13" x14ac:dyDescent="0.35">
      <c r="A258" s="17">
        <v>45669</v>
      </c>
      <c r="B258" s="39">
        <v>57.85</v>
      </c>
      <c r="C258" s="39">
        <v>5.0199999999999996</v>
      </c>
      <c r="D258" s="39">
        <v>22501011</v>
      </c>
      <c r="E258" s="39" t="s">
        <v>80</v>
      </c>
      <c r="F258" s="39">
        <v>1250</v>
      </c>
      <c r="G258" s="35">
        <v>0.72916666666666663</v>
      </c>
      <c r="H258" s="35">
        <v>0.73958333333333337</v>
      </c>
      <c r="I258" s="36">
        <v>15</v>
      </c>
      <c r="J258" s="37" t="s">
        <v>51</v>
      </c>
      <c r="K258" s="67" t="s">
        <v>52</v>
      </c>
      <c r="L258" s="37" t="s">
        <v>59</v>
      </c>
      <c r="M258" s="47" t="s">
        <v>59</v>
      </c>
    </row>
    <row r="259" spans="1:13" x14ac:dyDescent="0.35">
      <c r="A259" s="17">
        <v>45669</v>
      </c>
      <c r="B259" s="39">
        <v>57.85</v>
      </c>
      <c r="C259" s="39">
        <v>5.0199999999999996</v>
      </c>
      <c r="D259" s="39">
        <v>22501011</v>
      </c>
      <c r="E259" s="39" t="s">
        <v>80</v>
      </c>
      <c r="F259" s="39">
        <v>1250</v>
      </c>
      <c r="G259" s="35">
        <v>0.73958333333333337</v>
      </c>
      <c r="H259" s="35">
        <v>0.74652777777777779</v>
      </c>
      <c r="I259" s="36">
        <v>10</v>
      </c>
      <c r="J259" s="37" t="s">
        <v>51</v>
      </c>
      <c r="K259" t="s">
        <v>21</v>
      </c>
      <c r="L259" s="47" t="s">
        <v>206</v>
      </c>
      <c r="M259" s="47" t="s">
        <v>206</v>
      </c>
    </row>
    <row r="260" spans="1:13" x14ac:dyDescent="0.35">
      <c r="A260" s="17">
        <v>45669</v>
      </c>
      <c r="B260" s="39">
        <v>57.85</v>
      </c>
      <c r="C260" s="39">
        <v>5.0199999999999996</v>
      </c>
      <c r="D260" s="39">
        <v>22501011</v>
      </c>
      <c r="E260" s="39" t="s">
        <v>80</v>
      </c>
      <c r="F260" s="39">
        <v>1250</v>
      </c>
      <c r="G260" s="35">
        <v>0.74652777777777779</v>
      </c>
      <c r="H260" s="35">
        <v>0.75347222222222221</v>
      </c>
      <c r="I260" s="36">
        <v>10</v>
      </c>
      <c r="J260" s="37" t="s">
        <v>51</v>
      </c>
      <c r="K260" t="s">
        <v>21</v>
      </c>
      <c r="L260" s="37" t="s">
        <v>22</v>
      </c>
      <c r="M260" s="47" t="s">
        <v>397</v>
      </c>
    </row>
    <row r="261" spans="1:13" x14ac:dyDescent="0.35">
      <c r="A261" s="17">
        <v>45669</v>
      </c>
      <c r="B261" s="39">
        <v>57.85</v>
      </c>
      <c r="C261" s="39">
        <v>5.0199999999999996</v>
      </c>
      <c r="D261" s="39">
        <v>22501011</v>
      </c>
      <c r="E261" s="39" t="s">
        <v>80</v>
      </c>
      <c r="F261" s="39">
        <v>1250</v>
      </c>
      <c r="G261" s="35">
        <v>0.70833333333333337</v>
      </c>
      <c r="H261" s="35">
        <v>0.72916666666666663</v>
      </c>
      <c r="I261" s="36">
        <v>30</v>
      </c>
      <c r="J261" s="37" t="s">
        <v>51</v>
      </c>
      <c r="K261" s="67" t="s">
        <v>52</v>
      </c>
      <c r="L261" s="37" t="s">
        <v>53</v>
      </c>
      <c r="M261" s="47" t="s">
        <v>54</v>
      </c>
    </row>
    <row r="262" spans="1:13" x14ac:dyDescent="0.35">
      <c r="A262" s="17">
        <v>45669</v>
      </c>
      <c r="B262" s="39">
        <v>57.85</v>
      </c>
      <c r="C262" s="39">
        <v>5.0199999999999996</v>
      </c>
      <c r="D262" s="39">
        <v>22501011</v>
      </c>
      <c r="E262" s="39" t="s">
        <v>80</v>
      </c>
      <c r="F262" s="39">
        <v>1250</v>
      </c>
      <c r="G262" s="35">
        <v>0.72916666666666663</v>
      </c>
      <c r="H262" s="35">
        <v>0.73958333333333337</v>
      </c>
      <c r="I262" s="36">
        <v>15</v>
      </c>
      <c r="J262" s="37" t="s">
        <v>51</v>
      </c>
      <c r="K262" s="67" t="s">
        <v>52</v>
      </c>
      <c r="L262" s="37" t="s">
        <v>59</v>
      </c>
      <c r="M262" s="47" t="s">
        <v>59</v>
      </c>
    </row>
    <row r="263" spans="1:13" x14ac:dyDescent="0.35">
      <c r="A263" s="17">
        <v>45669</v>
      </c>
      <c r="B263" s="39">
        <v>57.85</v>
      </c>
      <c r="C263" s="39">
        <v>5.0199999999999996</v>
      </c>
      <c r="D263" s="39">
        <v>22501011</v>
      </c>
      <c r="E263" s="39" t="s">
        <v>80</v>
      </c>
      <c r="F263" s="39">
        <v>1250</v>
      </c>
      <c r="G263" s="35">
        <v>0.73958333333333337</v>
      </c>
      <c r="H263" s="35">
        <v>0.74652777777777779</v>
      </c>
      <c r="I263" s="36">
        <v>10</v>
      </c>
      <c r="J263" s="37" t="s">
        <v>51</v>
      </c>
      <c r="K263" t="s">
        <v>21</v>
      </c>
      <c r="L263" s="47" t="s">
        <v>206</v>
      </c>
      <c r="M263" s="47" t="s">
        <v>206</v>
      </c>
    </row>
    <row r="264" spans="1:13" x14ac:dyDescent="0.35">
      <c r="A264" s="17">
        <v>45669</v>
      </c>
      <c r="B264" s="39">
        <v>57.85</v>
      </c>
      <c r="C264" s="39">
        <v>5.0199999999999996</v>
      </c>
      <c r="D264" s="39">
        <v>22501011</v>
      </c>
      <c r="E264" s="39" t="s">
        <v>80</v>
      </c>
      <c r="F264" s="39">
        <v>1250</v>
      </c>
      <c r="G264" s="35">
        <v>0.74652777777777779</v>
      </c>
      <c r="H264" s="35">
        <v>0.75347222222222221</v>
      </c>
      <c r="I264" s="36">
        <v>10</v>
      </c>
      <c r="J264" s="37" t="s">
        <v>51</v>
      </c>
      <c r="K264" t="s">
        <v>21</v>
      </c>
      <c r="L264" s="37" t="s">
        <v>22</v>
      </c>
      <c r="M264" s="47" t="s">
        <v>397</v>
      </c>
    </row>
    <row r="265" spans="1:13" x14ac:dyDescent="0.35">
      <c r="A265" s="17">
        <v>45671</v>
      </c>
      <c r="B265" s="45">
        <v>56.9</v>
      </c>
      <c r="C265" s="45">
        <v>5.24</v>
      </c>
      <c r="D265" s="39">
        <v>22501012</v>
      </c>
      <c r="E265" s="39" t="s">
        <v>80</v>
      </c>
      <c r="F265" s="39">
        <v>1230</v>
      </c>
      <c r="G265" s="35">
        <v>0.97569444444444442</v>
      </c>
      <c r="H265" s="35">
        <v>0.99652777777777779</v>
      </c>
      <c r="I265" s="36">
        <v>30</v>
      </c>
      <c r="J265" s="80" t="s">
        <v>51</v>
      </c>
      <c r="K265" s="86" t="s">
        <v>52</v>
      </c>
      <c r="L265" s="80" t="s">
        <v>53</v>
      </c>
      <c r="M265" s="47" t="s">
        <v>54</v>
      </c>
    </row>
    <row r="266" spans="1:13" x14ac:dyDescent="0.35">
      <c r="A266" s="17">
        <v>45671</v>
      </c>
      <c r="B266" s="39">
        <v>57.94</v>
      </c>
      <c r="C266" s="39">
        <v>4.8499999999999996</v>
      </c>
      <c r="D266" s="39">
        <v>22501012</v>
      </c>
      <c r="E266" s="39" t="s">
        <v>80</v>
      </c>
      <c r="F266" s="39">
        <v>1230</v>
      </c>
      <c r="G266" s="35">
        <v>0.99652777777777779</v>
      </c>
      <c r="H266" s="35">
        <v>3.472222222222222E-3</v>
      </c>
      <c r="I266" s="36">
        <v>10</v>
      </c>
      <c r="J266" s="80" t="s">
        <v>51</v>
      </c>
      <c r="K266" t="s">
        <v>21</v>
      </c>
      <c r="L266" s="80" t="s">
        <v>96</v>
      </c>
      <c r="M266" s="47" t="s">
        <v>206</v>
      </c>
    </row>
    <row r="267" spans="1:13" x14ac:dyDescent="0.35">
      <c r="A267" s="17">
        <v>45671</v>
      </c>
      <c r="B267" s="39">
        <v>57.94</v>
      </c>
      <c r="C267" s="39">
        <v>4.8499999999999996</v>
      </c>
      <c r="D267" s="39">
        <v>22501012</v>
      </c>
      <c r="E267" s="39" t="s">
        <v>80</v>
      </c>
      <c r="F267" s="39">
        <v>1230</v>
      </c>
      <c r="G267" s="35">
        <v>3.472222222222222E-3</v>
      </c>
      <c r="H267" s="35">
        <v>2.0833333333333332E-2</v>
      </c>
      <c r="I267" s="36">
        <v>25</v>
      </c>
      <c r="J267" s="80" t="s">
        <v>51</v>
      </c>
      <c r="K267" t="s">
        <v>21</v>
      </c>
      <c r="L267" s="80" t="s">
        <v>22</v>
      </c>
      <c r="M267" s="47" t="s">
        <v>400</v>
      </c>
    </row>
    <row r="268" spans="1:13" x14ac:dyDescent="0.35">
      <c r="A268" s="17">
        <v>45671</v>
      </c>
      <c r="B268" s="39">
        <v>57.94</v>
      </c>
      <c r="C268" s="39">
        <v>4.8499999999999996</v>
      </c>
      <c r="D268" s="46">
        <v>22501013</v>
      </c>
      <c r="E268" s="45" t="s">
        <v>273</v>
      </c>
      <c r="F268" s="45">
        <v>1230</v>
      </c>
      <c r="G268" s="35">
        <v>0.82986111111111116</v>
      </c>
      <c r="H268" s="35">
        <v>0.91666666666666663</v>
      </c>
      <c r="I268" s="36">
        <v>125</v>
      </c>
      <c r="J268" s="80" t="s">
        <v>35</v>
      </c>
      <c r="K268" s="86" t="s">
        <v>41</v>
      </c>
      <c r="L268" s="80" t="s">
        <v>401</v>
      </c>
      <c r="M268" s="49" t="s">
        <v>402</v>
      </c>
    </row>
    <row r="269" spans="1:13" x14ac:dyDescent="0.35">
      <c r="A269" s="17">
        <v>45672</v>
      </c>
      <c r="B269" s="39">
        <v>57.09</v>
      </c>
      <c r="C269" s="39">
        <v>5.33</v>
      </c>
      <c r="D269" s="46">
        <v>22501013</v>
      </c>
      <c r="E269" s="45" t="s">
        <v>273</v>
      </c>
      <c r="F269" s="45">
        <v>1230</v>
      </c>
      <c r="G269" s="81">
        <v>0.91666666666666663</v>
      </c>
      <c r="H269" s="81">
        <v>0.97916666666666663</v>
      </c>
      <c r="I269" s="84">
        <v>90</v>
      </c>
      <c r="J269" s="80" t="s">
        <v>35</v>
      </c>
      <c r="K269" s="86" t="s">
        <v>41</v>
      </c>
      <c r="L269" s="80" t="s">
        <v>401</v>
      </c>
      <c r="M269" s="49" t="s">
        <v>402</v>
      </c>
    </row>
    <row r="270" spans="1:13" x14ac:dyDescent="0.35">
      <c r="A270" s="17">
        <v>45672</v>
      </c>
      <c r="B270" s="39">
        <v>57.09</v>
      </c>
      <c r="C270" s="39">
        <v>5.33</v>
      </c>
      <c r="D270" s="45">
        <v>22501014</v>
      </c>
      <c r="E270" s="45" t="s">
        <v>341</v>
      </c>
      <c r="F270" s="45">
        <v>1230</v>
      </c>
      <c r="G270" s="35">
        <v>0.41180555555555554</v>
      </c>
      <c r="H270" s="35">
        <v>0.50694444444444442</v>
      </c>
      <c r="I270" s="36">
        <v>137</v>
      </c>
      <c r="J270" s="80" t="s">
        <v>25</v>
      </c>
      <c r="K270" t="s">
        <v>21</v>
      </c>
      <c r="L270" s="80" t="s">
        <v>83</v>
      </c>
      <c r="M270" s="60" t="s">
        <v>403</v>
      </c>
    </row>
    <row r="271" spans="1:13" x14ac:dyDescent="0.35">
      <c r="A271" s="17">
        <v>45673</v>
      </c>
      <c r="B271" s="39">
        <v>57</v>
      </c>
      <c r="C271" s="39">
        <v>5.17</v>
      </c>
      <c r="D271" s="39">
        <v>22501015</v>
      </c>
      <c r="E271" s="39" t="s">
        <v>57</v>
      </c>
      <c r="F271" s="39">
        <v>1250</v>
      </c>
      <c r="G271" s="35">
        <v>0.74305555555555558</v>
      </c>
      <c r="H271" s="35">
        <v>0.76388888888888884</v>
      </c>
      <c r="I271" s="36">
        <v>30</v>
      </c>
      <c r="J271" s="80" t="s">
        <v>51</v>
      </c>
      <c r="K271" s="86" t="s">
        <v>52</v>
      </c>
      <c r="L271" s="80" t="s">
        <v>53</v>
      </c>
      <c r="M271" s="47" t="s">
        <v>54</v>
      </c>
    </row>
    <row r="272" spans="1:13" x14ac:dyDescent="0.35">
      <c r="A272" s="17">
        <v>45673</v>
      </c>
      <c r="B272" s="39">
        <v>57</v>
      </c>
      <c r="C272" s="39">
        <v>5.17</v>
      </c>
      <c r="D272" s="39">
        <v>22501015</v>
      </c>
      <c r="E272" s="39" t="s">
        <v>57</v>
      </c>
      <c r="F272" s="39">
        <v>1250</v>
      </c>
      <c r="G272" s="35">
        <v>0.76388888888888884</v>
      </c>
      <c r="H272" s="35">
        <v>0.78125</v>
      </c>
      <c r="I272" s="36">
        <v>25</v>
      </c>
      <c r="J272" s="80" t="s">
        <v>51</v>
      </c>
      <c r="K272" s="86" t="s">
        <v>41</v>
      </c>
      <c r="L272" s="47" t="s">
        <v>404</v>
      </c>
      <c r="M272" s="47" t="s">
        <v>404</v>
      </c>
    </row>
    <row r="273" spans="1:13" x14ac:dyDescent="0.35">
      <c r="A273" s="17">
        <v>45673</v>
      </c>
      <c r="B273" s="39">
        <v>57</v>
      </c>
      <c r="C273" s="39">
        <v>5.17</v>
      </c>
      <c r="D273" s="39">
        <v>22501015</v>
      </c>
      <c r="E273" s="39" t="s">
        <v>57</v>
      </c>
      <c r="F273" s="39">
        <v>1250</v>
      </c>
      <c r="G273" s="35">
        <v>0.78125</v>
      </c>
      <c r="H273" s="35">
        <v>0.78819444444444442</v>
      </c>
      <c r="I273" s="36">
        <v>10</v>
      </c>
      <c r="J273" s="80" t="s">
        <v>51</v>
      </c>
      <c r="K273" s="86" t="s">
        <v>62</v>
      </c>
      <c r="L273" s="80" t="s">
        <v>405</v>
      </c>
      <c r="M273" s="47" t="s">
        <v>406</v>
      </c>
    </row>
    <row r="274" spans="1:13" x14ac:dyDescent="0.35">
      <c r="A274" s="17">
        <v>45674</v>
      </c>
      <c r="B274" s="45">
        <v>57</v>
      </c>
      <c r="C274" s="45">
        <v>4.8</v>
      </c>
      <c r="D274" s="45">
        <v>22501016</v>
      </c>
      <c r="E274" s="45" t="s">
        <v>285</v>
      </c>
      <c r="F274" s="45">
        <v>1250</v>
      </c>
      <c r="G274" s="35">
        <v>0.95833333333333337</v>
      </c>
      <c r="H274" s="35">
        <v>3.3333333333333333E-2</v>
      </c>
      <c r="I274" s="36">
        <v>108</v>
      </c>
      <c r="J274" s="37" t="s">
        <v>35</v>
      </c>
      <c r="K274" s="67" t="s">
        <v>41</v>
      </c>
      <c r="L274" s="37" t="s">
        <v>407</v>
      </c>
      <c r="M274" s="62" t="s">
        <v>408</v>
      </c>
    </row>
    <row r="275" spans="1:13" x14ac:dyDescent="0.35">
      <c r="A275" s="17">
        <v>45675</v>
      </c>
      <c r="B275" s="39">
        <v>56.76</v>
      </c>
      <c r="C275" s="39">
        <v>4.8600000000000003</v>
      </c>
      <c r="D275" s="39">
        <v>22501017</v>
      </c>
      <c r="E275" s="39" t="s">
        <v>93</v>
      </c>
      <c r="F275" s="39">
        <v>1250</v>
      </c>
      <c r="G275" s="35">
        <v>0.2673611111111111</v>
      </c>
      <c r="H275" s="35">
        <v>0.28819444444444442</v>
      </c>
      <c r="I275" s="36">
        <v>30</v>
      </c>
      <c r="J275" s="37" t="s">
        <v>51</v>
      </c>
      <c r="K275" s="67" t="s">
        <v>52</v>
      </c>
      <c r="L275" s="37" t="s">
        <v>53</v>
      </c>
      <c r="M275" s="47" t="s">
        <v>54</v>
      </c>
    </row>
    <row r="276" spans="1:13" x14ac:dyDescent="0.35">
      <c r="A276" s="17">
        <v>45675</v>
      </c>
      <c r="B276" s="39">
        <v>56.76</v>
      </c>
      <c r="C276" s="39">
        <v>4.8600000000000003</v>
      </c>
      <c r="D276" s="39">
        <v>22501017</v>
      </c>
      <c r="E276" s="39" t="s">
        <v>93</v>
      </c>
      <c r="F276" s="39">
        <v>1250</v>
      </c>
      <c r="G276" s="35">
        <v>0.28819444444444442</v>
      </c>
      <c r="H276" s="35">
        <v>0.29375000000000001</v>
      </c>
      <c r="I276" s="36">
        <v>8</v>
      </c>
      <c r="J276" s="37" t="s">
        <v>51</v>
      </c>
      <c r="K276" s="67" t="s">
        <v>52</v>
      </c>
      <c r="L276" s="37" t="s">
        <v>59</v>
      </c>
      <c r="M276" s="47" t="s">
        <v>59</v>
      </c>
    </row>
    <row r="277" spans="1:13" x14ac:dyDescent="0.35">
      <c r="A277" s="17">
        <v>45675</v>
      </c>
      <c r="B277" s="39">
        <v>56.76</v>
      </c>
      <c r="C277" s="39">
        <v>4.8600000000000003</v>
      </c>
      <c r="D277" s="39">
        <v>22501017</v>
      </c>
      <c r="E277" s="39" t="s">
        <v>93</v>
      </c>
      <c r="F277" s="39">
        <v>1250</v>
      </c>
      <c r="G277" s="35">
        <v>0.29375000000000001</v>
      </c>
      <c r="H277" s="35">
        <v>0.30208333333333331</v>
      </c>
      <c r="I277" s="36">
        <v>12</v>
      </c>
      <c r="J277" s="37" t="s">
        <v>51</v>
      </c>
      <c r="K277" s="67" t="s">
        <v>62</v>
      </c>
      <c r="L277" s="37" t="s">
        <v>130</v>
      </c>
      <c r="M277" s="47" t="s">
        <v>268</v>
      </c>
    </row>
    <row r="278" spans="1:13" x14ac:dyDescent="0.35">
      <c r="A278" s="17">
        <v>45675</v>
      </c>
      <c r="B278" s="39">
        <v>56.76</v>
      </c>
      <c r="C278" s="39">
        <v>4.8600000000000003</v>
      </c>
      <c r="D278" s="39">
        <v>22501017</v>
      </c>
      <c r="E278" s="39" t="s">
        <v>93</v>
      </c>
      <c r="F278" s="39">
        <v>1250</v>
      </c>
      <c r="G278" s="35">
        <v>0.30208333333333331</v>
      </c>
      <c r="H278" s="35">
        <v>0.3125</v>
      </c>
      <c r="I278" s="36">
        <v>15</v>
      </c>
      <c r="J278" s="37" t="s">
        <v>51</v>
      </c>
      <c r="K278" s="67" t="s">
        <v>26</v>
      </c>
      <c r="L278" s="37" t="s">
        <v>150</v>
      </c>
      <c r="M278" s="47" t="s">
        <v>409</v>
      </c>
    </row>
    <row r="279" spans="1:13" x14ac:dyDescent="0.35">
      <c r="A279" s="17">
        <v>45676</v>
      </c>
      <c r="B279" s="39">
        <v>56.93</v>
      </c>
      <c r="C279" s="39">
        <v>5.27</v>
      </c>
      <c r="D279" s="39">
        <v>22501018</v>
      </c>
      <c r="E279" s="39" t="s">
        <v>116</v>
      </c>
      <c r="F279" s="39">
        <v>1250</v>
      </c>
      <c r="G279" s="35">
        <v>0.51041666666666663</v>
      </c>
      <c r="H279" s="35">
        <v>0.53125</v>
      </c>
      <c r="I279" s="36">
        <v>30</v>
      </c>
      <c r="J279" s="37" t="s">
        <v>51</v>
      </c>
      <c r="K279" s="67" t="s">
        <v>52</v>
      </c>
      <c r="L279" s="37" t="s">
        <v>53</v>
      </c>
      <c r="M279" s="47" t="s">
        <v>54</v>
      </c>
    </row>
    <row r="280" spans="1:13" x14ac:dyDescent="0.35">
      <c r="A280" s="17">
        <v>45676</v>
      </c>
      <c r="B280" s="39">
        <v>56.93</v>
      </c>
      <c r="C280" s="39">
        <v>5.27</v>
      </c>
      <c r="D280" s="39">
        <v>22501018</v>
      </c>
      <c r="E280" s="39" t="s">
        <v>116</v>
      </c>
      <c r="F280" s="39">
        <v>1250</v>
      </c>
      <c r="G280" s="35">
        <v>0.53125</v>
      </c>
      <c r="H280" s="35">
        <v>0.53472222222222221</v>
      </c>
      <c r="I280" s="36">
        <v>5</v>
      </c>
      <c r="J280" s="37" t="s">
        <v>51</v>
      </c>
      <c r="K280" s="67" t="s">
        <v>19</v>
      </c>
      <c r="L280" s="47" t="s">
        <v>410</v>
      </c>
      <c r="M280" s="47" t="s">
        <v>410</v>
      </c>
    </row>
    <row r="281" spans="1:13" x14ac:dyDescent="0.35">
      <c r="A281" s="17">
        <v>45676</v>
      </c>
      <c r="B281" s="39">
        <v>56.93</v>
      </c>
      <c r="C281" s="39">
        <v>5.27</v>
      </c>
      <c r="D281" s="39">
        <v>22501018</v>
      </c>
      <c r="E281" s="39" t="s">
        <v>116</v>
      </c>
      <c r="F281" s="39">
        <v>1250</v>
      </c>
      <c r="G281" s="35">
        <v>0.53472222222222221</v>
      </c>
      <c r="H281" s="35">
        <v>0.53819444444444442</v>
      </c>
      <c r="I281" s="36">
        <v>5</v>
      </c>
      <c r="J281" s="37" t="s">
        <v>51</v>
      </c>
      <c r="K281" s="67" t="s">
        <v>41</v>
      </c>
      <c r="L281" s="47" t="s">
        <v>410</v>
      </c>
      <c r="M281" s="47" t="s">
        <v>410</v>
      </c>
    </row>
    <row r="282" spans="1:13" x14ac:dyDescent="0.35">
      <c r="A282" s="17">
        <v>45676</v>
      </c>
      <c r="B282" s="39">
        <v>56.93</v>
      </c>
      <c r="C282" s="39">
        <v>5.27</v>
      </c>
      <c r="D282" s="39">
        <v>22501018</v>
      </c>
      <c r="E282" s="39" t="s">
        <v>116</v>
      </c>
      <c r="F282" s="39">
        <v>1250</v>
      </c>
      <c r="G282" s="35">
        <v>0.53819444444444442</v>
      </c>
      <c r="H282" s="35">
        <v>0.54513888888888884</v>
      </c>
      <c r="I282" s="36">
        <v>10</v>
      </c>
      <c r="J282" s="37" t="s">
        <v>51</v>
      </c>
      <c r="K282" s="67" t="s">
        <v>62</v>
      </c>
      <c r="L282" s="37" t="s">
        <v>130</v>
      </c>
      <c r="M282" s="47" t="s">
        <v>147</v>
      </c>
    </row>
    <row r="283" spans="1:13" x14ac:dyDescent="0.35">
      <c r="A283" s="17">
        <v>45677</v>
      </c>
      <c r="B283" s="39">
        <v>57.14</v>
      </c>
      <c r="C283" s="39">
        <v>4.92</v>
      </c>
      <c r="D283" s="39">
        <v>22501019</v>
      </c>
      <c r="E283" s="39" t="s">
        <v>101</v>
      </c>
      <c r="F283" s="39">
        <v>1260</v>
      </c>
      <c r="G283" s="35">
        <v>0.68402777777777779</v>
      </c>
      <c r="H283" s="35">
        <v>0.70486111111111116</v>
      </c>
      <c r="I283" s="36">
        <v>30</v>
      </c>
      <c r="J283" s="37" t="s">
        <v>51</v>
      </c>
      <c r="K283" s="67" t="s">
        <v>52</v>
      </c>
      <c r="L283" s="37" t="s">
        <v>53</v>
      </c>
      <c r="M283" s="47" t="s">
        <v>54</v>
      </c>
    </row>
    <row r="284" spans="1:13" x14ac:dyDescent="0.35">
      <c r="A284" s="17">
        <v>45677</v>
      </c>
      <c r="B284" s="39">
        <v>57.14</v>
      </c>
      <c r="C284" s="39">
        <v>4.92</v>
      </c>
      <c r="D284" s="39">
        <v>22501019</v>
      </c>
      <c r="E284" s="39" t="s">
        <v>101</v>
      </c>
      <c r="F284" s="39">
        <v>1260</v>
      </c>
      <c r="G284" s="35">
        <v>0.70486111111111116</v>
      </c>
      <c r="H284" s="35">
        <v>0.74652777777777779</v>
      </c>
      <c r="I284" s="36">
        <v>60</v>
      </c>
      <c r="J284" s="37" t="s">
        <v>51</v>
      </c>
      <c r="K284" s="67" t="s">
        <v>52</v>
      </c>
      <c r="L284" s="37" t="s">
        <v>277</v>
      </c>
      <c r="M284" s="47" t="s">
        <v>411</v>
      </c>
    </row>
    <row r="285" spans="1:13" x14ac:dyDescent="0.35">
      <c r="A285" s="17">
        <v>45677</v>
      </c>
      <c r="B285" s="39">
        <v>57.14</v>
      </c>
      <c r="C285" s="39">
        <v>4.92</v>
      </c>
      <c r="D285" s="39">
        <v>22501019</v>
      </c>
      <c r="E285" s="39" t="s">
        <v>101</v>
      </c>
      <c r="F285" s="39">
        <v>1260</v>
      </c>
      <c r="G285" s="35">
        <v>0.74652777777777779</v>
      </c>
      <c r="H285" s="35">
        <v>0.78680555555555554</v>
      </c>
      <c r="I285" s="36">
        <v>58</v>
      </c>
      <c r="J285" s="37" t="s">
        <v>51</v>
      </c>
      <c r="K285" s="67" t="s">
        <v>41</v>
      </c>
      <c r="L285" s="37" t="s">
        <v>277</v>
      </c>
      <c r="M285" s="47" t="s">
        <v>412</v>
      </c>
    </row>
    <row r="286" spans="1:13" x14ac:dyDescent="0.35">
      <c r="A286" s="17">
        <v>45677</v>
      </c>
      <c r="B286" s="39">
        <v>57.14</v>
      </c>
      <c r="C286" s="39">
        <v>4.92</v>
      </c>
      <c r="D286" s="39">
        <v>22501019</v>
      </c>
      <c r="E286" s="39" t="s">
        <v>101</v>
      </c>
      <c r="F286" s="39">
        <v>1260</v>
      </c>
      <c r="G286" s="35">
        <v>0.78680555555555554</v>
      </c>
      <c r="H286" s="35">
        <v>0.79166666666666663</v>
      </c>
      <c r="I286" s="36">
        <v>7</v>
      </c>
      <c r="J286" s="37" t="s">
        <v>51</v>
      </c>
      <c r="K286" t="s">
        <v>21</v>
      </c>
      <c r="L286" s="37" t="s">
        <v>277</v>
      </c>
      <c r="M286" s="47" t="s">
        <v>413</v>
      </c>
    </row>
    <row r="287" spans="1:13" x14ac:dyDescent="0.35">
      <c r="A287" s="17">
        <v>45678</v>
      </c>
      <c r="B287" s="39">
        <v>57</v>
      </c>
      <c r="C287" s="39">
        <v>4.6900000000000004</v>
      </c>
      <c r="D287" s="39">
        <v>22501020</v>
      </c>
      <c r="E287" s="39" t="s">
        <v>156</v>
      </c>
      <c r="F287" s="39" t="s">
        <v>414</v>
      </c>
      <c r="G287" s="35">
        <v>0.82777777777777772</v>
      </c>
      <c r="H287" s="35">
        <v>0.84861111111111109</v>
      </c>
      <c r="I287" s="36">
        <v>30</v>
      </c>
      <c r="J287" s="37" t="s">
        <v>14</v>
      </c>
      <c r="K287" t="s">
        <v>21</v>
      </c>
      <c r="L287" s="37" t="s">
        <v>287</v>
      </c>
      <c r="M287" s="100" t="s">
        <v>415</v>
      </c>
    </row>
    <row r="288" spans="1:13" x14ac:dyDescent="0.35">
      <c r="A288" s="17">
        <v>45678</v>
      </c>
      <c r="B288" s="39">
        <v>57</v>
      </c>
      <c r="C288" s="39">
        <v>4.6900000000000004</v>
      </c>
      <c r="D288" s="39">
        <v>22501020</v>
      </c>
      <c r="E288" s="39" t="s">
        <v>156</v>
      </c>
      <c r="F288" s="39" t="s">
        <v>414</v>
      </c>
      <c r="G288" s="35">
        <v>0.84861111111111109</v>
      </c>
      <c r="H288" s="35">
        <v>0.85416666666666663</v>
      </c>
      <c r="I288" s="36">
        <v>8</v>
      </c>
      <c r="J288" s="37" t="s">
        <v>14</v>
      </c>
      <c r="K288" s="67" t="s">
        <v>52</v>
      </c>
      <c r="L288" s="37" t="s">
        <v>59</v>
      </c>
      <c r="M288" s="100" t="s">
        <v>59</v>
      </c>
    </row>
    <row r="289" spans="1:13" x14ac:dyDescent="0.35">
      <c r="A289" s="17">
        <v>45678</v>
      </c>
      <c r="B289" s="39">
        <v>57</v>
      </c>
      <c r="C289" s="39">
        <v>4.6900000000000004</v>
      </c>
      <c r="D289" s="39">
        <v>22501020</v>
      </c>
      <c r="E289" s="39" t="s">
        <v>156</v>
      </c>
      <c r="F289" s="39" t="s">
        <v>414</v>
      </c>
      <c r="G289" s="35">
        <v>0.85416666666666663</v>
      </c>
      <c r="H289" s="35">
        <v>0.86250000000000004</v>
      </c>
      <c r="I289" s="36">
        <v>12</v>
      </c>
      <c r="J289" s="37" t="s">
        <v>14</v>
      </c>
      <c r="K289" s="67" t="s">
        <v>62</v>
      </c>
      <c r="L289" s="37" t="s">
        <v>130</v>
      </c>
      <c r="M289" s="100" t="s">
        <v>250</v>
      </c>
    </row>
    <row r="290" spans="1:13" x14ac:dyDescent="0.35">
      <c r="A290" s="17">
        <v>45678</v>
      </c>
      <c r="B290" s="39">
        <v>57</v>
      </c>
      <c r="C290" s="39">
        <v>4.6900000000000004</v>
      </c>
      <c r="D290" s="39">
        <v>22501020</v>
      </c>
      <c r="E290" s="39" t="s">
        <v>156</v>
      </c>
      <c r="F290" s="39" t="s">
        <v>414</v>
      </c>
      <c r="G290" s="35">
        <v>0.86250000000000004</v>
      </c>
      <c r="H290" s="35">
        <v>0.91666666666666663</v>
      </c>
      <c r="I290" s="36">
        <v>78</v>
      </c>
      <c r="J290" s="37" t="s">
        <v>14</v>
      </c>
      <c r="K290" t="s">
        <v>21</v>
      </c>
      <c r="L290" s="37" t="s">
        <v>22</v>
      </c>
      <c r="M290" s="100" t="s">
        <v>347</v>
      </c>
    </row>
    <row r="291" spans="1:13" x14ac:dyDescent="0.35">
      <c r="A291" s="17">
        <v>45679</v>
      </c>
      <c r="B291" s="45">
        <v>56.95</v>
      </c>
      <c r="C291" s="45">
        <v>5.35</v>
      </c>
      <c r="D291" s="39">
        <v>22501020</v>
      </c>
      <c r="E291" s="39" t="s">
        <v>156</v>
      </c>
      <c r="F291" s="39" t="s">
        <v>414</v>
      </c>
      <c r="G291" s="35">
        <v>0.91666666666666663</v>
      </c>
      <c r="H291" s="35">
        <v>0.92986111111111114</v>
      </c>
      <c r="I291" s="36">
        <v>19</v>
      </c>
      <c r="J291" s="37" t="s">
        <v>14</v>
      </c>
      <c r="K291" t="s">
        <v>21</v>
      </c>
      <c r="L291" s="37" t="s">
        <v>22</v>
      </c>
      <c r="M291" s="48" t="s">
        <v>347</v>
      </c>
    </row>
    <row r="292" spans="1:13" x14ac:dyDescent="0.35">
      <c r="A292" s="17">
        <v>45680</v>
      </c>
      <c r="B292" s="39">
        <v>56.78</v>
      </c>
      <c r="C292" s="39">
        <v>5.19</v>
      </c>
      <c r="D292" s="39">
        <v>22501021</v>
      </c>
      <c r="E292" s="39" t="s">
        <v>80</v>
      </c>
      <c r="F292" s="39">
        <v>1230</v>
      </c>
      <c r="G292" s="35">
        <v>0.15625</v>
      </c>
      <c r="H292" s="35">
        <v>0.17708333333333334</v>
      </c>
      <c r="I292" s="36">
        <v>30</v>
      </c>
      <c r="J292" s="37" t="s">
        <v>51</v>
      </c>
      <c r="K292" s="67" t="s">
        <v>52</v>
      </c>
      <c r="L292" s="37" t="s">
        <v>53</v>
      </c>
      <c r="M292" s="48" t="s">
        <v>54</v>
      </c>
    </row>
    <row r="293" spans="1:13" x14ac:dyDescent="0.35">
      <c r="A293" s="17">
        <v>45680</v>
      </c>
      <c r="B293" s="39">
        <v>56.78</v>
      </c>
      <c r="C293" s="39">
        <v>5.19</v>
      </c>
      <c r="D293" s="39">
        <v>22501021</v>
      </c>
      <c r="E293" s="39" t="s">
        <v>80</v>
      </c>
      <c r="F293" s="39">
        <v>1230</v>
      </c>
      <c r="G293" s="35">
        <v>0.17708333333333334</v>
      </c>
      <c r="H293" s="35">
        <v>0.22847222222222222</v>
      </c>
      <c r="I293" s="36">
        <v>74</v>
      </c>
      <c r="J293" s="37" t="s">
        <v>51</v>
      </c>
      <c r="K293" t="s">
        <v>21</v>
      </c>
      <c r="L293" s="37" t="s">
        <v>22</v>
      </c>
      <c r="M293" s="48" t="s">
        <v>347</v>
      </c>
    </row>
    <row r="294" spans="1:13" x14ac:dyDescent="0.35">
      <c r="A294" s="17">
        <v>45681</v>
      </c>
      <c r="B294" s="39">
        <v>57.03</v>
      </c>
      <c r="C294" s="39">
        <v>5.1100000000000003</v>
      </c>
      <c r="D294" s="39">
        <v>22501022</v>
      </c>
      <c r="E294" s="39" t="s">
        <v>80</v>
      </c>
      <c r="F294" s="39">
        <v>1250</v>
      </c>
      <c r="G294" s="35">
        <v>0.46527777777777779</v>
      </c>
      <c r="H294" s="35">
        <v>0.4861111111111111</v>
      </c>
      <c r="I294" s="36">
        <v>30</v>
      </c>
      <c r="J294" s="37" t="s">
        <v>51</v>
      </c>
      <c r="K294" s="67" t="s">
        <v>52</v>
      </c>
      <c r="L294" s="37" t="s">
        <v>53</v>
      </c>
      <c r="M294" s="48" t="s">
        <v>54</v>
      </c>
    </row>
    <row r="295" spans="1:13" x14ac:dyDescent="0.35">
      <c r="A295" s="17">
        <v>45681</v>
      </c>
      <c r="B295" s="39">
        <v>57.03</v>
      </c>
      <c r="C295" s="39">
        <v>5.1100000000000003</v>
      </c>
      <c r="D295" s="39">
        <v>22501022</v>
      </c>
      <c r="E295" s="39" t="s">
        <v>80</v>
      </c>
      <c r="F295" s="39">
        <v>1250</v>
      </c>
      <c r="G295" s="35">
        <v>0.4861111111111111</v>
      </c>
      <c r="H295" s="35">
        <v>0.49652777777777779</v>
      </c>
      <c r="I295" s="36">
        <v>15</v>
      </c>
      <c r="J295" s="37" t="s">
        <v>51</v>
      </c>
      <c r="K295" s="67" t="s">
        <v>52</v>
      </c>
      <c r="L295" s="37" t="s">
        <v>59</v>
      </c>
      <c r="M295" s="48" t="s">
        <v>59</v>
      </c>
    </row>
    <row r="296" spans="1:13" x14ac:dyDescent="0.35">
      <c r="A296" s="17">
        <v>45681</v>
      </c>
      <c r="B296" s="39">
        <v>57.03</v>
      </c>
      <c r="C296" s="39">
        <v>5.1100000000000003</v>
      </c>
      <c r="D296" s="39">
        <v>22501022</v>
      </c>
      <c r="E296" s="39" t="s">
        <v>80</v>
      </c>
      <c r="F296" s="39">
        <v>1250</v>
      </c>
      <c r="G296" s="35">
        <v>0.49652777777777779</v>
      </c>
      <c r="H296" s="35">
        <v>0.50347222222222221</v>
      </c>
      <c r="I296" s="36">
        <v>10</v>
      </c>
      <c r="J296" s="37" t="s">
        <v>51</v>
      </c>
      <c r="K296" t="s">
        <v>21</v>
      </c>
      <c r="L296" s="37" t="s">
        <v>74</v>
      </c>
      <c r="M296" s="48" t="s">
        <v>367</v>
      </c>
    </row>
    <row r="297" spans="1:13" x14ac:dyDescent="0.35">
      <c r="A297" s="17">
        <v>45682</v>
      </c>
      <c r="B297" s="45">
        <v>57</v>
      </c>
      <c r="C297" s="45">
        <v>5.23</v>
      </c>
      <c r="D297" s="46">
        <v>22501023</v>
      </c>
      <c r="E297" s="45" t="s">
        <v>80</v>
      </c>
      <c r="F297" s="45">
        <v>1230</v>
      </c>
      <c r="G297" s="35">
        <v>0.72569444444444442</v>
      </c>
      <c r="H297" s="35">
        <v>0.74652777777777779</v>
      </c>
      <c r="I297" s="36">
        <v>30</v>
      </c>
      <c r="J297" s="37" t="s">
        <v>51</v>
      </c>
      <c r="K297" s="67" t="s">
        <v>52</v>
      </c>
      <c r="L297" s="37" t="s">
        <v>53</v>
      </c>
      <c r="M297" s="48" t="s">
        <v>54</v>
      </c>
    </row>
    <row r="298" spans="1:13" x14ac:dyDescent="0.35">
      <c r="A298" s="17">
        <v>45683</v>
      </c>
      <c r="B298" s="39">
        <v>56.9</v>
      </c>
      <c r="C298" s="39">
        <v>5.44</v>
      </c>
      <c r="D298" s="39">
        <v>22501024</v>
      </c>
      <c r="E298" s="39" t="s">
        <v>159</v>
      </c>
      <c r="F298" s="39">
        <v>1250</v>
      </c>
      <c r="G298" s="35">
        <v>0.86805555555555558</v>
      </c>
      <c r="H298" s="35">
        <v>0.88888888888888884</v>
      </c>
      <c r="I298" s="36">
        <v>30</v>
      </c>
      <c r="J298" s="37" t="s">
        <v>14</v>
      </c>
      <c r="K298" t="s">
        <v>21</v>
      </c>
      <c r="L298" s="37" t="s">
        <v>287</v>
      </c>
      <c r="M298" s="47" t="s">
        <v>54</v>
      </c>
    </row>
    <row r="299" spans="1:13" x14ac:dyDescent="0.35">
      <c r="A299" s="17">
        <v>45683</v>
      </c>
      <c r="B299" s="39">
        <v>56.9</v>
      </c>
      <c r="C299" s="39">
        <v>5.44</v>
      </c>
      <c r="D299" s="39">
        <v>22501024</v>
      </c>
      <c r="E299" s="39" t="s">
        <v>159</v>
      </c>
      <c r="F299" s="39">
        <v>1250</v>
      </c>
      <c r="G299" s="35">
        <v>0.88888888888888884</v>
      </c>
      <c r="H299" s="35">
        <v>0.89444444444444449</v>
      </c>
      <c r="I299" s="36">
        <v>8</v>
      </c>
      <c r="J299" s="37" t="s">
        <v>14</v>
      </c>
      <c r="K299" s="67" t="s">
        <v>52</v>
      </c>
      <c r="L299" s="37" t="s">
        <v>59</v>
      </c>
      <c r="M299" s="47" t="s">
        <v>59</v>
      </c>
    </row>
    <row r="300" spans="1:13" x14ac:dyDescent="0.35">
      <c r="A300" s="17">
        <v>45683</v>
      </c>
      <c r="B300" s="39">
        <v>56.9</v>
      </c>
      <c r="C300" s="39">
        <v>5.44</v>
      </c>
      <c r="D300" s="39">
        <v>22501024</v>
      </c>
      <c r="E300" s="39" t="s">
        <v>159</v>
      </c>
      <c r="F300" s="39">
        <v>1250</v>
      </c>
      <c r="G300" s="35">
        <v>0.89444444444444449</v>
      </c>
      <c r="H300" s="35">
        <v>0.90277777777777779</v>
      </c>
      <c r="I300" s="36">
        <v>12</v>
      </c>
      <c r="J300" s="37" t="s">
        <v>14</v>
      </c>
      <c r="K300" s="67" t="s">
        <v>62</v>
      </c>
      <c r="L300" s="37" t="s">
        <v>130</v>
      </c>
      <c r="M300" s="47" t="s">
        <v>268</v>
      </c>
    </row>
    <row r="301" spans="1:13" x14ac:dyDescent="0.35">
      <c r="A301" s="17">
        <v>45683</v>
      </c>
      <c r="B301" s="39">
        <v>56.9</v>
      </c>
      <c r="C301" s="39">
        <v>5.44</v>
      </c>
      <c r="D301" s="39">
        <v>22501024</v>
      </c>
      <c r="E301" s="39" t="s">
        <v>159</v>
      </c>
      <c r="F301" s="39">
        <v>1250</v>
      </c>
      <c r="G301" s="35">
        <v>0.90277777777777779</v>
      </c>
      <c r="H301" s="35">
        <v>0.91319444444444442</v>
      </c>
      <c r="I301" s="36">
        <v>15</v>
      </c>
      <c r="J301" s="37" t="s">
        <v>14</v>
      </c>
      <c r="K301" s="67" t="s">
        <v>41</v>
      </c>
      <c r="L301" s="37" t="s">
        <v>91</v>
      </c>
      <c r="M301" s="47" t="s">
        <v>421</v>
      </c>
    </row>
    <row r="302" spans="1:13" x14ac:dyDescent="0.35">
      <c r="A302" s="17">
        <v>45684</v>
      </c>
      <c r="B302" s="45">
        <v>57.02</v>
      </c>
      <c r="C302" s="45">
        <v>5.04</v>
      </c>
      <c r="D302" s="46">
        <v>22501025</v>
      </c>
      <c r="E302" s="45" t="s">
        <v>69</v>
      </c>
      <c r="F302" s="45" t="s">
        <v>427</v>
      </c>
      <c r="G302" s="35">
        <v>0.96180555555555558</v>
      </c>
      <c r="H302" s="35">
        <v>2.0833333333333332E-2</v>
      </c>
      <c r="I302" s="36">
        <v>85</v>
      </c>
      <c r="J302" s="37" t="s">
        <v>14</v>
      </c>
      <c r="K302" s="67" t="s">
        <v>26</v>
      </c>
      <c r="L302" s="37" t="s">
        <v>67</v>
      </c>
      <c r="M302" s="58" t="s">
        <v>428</v>
      </c>
    </row>
    <row r="303" spans="1:13" x14ac:dyDescent="0.35">
      <c r="A303" s="17">
        <v>45686</v>
      </c>
      <c r="B303" s="39">
        <v>57.13</v>
      </c>
      <c r="C303" s="39">
        <v>5.27</v>
      </c>
      <c r="D303" s="39">
        <v>22501026</v>
      </c>
      <c r="E303" s="39" t="s">
        <v>57</v>
      </c>
      <c r="F303" s="39">
        <v>1250</v>
      </c>
      <c r="G303" s="35">
        <v>0.28125</v>
      </c>
      <c r="H303" s="35">
        <v>0.30208333333333331</v>
      </c>
      <c r="I303" s="36">
        <v>30</v>
      </c>
      <c r="J303" s="37" t="s">
        <v>51</v>
      </c>
      <c r="K303" s="67" t="s">
        <v>52</v>
      </c>
      <c r="L303" s="37" t="s">
        <v>53</v>
      </c>
      <c r="M303" s="58" t="s">
        <v>54</v>
      </c>
    </row>
    <row r="304" spans="1:13" x14ac:dyDescent="0.35">
      <c r="A304" s="17">
        <v>45686</v>
      </c>
      <c r="B304" s="39">
        <v>57.13</v>
      </c>
      <c r="C304" s="39">
        <v>5.27</v>
      </c>
      <c r="D304" s="39">
        <v>22501026</v>
      </c>
      <c r="E304" s="39" t="s">
        <v>57</v>
      </c>
      <c r="F304" s="39">
        <v>1250</v>
      </c>
      <c r="G304" s="35">
        <v>0.30208333333333331</v>
      </c>
      <c r="H304" s="35">
        <v>0.32291666666666669</v>
      </c>
      <c r="I304" s="36">
        <v>30</v>
      </c>
      <c r="J304" s="37" t="s">
        <v>51</v>
      </c>
      <c r="K304" s="67" t="s">
        <v>52</v>
      </c>
      <c r="L304" s="37" t="s">
        <v>178</v>
      </c>
      <c r="M304" s="58" t="s">
        <v>179</v>
      </c>
    </row>
    <row r="305" spans="1:13" x14ac:dyDescent="0.35">
      <c r="A305" s="17">
        <v>45686</v>
      </c>
      <c r="B305" s="39">
        <v>57.13</v>
      </c>
      <c r="C305" s="39">
        <v>5.27</v>
      </c>
      <c r="D305" s="39">
        <v>22501026</v>
      </c>
      <c r="E305" s="39" t="s">
        <v>57</v>
      </c>
      <c r="F305" s="39">
        <v>1250</v>
      </c>
      <c r="G305" s="35">
        <v>0.32291666666666669</v>
      </c>
      <c r="H305" s="35">
        <v>0.3576388888888889</v>
      </c>
      <c r="I305" s="36">
        <v>50</v>
      </c>
      <c r="J305" s="37" t="s">
        <v>51</v>
      </c>
      <c r="K305" s="67" t="s">
        <v>19</v>
      </c>
      <c r="L305" s="58" t="s">
        <v>430</v>
      </c>
      <c r="M305" s="58" t="s">
        <v>430</v>
      </c>
    </row>
    <row r="306" spans="1:13" x14ac:dyDescent="0.35">
      <c r="A306" s="17">
        <v>45687</v>
      </c>
      <c r="B306" s="39">
        <v>57.05</v>
      </c>
      <c r="C306" s="39">
        <v>5.12</v>
      </c>
      <c r="D306" s="39">
        <v>22501027</v>
      </c>
      <c r="E306" s="39" t="s">
        <v>72</v>
      </c>
      <c r="F306" s="39">
        <v>1230</v>
      </c>
      <c r="G306" s="35">
        <v>0.62152777777777779</v>
      </c>
      <c r="H306" s="35">
        <v>0.64236111111111116</v>
      </c>
      <c r="I306" s="36">
        <v>30</v>
      </c>
      <c r="J306" s="37" t="s">
        <v>51</v>
      </c>
      <c r="K306" s="67" t="s">
        <v>52</v>
      </c>
      <c r="L306" s="37" t="s">
        <v>53</v>
      </c>
      <c r="M306" s="58" t="s">
        <v>54</v>
      </c>
    </row>
    <row r="307" spans="1:13" x14ac:dyDescent="0.35">
      <c r="A307" s="17">
        <v>45687</v>
      </c>
      <c r="B307" s="39">
        <v>57.05</v>
      </c>
      <c r="C307" s="39">
        <v>5.12</v>
      </c>
      <c r="D307" s="39">
        <v>22501027</v>
      </c>
      <c r="E307" s="39" t="s">
        <v>72</v>
      </c>
      <c r="F307" s="39">
        <v>1230</v>
      </c>
      <c r="G307" s="35">
        <v>0.64236111111111116</v>
      </c>
      <c r="H307" s="35">
        <v>0.64583333333333337</v>
      </c>
      <c r="I307" s="36">
        <v>5</v>
      </c>
      <c r="J307" s="37" t="s">
        <v>51</v>
      </c>
      <c r="K307" s="67" t="s">
        <v>26</v>
      </c>
      <c r="L307" s="37" t="s">
        <v>32</v>
      </c>
      <c r="M307" s="58" t="s">
        <v>61</v>
      </c>
    </row>
    <row r="308" spans="1:13" x14ac:dyDescent="0.35">
      <c r="A308" s="17">
        <v>45689</v>
      </c>
      <c r="B308" s="39">
        <v>56.64</v>
      </c>
      <c r="C308" s="39">
        <v>5.16</v>
      </c>
      <c r="D308" s="39">
        <v>22501028</v>
      </c>
      <c r="E308" s="39" t="s">
        <v>72</v>
      </c>
      <c r="F308" s="39">
        <v>1230</v>
      </c>
      <c r="G308" s="35">
        <v>0.94097222222222221</v>
      </c>
      <c r="H308" s="35">
        <v>0.96180555555555558</v>
      </c>
      <c r="I308" s="36">
        <v>30</v>
      </c>
      <c r="J308" s="67" t="s">
        <v>51</v>
      </c>
      <c r="K308" s="67" t="s">
        <v>52</v>
      </c>
      <c r="L308" s="67" t="s">
        <v>53</v>
      </c>
      <c r="M308" s="47" t="s">
        <v>54</v>
      </c>
    </row>
    <row r="309" spans="1:13" x14ac:dyDescent="0.35">
      <c r="A309" s="17">
        <v>45689</v>
      </c>
      <c r="B309" s="39">
        <v>56.64</v>
      </c>
      <c r="C309" s="39">
        <v>5.16</v>
      </c>
      <c r="D309" s="39">
        <v>22501028</v>
      </c>
      <c r="E309" s="39" t="s">
        <v>72</v>
      </c>
      <c r="F309" s="39">
        <v>1230</v>
      </c>
      <c r="G309" s="35">
        <v>0.96180555555555558</v>
      </c>
      <c r="H309" s="35">
        <v>0.98263888888888884</v>
      </c>
      <c r="I309" s="36">
        <v>30</v>
      </c>
      <c r="J309" s="67" t="s">
        <v>51</v>
      </c>
      <c r="K309" s="67" t="s">
        <v>52</v>
      </c>
      <c r="L309" s="67" t="s">
        <v>178</v>
      </c>
      <c r="M309" s="47" t="s">
        <v>179</v>
      </c>
    </row>
    <row r="310" spans="1:13" x14ac:dyDescent="0.35">
      <c r="A310" s="17">
        <v>45689</v>
      </c>
      <c r="B310" s="39">
        <v>56.64</v>
      </c>
      <c r="C310" s="39">
        <v>5.16</v>
      </c>
      <c r="D310" s="39">
        <v>22501028</v>
      </c>
      <c r="E310" s="39" t="s">
        <v>72</v>
      </c>
      <c r="F310" s="39">
        <v>1230</v>
      </c>
      <c r="G310" s="35">
        <v>0.98263888888888884</v>
      </c>
      <c r="H310" s="35">
        <v>0.99652777777777779</v>
      </c>
      <c r="I310" s="36">
        <v>20</v>
      </c>
      <c r="J310" s="67" t="s">
        <v>51</v>
      </c>
      <c r="K310" s="67" t="s">
        <v>19</v>
      </c>
      <c r="L310" s="67" t="s">
        <v>143</v>
      </c>
      <c r="M310" s="47" t="s">
        <v>434</v>
      </c>
    </row>
    <row r="311" spans="1:13" x14ac:dyDescent="0.35">
      <c r="A311" s="17">
        <v>45689</v>
      </c>
      <c r="B311" s="39">
        <v>56.64</v>
      </c>
      <c r="C311" s="39">
        <v>5.16</v>
      </c>
      <c r="D311" s="39">
        <v>22501028</v>
      </c>
      <c r="E311" s="39" t="s">
        <v>72</v>
      </c>
      <c r="F311" s="39">
        <v>1230</v>
      </c>
      <c r="G311" s="35">
        <v>0.99652777777777779</v>
      </c>
      <c r="H311" s="35">
        <v>1.0416666666666666E-2</v>
      </c>
      <c r="I311" s="36">
        <v>20</v>
      </c>
      <c r="J311" s="67" t="s">
        <v>51</v>
      </c>
      <c r="K311" s="67" t="s">
        <v>41</v>
      </c>
      <c r="L311" s="47" t="s">
        <v>435</v>
      </c>
      <c r="M311" s="47" t="s">
        <v>435</v>
      </c>
    </row>
    <row r="312" spans="1:13" x14ac:dyDescent="0.35">
      <c r="A312" s="17">
        <v>45689</v>
      </c>
      <c r="B312" s="39">
        <v>56.64</v>
      </c>
      <c r="C312" s="39">
        <v>5.16</v>
      </c>
      <c r="D312" s="39">
        <v>22501028</v>
      </c>
      <c r="E312" s="39" t="s">
        <v>72</v>
      </c>
      <c r="F312" s="39">
        <v>1230</v>
      </c>
      <c r="G312" s="35">
        <v>1.0416666666666666E-2</v>
      </c>
      <c r="H312" s="35">
        <v>2.4305555555555556E-2</v>
      </c>
      <c r="I312" s="36">
        <v>20</v>
      </c>
      <c r="J312" s="67" t="s">
        <v>51</v>
      </c>
      <c r="K312" t="s">
        <v>21</v>
      </c>
      <c r="L312" s="47" t="s">
        <v>436</v>
      </c>
      <c r="M312" s="47" t="s">
        <v>436</v>
      </c>
    </row>
    <row r="313" spans="1:13" x14ac:dyDescent="0.35">
      <c r="A313" s="17">
        <v>45689</v>
      </c>
      <c r="B313" s="39">
        <v>56.64</v>
      </c>
      <c r="C313" s="39">
        <v>5.16</v>
      </c>
      <c r="D313" s="46">
        <v>22502001</v>
      </c>
      <c r="E313" s="45" t="s">
        <v>87</v>
      </c>
      <c r="F313" s="45">
        <v>1255</v>
      </c>
      <c r="G313" s="35">
        <v>0.50416666666666665</v>
      </c>
      <c r="H313" s="35">
        <v>0.625</v>
      </c>
      <c r="I313" s="36">
        <v>174</v>
      </c>
      <c r="J313" s="67" t="s">
        <v>14</v>
      </c>
      <c r="K313" s="67" t="s">
        <v>41</v>
      </c>
      <c r="L313" s="47" t="s">
        <v>437</v>
      </c>
      <c r="M313" s="47" t="s">
        <v>437</v>
      </c>
    </row>
    <row r="314" spans="1:13" x14ac:dyDescent="0.35">
      <c r="A314" s="17">
        <v>45690</v>
      </c>
      <c r="B314" s="39">
        <v>57.03</v>
      </c>
      <c r="C314" s="39">
        <v>5.05</v>
      </c>
      <c r="D314" s="39">
        <v>22502002</v>
      </c>
      <c r="E314" s="39" t="s">
        <v>76</v>
      </c>
      <c r="F314" s="39">
        <v>1250</v>
      </c>
      <c r="G314" s="35">
        <v>0.20972222222222223</v>
      </c>
      <c r="H314" s="35">
        <v>0.2722222222222222</v>
      </c>
      <c r="I314" s="36">
        <v>90</v>
      </c>
      <c r="J314" s="37" t="s">
        <v>35</v>
      </c>
      <c r="K314" s="102" t="s">
        <v>62</v>
      </c>
      <c r="L314" s="37" t="s">
        <v>190</v>
      </c>
      <c r="M314" s="47" t="s">
        <v>102</v>
      </c>
    </row>
    <row r="315" spans="1:13" x14ac:dyDescent="0.35">
      <c r="A315" s="17">
        <v>45690</v>
      </c>
      <c r="B315" s="39">
        <v>57.03</v>
      </c>
      <c r="C315" s="39">
        <v>5.05</v>
      </c>
      <c r="D315" s="39">
        <v>22502002</v>
      </c>
      <c r="E315" s="39" t="s">
        <v>76</v>
      </c>
      <c r="F315" s="39">
        <v>1250</v>
      </c>
      <c r="G315" s="35">
        <v>0.2722222222222222</v>
      </c>
      <c r="H315" s="35">
        <v>0.27777777777777779</v>
      </c>
      <c r="I315" s="36">
        <v>8</v>
      </c>
      <c r="J315" s="37" t="s">
        <v>35</v>
      </c>
      <c r="K315" t="s">
        <v>21</v>
      </c>
      <c r="L315" s="37" t="s">
        <v>74</v>
      </c>
      <c r="M315" s="47" t="s">
        <v>298</v>
      </c>
    </row>
    <row r="316" spans="1:13" x14ac:dyDescent="0.35">
      <c r="A316" s="17">
        <v>45690</v>
      </c>
      <c r="B316" s="39">
        <v>57.03</v>
      </c>
      <c r="C316" s="39">
        <v>5.05</v>
      </c>
      <c r="D316" s="39">
        <v>22502003</v>
      </c>
      <c r="E316" s="39" t="s">
        <v>138</v>
      </c>
      <c r="F316" s="39">
        <v>1340</v>
      </c>
      <c r="G316" s="35">
        <v>0.80902777777777779</v>
      </c>
      <c r="H316" s="35">
        <v>0.89236111111111116</v>
      </c>
      <c r="I316" s="36">
        <v>120</v>
      </c>
      <c r="J316" s="37" t="s">
        <v>35</v>
      </c>
      <c r="K316" t="s">
        <v>21</v>
      </c>
      <c r="L316" s="37" t="s">
        <v>292</v>
      </c>
      <c r="M316" s="47" t="s">
        <v>438</v>
      </c>
    </row>
    <row r="317" spans="1:13" x14ac:dyDescent="0.35">
      <c r="A317" s="17">
        <v>45690</v>
      </c>
      <c r="B317" s="39">
        <v>57.03</v>
      </c>
      <c r="C317" s="39">
        <v>5.05</v>
      </c>
      <c r="D317" s="39">
        <v>22502003</v>
      </c>
      <c r="E317" s="39" t="s">
        <v>138</v>
      </c>
      <c r="F317" s="39">
        <v>1340</v>
      </c>
      <c r="G317" s="35">
        <v>0.89236111111111116</v>
      </c>
      <c r="H317" s="35">
        <v>0.91666666666666663</v>
      </c>
      <c r="I317" s="36">
        <v>35</v>
      </c>
      <c r="J317" s="37" t="s">
        <v>35</v>
      </c>
      <c r="K317" s="67" t="s">
        <v>41</v>
      </c>
      <c r="L317" s="47" t="s">
        <v>439</v>
      </c>
      <c r="M317" s="47" t="s">
        <v>439</v>
      </c>
    </row>
    <row r="318" spans="1:13" x14ac:dyDescent="0.35">
      <c r="A318" s="17">
        <v>45691</v>
      </c>
      <c r="B318" s="45">
        <v>56.86</v>
      </c>
      <c r="C318" s="45">
        <v>5.44</v>
      </c>
      <c r="D318" s="39">
        <v>22502003</v>
      </c>
      <c r="E318" s="39" t="s">
        <v>138</v>
      </c>
      <c r="F318" s="39">
        <v>1340</v>
      </c>
      <c r="G318" s="35">
        <v>0.91666666666666663</v>
      </c>
      <c r="H318" s="35">
        <v>0.1111111111111111</v>
      </c>
      <c r="I318" s="36">
        <v>280</v>
      </c>
      <c r="J318" s="37" t="s">
        <v>35</v>
      </c>
      <c r="K318" s="67" t="s">
        <v>41</v>
      </c>
      <c r="L318" s="47" t="s">
        <v>439</v>
      </c>
      <c r="M318" s="47" t="s">
        <v>439</v>
      </c>
    </row>
    <row r="319" spans="1:13" x14ac:dyDescent="0.35">
      <c r="A319" s="17">
        <v>45692</v>
      </c>
      <c r="B319" s="39">
        <v>57.03</v>
      </c>
      <c r="C319" s="39">
        <v>5.23</v>
      </c>
      <c r="D319" s="39">
        <v>22502004</v>
      </c>
      <c r="E319" s="39" t="s">
        <v>13</v>
      </c>
      <c r="F319" s="39">
        <v>1340</v>
      </c>
      <c r="G319" s="35">
        <v>2.0833333333333333E-3</v>
      </c>
      <c r="H319" s="35">
        <v>2.2916666666666665E-2</v>
      </c>
      <c r="I319" s="36">
        <v>30</v>
      </c>
      <c r="J319" s="67" t="s">
        <v>51</v>
      </c>
      <c r="K319" s="67" t="s">
        <v>52</v>
      </c>
      <c r="L319" s="67" t="s">
        <v>53</v>
      </c>
      <c r="M319" s="47" t="s">
        <v>442</v>
      </c>
    </row>
    <row r="320" spans="1:13" x14ac:dyDescent="0.35">
      <c r="A320" s="17">
        <v>45692</v>
      </c>
      <c r="B320" s="39">
        <v>57.03</v>
      </c>
      <c r="C320" s="39">
        <v>5.23</v>
      </c>
      <c r="D320" s="39">
        <v>22502004</v>
      </c>
      <c r="E320" s="39" t="s">
        <v>13</v>
      </c>
      <c r="F320" s="39">
        <v>1340</v>
      </c>
      <c r="G320" s="35">
        <v>2.2916666666666665E-2</v>
      </c>
      <c r="H320" s="35">
        <v>3.8194444444444448E-2</v>
      </c>
      <c r="I320" s="36">
        <v>22</v>
      </c>
      <c r="J320" s="67" t="s">
        <v>51</v>
      </c>
      <c r="K320" s="67" t="s">
        <v>26</v>
      </c>
      <c r="L320" s="47" t="s">
        <v>443</v>
      </c>
      <c r="M320" s="47" t="s">
        <v>443</v>
      </c>
    </row>
    <row r="321" spans="1:13" x14ac:dyDescent="0.35">
      <c r="A321" s="17">
        <v>45692</v>
      </c>
      <c r="B321" s="39">
        <v>57.03</v>
      </c>
      <c r="C321" s="39">
        <v>5.23</v>
      </c>
      <c r="D321" s="45">
        <v>22502005</v>
      </c>
      <c r="E321" s="45" t="s">
        <v>160</v>
      </c>
      <c r="F321" s="45">
        <v>1260</v>
      </c>
      <c r="G321" s="35">
        <v>0.35138888888888886</v>
      </c>
      <c r="H321" s="35">
        <v>0.41388888888888886</v>
      </c>
      <c r="I321" s="36">
        <v>90</v>
      </c>
      <c r="J321" s="67" t="s">
        <v>51</v>
      </c>
      <c r="K321" s="67" t="s">
        <v>26</v>
      </c>
      <c r="L321" s="37" t="s">
        <v>150</v>
      </c>
      <c r="M321" s="47" t="s">
        <v>444</v>
      </c>
    </row>
    <row r="322" spans="1:13" x14ac:dyDescent="0.35">
      <c r="A322" s="17">
        <v>45693</v>
      </c>
      <c r="B322" s="39">
        <v>57.02</v>
      </c>
      <c r="C322" s="39">
        <v>5.36</v>
      </c>
      <c r="D322" s="39">
        <v>22502006</v>
      </c>
      <c r="E322" s="39" t="s">
        <v>72</v>
      </c>
      <c r="F322" s="39" t="s">
        <v>58</v>
      </c>
      <c r="G322" s="35">
        <v>0.62847222222222221</v>
      </c>
      <c r="H322" s="35">
        <v>0.64930555555555558</v>
      </c>
      <c r="I322" s="36">
        <v>30</v>
      </c>
      <c r="J322" s="67" t="s">
        <v>51</v>
      </c>
      <c r="K322" t="s">
        <v>21</v>
      </c>
      <c r="L322" s="67" t="s">
        <v>53</v>
      </c>
      <c r="M322" s="47" t="s">
        <v>54</v>
      </c>
    </row>
    <row r="323" spans="1:13" x14ac:dyDescent="0.35">
      <c r="A323" s="17">
        <v>45693</v>
      </c>
      <c r="B323" s="39">
        <v>57.02</v>
      </c>
      <c r="C323" s="39">
        <v>5.36</v>
      </c>
      <c r="D323" s="39">
        <v>22502006</v>
      </c>
      <c r="E323" s="39" t="s">
        <v>72</v>
      </c>
      <c r="F323" s="39" t="s">
        <v>58</v>
      </c>
      <c r="G323" s="35">
        <v>0.64930555555555558</v>
      </c>
      <c r="H323" s="35">
        <v>0.65486111111111112</v>
      </c>
      <c r="I323" s="36">
        <v>8</v>
      </c>
      <c r="J323" s="67" t="s">
        <v>52</v>
      </c>
      <c r="K323" t="s">
        <v>21</v>
      </c>
      <c r="L323" s="67" t="s">
        <v>59</v>
      </c>
      <c r="M323" s="47" t="s">
        <v>59</v>
      </c>
    </row>
    <row r="324" spans="1:13" x14ac:dyDescent="0.35">
      <c r="A324" s="17">
        <v>45693</v>
      </c>
      <c r="B324" s="39">
        <v>57.02</v>
      </c>
      <c r="C324" s="39">
        <v>5.36</v>
      </c>
      <c r="D324" s="39">
        <v>22502006</v>
      </c>
      <c r="E324" s="39" t="s">
        <v>72</v>
      </c>
      <c r="F324" s="39" t="s">
        <v>58</v>
      </c>
      <c r="G324" s="35">
        <v>0.65486111111111112</v>
      </c>
      <c r="H324" s="35">
        <v>0.66319444444444442</v>
      </c>
      <c r="I324" s="36">
        <v>12</v>
      </c>
      <c r="J324" s="67" t="s">
        <v>52</v>
      </c>
      <c r="K324" s="67" t="s">
        <v>62</v>
      </c>
      <c r="L324" s="67" t="s">
        <v>130</v>
      </c>
      <c r="M324" s="47" t="s">
        <v>268</v>
      </c>
    </row>
    <row r="325" spans="1:13" x14ac:dyDescent="0.35">
      <c r="A325" s="17">
        <v>45694</v>
      </c>
      <c r="B325" s="45">
        <v>56.95</v>
      </c>
      <c r="C325" s="45">
        <v>5.38</v>
      </c>
      <c r="D325" s="46">
        <v>22502007</v>
      </c>
      <c r="E325" s="45" t="s">
        <v>119</v>
      </c>
      <c r="F325" s="45">
        <v>1250</v>
      </c>
      <c r="G325" s="35">
        <v>0.89583333333333337</v>
      </c>
      <c r="H325" s="35">
        <v>0.91527777777777775</v>
      </c>
      <c r="I325" s="36">
        <v>28</v>
      </c>
      <c r="J325" s="67" t="s">
        <v>51</v>
      </c>
      <c r="K325" t="s">
        <v>21</v>
      </c>
      <c r="L325" s="67" t="s">
        <v>53</v>
      </c>
      <c r="M325" s="47" t="s">
        <v>54</v>
      </c>
    </row>
    <row r="326" spans="1:13" x14ac:dyDescent="0.35">
      <c r="A326" s="17">
        <v>45696</v>
      </c>
      <c r="B326" s="45">
        <v>57</v>
      </c>
      <c r="C326" s="45">
        <v>5.39</v>
      </c>
      <c r="D326" s="39">
        <v>22502008</v>
      </c>
      <c r="E326" s="39" t="s">
        <v>119</v>
      </c>
      <c r="F326" s="39">
        <v>1255</v>
      </c>
      <c r="G326" s="35">
        <v>0.11805555555555555</v>
      </c>
      <c r="H326" s="35">
        <v>0.1388888888888889</v>
      </c>
      <c r="I326" s="36">
        <v>30</v>
      </c>
      <c r="J326" s="67" t="s">
        <v>51</v>
      </c>
      <c r="K326" t="s">
        <v>21</v>
      </c>
      <c r="L326" s="67" t="s">
        <v>53</v>
      </c>
      <c r="M326" s="48" t="s">
        <v>54</v>
      </c>
    </row>
    <row r="327" spans="1:13" x14ac:dyDescent="0.35">
      <c r="A327" s="17">
        <v>45696</v>
      </c>
      <c r="B327" s="39">
        <v>57.06</v>
      </c>
      <c r="C327" s="39">
        <v>4.93</v>
      </c>
      <c r="D327" s="39">
        <v>22502008</v>
      </c>
      <c r="E327" s="39" t="s">
        <v>119</v>
      </c>
      <c r="F327" s="39">
        <v>1255</v>
      </c>
      <c r="G327" s="35">
        <v>0.1388888888888889</v>
      </c>
      <c r="H327" s="35">
        <v>0.14444444444444443</v>
      </c>
      <c r="I327" s="36">
        <v>8</v>
      </c>
      <c r="J327" s="67" t="s">
        <v>52</v>
      </c>
      <c r="K327" t="s">
        <v>21</v>
      </c>
      <c r="L327" s="67" t="s">
        <v>59</v>
      </c>
      <c r="M327" s="48" t="s">
        <v>432</v>
      </c>
    </row>
    <row r="328" spans="1:13" x14ac:dyDescent="0.35">
      <c r="A328" s="17">
        <v>45696</v>
      </c>
      <c r="B328" s="39">
        <v>57.06</v>
      </c>
      <c r="C328" s="39">
        <v>4.93</v>
      </c>
      <c r="D328" s="39">
        <v>22502008</v>
      </c>
      <c r="E328" s="39" t="s">
        <v>119</v>
      </c>
      <c r="F328" s="39">
        <v>1255</v>
      </c>
      <c r="G328" s="35">
        <v>0.14444444444444443</v>
      </c>
      <c r="H328" s="35">
        <v>0.15277777777777779</v>
      </c>
      <c r="I328" s="36">
        <v>12</v>
      </c>
      <c r="J328" s="67" t="s">
        <v>52</v>
      </c>
      <c r="K328" s="67" t="s">
        <v>62</v>
      </c>
      <c r="L328" s="67" t="s">
        <v>130</v>
      </c>
      <c r="M328" s="48" t="s">
        <v>131</v>
      </c>
    </row>
    <row r="329" spans="1:13" x14ac:dyDescent="0.35">
      <c r="A329" s="17">
        <v>45696</v>
      </c>
      <c r="B329" s="39">
        <v>57.06</v>
      </c>
      <c r="C329" s="39">
        <v>4.93</v>
      </c>
      <c r="D329" s="45">
        <v>22502009</v>
      </c>
      <c r="E329" s="45" t="s">
        <v>24</v>
      </c>
      <c r="F329" s="45">
        <v>1230</v>
      </c>
      <c r="G329" s="35">
        <v>0.37222222222222223</v>
      </c>
      <c r="H329" s="35">
        <v>0.91666666666666663</v>
      </c>
      <c r="I329" s="36">
        <v>784</v>
      </c>
      <c r="J329" s="67" t="s">
        <v>448</v>
      </c>
      <c r="K329" s="67" t="s">
        <v>15</v>
      </c>
      <c r="L329" s="67" t="s">
        <v>448</v>
      </c>
      <c r="M329" s="48" t="s">
        <v>17</v>
      </c>
    </row>
    <row r="330" spans="1:13" x14ac:dyDescent="0.35">
      <c r="A330" s="17">
        <v>45697</v>
      </c>
      <c r="B330" s="39">
        <v>57.97</v>
      </c>
      <c r="C330" s="39">
        <v>5.35</v>
      </c>
      <c r="D330" s="45">
        <v>22502009</v>
      </c>
      <c r="E330" s="45" t="s">
        <v>24</v>
      </c>
      <c r="F330" s="45">
        <v>1230</v>
      </c>
      <c r="G330" s="35">
        <v>0.91666666666666663</v>
      </c>
      <c r="H330" s="35">
        <v>0.98888888888888893</v>
      </c>
      <c r="I330" s="36">
        <v>104</v>
      </c>
      <c r="J330" s="67" t="s">
        <v>448</v>
      </c>
      <c r="K330" s="67" t="s">
        <v>15</v>
      </c>
      <c r="L330" s="67" t="s">
        <v>448</v>
      </c>
      <c r="M330" s="47" t="s">
        <v>17</v>
      </c>
    </row>
    <row r="331" spans="1:13" x14ac:dyDescent="0.35">
      <c r="A331" s="17">
        <v>45697</v>
      </c>
      <c r="B331" s="39">
        <v>57.97</v>
      </c>
      <c r="C331" s="39">
        <v>5.35</v>
      </c>
      <c r="D331" s="39">
        <v>22502010</v>
      </c>
      <c r="E331" s="39" t="s">
        <v>452</v>
      </c>
      <c r="F331" s="39">
        <v>1010</v>
      </c>
      <c r="G331" s="35">
        <v>0.65625</v>
      </c>
      <c r="H331" s="35">
        <v>0.67708333333333337</v>
      </c>
      <c r="I331" s="36">
        <v>30</v>
      </c>
      <c r="J331" s="67" t="s">
        <v>52</v>
      </c>
      <c r="K331" t="s">
        <v>21</v>
      </c>
      <c r="L331" s="67" t="s">
        <v>53</v>
      </c>
      <c r="M331" s="47" t="s">
        <v>54</v>
      </c>
    </row>
    <row r="332" spans="1:13" x14ac:dyDescent="0.35">
      <c r="A332" s="17">
        <v>45697</v>
      </c>
      <c r="B332" s="39">
        <v>57.97</v>
      </c>
      <c r="C332" s="39">
        <v>5.35</v>
      </c>
      <c r="D332" s="39">
        <v>22502010</v>
      </c>
      <c r="E332" s="39" t="s">
        <v>452</v>
      </c>
      <c r="F332" s="39">
        <v>1010</v>
      </c>
      <c r="G332" s="35">
        <v>0.67708333333333337</v>
      </c>
      <c r="H332" s="35">
        <v>0.68055555555555558</v>
      </c>
      <c r="I332" s="36">
        <v>5</v>
      </c>
      <c r="J332" s="67" t="s">
        <v>446</v>
      </c>
      <c r="K332" t="s">
        <v>21</v>
      </c>
      <c r="L332" s="67" t="s">
        <v>22</v>
      </c>
      <c r="M332" s="47" t="s">
        <v>453</v>
      </c>
    </row>
    <row r="333" spans="1:13" x14ac:dyDescent="0.35">
      <c r="A333" s="17">
        <v>45697</v>
      </c>
      <c r="B333" s="39">
        <v>57.97</v>
      </c>
      <c r="C333" s="39">
        <v>5.35</v>
      </c>
      <c r="D333" s="39">
        <v>22502010</v>
      </c>
      <c r="E333" s="39" t="s">
        <v>452</v>
      </c>
      <c r="F333" s="39">
        <v>1010</v>
      </c>
      <c r="G333" s="35">
        <v>0.68055555555555558</v>
      </c>
      <c r="H333" s="35">
        <v>0.68402777777777779</v>
      </c>
      <c r="I333" s="36">
        <v>5</v>
      </c>
      <c r="J333" s="67" t="s">
        <v>446</v>
      </c>
      <c r="K333" s="67" t="s">
        <v>41</v>
      </c>
      <c r="L333" s="67" t="s">
        <v>454</v>
      </c>
      <c r="M333" s="47" t="s">
        <v>455</v>
      </c>
    </row>
    <row r="334" spans="1:13" x14ac:dyDescent="0.35">
      <c r="A334" s="17">
        <v>45697</v>
      </c>
      <c r="B334" s="39">
        <v>57.97</v>
      </c>
      <c r="C334" s="39">
        <v>5.35</v>
      </c>
      <c r="D334" s="39">
        <v>22502010</v>
      </c>
      <c r="E334" s="39" t="s">
        <v>452</v>
      </c>
      <c r="F334" s="39">
        <v>1010</v>
      </c>
      <c r="G334" s="35">
        <v>0.68402777777777779</v>
      </c>
      <c r="H334" s="35">
        <v>0.69097222222222221</v>
      </c>
      <c r="I334" s="36">
        <v>10</v>
      </c>
      <c r="J334" s="37" t="s">
        <v>52</v>
      </c>
      <c r="K334" s="67" t="s">
        <v>62</v>
      </c>
      <c r="L334" s="67" t="s">
        <v>130</v>
      </c>
      <c r="M334" s="47" t="s">
        <v>422</v>
      </c>
    </row>
    <row r="335" spans="1:13" x14ac:dyDescent="0.35">
      <c r="A335" s="17">
        <v>45699</v>
      </c>
      <c r="B335" s="45">
        <v>57</v>
      </c>
      <c r="C335" s="45">
        <v>5.04</v>
      </c>
      <c r="D335" s="39">
        <v>22501011</v>
      </c>
      <c r="E335" s="39" t="s">
        <v>80</v>
      </c>
      <c r="F335" s="39">
        <v>1250</v>
      </c>
      <c r="G335" s="35">
        <v>0.93402777777777779</v>
      </c>
      <c r="H335" s="35">
        <v>0.95486111111111116</v>
      </c>
      <c r="I335" s="36">
        <v>30</v>
      </c>
      <c r="J335" s="86" t="s">
        <v>51</v>
      </c>
      <c r="K335" t="s">
        <v>21</v>
      </c>
      <c r="L335" s="86" t="s">
        <v>53</v>
      </c>
      <c r="M335" s="47" t="s">
        <v>54</v>
      </c>
    </row>
    <row r="336" spans="1:13" x14ac:dyDescent="0.35">
      <c r="A336" s="17">
        <v>45699</v>
      </c>
      <c r="B336" s="39">
        <v>57.02</v>
      </c>
      <c r="C336" s="39">
        <v>5.55</v>
      </c>
      <c r="D336" s="39">
        <v>22501011</v>
      </c>
      <c r="E336" s="39" t="s">
        <v>80</v>
      </c>
      <c r="F336" s="39">
        <v>1250</v>
      </c>
      <c r="G336" s="35">
        <v>0.95486111111111116</v>
      </c>
      <c r="H336" s="35">
        <v>0.9604166666666667</v>
      </c>
      <c r="I336" s="36">
        <v>8</v>
      </c>
      <c r="J336" s="86" t="s">
        <v>51</v>
      </c>
      <c r="K336" t="s">
        <v>21</v>
      </c>
      <c r="L336" s="86" t="s">
        <v>59</v>
      </c>
      <c r="M336" s="47" t="s">
        <v>432</v>
      </c>
    </row>
    <row r="337" spans="1:13" x14ac:dyDescent="0.35">
      <c r="A337" s="17">
        <v>45699</v>
      </c>
      <c r="B337" s="39">
        <v>57.02</v>
      </c>
      <c r="C337" s="39">
        <v>5.55</v>
      </c>
      <c r="D337" s="39">
        <v>22501011</v>
      </c>
      <c r="E337" s="39" t="s">
        <v>80</v>
      </c>
      <c r="F337" s="39">
        <v>1250</v>
      </c>
      <c r="G337" s="35">
        <v>0.9604166666666667</v>
      </c>
      <c r="H337" s="35">
        <v>0.96875</v>
      </c>
      <c r="I337" s="36">
        <v>12</v>
      </c>
      <c r="J337" s="86" t="s">
        <v>51</v>
      </c>
      <c r="K337" s="86" t="s">
        <v>62</v>
      </c>
      <c r="L337" s="86" t="s">
        <v>130</v>
      </c>
      <c r="M337" s="47" t="s">
        <v>131</v>
      </c>
    </row>
    <row r="338" spans="1:13" x14ac:dyDescent="0.35">
      <c r="A338" s="17">
        <v>45700</v>
      </c>
      <c r="B338" s="39">
        <v>57.08</v>
      </c>
      <c r="C338" s="39">
        <v>5.45</v>
      </c>
      <c r="D338" s="45">
        <v>22501012</v>
      </c>
      <c r="E338" s="45" t="s">
        <v>72</v>
      </c>
      <c r="F338" s="45">
        <v>1230</v>
      </c>
      <c r="G338" s="35">
        <v>0.16666666666666666</v>
      </c>
      <c r="H338" s="35">
        <v>0.1875</v>
      </c>
      <c r="I338" s="36">
        <v>30</v>
      </c>
      <c r="J338" s="67" t="s">
        <v>51</v>
      </c>
      <c r="K338" t="s">
        <v>21</v>
      </c>
      <c r="L338" s="67" t="s">
        <v>53</v>
      </c>
      <c r="M338" s="47" t="s">
        <v>54</v>
      </c>
    </row>
    <row r="339" spans="1:13" x14ac:dyDescent="0.35">
      <c r="A339" s="17">
        <v>45700</v>
      </c>
      <c r="B339" s="39">
        <v>57.08</v>
      </c>
      <c r="C339" s="39">
        <v>5.45</v>
      </c>
      <c r="D339" s="45">
        <v>22501013</v>
      </c>
      <c r="E339" s="45" t="s">
        <v>173</v>
      </c>
      <c r="F339" s="45">
        <v>1260</v>
      </c>
      <c r="G339" s="35">
        <v>0.22777777777777777</v>
      </c>
      <c r="H339" s="35">
        <v>0.2951388888888889</v>
      </c>
      <c r="I339" s="36">
        <v>97</v>
      </c>
      <c r="J339" s="67" t="s">
        <v>35</v>
      </c>
      <c r="K339" s="67" t="s">
        <v>19</v>
      </c>
      <c r="L339" s="67" t="s">
        <v>149</v>
      </c>
      <c r="M339" s="47" t="s">
        <v>466</v>
      </c>
    </row>
    <row r="340" spans="1:13" x14ac:dyDescent="0.35">
      <c r="A340" s="17">
        <v>45701</v>
      </c>
      <c r="B340" s="39">
        <v>56.79</v>
      </c>
      <c r="C340" s="39">
        <v>5.41</v>
      </c>
      <c r="D340" s="39">
        <v>22502014</v>
      </c>
      <c r="E340" s="39" t="s">
        <v>141</v>
      </c>
      <c r="F340" s="39">
        <v>1255</v>
      </c>
      <c r="G340" s="35">
        <v>0.52777777777777779</v>
      </c>
      <c r="H340" s="35">
        <v>0.54861111111111116</v>
      </c>
      <c r="I340" s="36">
        <v>30</v>
      </c>
      <c r="J340" s="67" t="s">
        <v>51</v>
      </c>
      <c r="K340" t="s">
        <v>21</v>
      </c>
      <c r="L340" s="67" t="s">
        <v>53</v>
      </c>
      <c r="M340" s="47" t="s">
        <v>54</v>
      </c>
    </row>
    <row r="341" spans="1:13" x14ac:dyDescent="0.35">
      <c r="A341" s="17">
        <v>45701</v>
      </c>
      <c r="B341" s="39">
        <v>56.79</v>
      </c>
      <c r="C341" s="39">
        <v>5.41</v>
      </c>
      <c r="D341" s="39">
        <v>22502014</v>
      </c>
      <c r="E341" s="39" t="s">
        <v>141</v>
      </c>
      <c r="F341" s="39">
        <v>1255</v>
      </c>
      <c r="G341" s="35">
        <v>0.54861111111111116</v>
      </c>
      <c r="H341" s="35">
        <v>0.55902777777777779</v>
      </c>
      <c r="I341" s="36">
        <v>15</v>
      </c>
      <c r="J341" s="67" t="s">
        <v>52</v>
      </c>
      <c r="K341" t="s">
        <v>21</v>
      </c>
      <c r="L341" s="67" t="s">
        <v>59</v>
      </c>
      <c r="M341" s="47" t="s">
        <v>432</v>
      </c>
    </row>
    <row r="342" spans="1:13" x14ac:dyDescent="0.35">
      <c r="A342" s="17">
        <v>45702</v>
      </c>
      <c r="B342" s="39">
        <v>56.95</v>
      </c>
      <c r="C342" s="39">
        <v>5.13</v>
      </c>
      <c r="D342" s="39">
        <v>22502015</v>
      </c>
      <c r="E342" s="39" t="s">
        <v>202</v>
      </c>
      <c r="F342" s="39" t="s">
        <v>460</v>
      </c>
      <c r="G342" s="35">
        <v>0.625</v>
      </c>
      <c r="H342" s="35">
        <v>0.64583333333333337</v>
      </c>
      <c r="I342" s="36">
        <v>30</v>
      </c>
      <c r="J342" s="67" t="s">
        <v>51</v>
      </c>
      <c r="K342" t="s">
        <v>21</v>
      </c>
      <c r="L342" s="67" t="s">
        <v>53</v>
      </c>
      <c r="M342" s="47" t="s">
        <v>54</v>
      </c>
    </row>
    <row r="343" spans="1:13" x14ac:dyDescent="0.35">
      <c r="A343" s="17">
        <v>45702</v>
      </c>
      <c r="B343" s="39">
        <v>56.95</v>
      </c>
      <c r="C343" s="39">
        <v>5.13</v>
      </c>
      <c r="D343" s="39">
        <v>22502015</v>
      </c>
      <c r="E343" s="39" t="s">
        <v>202</v>
      </c>
      <c r="F343" s="39" t="s">
        <v>460</v>
      </c>
      <c r="G343" s="35">
        <v>0.64583333333333337</v>
      </c>
      <c r="H343" s="35">
        <v>0.66666666666666663</v>
      </c>
      <c r="I343" s="36">
        <v>30</v>
      </c>
      <c r="J343" s="67" t="s">
        <v>52</v>
      </c>
      <c r="K343" t="s">
        <v>21</v>
      </c>
      <c r="L343" s="67" t="s">
        <v>59</v>
      </c>
      <c r="M343" s="47" t="s">
        <v>179</v>
      </c>
    </row>
    <row r="344" spans="1:13" x14ac:dyDescent="0.35">
      <c r="A344" s="17">
        <v>45702</v>
      </c>
      <c r="B344" s="39">
        <v>56.95</v>
      </c>
      <c r="C344" s="39">
        <v>5.13</v>
      </c>
      <c r="D344" s="39">
        <v>22502015</v>
      </c>
      <c r="E344" s="39" t="s">
        <v>202</v>
      </c>
      <c r="F344" s="39" t="s">
        <v>460</v>
      </c>
      <c r="G344" s="35">
        <v>0.66666666666666663</v>
      </c>
      <c r="H344" s="35">
        <v>0.67708333333333337</v>
      </c>
      <c r="I344" s="36">
        <v>15</v>
      </c>
      <c r="J344" s="67" t="s">
        <v>446</v>
      </c>
      <c r="K344" s="67" t="s">
        <v>26</v>
      </c>
      <c r="L344" s="67" t="s">
        <v>331</v>
      </c>
      <c r="M344" s="47" t="s">
        <v>467</v>
      </c>
    </row>
    <row r="345" spans="1:13" x14ac:dyDescent="0.35">
      <c r="A345" s="17">
        <v>45703</v>
      </c>
      <c r="B345" s="39">
        <v>57.06</v>
      </c>
      <c r="C345" s="39">
        <v>5.15</v>
      </c>
      <c r="D345" s="39">
        <v>22502016</v>
      </c>
      <c r="E345" s="39" t="s">
        <v>468</v>
      </c>
      <c r="F345" s="39">
        <v>1250</v>
      </c>
      <c r="G345" s="35">
        <v>0.2361111111111111</v>
      </c>
      <c r="H345" s="35">
        <v>0.30208333333333331</v>
      </c>
      <c r="I345" s="36">
        <v>95</v>
      </c>
      <c r="J345" s="67" t="s">
        <v>463</v>
      </c>
      <c r="K345" s="67" t="s">
        <v>26</v>
      </c>
      <c r="L345" s="67" t="s">
        <v>150</v>
      </c>
      <c r="M345" s="47" t="s">
        <v>469</v>
      </c>
    </row>
    <row r="346" spans="1:13" x14ac:dyDescent="0.35">
      <c r="A346" s="17">
        <v>45703</v>
      </c>
      <c r="B346" s="39">
        <v>57.06</v>
      </c>
      <c r="C346" s="39">
        <v>5.15</v>
      </c>
      <c r="D346" s="39">
        <v>22502016</v>
      </c>
      <c r="E346" s="39" t="s">
        <v>468</v>
      </c>
      <c r="F346" s="39">
        <v>1250</v>
      </c>
      <c r="G346" s="35">
        <v>0.30208333333333331</v>
      </c>
      <c r="H346" s="35">
        <v>0.31597222222222221</v>
      </c>
      <c r="I346" s="36">
        <v>20</v>
      </c>
      <c r="J346" s="67" t="s">
        <v>446</v>
      </c>
      <c r="K346" s="67" t="s">
        <v>41</v>
      </c>
      <c r="L346" s="67" t="s">
        <v>454</v>
      </c>
      <c r="M346" s="47" t="s">
        <v>470</v>
      </c>
    </row>
    <row r="347" spans="1:13" x14ac:dyDescent="0.35">
      <c r="A347" s="17">
        <v>45703</v>
      </c>
      <c r="B347" s="39">
        <v>57.06</v>
      </c>
      <c r="C347" s="39">
        <v>5.15</v>
      </c>
      <c r="D347" s="39">
        <v>22502016</v>
      </c>
      <c r="E347" s="39" t="s">
        <v>468</v>
      </c>
      <c r="F347" s="39">
        <v>1250</v>
      </c>
      <c r="G347" s="35">
        <v>0.31597222222222221</v>
      </c>
      <c r="H347" s="35">
        <v>0.32500000000000001</v>
      </c>
      <c r="I347" s="36">
        <v>13</v>
      </c>
      <c r="J347" s="67" t="s">
        <v>446</v>
      </c>
      <c r="K347" s="67" t="s">
        <v>19</v>
      </c>
      <c r="L347" s="67" t="s">
        <v>143</v>
      </c>
      <c r="M347" s="47" t="s">
        <v>471</v>
      </c>
    </row>
    <row r="348" spans="1:13" x14ac:dyDescent="0.35">
      <c r="A348" s="17">
        <v>45703</v>
      </c>
      <c r="B348" s="39">
        <v>57.06</v>
      </c>
      <c r="C348" s="39">
        <v>5.15</v>
      </c>
      <c r="D348" s="45">
        <v>22502017</v>
      </c>
      <c r="E348" s="45" t="s">
        <v>44</v>
      </c>
      <c r="F348" s="45">
        <v>1250</v>
      </c>
      <c r="G348" s="35">
        <v>0.44236111111111109</v>
      </c>
      <c r="H348" s="35">
        <v>0.54861111111111116</v>
      </c>
      <c r="I348" s="36">
        <v>153</v>
      </c>
      <c r="J348" s="67" t="s">
        <v>35</v>
      </c>
      <c r="K348" s="67" t="s">
        <v>41</v>
      </c>
      <c r="L348" s="67" t="s">
        <v>454</v>
      </c>
      <c r="M348" s="49" t="s">
        <v>472</v>
      </c>
    </row>
    <row r="349" spans="1:13" x14ac:dyDescent="0.35">
      <c r="A349" s="17">
        <v>45704</v>
      </c>
      <c r="B349" s="39">
        <v>57.06</v>
      </c>
      <c r="C349" s="39">
        <v>5.39</v>
      </c>
      <c r="D349" s="39">
        <v>22502018</v>
      </c>
      <c r="E349" s="39" t="s">
        <v>69</v>
      </c>
      <c r="F349" s="39" t="s">
        <v>462</v>
      </c>
      <c r="G349" s="35">
        <v>0.57638888888888884</v>
      </c>
      <c r="H349" s="35">
        <v>0.59722222222222221</v>
      </c>
      <c r="I349" s="36">
        <v>30</v>
      </c>
      <c r="J349" s="67" t="s">
        <v>51</v>
      </c>
      <c r="K349" t="s">
        <v>21</v>
      </c>
      <c r="L349" s="67" t="s">
        <v>53</v>
      </c>
      <c r="M349" s="47" t="s">
        <v>54</v>
      </c>
    </row>
    <row r="350" spans="1:13" x14ac:dyDescent="0.35">
      <c r="A350" s="17">
        <v>45704</v>
      </c>
      <c r="B350" s="39">
        <v>57.06</v>
      </c>
      <c r="C350" s="39">
        <v>5.39</v>
      </c>
      <c r="D350" s="39">
        <v>22502018</v>
      </c>
      <c r="E350" s="39" t="s">
        <v>69</v>
      </c>
      <c r="F350" s="39" t="s">
        <v>462</v>
      </c>
      <c r="G350" s="35">
        <v>0.59722222222222221</v>
      </c>
      <c r="H350" s="35">
        <v>0.79166666666666663</v>
      </c>
      <c r="I350" s="36">
        <v>280</v>
      </c>
      <c r="J350" s="67" t="s">
        <v>446</v>
      </c>
      <c r="K350" s="67" t="s">
        <v>41</v>
      </c>
      <c r="L350" s="67" t="s">
        <v>454</v>
      </c>
      <c r="M350" s="47" t="s">
        <v>473</v>
      </c>
    </row>
    <row r="351" spans="1:13" x14ac:dyDescent="0.35">
      <c r="A351" s="17">
        <v>45706</v>
      </c>
      <c r="B351" s="45">
        <v>57</v>
      </c>
      <c r="C351" s="45">
        <v>5.62</v>
      </c>
      <c r="D351" s="39">
        <v>22502019</v>
      </c>
      <c r="E351" s="39" t="s">
        <v>119</v>
      </c>
      <c r="F351" s="39" t="s">
        <v>58</v>
      </c>
      <c r="G351" s="35">
        <v>1.3888888888888888E-2</v>
      </c>
      <c r="H351" s="35">
        <v>3.4722222222222224E-2</v>
      </c>
      <c r="I351" s="36">
        <v>30</v>
      </c>
      <c r="J351" s="67" t="s">
        <v>51</v>
      </c>
      <c r="K351" s="67" t="s">
        <v>445</v>
      </c>
      <c r="L351" s="67" t="s">
        <v>53</v>
      </c>
      <c r="M351" s="47" t="s">
        <v>54</v>
      </c>
    </row>
    <row r="352" spans="1:13" x14ac:dyDescent="0.35">
      <c r="A352" s="17">
        <v>45706</v>
      </c>
      <c r="B352" s="39">
        <v>57.06</v>
      </c>
      <c r="C352" s="39">
        <v>5.24</v>
      </c>
      <c r="D352" s="39">
        <v>22502019</v>
      </c>
      <c r="E352" s="39" t="s">
        <v>119</v>
      </c>
      <c r="F352" s="39" t="s">
        <v>58</v>
      </c>
      <c r="G352" s="35">
        <v>3.4722222222222224E-2</v>
      </c>
      <c r="H352" s="35">
        <v>4.5138888888888888E-2</v>
      </c>
      <c r="I352" s="36">
        <v>15</v>
      </c>
      <c r="J352" s="67" t="s">
        <v>52</v>
      </c>
      <c r="K352" s="67" t="s">
        <v>445</v>
      </c>
      <c r="L352" s="67" t="s">
        <v>59</v>
      </c>
      <c r="M352" s="47" t="s">
        <v>432</v>
      </c>
    </row>
    <row r="353" spans="1:13" x14ac:dyDescent="0.35">
      <c r="A353" s="17">
        <v>45706</v>
      </c>
      <c r="B353" s="39">
        <v>57.06</v>
      </c>
      <c r="C353" s="39">
        <v>5.24</v>
      </c>
      <c r="D353" s="39">
        <v>22502020</v>
      </c>
      <c r="E353" s="39" t="s">
        <v>126</v>
      </c>
      <c r="F353" s="39">
        <v>1250</v>
      </c>
      <c r="G353" s="35">
        <v>0.13819444444444445</v>
      </c>
      <c r="H353" s="35">
        <v>0.22152777777777777</v>
      </c>
      <c r="I353" s="36">
        <v>120</v>
      </c>
      <c r="J353" s="67" t="s">
        <v>35</v>
      </c>
      <c r="K353" s="67" t="s">
        <v>41</v>
      </c>
      <c r="L353" s="67" t="s">
        <v>454</v>
      </c>
      <c r="M353" s="49" t="s">
        <v>475</v>
      </c>
    </row>
    <row r="354" spans="1:13" x14ac:dyDescent="0.35">
      <c r="A354" s="17">
        <v>45706</v>
      </c>
      <c r="B354" s="39">
        <v>57.06</v>
      </c>
      <c r="C354" s="39">
        <v>5.24</v>
      </c>
      <c r="D354" s="39">
        <v>22502020</v>
      </c>
      <c r="E354" s="39" t="s">
        <v>126</v>
      </c>
      <c r="F354" s="39">
        <v>1250</v>
      </c>
      <c r="G354" s="35">
        <v>0.22152777777777777</v>
      </c>
      <c r="H354" s="35">
        <v>0.29166666666666669</v>
      </c>
      <c r="I354" s="36">
        <v>101</v>
      </c>
      <c r="J354" s="67" t="s">
        <v>446</v>
      </c>
      <c r="K354" s="67" t="s">
        <v>26</v>
      </c>
      <c r="L354" s="47" t="s">
        <v>476</v>
      </c>
      <c r="M354" s="47" t="s">
        <v>476</v>
      </c>
    </row>
    <row r="355" spans="1:13" x14ac:dyDescent="0.35">
      <c r="A355" s="17">
        <v>45707</v>
      </c>
      <c r="B355" s="39">
        <v>56.97</v>
      </c>
      <c r="C355" s="39">
        <v>5.37</v>
      </c>
      <c r="D355" s="39">
        <v>22502021</v>
      </c>
      <c r="E355" s="39" t="s">
        <v>101</v>
      </c>
      <c r="F355" s="39">
        <v>1250</v>
      </c>
      <c r="G355" s="35">
        <v>0.3923611111111111</v>
      </c>
      <c r="H355" s="35">
        <v>0.44791666666666669</v>
      </c>
      <c r="I355" s="36">
        <v>80</v>
      </c>
      <c r="J355" s="67" t="s">
        <v>463</v>
      </c>
      <c r="K355" s="67" t="s">
        <v>26</v>
      </c>
      <c r="L355" s="67" t="s">
        <v>477</v>
      </c>
      <c r="M355" s="47" t="s">
        <v>478</v>
      </c>
    </row>
    <row r="356" spans="1:13" x14ac:dyDescent="0.35">
      <c r="A356" s="17">
        <v>45707</v>
      </c>
      <c r="B356" s="39">
        <v>56.97</v>
      </c>
      <c r="C356" s="39">
        <v>5.37</v>
      </c>
      <c r="D356" s="39">
        <v>22502021</v>
      </c>
      <c r="E356" s="39" t="s">
        <v>101</v>
      </c>
      <c r="F356" s="39">
        <v>1250</v>
      </c>
      <c r="G356" s="35">
        <v>0.44791666666666669</v>
      </c>
      <c r="H356" s="35">
        <v>0.51736111111111116</v>
      </c>
      <c r="I356" s="36">
        <v>100</v>
      </c>
      <c r="J356" s="67" t="s">
        <v>446</v>
      </c>
      <c r="K356" s="67" t="s">
        <v>41</v>
      </c>
      <c r="L356" s="67" t="s">
        <v>124</v>
      </c>
      <c r="M356" s="47" t="s">
        <v>479</v>
      </c>
    </row>
    <row r="357" spans="1:13" x14ac:dyDescent="0.35">
      <c r="A357" s="17">
        <v>45708</v>
      </c>
      <c r="B357" s="39">
        <v>57.02</v>
      </c>
      <c r="C357" s="39">
        <v>5.66</v>
      </c>
      <c r="D357" s="39">
        <v>22502022</v>
      </c>
      <c r="E357" s="39" t="s">
        <v>72</v>
      </c>
      <c r="F357" s="39">
        <v>1260</v>
      </c>
      <c r="G357" s="35">
        <v>0.73263888888888884</v>
      </c>
      <c r="H357" s="35">
        <v>0.75347222222222221</v>
      </c>
      <c r="I357" s="36">
        <v>30</v>
      </c>
      <c r="J357" s="67" t="s">
        <v>51</v>
      </c>
      <c r="K357" s="67" t="s">
        <v>445</v>
      </c>
      <c r="L357" s="67" t="s">
        <v>53</v>
      </c>
      <c r="M357" s="47" t="s">
        <v>54</v>
      </c>
    </row>
    <row r="358" spans="1:13" x14ac:dyDescent="0.35">
      <c r="A358" s="17">
        <v>45708</v>
      </c>
      <c r="B358" s="39">
        <v>57.02</v>
      </c>
      <c r="C358" s="39">
        <v>5.66</v>
      </c>
      <c r="D358" s="39">
        <v>22502022</v>
      </c>
      <c r="E358" s="39" t="s">
        <v>72</v>
      </c>
      <c r="F358" s="39">
        <v>1260</v>
      </c>
      <c r="G358" s="35">
        <v>0.75347222222222221</v>
      </c>
      <c r="H358" s="35">
        <v>0.77430555555555558</v>
      </c>
      <c r="I358" s="36">
        <v>30</v>
      </c>
      <c r="J358" s="67" t="s">
        <v>52</v>
      </c>
      <c r="K358" s="67" t="s">
        <v>445</v>
      </c>
      <c r="L358" s="67" t="s">
        <v>178</v>
      </c>
      <c r="M358" s="47" t="s">
        <v>179</v>
      </c>
    </row>
    <row r="359" spans="1:13" x14ac:dyDescent="0.35">
      <c r="A359" s="17">
        <v>45708</v>
      </c>
      <c r="B359" s="39">
        <v>57.02</v>
      </c>
      <c r="C359" s="39">
        <v>5.66</v>
      </c>
      <c r="D359" s="39">
        <v>22502022</v>
      </c>
      <c r="E359" s="39" t="s">
        <v>72</v>
      </c>
      <c r="F359" s="39">
        <v>1260</v>
      </c>
      <c r="G359" s="35">
        <v>0.77430555555555558</v>
      </c>
      <c r="H359" s="35">
        <v>0.78125</v>
      </c>
      <c r="I359" s="36">
        <v>10</v>
      </c>
      <c r="J359" s="67" t="s">
        <v>446</v>
      </c>
      <c r="K359" s="67" t="s">
        <v>19</v>
      </c>
      <c r="L359" s="67" t="s">
        <v>481</v>
      </c>
      <c r="M359" s="47" t="s">
        <v>482</v>
      </c>
    </row>
    <row r="360" spans="1:13" x14ac:dyDescent="0.35">
      <c r="A360" s="17">
        <v>45708</v>
      </c>
      <c r="B360" s="39">
        <v>57.02</v>
      </c>
      <c r="C360" s="39">
        <v>5.66</v>
      </c>
      <c r="D360" s="39">
        <v>22502022</v>
      </c>
      <c r="E360" s="39" t="s">
        <v>72</v>
      </c>
      <c r="F360" s="39">
        <v>1260</v>
      </c>
      <c r="G360" s="35">
        <v>0.78125</v>
      </c>
      <c r="H360" s="35">
        <v>0.78472222222222221</v>
      </c>
      <c r="I360" s="36">
        <v>5</v>
      </c>
      <c r="J360" s="67" t="s">
        <v>446</v>
      </c>
      <c r="K360" s="67" t="s">
        <v>445</v>
      </c>
      <c r="L360" s="67" t="s">
        <v>74</v>
      </c>
      <c r="M360" s="47" t="s">
        <v>298</v>
      </c>
    </row>
    <row r="361" spans="1:13" x14ac:dyDescent="0.35">
      <c r="A361" s="17">
        <v>45709</v>
      </c>
      <c r="B361" s="39">
        <v>57.06</v>
      </c>
      <c r="C361" s="39">
        <v>5.25</v>
      </c>
      <c r="D361" s="39">
        <v>22502023</v>
      </c>
      <c r="E361" s="39" t="s">
        <v>341</v>
      </c>
      <c r="F361" s="39">
        <v>1230</v>
      </c>
      <c r="G361" s="35">
        <v>0.16666666666666666</v>
      </c>
      <c r="H361" s="35">
        <v>0.19791666666666666</v>
      </c>
      <c r="I361" s="36">
        <v>45</v>
      </c>
      <c r="J361" s="67" t="s">
        <v>35</v>
      </c>
      <c r="K361" s="67" t="s">
        <v>19</v>
      </c>
      <c r="L361" s="67" t="s">
        <v>483</v>
      </c>
      <c r="M361" s="49" t="s">
        <v>484</v>
      </c>
    </row>
    <row r="362" spans="1:13" x14ac:dyDescent="0.35">
      <c r="A362" s="17">
        <v>45709</v>
      </c>
      <c r="B362" s="39">
        <v>57.06</v>
      </c>
      <c r="C362" s="39">
        <v>5.25</v>
      </c>
      <c r="D362" s="39">
        <v>22502023</v>
      </c>
      <c r="E362" s="39" t="s">
        <v>341</v>
      </c>
      <c r="F362" s="39">
        <v>1230</v>
      </c>
      <c r="G362" s="35">
        <v>0.19791666666666666</v>
      </c>
      <c r="H362" s="35">
        <v>0.22916666666666666</v>
      </c>
      <c r="I362" s="36">
        <v>45</v>
      </c>
      <c r="J362" s="67" t="s">
        <v>446</v>
      </c>
      <c r="K362" s="67" t="s">
        <v>41</v>
      </c>
      <c r="L362" s="67" t="s">
        <v>124</v>
      </c>
      <c r="M362" s="47" t="s">
        <v>485</v>
      </c>
    </row>
    <row r="363" spans="1:13" x14ac:dyDescent="0.35">
      <c r="A363" s="17">
        <v>45709</v>
      </c>
      <c r="B363" s="39">
        <v>57.06</v>
      </c>
      <c r="C363" s="39">
        <v>5.25</v>
      </c>
      <c r="D363" s="39">
        <v>22502023</v>
      </c>
      <c r="E363" s="39" t="s">
        <v>341</v>
      </c>
      <c r="F363" s="39">
        <v>1230</v>
      </c>
      <c r="G363" s="35">
        <v>0.22916666666666666</v>
      </c>
      <c r="H363" s="35">
        <v>0.31944444444444442</v>
      </c>
      <c r="I363" s="36">
        <v>130</v>
      </c>
      <c r="J363" s="67" t="s">
        <v>446</v>
      </c>
      <c r="K363" s="67" t="s">
        <v>41</v>
      </c>
      <c r="L363" s="67" t="s">
        <v>124</v>
      </c>
      <c r="M363" s="47" t="s">
        <v>486</v>
      </c>
    </row>
    <row r="364" spans="1:13" x14ac:dyDescent="0.35">
      <c r="A364" s="17">
        <v>45710</v>
      </c>
      <c r="B364" s="39">
        <v>57.02</v>
      </c>
      <c r="C364" s="39">
        <v>5.56</v>
      </c>
      <c r="D364" s="39">
        <v>22502024</v>
      </c>
      <c r="E364" s="39" t="s">
        <v>103</v>
      </c>
      <c r="F364" s="39" t="s">
        <v>487</v>
      </c>
      <c r="G364" s="35">
        <v>0.20833333333333334</v>
      </c>
      <c r="H364" s="35">
        <v>0.25</v>
      </c>
      <c r="I364" s="36">
        <v>60</v>
      </c>
      <c r="J364" s="37" t="s">
        <v>463</v>
      </c>
      <c r="K364" s="88" t="s">
        <v>41</v>
      </c>
      <c r="L364" s="67" t="s">
        <v>489</v>
      </c>
      <c r="M364" s="106" t="s">
        <v>490</v>
      </c>
    </row>
    <row r="365" spans="1:13" x14ac:dyDescent="0.35">
      <c r="A365" s="17">
        <v>45710</v>
      </c>
      <c r="B365" s="39">
        <v>57.02</v>
      </c>
      <c r="C365" s="39">
        <v>5.56</v>
      </c>
      <c r="D365" s="39">
        <v>22502024</v>
      </c>
      <c r="E365" s="39" t="s">
        <v>103</v>
      </c>
      <c r="F365" s="39" t="s">
        <v>487</v>
      </c>
      <c r="G365" s="107">
        <v>0.25</v>
      </c>
      <c r="H365" s="107">
        <v>0.25138888888888888</v>
      </c>
      <c r="I365" s="108">
        <v>2</v>
      </c>
      <c r="J365" s="109" t="s">
        <v>446</v>
      </c>
      <c r="K365" s="110" t="s">
        <v>445</v>
      </c>
      <c r="L365" s="109" t="s">
        <v>74</v>
      </c>
      <c r="M365" s="111" t="s">
        <v>298</v>
      </c>
    </row>
    <row r="366" spans="1:13" x14ac:dyDescent="0.35">
      <c r="A366" s="17">
        <v>45711</v>
      </c>
      <c r="B366" s="39">
        <v>57.39</v>
      </c>
      <c r="C366" s="39">
        <v>5.39</v>
      </c>
      <c r="D366" s="39">
        <v>22502025</v>
      </c>
      <c r="E366" s="39" t="s">
        <v>141</v>
      </c>
      <c r="F366" s="39">
        <v>1250</v>
      </c>
      <c r="G366" s="35">
        <v>0.46875</v>
      </c>
      <c r="H366" s="35">
        <v>0.48958333333333331</v>
      </c>
      <c r="I366" s="36">
        <v>30</v>
      </c>
      <c r="J366" s="67" t="s">
        <v>51</v>
      </c>
      <c r="K366" s="67" t="s">
        <v>445</v>
      </c>
      <c r="L366" s="67" t="s">
        <v>53</v>
      </c>
      <c r="M366" s="47" t="s">
        <v>54</v>
      </c>
    </row>
    <row r="367" spans="1:13" x14ac:dyDescent="0.35">
      <c r="A367" s="17">
        <v>45711</v>
      </c>
      <c r="B367" s="39">
        <v>57.39</v>
      </c>
      <c r="C367" s="39">
        <v>5.39</v>
      </c>
      <c r="D367" s="39">
        <v>22502025</v>
      </c>
      <c r="E367" s="39" t="s">
        <v>141</v>
      </c>
      <c r="F367" s="39">
        <v>1250</v>
      </c>
      <c r="G367" s="35">
        <v>0.48958333333333331</v>
      </c>
      <c r="H367" s="35">
        <v>0.49513888888888891</v>
      </c>
      <c r="I367" s="36">
        <v>8</v>
      </c>
      <c r="J367" s="67" t="s">
        <v>52</v>
      </c>
      <c r="K367" s="67" t="s">
        <v>445</v>
      </c>
      <c r="L367" s="67" t="s">
        <v>59</v>
      </c>
      <c r="M367" s="47" t="s">
        <v>432</v>
      </c>
    </row>
    <row r="368" spans="1:13" x14ac:dyDescent="0.35">
      <c r="A368" s="17">
        <v>45711</v>
      </c>
      <c r="B368" s="39">
        <v>57.39</v>
      </c>
      <c r="C368" s="39">
        <v>5.39</v>
      </c>
      <c r="D368" s="39">
        <v>22502025</v>
      </c>
      <c r="E368" s="39" t="s">
        <v>141</v>
      </c>
      <c r="F368" s="39">
        <v>1250</v>
      </c>
      <c r="G368" s="35">
        <v>0.49513888888888891</v>
      </c>
      <c r="H368" s="35">
        <v>0.50694444444444442</v>
      </c>
      <c r="I368" s="36">
        <v>17</v>
      </c>
      <c r="J368" s="67" t="s">
        <v>52</v>
      </c>
      <c r="K368" s="67" t="s">
        <v>62</v>
      </c>
      <c r="L368" s="67" t="s">
        <v>130</v>
      </c>
      <c r="M368" s="47" t="s">
        <v>422</v>
      </c>
    </row>
    <row r="369" spans="1:13" x14ac:dyDescent="0.35">
      <c r="A369" s="17">
        <v>45711</v>
      </c>
      <c r="B369" s="39">
        <v>57.39</v>
      </c>
      <c r="C369" s="39">
        <v>5.39</v>
      </c>
      <c r="D369" s="39">
        <v>22502025</v>
      </c>
      <c r="E369" s="39" t="s">
        <v>141</v>
      </c>
      <c r="F369" s="39">
        <v>1250</v>
      </c>
      <c r="G369" s="35">
        <v>0.50694444444444442</v>
      </c>
      <c r="H369" s="35">
        <v>0.51388888888888884</v>
      </c>
      <c r="I369" s="36">
        <v>10</v>
      </c>
      <c r="J369" s="67" t="s">
        <v>446</v>
      </c>
      <c r="K369" s="67" t="s">
        <v>19</v>
      </c>
      <c r="L369" s="47" t="s">
        <v>491</v>
      </c>
      <c r="M369" s="47" t="s">
        <v>491</v>
      </c>
    </row>
    <row r="370" spans="1:13" x14ac:dyDescent="0.35">
      <c r="A370" s="17">
        <v>45712</v>
      </c>
      <c r="B370" s="39">
        <v>57.03</v>
      </c>
      <c r="C370" s="39">
        <v>5.35</v>
      </c>
      <c r="D370" s="39">
        <v>22502026</v>
      </c>
      <c r="E370" s="39" t="s">
        <v>80</v>
      </c>
      <c r="F370" s="39">
        <v>1250</v>
      </c>
      <c r="G370" s="35">
        <v>0.7583333333333333</v>
      </c>
      <c r="H370" s="35">
        <v>0.77916666666666667</v>
      </c>
      <c r="I370" s="36">
        <v>30</v>
      </c>
      <c r="J370" s="67" t="s">
        <v>51</v>
      </c>
      <c r="K370" s="67" t="s">
        <v>445</v>
      </c>
      <c r="L370" s="67" t="s">
        <v>53</v>
      </c>
      <c r="M370" s="47" t="s">
        <v>54</v>
      </c>
    </row>
    <row r="371" spans="1:13" x14ac:dyDescent="0.35">
      <c r="A371" s="17">
        <v>45712</v>
      </c>
      <c r="B371" s="39">
        <v>57.03</v>
      </c>
      <c r="C371" s="39">
        <v>5.35</v>
      </c>
      <c r="D371" s="39">
        <v>22502026</v>
      </c>
      <c r="E371" s="39" t="s">
        <v>80</v>
      </c>
      <c r="F371" s="39">
        <v>1250</v>
      </c>
      <c r="G371" s="35">
        <v>0.77916666666666667</v>
      </c>
      <c r="H371" s="35">
        <v>0.7944444444444444</v>
      </c>
      <c r="I371" s="36">
        <v>22</v>
      </c>
      <c r="J371" s="67" t="s">
        <v>446</v>
      </c>
      <c r="K371" s="67" t="s">
        <v>41</v>
      </c>
      <c r="L371" s="67" t="s">
        <v>124</v>
      </c>
      <c r="M371" s="47" t="s">
        <v>493</v>
      </c>
    </row>
    <row r="372" spans="1:13" x14ac:dyDescent="0.35">
      <c r="A372" s="17">
        <v>45714</v>
      </c>
      <c r="B372" s="39">
        <v>57.03</v>
      </c>
      <c r="C372" s="39">
        <v>5.3</v>
      </c>
      <c r="D372" s="39">
        <v>22502027</v>
      </c>
      <c r="E372" s="39" t="s">
        <v>141</v>
      </c>
      <c r="F372" s="39" t="s">
        <v>58</v>
      </c>
      <c r="G372" s="35">
        <v>2.7777777777777776E-2</v>
      </c>
      <c r="H372" s="35">
        <v>4.8611111111111112E-2</v>
      </c>
      <c r="I372" s="36">
        <v>30</v>
      </c>
      <c r="J372" s="67" t="s">
        <v>51</v>
      </c>
      <c r="K372" s="67" t="s">
        <v>445</v>
      </c>
      <c r="L372" s="67" t="s">
        <v>53</v>
      </c>
      <c r="M372" s="47" t="s">
        <v>54</v>
      </c>
    </row>
    <row r="373" spans="1:13" x14ac:dyDescent="0.35">
      <c r="A373" s="17">
        <v>45714</v>
      </c>
      <c r="B373" s="39">
        <v>57.03</v>
      </c>
      <c r="C373" s="39">
        <v>5.3</v>
      </c>
      <c r="D373" s="39">
        <v>22502027</v>
      </c>
      <c r="E373" s="39" t="s">
        <v>141</v>
      </c>
      <c r="F373" s="39" t="s">
        <v>58</v>
      </c>
      <c r="G373" s="35">
        <v>4.8611111111111112E-2</v>
      </c>
      <c r="H373" s="35">
        <v>5.4166666666666669E-2</v>
      </c>
      <c r="I373" s="36">
        <v>8</v>
      </c>
      <c r="J373" s="67" t="s">
        <v>52</v>
      </c>
      <c r="K373" s="67" t="s">
        <v>445</v>
      </c>
      <c r="L373" s="67" t="s">
        <v>59</v>
      </c>
      <c r="M373" s="47" t="s">
        <v>432</v>
      </c>
    </row>
    <row r="374" spans="1:13" x14ac:dyDescent="0.35">
      <c r="A374" s="17">
        <v>45714</v>
      </c>
      <c r="B374" s="39">
        <v>57.03</v>
      </c>
      <c r="C374" s="39">
        <v>5.3</v>
      </c>
      <c r="D374" s="39">
        <v>22502027</v>
      </c>
      <c r="E374" s="39" t="s">
        <v>141</v>
      </c>
      <c r="F374" s="39" t="s">
        <v>58</v>
      </c>
      <c r="G374" s="35">
        <v>5.4166666666666669E-2</v>
      </c>
      <c r="H374" s="35">
        <v>6.25E-2</v>
      </c>
      <c r="I374" s="36">
        <v>12</v>
      </c>
      <c r="J374" s="67" t="s">
        <v>52</v>
      </c>
      <c r="K374" s="67" t="s">
        <v>62</v>
      </c>
      <c r="L374" s="67" t="s">
        <v>130</v>
      </c>
      <c r="M374" s="47" t="s">
        <v>164</v>
      </c>
    </row>
    <row r="375" spans="1:13" x14ac:dyDescent="0.35">
      <c r="A375" s="17">
        <v>45715</v>
      </c>
      <c r="B375" s="39">
        <v>57.03</v>
      </c>
      <c r="C375" s="39">
        <v>5.53</v>
      </c>
      <c r="D375" s="39">
        <v>22502028</v>
      </c>
      <c r="E375" s="39" t="s">
        <v>496</v>
      </c>
      <c r="F375" s="39" t="s">
        <v>494</v>
      </c>
      <c r="G375" s="35">
        <v>0.375</v>
      </c>
      <c r="H375" s="35">
        <v>0.39583333333333331</v>
      </c>
      <c r="I375" s="36">
        <v>30</v>
      </c>
      <c r="J375" s="67" t="s">
        <v>51</v>
      </c>
      <c r="K375" s="67" t="s">
        <v>445</v>
      </c>
      <c r="L375" s="67" t="s">
        <v>53</v>
      </c>
      <c r="M375" s="47" t="s">
        <v>54</v>
      </c>
    </row>
    <row r="376" spans="1:13" x14ac:dyDescent="0.35">
      <c r="A376" s="17">
        <v>45715</v>
      </c>
      <c r="B376" s="39">
        <v>57.03</v>
      </c>
      <c r="C376" s="39">
        <v>5.53</v>
      </c>
      <c r="D376" s="39">
        <v>22502028</v>
      </c>
      <c r="E376" s="39" t="s">
        <v>496</v>
      </c>
      <c r="F376" s="39" t="s">
        <v>494</v>
      </c>
      <c r="G376" s="35">
        <v>0.39583333333333331</v>
      </c>
      <c r="H376" s="35">
        <v>0.56597222222222221</v>
      </c>
      <c r="I376" s="36">
        <v>245</v>
      </c>
      <c r="J376" s="67" t="s">
        <v>446</v>
      </c>
      <c r="K376" s="67" t="s">
        <v>41</v>
      </c>
      <c r="L376" s="67" t="s">
        <v>124</v>
      </c>
      <c r="M376" s="47" t="s">
        <v>497</v>
      </c>
    </row>
    <row r="377" spans="1:13" x14ac:dyDescent="0.35">
      <c r="A377" s="17">
        <v>45716</v>
      </c>
      <c r="B377" s="45">
        <v>57.05</v>
      </c>
      <c r="C377" s="45">
        <v>5.46</v>
      </c>
      <c r="D377" s="46">
        <v>22502029</v>
      </c>
      <c r="E377" s="45" t="s">
        <v>103</v>
      </c>
      <c r="F377" s="45">
        <v>1250</v>
      </c>
      <c r="G377" s="35">
        <v>0.3611111111111111</v>
      </c>
      <c r="H377" s="35">
        <v>0.43402777777777779</v>
      </c>
      <c r="I377" s="36">
        <v>105</v>
      </c>
      <c r="J377" s="67" t="s">
        <v>25</v>
      </c>
      <c r="K377" s="67" t="s">
        <v>445</v>
      </c>
      <c r="L377" s="67" t="s">
        <v>456</v>
      </c>
      <c r="M377" s="60" t="s">
        <v>227</v>
      </c>
    </row>
    <row r="378" spans="1:13" x14ac:dyDescent="0.35">
      <c r="A378" s="17">
        <v>45717</v>
      </c>
      <c r="B378" s="39">
        <v>57.04</v>
      </c>
      <c r="C378" s="39">
        <v>5.16</v>
      </c>
      <c r="D378" s="46">
        <v>22502030</v>
      </c>
      <c r="E378" s="45" t="s">
        <v>202</v>
      </c>
      <c r="F378" s="45">
        <v>1255</v>
      </c>
      <c r="G378" s="35">
        <v>0.47916666666666669</v>
      </c>
      <c r="H378" s="35">
        <v>0.85763888888888884</v>
      </c>
      <c r="I378" s="36">
        <v>545</v>
      </c>
      <c r="J378" s="67" t="s">
        <v>448</v>
      </c>
      <c r="K378" s="67" t="s">
        <v>15</v>
      </c>
      <c r="L378" s="67" t="s">
        <v>448</v>
      </c>
      <c r="M378" s="47" t="s">
        <v>500</v>
      </c>
    </row>
    <row r="379" spans="1:13" x14ac:dyDescent="0.35">
      <c r="A379" s="17">
        <v>45719</v>
      </c>
      <c r="B379" s="45">
        <v>57.02</v>
      </c>
      <c r="C379" s="45">
        <v>5.69</v>
      </c>
      <c r="D379" s="39">
        <v>22503001</v>
      </c>
      <c r="E379" s="39" t="s">
        <v>141</v>
      </c>
      <c r="F379" s="39">
        <v>1260</v>
      </c>
      <c r="G379" s="35">
        <v>9.7222222222222224E-2</v>
      </c>
      <c r="H379" s="35">
        <v>0.11805555555555555</v>
      </c>
      <c r="I379" s="36">
        <v>30</v>
      </c>
      <c r="J379" s="67" t="s">
        <v>51</v>
      </c>
      <c r="K379" s="67" t="s">
        <v>445</v>
      </c>
      <c r="L379" s="67" t="s">
        <v>53</v>
      </c>
      <c r="M379" s="47" t="s">
        <v>54</v>
      </c>
    </row>
    <row r="380" spans="1:13" x14ac:dyDescent="0.35">
      <c r="A380" s="17">
        <v>45719</v>
      </c>
      <c r="B380" s="45">
        <v>56.9</v>
      </c>
      <c r="C380" s="45">
        <v>5.35</v>
      </c>
      <c r="D380" s="39">
        <v>22503001</v>
      </c>
      <c r="E380" s="39" t="s">
        <v>141</v>
      </c>
      <c r="F380" s="39">
        <v>1260</v>
      </c>
      <c r="G380" s="35">
        <v>0.11805555555555555</v>
      </c>
      <c r="H380" s="35">
        <v>0.12847222222222221</v>
      </c>
      <c r="I380" s="36">
        <v>15</v>
      </c>
      <c r="J380" s="67" t="s">
        <v>52</v>
      </c>
      <c r="K380" s="67" t="s">
        <v>445</v>
      </c>
      <c r="L380" s="67" t="s">
        <v>59</v>
      </c>
      <c r="M380" s="47" t="s">
        <v>432</v>
      </c>
    </row>
    <row r="381" spans="1:13" x14ac:dyDescent="0.35">
      <c r="A381" s="17">
        <v>45720</v>
      </c>
      <c r="B381" s="45">
        <v>57.02</v>
      </c>
      <c r="C381" s="45">
        <v>5.44</v>
      </c>
      <c r="D381" s="45">
        <v>22503002</v>
      </c>
      <c r="E381" s="45" t="s">
        <v>496</v>
      </c>
      <c r="F381" s="45">
        <v>1250</v>
      </c>
      <c r="G381" s="35">
        <v>0.44305555555555554</v>
      </c>
      <c r="H381" s="35">
        <v>0.46388888888888891</v>
      </c>
      <c r="I381" s="36">
        <v>30</v>
      </c>
      <c r="J381" s="67" t="s">
        <v>51</v>
      </c>
      <c r="K381" s="67" t="s">
        <v>445</v>
      </c>
      <c r="L381" s="67" t="s">
        <v>53</v>
      </c>
      <c r="M381" s="47" t="s">
        <v>54</v>
      </c>
    </row>
    <row r="382" spans="1:13" x14ac:dyDescent="0.35">
      <c r="A382" s="17">
        <v>45721</v>
      </c>
      <c r="B382" s="39">
        <v>56.98</v>
      </c>
      <c r="C382" s="39">
        <v>5.58</v>
      </c>
      <c r="D382" s="39">
        <v>22503003</v>
      </c>
      <c r="E382" s="39" t="s">
        <v>503</v>
      </c>
      <c r="F382" s="39">
        <v>1260</v>
      </c>
      <c r="G382" s="35">
        <v>0.79166666666666663</v>
      </c>
      <c r="H382" s="35">
        <v>0.8125</v>
      </c>
      <c r="I382" s="36">
        <v>30</v>
      </c>
      <c r="J382" s="67" t="s">
        <v>51</v>
      </c>
      <c r="K382" s="67" t="s">
        <v>445</v>
      </c>
      <c r="L382" s="67" t="s">
        <v>53</v>
      </c>
      <c r="M382" s="95" t="s">
        <v>54</v>
      </c>
    </row>
    <row r="383" spans="1:13" x14ac:dyDescent="0.35">
      <c r="A383" s="17">
        <v>45721</v>
      </c>
      <c r="B383" s="39">
        <v>56.98</v>
      </c>
      <c r="C383" s="39">
        <v>5.58</v>
      </c>
      <c r="D383" s="39">
        <v>22503003</v>
      </c>
      <c r="E383" s="39" t="s">
        <v>503</v>
      </c>
      <c r="F383" s="39">
        <v>1260</v>
      </c>
      <c r="G383" s="35">
        <v>0.8125</v>
      </c>
      <c r="H383" s="35">
        <v>0.82291666666666663</v>
      </c>
      <c r="I383" s="36">
        <v>15</v>
      </c>
      <c r="J383" s="67" t="s">
        <v>52</v>
      </c>
      <c r="K383" s="67" t="s">
        <v>445</v>
      </c>
      <c r="L383" s="67" t="s">
        <v>59</v>
      </c>
      <c r="M383" s="95" t="s">
        <v>432</v>
      </c>
    </row>
    <row r="384" spans="1:13" x14ac:dyDescent="0.35">
      <c r="A384" s="17">
        <v>45722</v>
      </c>
      <c r="B384" s="45">
        <v>57.03</v>
      </c>
      <c r="C384" s="45">
        <v>5.51</v>
      </c>
      <c r="D384" s="46">
        <v>22503004</v>
      </c>
      <c r="E384" s="45" t="s">
        <v>50</v>
      </c>
      <c r="F384" s="45">
        <v>1255</v>
      </c>
      <c r="G384" s="35">
        <v>0.73750000000000004</v>
      </c>
      <c r="H384" s="35">
        <v>0.85833333333333328</v>
      </c>
      <c r="I384" s="36">
        <v>174</v>
      </c>
      <c r="J384" s="67" t="s">
        <v>25</v>
      </c>
      <c r="K384" s="67" t="s">
        <v>445</v>
      </c>
      <c r="L384" s="67" t="s">
        <v>456</v>
      </c>
      <c r="M384" s="47" t="s">
        <v>504</v>
      </c>
    </row>
    <row r="385" spans="1:13" x14ac:dyDescent="0.35">
      <c r="A385" s="17">
        <v>45723</v>
      </c>
      <c r="B385" s="45">
        <v>57.1</v>
      </c>
      <c r="C385" s="45">
        <v>5.45</v>
      </c>
      <c r="D385" s="46">
        <v>22503005</v>
      </c>
      <c r="E385" s="45" t="s">
        <v>122</v>
      </c>
      <c r="F385" s="45">
        <v>1230</v>
      </c>
      <c r="G385" s="35">
        <v>0.76388888888888884</v>
      </c>
      <c r="H385" s="35">
        <v>0.83680555555555558</v>
      </c>
      <c r="I385" s="36">
        <v>105</v>
      </c>
      <c r="J385" s="67" t="s">
        <v>463</v>
      </c>
      <c r="K385" s="67" t="s">
        <v>26</v>
      </c>
      <c r="L385" s="67" t="s">
        <v>67</v>
      </c>
      <c r="M385" s="47" t="s">
        <v>440</v>
      </c>
    </row>
    <row r="386" spans="1:13" x14ac:dyDescent="0.35">
      <c r="A386" s="17">
        <v>45724</v>
      </c>
      <c r="B386" s="39">
        <v>57.73</v>
      </c>
      <c r="C386" s="39">
        <v>5.26</v>
      </c>
      <c r="D386" s="39">
        <v>22503006</v>
      </c>
      <c r="E386" s="39" t="s">
        <v>167</v>
      </c>
      <c r="F386" s="39">
        <v>1250</v>
      </c>
      <c r="G386" s="35">
        <v>0.52777777777777779</v>
      </c>
      <c r="H386" s="35">
        <v>0.61111111111111116</v>
      </c>
      <c r="I386" s="36">
        <v>120</v>
      </c>
      <c r="J386" s="67" t="s">
        <v>25</v>
      </c>
      <c r="K386" s="67" t="s">
        <v>445</v>
      </c>
      <c r="L386" s="67" t="s">
        <v>492</v>
      </c>
      <c r="M386" s="115" t="s">
        <v>258</v>
      </c>
    </row>
    <row r="387" spans="1:13" x14ac:dyDescent="0.35">
      <c r="A387" s="17">
        <v>45724</v>
      </c>
      <c r="B387" s="39">
        <v>57.73</v>
      </c>
      <c r="C387" s="39">
        <v>5.26</v>
      </c>
      <c r="D387" s="39">
        <v>22503006</v>
      </c>
      <c r="E387" s="39" t="s">
        <v>167</v>
      </c>
      <c r="F387" s="39">
        <v>1250</v>
      </c>
      <c r="G387" s="35">
        <v>0.61111111111111116</v>
      </c>
      <c r="H387" s="35">
        <v>0.63541666666666663</v>
      </c>
      <c r="I387" s="36">
        <v>35</v>
      </c>
      <c r="J387" s="67" t="s">
        <v>446</v>
      </c>
      <c r="K387" s="67" t="s">
        <v>19</v>
      </c>
      <c r="L387" s="47" t="s">
        <v>510</v>
      </c>
      <c r="M387" s="47" t="s">
        <v>510</v>
      </c>
    </row>
    <row r="388" spans="1:13" x14ac:dyDescent="0.35">
      <c r="A388" s="17">
        <v>45725</v>
      </c>
      <c r="B388" s="39">
        <v>57.02</v>
      </c>
      <c r="C388" s="39">
        <v>5.08</v>
      </c>
      <c r="D388" s="39">
        <v>22503007</v>
      </c>
      <c r="E388" s="39" t="s">
        <v>141</v>
      </c>
      <c r="F388" s="39">
        <v>1250</v>
      </c>
      <c r="G388" s="35">
        <v>0.88194444444444442</v>
      </c>
      <c r="H388" s="35">
        <v>0.90277777777777779</v>
      </c>
      <c r="I388" s="36">
        <v>30</v>
      </c>
      <c r="J388" s="67" t="s">
        <v>51</v>
      </c>
      <c r="K388" s="67" t="s">
        <v>445</v>
      </c>
      <c r="L388" s="67" t="s">
        <v>53</v>
      </c>
      <c r="M388" s="47" t="s">
        <v>54</v>
      </c>
    </row>
    <row r="389" spans="1:13" x14ac:dyDescent="0.35">
      <c r="A389" s="17">
        <v>45725</v>
      </c>
      <c r="B389" s="39">
        <v>57.02</v>
      </c>
      <c r="C389" s="39">
        <v>5.08</v>
      </c>
      <c r="D389" s="39">
        <v>22503007</v>
      </c>
      <c r="E389" s="39" t="s">
        <v>141</v>
      </c>
      <c r="F389" s="39">
        <v>1250</v>
      </c>
      <c r="G389" s="35">
        <v>0.90277777777777779</v>
      </c>
      <c r="H389" s="35">
        <v>0.90625</v>
      </c>
      <c r="I389" s="36">
        <v>5</v>
      </c>
      <c r="J389" s="67" t="s">
        <v>446</v>
      </c>
      <c r="K389" s="67" t="s">
        <v>19</v>
      </c>
      <c r="L389" s="47" t="s">
        <v>206</v>
      </c>
      <c r="M389" s="47" t="s">
        <v>206</v>
      </c>
    </row>
    <row r="390" spans="1:13" x14ac:dyDescent="0.35">
      <c r="A390" s="17">
        <v>45726</v>
      </c>
      <c r="B390" s="45">
        <v>56.93</v>
      </c>
      <c r="C390" s="45">
        <v>5.24</v>
      </c>
      <c r="D390" s="45">
        <v>22503008</v>
      </c>
      <c r="E390" s="45" t="s">
        <v>18</v>
      </c>
      <c r="F390" s="45">
        <v>1250</v>
      </c>
      <c r="G390" s="35">
        <v>0.34722222222222221</v>
      </c>
      <c r="H390" s="35">
        <v>0.39027777777777778</v>
      </c>
      <c r="I390" s="36">
        <v>62</v>
      </c>
      <c r="J390" s="67" t="s">
        <v>463</v>
      </c>
      <c r="K390" s="67" t="s">
        <v>445</v>
      </c>
      <c r="L390" s="67" t="s">
        <v>287</v>
      </c>
      <c r="M390" s="114" t="s">
        <v>511</v>
      </c>
    </row>
    <row r="391" spans="1:13" x14ac:dyDescent="0.35">
      <c r="A391" s="17">
        <v>45727</v>
      </c>
      <c r="B391" s="39">
        <v>57.02</v>
      </c>
      <c r="C391" s="39">
        <v>5.46</v>
      </c>
      <c r="D391" s="39">
        <v>22503009</v>
      </c>
      <c r="E391" s="39" t="s">
        <v>119</v>
      </c>
      <c r="F391" s="39">
        <v>1230</v>
      </c>
      <c r="G391" s="35">
        <v>0.61111111111111116</v>
      </c>
      <c r="H391" s="35">
        <v>0.63194444444444442</v>
      </c>
      <c r="I391" s="36">
        <v>30</v>
      </c>
      <c r="J391" s="67" t="s">
        <v>51</v>
      </c>
      <c r="K391" s="67" t="s">
        <v>445</v>
      </c>
      <c r="L391" s="67" t="s">
        <v>53</v>
      </c>
      <c r="M391" s="47" t="s">
        <v>54</v>
      </c>
    </row>
    <row r="392" spans="1:13" x14ac:dyDescent="0.35">
      <c r="A392" s="17">
        <v>45727</v>
      </c>
      <c r="B392" s="39">
        <v>57.02</v>
      </c>
      <c r="C392" s="39">
        <v>5.46</v>
      </c>
      <c r="D392" s="39">
        <v>22503009</v>
      </c>
      <c r="E392" s="39" t="s">
        <v>119</v>
      </c>
      <c r="F392" s="39">
        <v>1230</v>
      </c>
      <c r="G392" s="35">
        <v>0.63194444444444442</v>
      </c>
      <c r="H392" s="35">
        <v>0.63888888888888884</v>
      </c>
      <c r="I392" s="36">
        <v>10</v>
      </c>
      <c r="J392" s="67" t="s">
        <v>52</v>
      </c>
      <c r="K392" s="67" t="s">
        <v>41</v>
      </c>
      <c r="L392" s="67" t="s">
        <v>512</v>
      </c>
      <c r="M392" s="114" t="s">
        <v>513</v>
      </c>
    </row>
    <row r="393" spans="1:13" x14ac:dyDescent="0.35">
      <c r="A393" s="17">
        <v>45727</v>
      </c>
      <c r="B393" s="39">
        <v>57.02</v>
      </c>
      <c r="C393" s="39">
        <v>5.46</v>
      </c>
      <c r="D393" s="39">
        <v>22503009</v>
      </c>
      <c r="E393" s="39" t="s">
        <v>119</v>
      </c>
      <c r="F393" s="39">
        <v>1230</v>
      </c>
      <c r="G393" s="35">
        <v>0.63888888888888884</v>
      </c>
      <c r="H393" s="35">
        <v>0.64583333333333337</v>
      </c>
      <c r="I393" s="36">
        <v>10</v>
      </c>
      <c r="J393" s="67" t="s">
        <v>52</v>
      </c>
      <c r="K393" s="104" t="s">
        <v>62</v>
      </c>
      <c r="L393" s="67" t="s">
        <v>130</v>
      </c>
      <c r="M393" s="114" t="s">
        <v>131</v>
      </c>
    </row>
    <row r="394" spans="1:13" x14ac:dyDescent="0.35">
      <c r="A394" s="17">
        <v>45728</v>
      </c>
      <c r="B394" s="39">
        <v>57.06</v>
      </c>
      <c r="C394" s="39">
        <v>5.19</v>
      </c>
      <c r="D394" s="45">
        <v>22503010</v>
      </c>
      <c r="E394" s="45" t="s">
        <v>156</v>
      </c>
      <c r="F394" s="45" t="s">
        <v>514</v>
      </c>
      <c r="G394" s="35">
        <v>0.53472222222222221</v>
      </c>
      <c r="H394" s="35">
        <v>0.61805555555555558</v>
      </c>
      <c r="I394" s="36">
        <v>120</v>
      </c>
      <c r="J394" s="67" t="s">
        <v>463</v>
      </c>
      <c r="K394" s="67" t="s">
        <v>41</v>
      </c>
      <c r="L394" s="67" t="s">
        <v>489</v>
      </c>
      <c r="M394" s="114" t="s">
        <v>515</v>
      </c>
    </row>
    <row r="395" spans="1:13" x14ac:dyDescent="0.35">
      <c r="A395" s="17">
        <v>45728</v>
      </c>
      <c r="B395" s="39">
        <v>57.06</v>
      </c>
      <c r="C395" s="39">
        <v>5.19</v>
      </c>
      <c r="D395" s="45">
        <v>22503011</v>
      </c>
      <c r="E395" s="45" t="s">
        <v>44</v>
      </c>
      <c r="F395" s="45">
        <v>1250</v>
      </c>
      <c r="G395" s="35">
        <v>0.73958333333333337</v>
      </c>
      <c r="H395" s="35">
        <v>0.86458333333333337</v>
      </c>
      <c r="I395" s="36">
        <v>180</v>
      </c>
      <c r="J395" s="86" t="s">
        <v>35</v>
      </c>
      <c r="K395" s="67" t="s">
        <v>41</v>
      </c>
      <c r="L395" s="67" t="s">
        <v>489</v>
      </c>
      <c r="M395" s="114" t="s">
        <v>516</v>
      </c>
    </row>
    <row r="396" spans="1:13" x14ac:dyDescent="0.35">
      <c r="A396" s="17">
        <v>45729</v>
      </c>
      <c r="B396" s="39">
        <v>57</v>
      </c>
      <c r="C396" s="39">
        <v>5.0999999999999996</v>
      </c>
      <c r="D396" s="45">
        <v>22503012</v>
      </c>
      <c r="E396" s="45" t="s">
        <v>468</v>
      </c>
      <c r="F396" s="45">
        <v>1250</v>
      </c>
      <c r="G396" s="35">
        <v>0.3298611111111111</v>
      </c>
      <c r="H396" s="35">
        <v>0.48472222222222222</v>
      </c>
      <c r="I396" s="36">
        <v>223</v>
      </c>
      <c r="J396" s="86" t="s">
        <v>35</v>
      </c>
      <c r="K396" s="86" t="s">
        <v>41</v>
      </c>
      <c r="L396" s="86" t="s">
        <v>489</v>
      </c>
      <c r="M396" s="49" t="s">
        <v>519</v>
      </c>
    </row>
    <row r="397" spans="1:13" x14ac:dyDescent="0.35">
      <c r="A397" s="17">
        <v>45729</v>
      </c>
      <c r="B397" s="39">
        <v>57</v>
      </c>
      <c r="C397" s="39">
        <v>5.0999999999999996</v>
      </c>
      <c r="D397" s="45">
        <v>22503013</v>
      </c>
      <c r="E397" s="45" t="s">
        <v>341</v>
      </c>
      <c r="F397" s="45">
        <v>1250</v>
      </c>
      <c r="G397" s="35">
        <v>0.90972222222222221</v>
      </c>
      <c r="H397" s="35">
        <v>0.91666666666666663</v>
      </c>
      <c r="I397" s="36">
        <v>10</v>
      </c>
      <c r="J397" s="86" t="s">
        <v>35</v>
      </c>
      <c r="K397" s="86" t="s">
        <v>19</v>
      </c>
      <c r="L397" s="86" t="s">
        <v>149</v>
      </c>
      <c r="M397" s="49" t="s">
        <v>520</v>
      </c>
    </row>
    <row r="398" spans="1:13" x14ac:dyDescent="0.35">
      <c r="A398" s="17">
        <v>45730</v>
      </c>
      <c r="B398" s="39">
        <v>57.57</v>
      </c>
      <c r="C398" s="39">
        <v>4.9400000000000004</v>
      </c>
      <c r="D398" s="45">
        <v>22503013</v>
      </c>
      <c r="E398" s="45" t="s">
        <v>341</v>
      </c>
      <c r="F398" s="45">
        <v>1250</v>
      </c>
      <c r="G398" s="35">
        <v>0.91666666666666663</v>
      </c>
      <c r="H398" s="35">
        <v>1.7361111111111112E-2</v>
      </c>
      <c r="I398" s="36">
        <v>145</v>
      </c>
      <c r="J398" s="67" t="s">
        <v>35</v>
      </c>
      <c r="K398" s="67" t="s">
        <v>19</v>
      </c>
      <c r="L398" s="67" t="s">
        <v>149</v>
      </c>
      <c r="M398" s="47" t="s">
        <v>527</v>
      </c>
    </row>
    <row r="399" spans="1:13" x14ac:dyDescent="0.35">
      <c r="A399" s="17">
        <v>45730</v>
      </c>
      <c r="B399" s="39">
        <v>57.57</v>
      </c>
      <c r="C399" s="39">
        <v>4.9400000000000004</v>
      </c>
      <c r="D399" s="46">
        <v>22503014</v>
      </c>
      <c r="E399" s="45" t="s">
        <v>44</v>
      </c>
      <c r="F399" s="45">
        <v>1250</v>
      </c>
      <c r="G399" s="35">
        <v>0.12152777777777778</v>
      </c>
      <c r="H399" s="35">
        <v>0.28958333333333336</v>
      </c>
      <c r="I399" s="36">
        <v>242</v>
      </c>
      <c r="J399" s="67" t="s">
        <v>35</v>
      </c>
      <c r="K399" s="67" t="s">
        <v>19</v>
      </c>
      <c r="L399" s="67" t="s">
        <v>143</v>
      </c>
      <c r="M399" s="49" t="s">
        <v>528</v>
      </c>
    </row>
    <row r="400" spans="1:13" x14ac:dyDescent="0.35">
      <c r="A400" s="17">
        <v>45730</v>
      </c>
      <c r="B400" s="39">
        <v>57.57</v>
      </c>
      <c r="C400" s="39">
        <v>4.9400000000000004</v>
      </c>
      <c r="D400" s="39">
        <v>22503015</v>
      </c>
      <c r="E400" s="39" t="s">
        <v>38</v>
      </c>
      <c r="F400" s="39">
        <v>1250</v>
      </c>
      <c r="G400" s="35">
        <v>0.52083333333333337</v>
      </c>
      <c r="H400" s="35">
        <v>0.58333333333333337</v>
      </c>
      <c r="I400" s="36">
        <v>90</v>
      </c>
      <c r="J400" s="67" t="s">
        <v>35</v>
      </c>
      <c r="K400" s="67" t="s">
        <v>26</v>
      </c>
      <c r="L400" s="67" t="s">
        <v>529</v>
      </c>
      <c r="M400" s="49" t="s">
        <v>530</v>
      </c>
    </row>
    <row r="401" spans="1:13" x14ac:dyDescent="0.35">
      <c r="A401" s="17">
        <v>45730</v>
      </c>
      <c r="B401" s="39">
        <v>57.57</v>
      </c>
      <c r="C401" s="39">
        <v>4.9400000000000004</v>
      </c>
      <c r="D401" s="39">
        <v>22503015</v>
      </c>
      <c r="E401" s="39" t="s">
        <v>38</v>
      </c>
      <c r="F401" s="39">
        <v>1250</v>
      </c>
      <c r="G401" s="35">
        <v>0.58333333333333337</v>
      </c>
      <c r="H401" s="35">
        <v>0.59375</v>
      </c>
      <c r="I401" s="36">
        <v>15</v>
      </c>
      <c r="J401" s="67" t="s">
        <v>446</v>
      </c>
      <c r="K401" s="67" t="s">
        <v>445</v>
      </c>
      <c r="L401" s="67" t="s">
        <v>534</v>
      </c>
      <c r="M401" s="114" t="s">
        <v>531</v>
      </c>
    </row>
    <row r="402" spans="1:13" x14ac:dyDescent="0.35">
      <c r="A402" s="17">
        <v>45730</v>
      </c>
      <c r="B402" s="39">
        <v>57.57</v>
      </c>
      <c r="C402" s="39">
        <v>4.9400000000000004</v>
      </c>
      <c r="D402" s="39">
        <v>22503015</v>
      </c>
      <c r="E402" s="39" t="s">
        <v>38</v>
      </c>
      <c r="F402" s="39">
        <v>1250</v>
      </c>
      <c r="G402" s="35">
        <v>0.59375</v>
      </c>
      <c r="H402" s="35">
        <v>0.625</v>
      </c>
      <c r="I402" s="36">
        <v>45</v>
      </c>
      <c r="J402" s="67" t="s">
        <v>446</v>
      </c>
      <c r="K402" s="67" t="s">
        <v>41</v>
      </c>
      <c r="L402" s="67" t="s">
        <v>534</v>
      </c>
      <c r="M402" s="114" t="s">
        <v>532</v>
      </c>
    </row>
    <row r="403" spans="1:13" x14ac:dyDescent="0.35">
      <c r="A403" s="17">
        <v>45731</v>
      </c>
      <c r="B403" s="39">
        <v>57.98</v>
      </c>
      <c r="C403" s="39">
        <v>5.43</v>
      </c>
      <c r="D403" s="39">
        <v>22503016</v>
      </c>
      <c r="E403" s="39" t="s">
        <v>141</v>
      </c>
      <c r="F403" s="39" t="s">
        <v>88</v>
      </c>
      <c r="G403" s="35">
        <v>0.85416666666666663</v>
      </c>
      <c r="H403" s="35">
        <v>0.875</v>
      </c>
      <c r="I403" s="36">
        <v>30</v>
      </c>
      <c r="J403" s="67" t="s">
        <v>51</v>
      </c>
      <c r="K403" s="67" t="s">
        <v>445</v>
      </c>
      <c r="L403" s="67" t="s">
        <v>53</v>
      </c>
      <c r="M403" s="114" t="s">
        <v>54</v>
      </c>
    </row>
    <row r="404" spans="1:13" x14ac:dyDescent="0.35">
      <c r="A404" s="17">
        <v>45731</v>
      </c>
      <c r="B404" s="39">
        <v>57.98</v>
      </c>
      <c r="C404" s="39">
        <v>5.43</v>
      </c>
      <c r="D404" s="39">
        <v>22503016</v>
      </c>
      <c r="E404" s="39" t="s">
        <v>141</v>
      </c>
      <c r="F404" s="39" t="s">
        <v>88</v>
      </c>
      <c r="G404" s="35">
        <v>0.875</v>
      </c>
      <c r="H404" s="35">
        <v>0.87777777777777777</v>
      </c>
      <c r="I404" s="36">
        <v>4</v>
      </c>
      <c r="J404" s="67" t="s">
        <v>446</v>
      </c>
      <c r="K404" s="67" t="s">
        <v>19</v>
      </c>
      <c r="L404" s="114" t="s">
        <v>533</v>
      </c>
      <c r="M404" s="114" t="s">
        <v>533</v>
      </c>
    </row>
    <row r="405" spans="1:13" x14ac:dyDescent="0.35">
      <c r="A405" s="17">
        <v>45731</v>
      </c>
      <c r="B405" s="39">
        <v>57.98</v>
      </c>
      <c r="C405" s="39">
        <v>5.43</v>
      </c>
      <c r="D405" s="39">
        <v>22503016</v>
      </c>
      <c r="E405" s="39" t="s">
        <v>141</v>
      </c>
      <c r="F405" s="39" t="s">
        <v>88</v>
      </c>
      <c r="G405" s="35">
        <v>0.87777777777777777</v>
      </c>
      <c r="H405" s="35">
        <v>0.87986111111111109</v>
      </c>
      <c r="I405" s="36">
        <v>3</v>
      </c>
      <c r="J405" s="67" t="s">
        <v>446</v>
      </c>
      <c r="K405" s="67" t="s">
        <v>41</v>
      </c>
      <c r="L405" s="114" t="s">
        <v>397</v>
      </c>
      <c r="M405" s="114" t="s">
        <v>397</v>
      </c>
    </row>
    <row r="406" spans="1:13" x14ac:dyDescent="0.35">
      <c r="A406" s="17">
        <v>45733</v>
      </c>
      <c r="B406" s="45">
        <v>56.09</v>
      </c>
      <c r="C406" s="45">
        <v>5.42</v>
      </c>
      <c r="D406" s="39">
        <v>22503017</v>
      </c>
      <c r="E406" s="39" t="s">
        <v>80</v>
      </c>
      <c r="F406" s="39">
        <v>1250</v>
      </c>
      <c r="G406" s="35">
        <v>4.8611111111111112E-2</v>
      </c>
      <c r="H406" s="35">
        <v>6.9444444444444448E-2</v>
      </c>
      <c r="I406" s="36">
        <v>30</v>
      </c>
      <c r="J406" s="67" t="s">
        <v>51</v>
      </c>
      <c r="K406" s="67" t="s">
        <v>445</v>
      </c>
      <c r="L406" s="67" t="s">
        <v>53</v>
      </c>
      <c r="M406" s="47" t="s">
        <v>54</v>
      </c>
    </row>
    <row r="407" spans="1:13" x14ac:dyDescent="0.35">
      <c r="A407" s="17">
        <v>45733</v>
      </c>
      <c r="B407" s="39">
        <v>56.9</v>
      </c>
      <c r="C407" s="39">
        <v>5.42</v>
      </c>
      <c r="D407" s="39">
        <v>22503017</v>
      </c>
      <c r="E407" s="39" t="s">
        <v>80</v>
      </c>
      <c r="F407" s="39">
        <v>1250</v>
      </c>
      <c r="G407" s="35">
        <v>6.9444444444444448E-2</v>
      </c>
      <c r="H407" s="35">
        <v>7.9861111111111105E-2</v>
      </c>
      <c r="I407" s="36">
        <v>15</v>
      </c>
      <c r="J407" s="67" t="s">
        <v>52</v>
      </c>
      <c r="K407" s="67" t="s">
        <v>445</v>
      </c>
      <c r="L407" s="67" t="s">
        <v>59</v>
      </c>
      <c r="M407" s="47" t="s">
        <v>432</v>
      </c>
    </row>
    <row r="408" spans="1:13" x14ac:dyDescent="0.35">
      <c r="A408" s="17">
        <v>45733</v>
      </c>
      <c r="B408" s="39">
        <v>56.9</v>
      </c>
      <c r="C408" s="39">
        <v>5.42</v>
      </c>
      <c r="D408" s="39">
        <v>22503017</v>
      </c>
      <c r="E408" s="39" t="s">
        <v>80</v>
      </c>
      <c r="F408" s="39">
        <v>1250</v>
      </c>
      <c r="G408" s="35">
        <v>7.9861111111111105E-2</v>
      </c>
      <c r="H408" s="35">
        <v>8.9583333333333334E-2</v>
      </c>
      <c r="I408" s="36">
        <v>14</v>
      </c>
      <c r="J408" s="67" t="s">
        <v>52</v>
      </c>
      <c r="K408" s="67" t="s">
        <v>19</v>
      </c>
      <c r="L408" s="67" t="s">
        <v>143</v>
      </c>
      <c r="M408" s="47" t="s">
        <v>537</v>
      </c>
    </row>
    <row r="409" spans="1:13" x14ac:dyDescent="0.35">
      <c r="A409" s="17">
        <v>45734</v>
      </c>
      <c r="B409" s="39">
        <v>57.15</v>
      </c>
      <c r="C409" s="39">
        <v>5.0999999999999996</v>
      </c>
      <c r="D409" s="39">
        <v>22503018</v>
      </c>
      <c r="E409" s="39" t="s">
        <v>72</v>
      </c>
      <c r="F409" s="39">
        <v>1260</v>
      </c>
      <c r="G409" s="35">
        <v>0.30555555555555558</v>
      </c>
      <c r="H409" s="35">
        <v>0.3263888888888889</v>
      </c>
      <c r="I409" s="36">
        <v>30</v>
      </c>
      <c r="J409" s="67" t="s">
        <v>51</v>
      </c>
      <c r="K409" s="67" t="s">
        <v>445</v>
      </c>
      <c r="L409" s="67" t="s">
        <v>53</v>
      </c>
      <c r="M409" s="47" t="s">
        <v>54</v>
      </c>
    </row>
    <row r="410" spans="1:13" x14ac:dyDescent="0.35">
      <c r="A410" s="17">
        <v>45734</v>
      </c>
      <c r="B410" s="39">
        <v>57.15</v>
      </c>
      <c r="C410" s="39">
        <v>5.0999999999999996</v>
      </c>
      <c r="D410" s="39">
        <v>22503018</v>
      </c>
      <c r="E410" s="39" t="s">
        <v>72</v>
      </c>
      <c r="F410" s="39">
        <v>1260</v>
      </c>
      <c r="G410" s="35">
        <v>0.3263888888888889</v>
      </c>
      <c r="H410" s="35">
        <v>0.34027777777777779</v>
      </c>
      <c r="I410" s="36">
        <v>20</v>
      </c>
      <c r="J410" s="67" t="s">
        <v>446</v>
      </c>
      <c r="K410" s="104" t="s">
        <v>26</v>
      </c>
      <c r="L410" s="67" t="s">
        <v>331</v>
      </c>
      <c r="M410" s="47" t="s">
        <v>541</v>
      </c>
    </row>
    <row r="411" spans="1:13" x14ac:dyDescent="0.35">
      <c r="A411" s="17">
        <v>45734</v>
      </c>
      <c r="B411" s="39">
        <v>57.15</v>
      </c>
      <c r="C411" s="39">
        <v>5.0999999999999996</v>
      </c>
      <c r="D411" s="46">
        <v>22503019</v>
      </c>
      <c r="E411" s="45" t="s">
        <v>47</v>
      </c>
      <c r="F411" s="45">
        <v>1230</v>
      </c>
      <c r="G411" s="35">
        <v>0.34375</v>
      </c>
      <c r="H411" s="35">
        <v>0.42708333333333331</v>
      </c>
      <c r="I411" s="36">
        <v>120</v>
      </c>
      <c r="J411" s="67" t="s">
        <v>25</v>
      </c>
      <c r="K411" s="67" t="s">
        <v>445</v>
      </c>
      <c r="L411" s="67" t="s">
        <v>456</v>
      </c>
      <c r="M411" s="60" t="s">
        <v>227</v>
      </c>
    </row>
    <row r="412" spans="1:13" x14ac:dyDescent="0.35">
      <c r="A412" s="17">
        <v>45734</v>
      </c>
      <c r="B412" s="39">
        <v>57.15</v>
      </c>
      <c r="C412" s="39">
        <v>5.0999999999999996</v>
      </c>
      <c r="D412" s="46">
        <v>22503020</v>
      </c>
      <c r="E412" s="45" t="s">
        <v>126</v>
      </c>
      <c r="F412" s="45">
        <v>1230</v>
      </c>
      <c r="G412" s="35">
        <v>0.55208333333333337</v>
      </c>
      <c r="H412" s="35">
        <v>0.63541666666666663</v>
      </c>
      <c r="I412" s="36">
        <v>120</v>
      </c>
      <c r="J412" s="67" t="s">
        <v>463</v>
      </c>
      <c r="K412" s="67" t="s">
        <v>41</v>
      </c>
      <c r="L412" s="67" t="s">
        <v>512</v>
      </c>
      <c r="M412" s="47" t="s">
        <v>542</v>
      </c>
    </row>
    <row r="413" spans="1:13" x14ac:dyDescent="0.35">
      <c r="A413" s="17">
        <v>45735</v>
      </c>
      <c r="B413" s="39">
        <v>56.91</v>
      </c>
      <c r="C413" s="39">
        <v>5.48</v>
      </c>
      <c r="D413" s="39">
        <v>22503021</v>
      </c>
      <c r="E413" s="39" t="s">
        <v>141</v>
      </c>
      <c r="F413" s="39" t="s">
        <v>546</v>
      </c>
      <c r="G413" s="35">
        <v>0.83680555555555558</v>
      </c>
      <c r="H413" s="35">
        <v>0.85763888888888884</v>
      </c>
      <c r="I413" s="36">
        <v>30</v>
      </c>
      <c r="J413" s="67" t="s">
        <v>51</v>
      </c>
      <c r="K413" s="67" t="s">
        <v>445</v>
      </c>
      <c r="L413" s="67" t="s">
        <v>53</v>
      </c>
      <c r="M413" s="47" t="s">
        <v>54</v>
      </c>
    </row>
    <row r="414" spans="1:13" x14ac:dyDescent="0.35">
      <c r="A414" s="17">
        <v>45735</v>
      </c>
      <c r="B414" s="39">
        <v>56.91</v>
      </c>
      <c r="C414" s="39">
        <v>5.48</v>
      </c>
      <c r="D414" s="39">
        <v>22503021</v>
      </c>
      <c r="E414" s="39" t="s">
        <v>141</v>
      </c>
      <c r="F414" s="39" t="s">
        <v>546</v>
      </c>
      <c r="G414" s="35">
        <v>0.85763888888888884</v>
      </c>
      <c r="H414" s="35">
        <v>0.88194444444444442</v>
      </c>
      <c r="I414" s="36">
        <v>35</v>
      </c>
      <c r="J414" s="67" t="s">
        <v>446</v>
      </c>
      <c r="K414" s="67" t="s">
        <v>19</v>
      </c>
      <c r="L414" s="67" t="s">
        <v>203</v>
      </c>
      <c r="M414" s="47" t="s">
        <v>547</v>
      </c>
    </row>
    <row r="415" spans="1:13" x14ac:dyDescent="0.35">
      <c r="A415" s="17">
        <v>45736</v>
      </c>
      <c r="B415" s="45">
        <v>57.1</v>
      </c>
      <c r="C415" s="45">
        <v>5.18</v>
      </c>
      <c r="D415" s="46">
        <v>22503022</v>
      </c>
      <c r="E415" s="45" t="s">
        <v>452</v>
      </c>
      <c r="F415" s="45">
        <v>1260</v>
      </c>
      <c r="G415" s="35">
        <v>0.4284722222222222</v>
      </c>
      <c r="H415" s="35">
        <v>0.47569444444444442</v>
      </c>
      <c r="I415" s="36">
        <v>68</v>
      </c>
      <c r="J415" s="67" t="s">
        <v>463</v>
      </c>
      <c r="K415" s="67" t="s">
        <v>26</v>
      </c>
      <c r="L415" s="67" t="s">
        <v>477</v>
      </c>
      <c r="M415" s="47" t="s">
        <v>548</v>
      </c>
    </row>
    <row r="416" spans="1:13" x14ac:dyDescent="0.35">
      <c r="A416" s="17">
        <v>45737</v>
      </c>
      <c r="B416" s="45">
        <v>57.1</v>
      </c>
      <c r="C416" s="45">
        <v>5.36</v>
      </c>
      <c r="D416" s="46">
        <v>22503023</v>
      </c>
      <c r="E416" s="45" t="s">
        <v>141</v>
      </c>
      <c r="F416" s="45" t="s">
        <v>494</v>
      </c>
      <c r="G416" s="35">
        <v>0.71875</v>
      </c>
      <c r="H416" s="35">
        <v>0.73958333333333337</v>
      </c>
      <c r="I416" s="36">
        <v>30</v>
      </c>
      <c r="J416" s="67" t="s">
        <v>51</v>
      </c>
      <c r="K416" s="67" t="s">
        <v>445</v>
      </c>
      <c r="L416" s="67" t="s">
        <v>53</v>
      </c>
      <c r="M416" s="47" t="s">
        <v>54</v>
      </c>
    </row>
    <row r="417" spans="1:13" x14ac:dyDescent="0.35">
      <c r="A417" s="17">
        <v>45738</v>
      </c>
      <c r="B417" s="45">
        <v>57.07</v>
      </c>
      <c r="C417" s="45">
        <v>4.93</v>
      </c>
      <c r="D417" s="46">
        <v>22503024</v>
      </c>
      <c r="E417" s="45" t="s">
        <v>468</v>
      </c>
      <c r="F417" s="45">
        <v>1250</v>
      </c>
      <c r="G417" s="35">
        <v>0.24513888888888888</v>
      </c>
      <c r="H417" s="35">
        <v>0.56597222222222221</v>
      </c>
      <c r="I417" s="36">
        <v>462</v>
      </c>
      <c r="J417" s="67" t="s">
        <v>35</v>
      </c>
      <c r="K417" s="67" t="s">
        <v>552</v>
      </c>
      <c r="L417" s="67" t="s">
        <v>553</v>
      </c>
      <c r="M417" s="117" t="s">
        <v>554</v>
      </c>
    </row>
    <row r="418" spans="1:13" x14ac:dyDescent="0.35">
      <c r="A418" s="17">
        <v>45739</v>
      </c>
      <c r="B418" s="45">
        <v>57.58</v>
      </c>
      <c r="C418" s="45">
        <v>5.32</v>
      </c>
      <c r="D418" s="46">
        <v>22503025</v>
      </c>
      <c r="E418" s="45" t="s">
        <v>273</v>
      </c>
      <c r="F418" s="45">
        <v>1250</v>
      </c>
      <c r="G418" s="35">
        <v>0.34722222222222221</v>
      </c>
      <c r="H418" s="35">
        <v>0.36805555555555558</v>
      </c>
      <c r="I418" s="36">
        <v>30</v>
      </c>
      <c r="J418" s="67" t="s">
        <v>463</v>
      </c>
      <c r="K418" s="67" t="s">
        <v>26</v>
      </c>
      <c r="L418" s="67" t="s">
        <v>543</v>
      </c>
      <c r="M418" s="118" t="s">
        <v>297</v>
      </c>
    </row>
    <row r="419" spans="1:13" x14ac:dyDescent="0.35">
      <c r="A419" s="17">
        <v>45740</v>
      </c>
      <c r="B419" s="39">
        <v>57.24</v>
      </c>
      <c r="C419" s="39">
        <v>5.17</v>
      </c>
      <c r="D419" s="39">
        <v>22503026</v>
      </c>
      <c r="E419" s="39" t="s">
        <v>72</v>
      </c>
      <c r="F419" s="39">
        <v>1250</v>
      </c>
      <c r="G419" s="35">
        <v>0.6069444444444444</v>
      </c>
      <c r="H419" s="35">
        <v>0.62777777777777777</v>
      </c>
      <c r="I419" s="36">
        <v>30</v>
      </c>
      <c r="J419" s="67" t="s">
        <v>51</v>
      </c>
      <c r="K419" s="67" t="s">
        <v>445</v>
      </c>
      <c r="L419" s="67" t="s">
        <v>53</v>
      </c>
      <c r="M419" s="47" t="s">
        <v>54</v>
      </c>
    </row>
    <row r="420" spans="1:13" x14ac:dyDescent="0.35">
      <c r="A420" s="17">
        <v>45740</v>
      </c>
      <c r="B420" s="39">
        <v>57.24</v>
      </c>
      <c r="C420" s="39">
        <v>5.17</v>
      </c>
      <c r="D420" s="39">
        <v>22503026</v>
      </c>
      <c r="E420" s="39" t="s">
        <v>72</v>
      </c>
      <c r="F420" s="39">
        <v>1250</v>
      </c>
      <c r="G420" s="35">
        <v>0.62777777777777777</v>
      </c>
      <c r="H420" s="35">
        <v>0.6333333333333333</v>
      </c>
      <c r="I420" s="36">
        <v>8</v>
      </c>
      <c r="J420" s="67" t="s">
        <v>52</v>
      </c>
      <c r="K420" s="67" t="s">
        <v>445</v>
      </c>
      <c r="L420" s="67" t="s">
        <v>59</v>
      </c>
      <c r="M420" s="47" t="s">
        <v>432</v>
      </c>
    </row>
    <row r="421" spans="1:13" x14ac:dyDescent="0.35">
      <c r="A421" s="17">
        <v>45740</v>
      </c>
      <c r="B421" s="39">
        <v>57.24</v>
      </c>
      <c r="C421" s="39">
        <v>5.17</v>
      </c>
      <c r="D421" s="39">
        <v>22503026</v>
      </c>
      <c r="E421" s="39" t="s">
        <v>72</v>
      </c>
      <c r="F421" s="39">
        <v>1250</v>
      </c>
      <c r="G421" s="35">
        <v>0.6333333333333333</v>
      </c>
      <c r="H421" s="35">
        <v>0.64166666666666672</v>
      </c>
      <c r="I421" s="36">
        <v>12</v>
      </c>
      <c r="J421" s="67" t="s">
        <v>52</v>
      </c>
      <c r="K421" s="104" t="s">
        <v>62</v>
      </c>
      <c r="L421" s="67" t="s">
        <v>130</v>
      </c>
      <c r="M421" s="47" t="s">
        <v>131</v>
      </c>
    </row>
    <row r="422" spans="1:13" x14ac:dyDescent="0.35">
      <c r="A422" s="17">
        <v>45740</v>
      </c>
      <c r="B422" s="39">
        <v>57.24</v>
      </c>
      <c r="C422" s="39">
        <v>5.17</v>
      </c>
      <c r="D422" s="39">
        <v>22503026</v>
      </c>
      <c r="E422" s="39" t="s">
        <v>72</v>
      </c>
      <c r="F422" s="39">
        <v>1250</v>
      </c>
      <c r="G422" s="35">
        <v>0.64166666666666672</v>
      </c>
      <c r="H422" s="35">
        <v>0.64583333333333337</v>
      </c>
      <c r="I422" s="36">
        <v>6</v>
      </c>
      <c r="J422" s="67" t="s">
        <v>446</v>
      </c>
      <c r="K422" s="67" t="s">
        <v>19</v>
      </c>
      <c r="L422" s="67" t="s">
        <v>203</v>
      </c>
      <c r="M422" s="47" t="s">
        <v>558</v>
      </c>
    </row>
    <row r="423" spans="1:13" x14ac:dyDescent="0.35">
      <c r="A423" s="17">
        <v>45740</v>
      </c>
      <c r="B423" s="39">
        <v>57.24</v>
      </c>
      <c r="C423" s="39">
        <v>5.17</v>
      </c>
      <c r="D423" s="45">
        <v>22503027</v>
      </c>
      <c r="E423" s="45" t="s">
        <v>24</v>
      </c>
      <c r="F423" s="45">
        <v>1250</v>
      </c>
      <c r="G423" s="35">
        <v>0.83680555555555558</v>
      </c>
      <c r="H423" s="35">
        <v>0.91666666666666663</v>
      </c>
      <c r="I423" s="36">
        <v>115</v>
      </c>
      <c r="J423" s="67" t="s">
        <v>35</v>
      </c>
      <c r="K423" s="67" t="s">
        <v>19</v>
      </c>
      <c r="L423" s="67" t="s">
        <v>94</v>
      </c>
      <c r="M423" s="49" t="s">
        <v>559</v>
      </c>
    </row>
    <row r="424" spans="1:13" x14ac:dyDescent="0.35">
      <c r="A424" s="17">
        <v>45741</v>
      </c>
      <c r="B424" s="39">
        <v>57.78</v>
      </c>
      <c r="C424" s="39">
        <v>4.18</v>
      </c>
      <c r="D424" s="45">
        <v>22503027</v>
      </c>
      <c r="E424" s="45" t="s">
        <v>24</v>
      </c>
      <c r="F424" s="45">
        <v>1250</v>
      </c>
      <c r="G424" s="35">
        <v>0.91666666666666663</v>
      </c>
      <c r="H424" s="35">
        <v>0.44791666666666669</v>
      </c>
      <c r="I424" s="36">
        <v>765</v>
      </c>
      <c r="J424" s="67" t="s">
        <v>446</v>
      </c>
      <c r="K424" s="67" t="s">
        <v>19</v>
      </c>
      <c r="L424" s="67" t="s">
        <v>354</v>
      </c>
      <c r="M424" s="49" t="s">
        <v>564</v>
      </c>
    </row>
    <row r="425" spans="1:13" x14ac:dyDescent="0.35">
      <c r="A425" s="17">
        <v>45741</v>
      </c>
      <c r="B425" s="39">
        <v>57.78</v>
      </c>
      <c r="C425" s="39">
        <v>4.18</v>
      </c>
      <c r="D425" s="45">
        <v>22503028</v>
      </c>
      <c r="E425" s="45" t="s">
        <v>44</v>
      </c>
      <c r="F425" s="45">
        <v>1250</v>
      </c>
      <c r="G425" s="35">
        <v>0.60069444444444442</v>
      </c>
      <c r="H425" s="35">
        <v>0.74652777777777779</v>
      </c>
      <c r="I425" s="36">
        <v>210</v>
      </c>
      <c r="J425" s="67" t="s">
        <v>463</v>
      </c>
      <c r="K425" s="67" t="s">
        <v>19</v>
      </c>
      <c r="L425" s="67" t="s">
        <v>561</v>
      </c>
      <c r="M425" s="47" t="s">
        <v>562</v>
      </c>
    </row>
    <row r="426" spans="1:13" x14ac:dyDescent="0.35">
      <c r="A426" s="17">
        <v>45741</v>
      </c>
      <c r="B426" s="39">
        <v>57.78</v>
      </c>
      <c r="C426" s="39">
        <v>4.18</v>
      </c>
      <c r="D426" s="45">
        <v>22503029</v>
      </c>
      <c r="E426" s="45" t="s">
        <v>34</v>
      </c>
      <c r="F426" s="45">
        <v>1250</v>
      </c>
      <c r="G426" s="35">
        <v>0.80555555555555558</v>
      </c>
      <c r="H426" s="35">
        <v>0.90972222222222221</v>
      </c>
      <c r="I426" s="36">
        <v>150</v>
      </c>
      <c r="J426" s="67" t="s">
        <v>35</v>
      </c>
      <c r="K426" s="67" t="s">
        <v>19</v>
      </c>
      <c r="L426" s="67" t="s">
        <v>354</v>
      </c>
      <c r="M426" s="49" t="s">
        <v>563</v>
      </c>
    </row>
    <row r="427" spans="1:13" x14ac:dyDescent="0.35">
      <c r="A427" s="17">
        <v>45743</v>
      </c>
      <c r="B427" s="45">
        <v>58</v>
      </c>
      <c r="C427" s="45">
        <v>5.31</v>
      </c>
      <c r="D427" s="39">
        <v>22503030</v>
      </c>
      <c r="E427" s="39" t="s">
        <v>72</v>
      </c>
      <c r="F427" s="39">
        <v>1250</v>
      </c>
      <c r="G427" s="35">
        <v>0.14583333333333334</v>
      </c>
      <c r="H427" s="35">
        <v>0.16666666666666666</v>
      </c>
      <c r="I427" s="36">
        <v>30</v>
      </c>
      <c r="J427" s="67" t="s">
        <v>51</v>
      </c>
      <c r="K427" s="67" t="s">
        <v>445</v>
      </c>
      <c r="L427" s="67" t="s">
        <v>53</v>
      </c>
      <c r="M427" s="47" t="s">
        <v>54</v>
      </c>
    </row>
    <row r="428" spans="1:13" x14ac:dyDescent="0.35">
      <c r="A428" s="17">
        <v>45743</v>
      </c>
      <c r="B428" s="39">
        <v>58</v>
      </c>
      <c r="C428" s="39">
        <v>5.27</v>
      </c>
      <c r="D428" s="39">
        <v>22503030</v>
      </c>
      <c r="E428" s="39" t="s">
        <v>72</v>
      </c>
      <c r="F428" s="39">
        <v>1250</v>
      </c>
      <c r="G428" s="35">
        <v>0.16666666666666666</v>
      </c>
      <c r="H428" s="35">
        <v>0.17708333333333334</v>
      </c>
      <c r="I428" s="36">
        <v>15</v>
      </c>
      <c r="J428" s="67" t="s">
        <v>52</v>
      </c>
      <c r="K428" s="67" t="s">
        <v>445</v>
      </c>
      <c r="L428" s="67" t="s">
        <v>59</v>
      </c>
      <c r="M428" s="47" t="s">
        <v>432</v>
      </c>
    </row>
    <row r="429" spans="1:13" x14ac:dyDescent="0.35">
      <c r="A429" s="17">
        <v>45743</v>
      </c>
      <c r="B429" s="39">
        <v>58</v>
      </c>
      <c r="C429" s="39">
        <v>5.27</v>
      </c>
      <c r="D429" s="46">
        <v>22503031</v>
      </c>
      <c r="E429" s="45" t="s">
        <v>522</v>
      </c>
      <c r="F429" s="45">
        <v>1250</v>
      </c>
      <c r="G429" s="35">
        <v>0.81597222222222221</v>
      </c>
      <c r="H429" s="35">
        <v>0.8930555555555556</v>
      </c>
      <c r="I429" s="36">
        <v>111</v>
      </c>
      <c r="J429" s="67" t="s">
        <v>25</v>
      </c>
      <c r="K429" s="67" t="s">
        <v>445</v>
      </c>
      <c r="L429" s="67" t="s">
        <v>492</v>
      </c>
      <c r="M429" s="60" t="s">
        <v>209</v>
      </c>
    </row>
    <row r="430" spans="1:13" x14ac:dyDescent="0.35">
      <c r="A430" s="17">
        <v>45745</v>
      </c>
      <c r="B430" s="45">
        <v>57</v>
      </c>
      <c r="C430" s="45">
        <v>5.33</v>
      </c>
      <c r="D430" s="39">
        <v>22503032</v>
      </c>
      <c r="E430" s="39" t="s">
        <v>501</v>
      </c>
      <c r="F430" s="39">
        <v>1250</v>
      </c>
      <c r="G430" s="35">
        <v>0.19791666666666666</v>
      </c>
      <c r="H430" s="35">
        <v>0.21875</v>
      </c>
      <c r="I430" s="36">
        <v>30</v>
      </c>
      <c r="J430" s="67" t="s">
        <v>51</v>
      </c>
      <c r="K430" s="67" t="s">
        <v>445</v>
      </c>
      <c r="L430" s="67" t="s">
        <v>53</v>
      </c>
      <c r="M430" s="47" t="s">
        <v>54</v>
      </c>
    </row>
    <row r="431" spans="1:13" x14ac:dyDescent="0.35">
      <c r="A431" s="17">
        <v>45745</v>
      </c>
      <c r="B431" s="45">
        <v>57.71</v>
      </c>
      <c r="C431" s="45">
        <v>5.44</v>
      </c>
      <c r="D431" s="39">
        <v>22503032</v>
      </c>
      <c r="E431" s="39" t="s">
        <v>501</v>
      </c>
      <c r="F431" s="39">
        <v>1250</v>
      </c>
      <c r="G431" s="35">
        <v>0.21875</v>
      </c>
      <c r="H431" s="35">
        <v>0.24791666666666667</v>
      </c>
      <c r="I431" s="36">
        <v>42</v>
      </c>
      <c r="J431" s="67" t="s">
        <v>446</v>
      </c>
      <c r="K431" s="67" t="s">
        <v>41</v>
      </c>
      <c r="L431" s="67" t="s">
        <v>454</v>
      </c>
      <c r="M431" s="47" t="s">
        <v>568</v>
      </c>
    </row>
    <row r="432" spans="1:13" x14ac:dyDescent="0.35">
      <c r="A432" s="17">
        <v>45746</v>
      </c>
      <c r="B432" s="39">
        <v>58</v>
      </c>
      <c r="C432" s="39">
        <v>5.45</v>
      </c>
      <c r="D432" s="39">
        <v>22503033</v>
      </c>
      <c r="E432" s="39" t="s">
        <v>569</v>
      </c>
      <c r="F432" s="39">
        <v>1250</v>
      </c>
      <c r="G432" s="35">
        <v>0.60069444444444442</v>
      </c>
      <c r="H432" s="35">
        <v>0.62152777777777779</v>
      </c>
      <c r="I432" s="36">
        <v>30</v>
      </c>
      <c r="J432" s="67" t="s">
        <v>51</v>
      </c>
      <c r="K432" s="67" t="s">
        <v>445</v>
      </c>
      <c r="L432" s="67" t="s">
        <v>53</v>
      </c>
      <c r="M432" s="47" t="s">
        <v>54</v>
      </c>
    </row>
    <row r="433" spans="1:13" x14ac:dyDescent="0.35">
      <c r="A433" s="17">
        <v>45747</v>
      </c>
      <c r="B433" s="39">
        <v>58</v>
      </c>
      <c r="C433" s="39">
        <v>5.45</v>
      </c>
      <c r="D433" s="39">
        <v>22503033</v>
      </c>
      <c r="E433" s="39" t="s">
        <v>569</v>
      </c>
      <c r="F433" s="39">
        <v>1250</v>
      </c>
      <c r="G433" s="35">
        <v>0.62152777777777779</v>
      </c>
      <c r="H433" s="35">
        <v>0.63194444444444442</v>
      </c>
      <c r="I433" s="36">
        <v>15</v>
      </c>
      <c r="J433" s="67" t="s">
        <v>52</v>
      </c>
      <c r="K433" s="67" t="s">
        <v>445</v>
      </c>
      <c r="L433" s="67" t="s">
        <v>59</v>
      </c>
      <c r="M433" s="47" t="s">
        <v>432</v>
      </c>
    </row>
    <row r="434" spans="1:13" x14ac:dyDescent="0.35">
      <c r="A434" s="17">
        <v>45746</v>
      </c>
      <c r="B434" s="39">
        <v>58</v>
      </c>
      <c r="C434" s="39">
        <v>5.45</v>
      </c>
      <c r="D434" s="39">
        <v>22503033</v>
      </c>
      <c r="E434" s="39" t="s">
        <v>569</v>
      </c>
      <c r="F434" s="39">
        <v>1250</v>
      </c>
      <c r="G434" s="35">
        <v>0.63194444444444442</v>
      </c>
      <c r="H434" s="35">
        <v>0.91666666666666663</v>
      </c>
      <c r="I434" s="36">
        <v>410</v>
      </c>
      <c r="J434" s="67" t="s">
        <v>446</v>
      </c>
      <c r="K434" s="67" t="s">
        <v>19</v>
      </c>
      <c r="L434" s="67" t="s">
        <v>570</v>
      </c>
      <c r="M434" s="47" t="s">
        <v>564</v>
      </c>
    </row>
    <row r="435" spans="1:13" x14ac:dyDescent="0.35">
      <c r="A435" s="17">
        <v>45747</v>
      </c>
      <c r="B435" s="45">
        <v>58</v>
      </c>
      <c r="C435" s="45">
        <v>5.45</v>
      </c>
      <c r="D435" s="39">
        <v>22503033</v>
      </c>
      <c r="E435" s="39" t="s">
        <v>569</v>
      </c>
      <c r="F435" s="39">
        <v>1250</v>
      </c>
      <c r="G435" s="35">
        <v>0.91666666666666663</v>
      </c>
      <c r="H435" s="35">
        <v>0.39097222222222222</v>
      </c>
      <c r="I435" s="36">
        <v>683</v>
      </c>
      <c r="J435" s="67" t="s">
        <v>446</v>
      </c>
      <c r="K435" s="67" t="s">
        <v>19</v>
      </c>
      <c r="L435" s="67" t="s">
        <v>570</v>
      </c>
      <c r="M435" s="47" t="s">
        <v>564</v>
      </c>
    </row>
    <row r="436" spans="1:13" x14ac:dyDescent="0.35">
      <c r="A436" s="17">
        <v>45748</v>
      </c>
      <c r="B436" s="39">
        <v>58</v>
      </c>
      <c r="C436" s="39">
        <v>5.5</v>
      </c>
      <c r="D436" s="39">
        <v>22503034</v>
      </c>
      <c r="E436" s="39" t="s">
        <v>503</v>
      </c>
      <c r="F436" s="39">
        <v>1255</v>
      </c>
      <c r="G436" s="35">
        <v>0.72569444444444442</v>
      </c>
      <c r="H436" s="35">
        <v>0.74652777777777779</v>
      </c>
      <c r="I436" s="36">
        <v>30</v>
      </c>
      <c r="J436" s="67" t="s">
        <v>51</v>
      </c>
      <c r="K436" s="67" t="s">
        <v>445</v>
      </c>
      <c r="L436" s="67" t="s">
        <v>53</v>
      </c>
      <c r="M436" s="47" t="s">
        <v>54</v>
      </c>
    </row>
    <row r="437" spans="1:13" x14ac:dyDescent="0.35">
      <c r="A437" s="17">
        <v>45748</v>
      </c>
      <c r="B437" s="39">
        <v>58</v>
      </c>
      <c r="C437" s="39">
        <v>5.5</v>
      </c>
      <c r="D437" s="39">
        <v>22503034</v>
      </c>
      <c r="E437" s="39" t="s">
        <v>503</v>
      </c>
      <c r="F437" s="39">
        <v>1255</v>
      </c>
      <c r="G437" s="35">
        <v>0.74652777777777779</v>
      </c>
      <c r="H437" s="35">
        <v>0.75694444444444442</v>
      </c>
      <c r="I437" s="36">
        <v>15</v>
      </c>
      <c r="J437" s="67" t="s">
        <v>446</v>
      </c>
      <c r="K437" s="67" t="s">
        <v>19</v>
      </c>
      <c r="L437" s="67" t="s">
        <v>481</v>
      </c>
      <c r="M437" s="47" t="s">
        <v>573</v>
      </c>
    </row>
    <row r="438" spans="1:13" x14ac:dyDescent="0.35">
      <c r="A438" s="17">
        <v>45750</v>
      </c>
      <c r="B438" s="45">
        <v>57.7</v>
      </c>
      <c r="C438" s="45">
        <v>5.32</v>
      </c>
      <c r="D438" s="39">
        <v>22504001</v>
      </c>
      <c r="E438" s="39" t="s">
        <v>141</v>
      </c>
      <c r="F438" s="39">
        <v>1255</v>
      </c>
      <c r="G438" s="35">
        <v>0.98263888888888884</v>
      </c>
      <c r="H438" s="35">
        <v>3.472222222222222E-3</v>
      </c>
      <c r="I438" s="36">
        <v>30</v>
      </c>
      <c r="J438" s="67" t="s">
        <v>51</v>
      </c>
      <c r="K438" s="67" t="s">
        <v>445</v>
      </c>
      <c r="L438" s="67" t="s">
        <v>53</v>
      </c>
      <c r="M438" s="47" t="s">
        <v>54</v>
      </c>
    </row>
    <row r="439" spans="1:13" x14ac:dyDescent="0.35">
      <c r="A439" s="17">
        <v>45750</v>
      </c>
      <c r="B439" s="39">
        <v>57.95</v>
      </c>
      <c r="C439" s="39">
        <v>5.33</v>
      </c>
      <c r="D439" s="39">
        <v>22504001</v>
      </c>
      <c r="E439" s="39" t="s">
        <v>141</v>
      </c>
      <c r="F439" s="39">
        <v>1255</v>
      </c>
      <c r="G439" s="35">
        <v>3.472222222222222E-3</v>
      </c>
      <c r="H439" s="35">
        <v>9.0277777777777769E-3</v>
      </c>
      <c r="I439" s="36">
        <v>8</v>
      </c>
      <c r="J439" s="67" t="s">
        <v>52</v>
      </c>
      <c r="K439" s="67" t="s">
        <v>445</v>
      </c>
      <c r="L439" s="67" t="s">
        <v>59</v>
      </c>
      <c r="M439" s="47" t="s">
        <v>432</v>
      </c>
    </row>
    <row r="440" spans="1:13" x14ac:dyDescent="0.35">
      <c r="A440" s="17">
        <v>45750</v>
      </c>
      <c r="B440" s="39">
        <v>57.95</v>
      </c>
      <c r="C440" s="39">
        <v>5.33</v>
      </c>
      <c r="D440" s="39">
        <v>22504001</v>
      </c>
      <c r="E440" s="39" t="s">
        <v>141</v>
      </c>
      <c r="F440" s="39">
        <v>1255</v>
      </c>
      <c r="G440" s="35">
        <v>9.0277777777777769E-3</v>
      </c>
      <c r="H440" s="35">
        <v>1.7361111111111112E-2</v>
      </c>
      <c r="I440" s="36">
        <v>12</v>
      </c>
      <c r="J440" s="67" t="s">
        <v>52</v>
      </c>
      <c r="K440" s="67" t="s">
        <v>62</v>
      </c>
      <c r="L440" s="67" t="s">
        <v>130</v>
      </c>
      <c r="M440" s="47" t="s">
        <v>268</v>
      </c>
    </row>
    <row r="441" spans="1:13" x14ac:dyDescent="0.35">
      <c r="A441" s="17">
        <v>45751</v>
      </c>
      <c r="B441" s="39">
        <v>58</v>
      </c>
      <c r="C441" s="39">
        <v>5.29</v>
      </c>
      <c r="D441" s="39">
        <v>22504002</v>
      </c>
      <c r="E441" s="39" t="s">
        <v>119</v>
      </c>
      <c r="F441" s="39" t="s">
        <v>58</v>
      </c>
      <c r="G441" s="35">
        <v>0.25694444444444442</v>
      </c>
      <c r="H441" s="35">
        <v>0.27777777777777779</v>
      </c>
      <c r="I441" s="36">
        <v>30</v>
      </c>
      <c r="J441" s="67" t="s">
        <v>51</v>
      </c>
      <c r="K441" s="67" t="s">
        <v>445</v>
      </c>
      <c r="L441" s="67" t="s">
        <v>53</v>
      </c>
      <c r="M441" s="47" t="s">
        <v>54</v>
      </c>
    </row>
    <row r="442" spans="1:13" x14ac:dyDescent="0.35">
      <c r="A442" s="17">
        <v>45751</v>
      </c>
      <c r="B442" s="39">
        <v>58</v>
      </c>
      <c r="C442" s="39">
        <v>5.29</v>
      </c>
      <c r="D442" s="39">
        <v>22504002</v>
      </c>
      <c r="E442" s="39" t="s">
        <v>119</v>
      </c>
      <c r="F442" s="39" t="s">
        <v>58</v>
      </c>
      <c r="G442" s="35">
        <v>0.27777777777777779</v>
      </c>
      <c r="H442" s="35">
        <v>0.28472222222222221</v>
      </c>
      <c r="I442" s="36">
        <v>10</v>
      </c>
      <c r="J442" s="67" t="s">
        <v>446</v>
      </c>
      <c r="K442" s="67" t="s">
        <v>445</v>
      </c>
      <c r="L442" s="67" t="s">
        <v>55</v>
      </c>
      <c r="M442" s="47" t="s">
        <v>580</v>
      </c>
    </row>
    <row r="443" spans="1:13" x14ac:dyDescent="0.35">
      <c r="A443" s="17">
        <v>45752</v>
      </c>
      <c r="B443" s="39">
        <v>58</v>
      </c>
      <c r="C443" s="39">
        <v>5.48</v>
      </c>
      <c r="D443" s="39">
        <v>22504003</v>
      </c>
      <c r="E443" s="39" t="s">
        <v>104</v>
      </c>
      <c r="F443" s="39">
        <v>1250</v>
      </c>
      <c r="G443" s="35">
        <v>0.50347222222222221</v>
      </c>
      <c r="H443" s="35">
        <v>0.52430555555555558</v>
      </c>
      <c r="I443" s="36">
        <v>30</v>
      </c>
      <c r="J443" s="67" t="s">
        <v>51</v>
      </c>
      <c r="K443" s="67" t="s">
        <v>445</v>
      </c>
      <c r="L443" s="67" t="s">
        <v>53</v>
      </c>
      <c r="M443" s="47" t="s">
        <v>54</v>
      </c>
    </row>
    <row r="444" spans="1:13" x14ac:dyDescent="0.35">
      <c r="A444" s="17">
        <v>45752</v>
      </c>
      <c r="B444" s="39">
        <v>58</v>
      </c>
      <c r="C444" s="39">
        <v>5.48</v>
      </c>
      <c r="D444" s="39">
        <v>22504003</v>
      </c>
      <c r="E444" s="39" t="s">
        <v>104</v>
      </c>
      <c r="F444" s="39">
        <v>1250</v>
      </c>
      <c r="G444" s="35">
        <v>0.52430555555555558</v>
      </c>
      <c r="H444" s="35">
        <v>0.52986111111111112</v>
      </c>
      <c r="I444" s="36">
        <v>8</v>
      </c>
      <c r="J444" s="67" t="s">
        <v>52</v>
      </c>
      <c r="K444" s="67" t="s">
        <v>445</v>
      </c>
      <c r="L444" s="67" t="s">
        <v>59</v>
      </c>
      <c r="M444" s="47" t="s">
        <v>432</v>
      </c>
    </row>
    <row r="445" spans="1:13" x14ac:dyDescent="0.35">
      <c r="A445" s="17">
        <v>45752</v>
      </c>
      <c r="B445" s="39">
        <v>58</v>
      </c>
      <c r="C445" s="39">
        <v>5.48</v>
      </c>
      <c r="D445" s="39">
        <v>22504003</v>
      </c>
      <c r="E445" s="39" t="s">
        <v>104</v>
      </c>
      <c r="F445" s="39">
        <v>1250</v>
      </c>
      <c r="G445" s="35">
        <v>0.52986111111111112</v>
      </c>
      <c r="H445" s="35">
        <v>0.53819444444444442</v>
      </c>
      <c r="I445" s="36">
        <v>12</v>
      </c>
      <c r="J445" s="67" t="s">
        <v>52</v>
      </c>
      <c r="K445" s="67" t="s">
        <v>62</v>
      </c>
      <c r="L445" s="67" t="s">
        <v>130</v>
      </c>
      <c r="M445" s="47" t="s">
        <v>250</v>
      </c>
    </row>
    <row r="446" spans="1:13" x14ac:dyDescent="0.35">
      <c r="A446" s="17">
        <v>45753</v>
      </c>
      <c r="B446" s="45">
        <v>58</v>
      </c>
      <c r="C446" s="45">
        <v>5.37</v>
      </c>
      <c r="D446" s="46">
        <v>22504004</v>
      </c>
      <c r="E446" s="45" t="s">
        <v>72</v>
      </c>
      <c r="F446" s="45">
        <v>1250</v>
      </c>
      <c r="G446" s="35">
        <v>0.75416666666666665</v>
      </c>
      <c r="H446" s="35">
        <v>0.77500000000000002</v>
      </c>
      <c r="I446" s="36">
        <v>30</v>
      </c>
      <c r="J446" s="67" t="s">
        <v>51</v>
      </c>
      <c r="K446" s="67" t="s">
        <v>445</v>
      </c>
      <c r="L446" s="67" t="s">
        <v>53</v>
      </c>
      <c r="M446" s="47" t="s">
        <v>54</v>
      </c>
    </row>
    <row r="447" spans="1:13" x14ac:dyDescent="0.35">
      <c r="A447" s="17">
        <v>45754</v>
      </c>
      <c r="B447" s="45">
        <v>58</v>
      </c>
      <c r="C447" s="45">
        <v>5.13</v>
      </c>
      <c r="D447" s="46">
        <v>22504005</v>
      </c>
      <c r="E447" s="45" t="s">
        <v>379</v>
      </c>
      <c r="F447" s="45">
        <v>1230</v>
      </c>
      <c r="G447" s="35">
        <v>0.28680555555555554</v>
      </c>
      <c r="H447" s="35">
        <v>0.91666666666666663</v>
      </c>
      <c r="I447" s="36">
        <v>907</v>
      </c>
      <c r="J447" s="67" t="s">
        <v>448</v>
      </c>
      <c r="K447" s="67" t="s">
        <v>15</v>
      </c>
      <c r="L447" s="67" t="s">
        <v>448</v>
      </c>
      <c r="M447" s="49" t="s">
        <v>583</v>
      </c>
    </row>
    <row r="448" spans="1:13" x14ac:dyDescent="0.35">
      <c r="A448" s="17">
        <v>45755</v>
      </c>
      <c r="B448" s="45">
        <v>58</v>
      </c>
      <c r="C448" s="45">
        <v>5.53</v>
      </c>
      <c r="D448" s="46">
        <v>22504005</v>
      </c>
      <c r="E448" s="45" t="s">
        <v>379</v>
      </c>
      <c r="F448" s="45">
        <v>1230</v>
      </c>
      <c r="G448" s="35">
        <v>0.91666666666666663</v>
      </c>
      <c r="H448" s="35">
        <v>0.96805555555555556</v>
      </c>
      <c r="I448" s="36">
        <v>74</v>
      </c>
      <c r="J448" s="67" t="s">
        <v>446</v>
      </c>
      <c r="K448" s="67" t="s">
        <v>15</v>
      </c>
      <c r="L448" s="67" t="s">
        <v>448</v>
      </c>
      <c r="M448" s="49" t="s">
        <v>583</v>
      </c>
    </row>
    <row r="449" spans="1:13" x14ac:dyDescent="0.35">
      <c r="A449" s="17">
        <v>45756</v>
      </c>
      <c r="B449" s="39">
        <v>58</v>
      </c>
      <c r="C449" s="39">
        <v>5.22</v>
      </c>
      <c r="D449" s="39">
        <v>22504006</v>
      </c>
      <c r="E449" s="39" t="s">
        <v>116</v>
      </c>
      <c r="F449" s="39" t="s">
        <v>58</v>
      </c>
      <c r="G449" s="35">
        <v>0.17708333333333334</v>
      </c>
      <c r="H449" s="35">
        <v>0.19791666666666666</v>
      </c>
      <c r="I449" s="36">
        <v>30</v>
      </c>
      <c r="J449" s="67" t="s">
        <v>51</v>
      </c>
      <c r="K449" s="67" t="s">
        <v>445</v>
      </c>
      <c r="L449" s="67" t="s">
        <v>53</v>
      </c>
      <c r="M449" s="47" t="s">
        <v>54</v>
      </c>
    </row>
    <row r="450" spans="1:13" x14ac:dyDescent="0.35">
      <c r="A450" s="17">
        <v>45756</v>
      </c>
      <c r="B450" s="39">
        <v>58</v>
      </c>
      <c r="C450" s="39">
        <v>5.22</v>
      </c>
      <c r="D450" s="39">
        <v>22504006</v>
      </c>
      <c r="E450" s="39" t="s">
        <v>116</v>
      </c>
      <c r="F450" s="39" t="s">
        <v>58</v>
      </c>
      <c r="G450" s="35">
        <v>0.19791666666666666</v>
      </c>
      <c r="H450" s="35">
        <v>0.2048611111111111</v>
      </c>
      <c r="I450" s="36">
        <v>10</v>
      </c>
      <c r="J450" s="67" t="s">
        <v>446</v>
      </c>
      <c r="K450" s="67" t="s">
        <v>445</v>
      </c>
      <c r="L450" s="67" t="s">
        <v>206</v>
      </c>
      <c r="M450" s="47" t="s">
        <v>206</v>
      </c>
    </row>
    <row r="451" spans="1:13" x14ac:dyDescent="0.35">
      <c r="A451" s="17">
        <v>45756</v>
      </c>
      <c r="B451" s="39">
        <v>58</v>
      </c>
      <c r="C451" s="39">
        <v>5.22</v>
      </c>
      <c r="D451" s="39">
        <v>22504006</v>
      </c>
      <c r="E451" s="39" t="s">
        <v>116</v>
      </c>
      <c r="F451" s="39" t="s">
        <v>58</v>
      </c>
      <c r="G451" s="35">
        <v>0.2048611111111111</v>
      </c>
      <c r="H451" s="35">
        <v>0.21527777777777779</v>
      </c>
      <c r="I451" s="36">
        <v>15</v>
      </c>
      <c r="J451" s="67" t="s">
        <v>446</v>
      </c>
      <c r="K451" s="67" t="s">
        <v>19</v>
      </c>
      <c r="L451" s="67"/>
      <c r="M451" s="47" t="s">
        <v>267</v>
      </c>
    </row>
    <row r="452" spans="1:13" x14ac:dyDescent="0.35">
      <c r="A452" s="17">
        <v>45757</v>
      </c>
      <c r="B452" s="39">
        <v>58</v>
      </c>
      <c r="C452" s="39">
        <v>5.56</v>
      </c>
      <c r="D452" s="39">
        <v>22504007</v>
      </c>
      <c r="E452" s="39" t="s">
        <v>141</v>
      </c>
      <c r="F452" s="39">
        <v>1260</v>
      </c>
      <c r="G452" s="35">
        <v>0.40277777777777779</v>
      </c>
      <c r="H452" s="35">
        <v>0.4236111111111111</v>
      </c>
      <c r="I452" s="36">
        <v>30</v>
      </c>
      <c r="J452" s="67" t="s">
        <v>51</v>
      </c>
      <c r="K452" s="67" t="s">
        <v>445</v>
      </c>
      <c r="L452" s="67" t="s">
        <v>53</v>
      </c>
      <c r="M452" s="47" t="s">
        <v>54</v>
      </c>
    </row>
    <row r="453" spans="1:13" x14ac:dyDescent="0.35">
      <c r="A453" s="17">
        <v>45757</v>
      </c>
      <c r="B453" s="39">
        <v>58</v>
      </c>
      <c r="C453" s="39">
        <v>5.56</v>
      </c>
      <c r="D453" s="39">
        <v>22504007</v>
      </c>
      <c r="E453" s="39" t="s">
        <v>141</v>
      </c>
      <c r="F453" s="39">
        <v>1260</v>
      </c>
      <c r="G453" s="35">
        <v>0.4236111111111111</v>
      </c>
      <c r="H453" s="35">
        <v>0.43402777777777779</v>
      </c>
      <c r="I453" s="36">
        <v>15</v>
      </c>
      <c r="J453" s="67" t="s">
        <v>52</v>
      </c>
      <c r="K453" s="67" t="s">
        <v>445</v>
      </c>
      <c r="L453" s="67" t="s">
        <v>59</v>
      </c>
      <c r="M453" s="47" t="s">
        <v>432</v>
      </c>
    </row>
    <row r="454" spans="1:13" x14ac:dyDescent="0.35">
      <c r="A454" s="17">
        <v>45757</v>
      </c>
      <c r="B454" s="39">
        <v>58</v>
      </c>
      <c r="C454" s="39">
        <v>5.56</v>
      </c>
      <c r="D454" s="39">
        <v>22504007</v>
      </c>
      <c r="E454" s="39" t="s">
        <v>141</v>
      </c>
      <c r="F454" s="39">
        <v>1260</v>
      </c>
      <c r="G454" s="35">
        <v>0.43402777777777779</v>
      </c>
      <c r="H454" s="35">
        <v>0.44305555555555554</v>
      </c>
      <c r="I454" s="36">
        <v>13</v>
      </c>
      <c r="J454" s="67" t="s">
        <v>446</v>
      </c>
      <c r="K454" s="67" t="s">
        <v>445</v>
      </c>
      <c r="L454" s="67" t="s">
        <v>74</v>
      </c>
      <c r="M454" s="47" t="s">
        <v>588</v>
      </c>
    </row>
    <row r="455" spans="1:13" x14ac:dyDescent="0.35">
      <c r="A455" s="17">
        <v>45758</v>
      </c>
      <c r="B455" s="45">
        <v>58</v>
      </c>
      <c r="C455" s="45">
        <v>5.57</v>
      </c>
      <c r="D455" s="46">
        <v>22504008</v>
      </c>
      <c r="E455" s="45" t="s">
        <v>57</v>
      </c>
      <c r="F455" s="45" t="s">
        <v>590</v>
      </c>
      <c r="G455" s="35">
        <v>0.62847222222222221</v>
      </c>
      <c r="H455" s="35">
        <v>0.64930555555555558</v>
      </c>
      <c r="I455" s="36">
        <v>30</v>
      </c>
      <c r="J455" s="67" t="s">
        <v>51</v>
      </c>
      <c r="K455" s="67" t="s">
        <v>445</v>
      </c>
      <c r="L455" s="67" t="s">
        <v>53</v>
      </c>
      <c r="M455" s="47" t="s">
        <v>54</v>
      </c>
    </row>
    <row r="456" spans="1:13" x14ac:dyDescent="0.35">
      <c r="A456" s="17">
        <v>45759</v>
      </c>
      <c r="B456" s="18">
        <v>58</v>
      </c>
      <c r="C456" s="18">
        <v>5.4294202898550727</v>
      </c>
      <c r="D456" s="15">
        <v>22504009</v>
      </c>
      <c r="E456" s="15" t="s">
        <v>141</v>
      </c>
      <c r="F456" s="15" t="s">
        <v>494</v>
      </c>
      <c r="G456" s="4">
        <v>0.84027777777777779</v>
      </c>
      <c r="H456" s="4">
        <v>0.86111111111111116</v>
      </c>
      <c r="I456" s="5">
        <f t="shared" ref="I456:I459" si="65">IF(H456=0,"",(IF(H456&gt;G456,(H456-G456)*1440,(H456-G456+1)*1440)))</f>
        <v>30.000000000000053</v>
      </c>
      <c r="J456" s="12" t="s">
        <v>51</v>
      </c>
      <c r="K456" s="12" t="s">
        <v>445</v>
      </c>
      <c r="L456" s="12" t="s">
        <v>53</v>
      </c>
      <c r="M456" s="6" t="s">
        <v>54</v>
      </c>
    </row>
    <row r="457" spans="1:13" x14ac:dyDescent="0.35">
      <c r="A457" s="17">
        <v>45759</v>
      </c>
      <c r="B457" s="18">
        <v>58</v>
      </c>
      <c r="C457" s="18">
        <v>5.4294202898550727</v>
      </c>
      <c r="D457" s="15">
        <v>22504009</v>
      </c>
      <c r="E457" s="15" t="s">
        <v>141</v>
      </c>
      <c r="F457" s="15" t="s">
        <v>494</v>
      </c>
      <c r="G457" s="4">
        <v>0.86111111111111116</v>
      </c>
      <c r="H457" s="4">
        <v>0.8666666666666667</v>
      </c>
      <c r="I457" s="5">
        <f t="shared" si="65"/>
        <v>7.9999999999999716</v>
      </c>
      <c r="J457" s="12" t="s">
        <v>52</v>
      </c>
      <c r="K457" s="12" t="s">
        <v>445</v>
      </c>
      <c r="L457" s="12" t="s">
        <v>59</v>
      </c>
      <c r="M457" s="6" t="s">
        <v>432</v>
      </c>
    </row>
    <row r="458" spans="1:13" x14ac:dyDescent="0.35">
      <c r="A458" s="17">
        <v>45759</v>
      </c>
      <c r="B458" s="18">
        <v>58</v>
      </c>
      <c r="C458" s="18">
        <v>5.4294202898550727</v>
      </c>
      <c r="D458" s="15">
        <v>22504009</v>
      </c>
      <c r="E458" s="15" t="s">
        <v>141</v>
      </c>
      <c r="F458" s="15" t="s">
        <v>494</v>
      </c>
      <c r="G458" s="4">
        <v>0.8666666666666667</v>
      </c>
      <c r="H458" s="4">
        <v>0.875</v>
      </c>
      <c r="I458" s="5">
        <f t="shared" si="65"/>
        <v>11.999999999999957</v>
      </c>
      <c r="J458" s="12" t="s">
        <v>52</v>
      </c>
      <c r="K458" s="12" t="s">
        <v>62</v>
      </c>
      <c r="L458" s="12" t="s">
        <v>130</v>
      </c>
      <c r="M458" s="6" t="s">
        <v>147</v>
      </c>
    </row>
    <row r="459" spans="1:13" x14ac:dyDescent="0.35">
      <c r="A459" s="17">
        <v>45759</v>
      </c>
      <c r="B459" s="18">
        <v>58</v>
      </c>
      <c r="C459" s="18">
        <v>5.4294202898550727</v>
      </c>
      <c r="D459" s="15">
        <v>22504009</v>
      </c>
      <c r="E459" s="15" t="s">
        <v>141</v>
      </c>
      <c r="F459" s="15" t="s">
        <v>494</v>
      </c>
      <c r="G459" s="4">
        <v>0.875</v>
      </c>
      <c r="H459" s="4">
        <v>0.88194444444444442</v>
      </c>
      <c r="I459" s="5">
        <f t="shared" si="65"/>
        <v>9.9999999999999645</v>
      </c>
      <c r="J459" s="12" t="s">
        <v>446</v>
      </c>
      <c r="K459" s="12" t="s">
        <v>41</v>
      </c>
      <c r="L459" s="12" t="s">
        <v>454</v>
      </c>
      <c r="M459" s="6" t="s">
        <v>592</v>
      </c>
    </row>
    <row r="460" spans="1:13" x14ac:dyDescent="0.35">
      <c r="A460" s="17">
        <v>45761</v>
      </c>
      <c r="B460" s="45">
        <v>58</v>
      </c>
      <c r="C460" s="45">
        <v>5.5</v>
      </c>
      <c r="D460" s="39">
        <v>22504010</v>
      </c>
      <c r="E460" s="39" t="s">
        <v>57</v>
      </c>
      <c r="F460" s="39">
        <v>1230</v>
      </c>
      <c r="G460" s="35">
        <v>1.3888888888888888E-2</v>
      </c>
      <c r="H460" s="35">
        <v>3.4722222222222224E-2</v>
      </c>
      <c r="I460" s="36">
        <v>30</v>
      </c>
      <c r="J460" s="67" t="s">
        <v>51</v>
      </c>
      <c r="K460" s="67" t="s">
        <v>445</v>
      </c>
      <c r="L460" s="67" t="s">
        <v>53</v>
      </c>
      <c r="M460" s="47" t="s">
        <v>54</v>
      </c>
    </row>
    <row r="461" spans="1:13" x14ac:dyDescent="0.35">
      <c r="A461" s="17">
        <v>45761</v>
      </c>
      <c r="B461" s="39">
        <v>58</v>
      </c>
      <c r="C461" s="39">
        <v>5.16</v>
      </c>
      <c r="D461" s="39">
        <v>22504010</v>
      </c>
      <c r="E461" s="39" t="s">
        <v>57</v>
      </c>
      <c r="F461" s="39">
        <v>1230</v>
      </c>
      <c r="G461" s="35">
        <v>3.4722222222222224E-2</v>
      </c>
      <c r="H461" s="35">
        <v>3.8194444444444448E-2</v>
      </c>
      <c r="I461" s="36">
        <v>5</v>
      </c>
      <c r="J461" s="67" t="s">
        <v>446</v>
      </c>
      <c r="K461" s="67" t="s">
        <v>26</v>
      </c>
      <c r="L461" s="67" t="s">
        <v>477</v>
      </c>
      <c r="M461" s="47" t="s">
        <v>593</v>
      </c>
    </row>
    <row r="462" spans="1:13" x14ac:dyDescent="0.35">
      <c r="A462" s="17">
        <v>45761</v>
      </c>
      <c r="B462" s="39">
        <v>58</v>
      </c>
      <c r="C462" s="39">
        <v>5.16</v>
      </c>
      <c r="D462" s="39">
        <v>22504011</v>
      </c>
      <c r="E462" s="39" t="s">
        <v>313</v>
      </c>
      <c r="F462" s="39" t="s">
        <v>594</v>
      </c>
      <c r="G462" s="35">
        <v>0.70138888888888884</v>
      </c>
      <c r="H462" s="35">
        <v>0.78472222222222221</v>
      </c>
      <c r="I462" s="36">
        <v>120</v>
      </c>
      <c r="J462" s="67" t="s">
        <v>35</v>
      </c>
      <c r="K462" s="67" t="s">
        <v>445</v>
      </c>
      <c r="L462" s="67" t="s">
        <v>234</v>
      </c>
      <c r="M462" s="49" t="s">
        <v>595</v>
      </c>
    </row>
    <row r="463" spans="1:13" x14ac:dyDescent="0.35">
      <c r="A463" s="17">
        <v>45761</v>
      </c>
      <c r="B463" s="39">
        <v>58</v>
      </c>
      <c r="C463" s="39">
        <v>5.16</v>
      </c>
      <c r="D463" s="39">
        <v>22504011</v>
      </c>
      <c r="E463" s="39" t="s">
        <v>313</v>
      </c>
      <c r="F463" s="39" t="s">
        <v>594</v>
      </c>
      <c r="G463" s="35">
        <v>0.78472222222222221</v>
      </c>
      <c r="H463" s="35">
        <v>0.82291666666666663</v>
      </c>
      <c r="I463" s="36">
        <v>55</v>
      </c>
      <c r="J463" s="67" t="s">
        <v>446</v>
      </c>
      <c r="K463" s="67" t="s">
        <v>445</v>
      </c>
      <c r="L463" s="67" t="s">
        <v>55</v>
      </c>
      <c r="M463" s="47" t="s">
        <v>596</v>
      </c>
    </row>
    <row r="464" spans="1:13" x14ac:dyDescent="0.35">
      <c r="A464" s="17">
        <v>45761</v>
      </c>
      <c r="B464" s="39">
        <v>58</v>
      </c>
      <c r="C464" s="39">
        <v>5.16</v>
      </c>
      <c r="D464" s="39">
        <v>22504011</v>
      </c>
      <c r="E464" s="39" t="s">
        <v>313</v>
      </c>
      <c r="F464" s="39" t="s">
        <v>594</v>
      </c>
      <c r="G464" s="35">
        <v>0.82291666666666663</v>
      </c>
      <c r="H464" s="35">
        <v>0.86458333333333337</v>
      </c>
      <c r="I464" s="36">
        <v>60</v>
      </c>
      <c r="J464" s="67" t="s">
        <v>446</v>
      </c>
      <c r="K464" s="67" t="s">
        <v>19</v>
      </c>
      <c r="L464" s="67" t="s">
        <v>85</v>
      </c>
      <c r="M464" s="47" t="s">
        <v>597</v>
      </c>
    </row>
    <row r="465" spans="1:13" x14ac:dyDescent="0.35">
      <c r="A465" s="17">
        <v>45762</v>
      </c>
      <c r="B465" s="45">
        <v>58</v>
      </c>
      <c r="C465" s="45">
        <v>5.22</v>
      </c>
      <c r="D465" s="46">
        <v>22504012</v>
      </c>
      <c r="E465" s="45" t="s">
        <v>357</v>
      </c>
      <c r="F465" s="45">
        <v>1260</v>
      </c>
      <c r="G465" s="35">
        <v>0.50138888888888888</v>
      </c>
      <c r="H465" s="35">
        <v>0.54166666666666663</v>
      </c>
      <c r="I465" s="36">
        <v>58</v>
      </c>
      <c r="J465" s="67" t="s">
        <v>463</v>
      </c>
      <c r="K465" s="67" t="s">
        <v>26</v>
      </c>
      <c r="L465" s="67" t="s">
        <v>543</v>
      </c>
      <c r="M465" s="47" t="s">
        <v>135</v>
      </c>
    </row>
    <row r="466" spans="1:13" x14ac:dyDescent="0.35">
      <c r="A466" s="17">
        <v>45763</v>
      </c>
      <c r="B466" s="39">
        <v>58</v>
      </c>
      <c r="C466" s="39">
        <v>5.04</v>
      </c>
      <c r="D466" s="46">
        <v>22504013</v>
      </c>
      <c r="E466" s="45" t="s">
        <v>341</v>
      </c>
      <c r="F466" s="45">
        <v>1250</v>
      </c>
      <c r="G466" s="35">
        <v>0.96180555555555558</v>
      </c>
      <c r="H466" s="35">
        <v>6.9444444444444441E-3</v>
      </c>
      <c r="I466" s="36">
        <v>65</v>
      </c>
      <c r="J466" s="67" t="s">
        <v>463</v>
      </c>
      <c r="K466" s="67" t="s">
        <v>41</v>
      </c>
      <c r="L466" s="67" t="s">
        <v>454</v>
      </c>
      <c r="M466" s="47" t="s">
        <v>599</v>
      </c>
    </row>
    <row r="467" spans="1:13" x14ac:dyDescent="0.35">
      <c r="A467" s="17">
        <v>45763</v>
      </c>
      <c r="B467" s="39">
        <v>58</v>
      </c>
      <c r="C467" s="39">
        <v>5.04</v>
      </c>
      <c r="D467" s="39">
        <v>22504014</v>
      </c>
      <c r="E467" s="39" t="s">
        <v>38</v>
      </c>
      <c r="F467" s="39">
        <v>1230</v>
      </c>
      <c r="G467" s="35">
        <v>0.27500000000000002</v>
      </c>
      <c r="H467" s="35">
        <v>0.31666666666666665</v>
      </c>
      <c r="I467" s="36">
        <v>60</v>
      </c>
      <c r="J467" s="67" t="s">
        <v>463</v>
      </c>
      <c r="K467" s="67" t="s">
        <v>41</v>
      </c>
      <c r="L467" s="67" t="s">
        <v>454</v>
      </c>
      <c r="M467" s="47" t="s">
        <v>600</v>
      </c>
    </row>
    <row r="468" spans="1:13" x14ac:dyDescent="0.35">
      <c r="A468" s="17">
        <v>45763</v>
      </c>
      <c r="B468" s="39">
        <v>58</v>
      </c>
      <c r="C468" s="39">
        <v>5.04</v>
      </c>
      <c r="D468" s="39">
        <v>22504014</v>
      </c>
      <c r="E468" s="39" t="s">
        <v>38</v>
      </c>
      <c r="F468" s="39">
        <v>1230</v>
      </c>
      <c r="G468" s="35">
        <v>0.31666666666666665</v>
      </c>
      <c r="H468" s="35">
        <v>0.32083333333333336</v>
      </c>
      <c r="I468" s="36">
        <v>6</v>
      </c>
      <c r="J468" s="67" t="s">
        <v>446</v>
      </c>
      <c r="K468" s="67" t="s">
        <v>445</v>
      </c>
      <c r="L468" s="67" t="s">
        <v>206</v>
      </c>
      <c r="M468" s="47" t="s">
        <v>206</v>
      </c>
    </row>
    <row r="469" spans="1:13" x14ac:dyDescent="0.35">
      <c r="A469" s="17">
        <v>45764</v>
      </c>
      <c r="B469" s="39">
        <v>58</v>
      </c>
      <c r="C469" s="39">
        <v>5.08</v>
      </c>
      <c r="D469" s="39">
        <v>22504015</v>
      </c>
      <c r="E469" s="39" t="s">
        <v>69</v>
      </c>
      <c r="F469" s="39" t="s">
        <v>58</v>
      </c>
      <c r="G469" s="35">
        <v>0.35972222222222222</v>
      </c>
      <c r="H469" s="35">
        <v>0.40138888888888891</v>
      </c>
      <c r="I469" s="36">
        <v>60</v>
      </c>
      <c r="J469" s="67" t="s">
        <v>463</v>
      </c>
      <c r="K469" s="67" t="s">
        <v>19</v>
      </c>
      <c r="L469" s="67" t="s">
        <v>561</v>
      </c>
      <c r="M469" s="47" t="s">
        <v>603</v>
      </c>
    </row>
    <row r="470" spans="1:13" x14ac:dyDescent="0.35">
      <c r="A470" s="17">
        <v>45764</v>
      </c>
      <c r="B470" s="39">
        <v>58</v>
      </c>
      <c r="C470" s="39">
        <v>5.08</v>
      </c>
      <c r="D470" s="39">
        <v>22504015</v>
      </c>
      <c r="E470" s="39" t="s">
        <v>69</v>
      </c>
      <c r="F470" s="39" t="s">
        <v>58</v>
      </c>
      <c r="G470" s="35">
        <v>0.40138888888888891</v>
      </c>
      <c r="H470" s="35">
        <v>0.40763888888888888</v>
      </c>
      <c r="I470" s="36">
        <v>9</v>
      </c>
      <c r="J470" s="67" t="s">
        <v>446</v>
      </c>
      <c r="K470" s="67" t="s">
        <v>19</v>
      </c>
      <c r="L470" s="67" t="s">
        <v>85</v>
      </c>
      <c r="M470" s="47" t="s">
        <v>604</v>
      </c>
    </row>
    <row r="471" spans="1:13" x14ac:dyDescent="0.35">
      <c r="A471" s="17">
        <v>45765</v>
      </c>
      <c r="B471" s="39">
        <v>58</v>
      </c>
      <c r="C471" s="39">
        <v>5.51</v>
      </c>
      <c r="D471" s="39">
        <v>22504016</v>
      </c>
      <c r="E471" s="39" t="s">
        <v>501</v>
      </c>
      <c r="F471" s="39" t="s">
        <v>88</v>
      </c>
      <c r="G471" s="35">
        <v>0.75</v>
      </c>
      <c r="H471" s="35">
        <v>0.77083333333333337</v>
      </c>
      <c r="I471" s="36">
        <v>30</v>
      </c>
      <c r="J471" s="67" t="s">
        <v>51</v>
      </c>
      <c r="K471" s="67" t="s">
        <v>445</v>
      </c>
      <c r="L471" s="67" t="s">
        <v>53</v>
      </c>
      <c r="M471" s="47" t="s">
        <v>54</v>
      </c>
    </row>
    <row r="472" spans="1:13" x14ac:dyDescent="0.35">
      <c r="A472" s="17">
        <v>45765</v>
      </c>
      <c r="B472" s="39">
        <v>58</v>
      </c>
      <c r="C472" s="39">
        <v>5.51</v>
      </c>
      <c r="D472" s="39">
        <v>22504016</v>
      </c>
      <c r="E472" s="39" t="s">
        <v>501</v>
      </c>
      <c r="F472" s="39" t="s">
        <v>88</v>
      </c>
      <c r="G472" s="35">
        <v>0.77083333333333337</v>
      </c>
      <c r="H472" s="35">
        <v>0.77638888888888891</v>
      </c>
      <c r="I472" s="36">
        <v>8</v>
      </c>
      <c r="J472" s="67" t="s">
        <v>52</v>
      </c>
      <c r="K472" s="67" t="s">
        <v>445</v>
      </c>
      <c r="L472" s="67" t="s">
        <v>59</v>
      </c>
      <c r="M472" s="47" t="s">
        <v>432</v>
      </c>
    </row>
    <row r="473" spans="1:13" x14ac:dyDescent="0.35">
      <c r="A473" s="17">
        <v>45765</v>
      </c>
      <c r="B473" s="39">
        <v>58</v>
      </c>
      <c r="C473" s="39">
        <v>5.51</v>
      </c>
      <c r="D473" s="39">
        <v>22504016</v>
      </c>
      <c r="E473" s="39" t="s">
        <v>501</v>
      </c>
      <c r="F473" s="39" t="s">
        <v>88</v>
      </c>
      <c r="G473" s="35">
        <v>0.77638888888888891</v>
      </c>
      <c r="H473" s="35">
        <v>0.78472222222222221</v>
      </c>
      <c r="I473" s="36">
        <v>12</v>
      </c>
      <c r="J473" s="67" t="s">
        <v>52</v>
      </c>
      <c r="K473" s="67" t="s">
        <v>62</v>
      </c>
      <c r="L473" s="67" t="s">
        <v>130</v>
      </c>
      <c r="M473" s="47" t="s">
        <v>250</v>
      </c>
    </row>
    <row r="474" spans="1:13" x14ac:dyDescent="0.35">
      <c r="A474" s="17">
        <v>45765</v>
      </c>
      <c r="B474" s="39">
        <v>58</v>
      </c>
      <c r="C474" s="39">
        <v>5.51</v>
      </c>
      <c r="D474" s="39">
        <v>22504016</v>
      </c>
      <c r="E474" s="39" t="s">
        <v>501</v>
      </c>
      <c r="F474" s="39" t="s">
        <v>88</v>
      </c>
      <c r="G474" s="35">
        <v>0.78472222222222221</v>
      </c>
      <c r="H474" s="35">
        <v>0.79027777777777775</v>
      </c>
      <c r="I474" s="36">
        <v>8</v>
      </c>
      <c r="J474" s="67" t="s">
        <v>446</v>
      </c>
      <c r="K474" s="67" t="s">
        <v>445</v>
      </c>
      <c r="L474" s="67" t="s">
        <v>206</v>
      </c>
      <c r="M474" s="47" t="s">
        <v>206</v>
      </c>
    </row>
    <row r="475" spans="1:13" x14ac:dyDescent="0.35">
      <c r="A475" s="17">
        <v>45766</v>
      </c>
      <c r="B475" s="45">
        <v>58</v>
      </c>
      <c r="C475" s="45">
        <v>5.0599999999999996</v>
      </c>
      <c r="D475" s="39">
        <v>22504017</v>
      </c>
      <c r="E475" s="39" t="s">
        <v>101</v>
      </c>
      <c r="F475" s="39">
        <v>1255</v>
      </c>
      <c r="G475" s="35">
        <v>0.88402777777777775</v>
      </c>
      <c r="H475" s="35">
        <v>0.91666666666666663</v>
      </c>
      <c r="I475" s="36">
        <v>47</v>
      </c>
      <c r="J475" s="86" t="s">
        <v>463</v>
      </c>
      <c r="K475" s="86" t="s">
        <v>26</v>
      </c>
      <c r="L475" s="86" t="s">
        <v>477</v>
      </c>
      <c r="M475" s="47" t="s">
        <v>606</v>
      </c>
    </row>
    <row r="476" spans="1:13" x14ac:dyDescent="0.35">
      <c r="A476" s="17">
        <v>45767</v>
      </c>
      <c r="B476" s="45">
        <v>58</v>
      </c>
      <c r="C476" s="45">
        <v>5.22</v>
      </c>
      <c r="D476" s="39">
        <v>22504017</v>
      </c>
      <c r="E476" s="39" t="s">
        <v>101</v>
      </c>
      <c r="F476" s="39">
        <v>1255</v>
      </c>
      <c r="G476" s="35">
        <v>0.91666666666666663</v>
      </c>
      <c r="H476" s="35">
        <v>0.94652777777777775</v>
      </c>
      <c r="I476" s="36">
        <v>43</v>
      </c>
      <c r="J476" s="86" t="s">
        <v>463</v>
      </c>
      <c r="K476" s="86" t="s">
        <v>26</v>
      </c>
      <c r="L476" s="86" t="s">
        <v>477</v>
      </c>
      <c r="M476" s="47" t="s">
        <v>607</v>
      </c>
    </row>
    <row r="477" spans="1:13" x14ac:dyDescent="0.35">
      <c r="A477" s="17">
        <v>45768</v>
      </c>
      <c r="B477" s="39">
        <v>58</v>
      </c>
      <c r="C477" s="39">
        <v>5.19</v>
      </c>
      <c r="D477" s="39">
        <v>22504018</v>
      </c>
      <c r="E477" s="39" t="s">
        <v>501</v>
      </c>
      <c r="F477" s="39">
        <v>1230</v>
      </c>
      <c r="G477" s="35">
        <v>0.28819444444444442</v>
      </c>
      <c r="H477" s="35">
        <v>0.30902777777777779</v>
      </c>
      <c r="I477" s="36">
        <v>30</v>
      </c>
      <c r="J477" s="67" t="s">
        <v>51</v>
      </c>
      <c r="K477" s="104" t="s">
        <v>445</v>
      </c>
      <c r="L477" s="67" t="s">
        <v>53</v>
      </c>
      <c r="M477" s="47" t="s">
        <v>54</v>
      </c>
    </row>
    <row r="478" spans="1:13" x14ac:dyDescent="0.35">
      <c r="A478" s="17">
        <v>45768</v>
      </c>
      <c r="B478" s="39">
        <v>58</v>
      </c>
      <c r="C478" s="39">
        <v>5.19</v>
      </c>
      <c r="D478" s="39">
        <v>22504018</v>
      </c>
      <c r="E478" s="39" t="s">
        <v>501</v>
      </c>
      <c r="F478" s="39">
        <v>1230</v>
      </c>
      <c r="G478" s="35">
        <v>0.30902777777777779</v>
      </c>
      <c r="H478" s="35">
        <v>0.31944444444444442</v>
      </c>
      <c r="I478" s="36">
        <v>15</v>
      </c>
      <c r="J478" s="67" t="s">
        <v>52</v>
      </c>
      <c r="K478" s="104" t="s">
        <v>445</v>
      </c>
      <c r="L478" s="67" t="s">
        <v>59</v>
      </c>
      <c r="M478" s="47" t="s">
        <v>432</v>
      </c>
    </row>
    <row r="479" spans="1:13" x14ac:dyDescent="0.35">
      <c r="A479" s="17">
        <v>45768</v>
      </c>
      <c r="B479" s="39">
        <v>58</v>
      </c>
      <c r="C479" s="39">
        <v>5.19</v>
      </c>
      <c r="D479" s="45">
        <v>22504019</v>
      </c>
      <c r="E479" s="45" t="s">
        <v>76</v>
      </c>
      <c r="F479" s="45">
        <v>120</v>
      </c>
      <c r="G479" s="35">
        <v>0.90277777777777779</v>
      </c>
      <c r="H479" s="35">
        <v>0.91666666666666663</v>
      </c>
      <c r="I479" s="36">
        <v>20</v>
      </c>
      <c r="J479" s="67" t="s">
        <v>25</v>
      </c>
      <c r="K479" s="67" t="s">
        <v>445</v>
      </c>
      <c r="L479" s="67" t="s">
        <v>456</v>
      </c>
      <c r="M479" s="60" t="s">
        <v>523</v>
      </c>
    </row>
    <row r="480" spans="1:13" x14ac:dyDescent="0.35">
      <c r="A480" s="17">
        <v>45769</v>
      </c>
      <c r="B480" s="39">
        <v>58</v>
      </c>
      <c r="C480" s="39">
        <v>5.4</v>
      </c>
      <c r="D480" s="45">
        <v>22504019</v>
      </c>
      <c r="E480" s="45" t="s">
        <v>76</v>
      </c>
      <c r="F480" s="45">
        <v>120</v>
      </c>
      <c r="G480" s="35">
        <v>0.91666666666666663</v>
      </c>
      <c r="H480" s="35">
        <v>0.98611111111111116</v>
      </c>
      <c r="I480" s="36">
        <v>100</v>
      </c>
      <c r="J480" s="67" t="s">
        <v>25</v>
      </c>
      <c r="K480" s="67" t="s">
        <v>445</v>
      </c>
      <c r="L480" s="67" t="s">
        <v>456</v>
      </c>
      <c r="M480" s="112" t="s">
        <v>609</v>
      </c>
    </row>
    <row r="481" spans="1:22" x14ac:dyDescent="0.35">
      <c r="A481" s="17">
        <v>45770</v>
      </c>
      <c r="B481" s="39">
        <v>58</v>
      </c>
      <c r="C481" s="39">
        <v>5.22</v>
      </c>
      <c r="D481" s="39">
        <v>22504020</v>
      </c>
      <c r="E481" s="39" t="s">
        <v>104</v>
      </c>
      <c r="F481" s="39">
        <v>1250</v>
      </c>
      <c r="G481" s="35">
        <v>0.27083333333333331</v>
      </c>
      <c r="H481" s="35">
        <v>0.29166666666666669</v>
      </c>
      <c r="I481" s="36">
        <v>30</v>
      </c>
      <c r="J481" s="67" t="s">
        <v>51</v>
      </c>
      <c r="K481" s="67" t="s">
        <v>445</v>
      </c>
      <c r="L481" s="67" t="s">
        <v>53</v>
      </c>
      <c r="M481" s="47" t="s">
        <v>54</v>
      </c>
    </row>
    <row r="482" spans="1:22" x14ac:dyDescent="0.35">
      <c r="A482" s="17">
        <v>45770</v>
      </c>
      <c r="B482" s="39">
        <v>58</v>
      </c>
      <c r="C482" s="39">
        <v>5.22</v>
      </c>
      <c r="D482" s="39">
        <v>22504020</v>
      </c>
      <c r="E482" s="39" t="s">
        <v>104</v>
      </c>
      <c r="F482" s="39">
        <v>1250</v>
      </c>
      <c r="G482" s="35">
        <v>0.29166666666666669</v>
      </c>
      <c r="H482" s="35">
        <v>0.4201388888888889</v>
      </c>
      <c r="I482" s="36">
        <v>185</v>
      </c>
      <c r="J482" s="67" t="s">
        <v>446</v>
      </c>
      <c r="K482" s="67" t="s">
        <v>26</v>
      </c>
      <c r="L482" s="67" t="s">
        <v>543</v>
      </c>
      <c r="M482" s="47" t="s">
        <v>610</v>
      </c>
    </row>
    <row r="483" spans="1:22" x14ac:dyDescent="0.35">
      <c r="A483" s="17">
        <v>45771</v>
      </c>
      <c r="B483" s="45">
        <v>58</v>
      </c>
      <c r="C483" s="45">
        <v>5.07</v>
      </c>
      <c r="D483" s="46">
        <v>22504021</v>
      </c>
      <c r="E483" s="45" t="s">
        <v>357</v>
      </c>
      <c r="F483" s="45">
        <v>1250</v>
      </c>
      <c r="G483" s="35">
        <v>6.9444444444444448E-2</v>
      </c>
      <c r="H483" s="35">
        <v>0.13194444444444445</v>
      </c>
      <c r="I483" s="36">
        <v>90</v>
      </c>
      <c r="J483" s="67" t="s">
        <v>35</v>
      </c>
      <c r="K483" s="67" t="s">
        <v>19</v>
      </c>
      <c r="L483" s="67" t="s">
        <v>231</v>
      </c>
      <c r="M483" s="49" t="s">
        <v>613</v>
      </c>
    </row>
    <row r="484" spans="1:22" x14ac:dyDescent="0.35">
      <c r="A484" s="17">
        <v>45772</v>
      </c>
      <c r="B484" s="39">
        <v>58</v>
      </c>
      <c r="C484" s="39">
        <v>5.4</v>
      </c>
      <c r="D484" s="39">
        <v>22504022</v>
      </c>
      <c r="E484" s="39" t="s">
        <v>496</v>
      </c>
      <c r="F484" s="39">
        <v>1250</v>
      </c>
      <c r="G484" s="35">
        <v>0.47222222222222221</v>
      </c>
      <c r="H484" s="35">
        <v>0.49305555555555558</v>
      </c>
      <c r="I484" s="36">
        <v>30</v>
      </c>
      <c r="J484" s="67" t="s">
        <v>51</v>
      </c>
      <c r="K484" s="67" t="s">
        <v>445</v>
      </c>
      <c r="L484" s="67" t="s">
        <v>53</v>
      </c>
      <c r="M484" s="47" t="s">
        <v>54</v>
      </c>
    </row>
    <row r="485" spans="1:22" x14ac:dyDescent="0.35">
      <c r="A485" s="17">
        <v>45772</v>
      </c>
      <c r="B485" s="39">
        <v>58</v>
      </c>
      <c r="C485" s="39">
        <v>5.4</v>
      </c>
      <c r="D485" s="39">
        <v>22504022</v>
      </c>
      <c r="E485" s="39" t="s">
        <v>496</v>
      </c>
      <c r="F485" s="39">
        <v>1250</v>
      </c>
      <c r="G485" s="35">
        <v>0.49305555555555558</v>
      </c>
      <c r="H485" s="35">
        <v>0.50694444444444442</v>
      </c>
      <c r="I485" s="36">
        <v>20</v>
      </c>
      <c r="J485" s="67" t="s">
        <v>446</v>
      </c>
      <c r="K485" s="67" t="s">
        <v>19</v>
      </c>
      <c r="L485" s="67" t="s">
        <v>319</v>
      </c>
      <c r="M485" s="47" t="s">
        <v>276</v>
      </c>
    </row>
    <row r="486" spans="1:22" x14ac:dyDescent="0.35">
      <c r="A486" s="17">
        <v>45773</v>
      </c>
      <c r="B486" s="39">
        <v>58</v>
      </c>
      <c r="C486" s="39">
        <v>5.29</v>
      </c>
      <c r="D486" s="39">
        <v>22504023</v>
      </c>
      <c r="E486" s="39" t="s">
        <v>501</v>
      </c>
      <c r="F486" s="39" t="s">
        <v>620</v>
      </c>
      <c r="G486" s="35">
        <v>0.83680555555555558</v>
      </c>
      <c r="H486" s="35">
        <v>0.85763888888888884</v>
      </c>
      <c r="I486" s="36">
        <v>30</v>
      </c>
      <c r="J486" s="67" t="s">
        <v>51</v>
      </c>
      <c r="K486" s="104" t="s">
        <v>445</v>
      </c>
      <c r="L486" s="67" t="s">
        <v>53</v>
      </c>
      <c r="M486" s="47" t="s">
        <v>54</v>
      </c>
    </row>
    <row r="487" spans="1:22" x14ac:dyDescent="0.35">
      <c r="A487" s="17">
        <v>45773</v>
      </c>
      <c r="B487" s="39">
        <v>58</v>
      </c>
      <c r="C487" s="39">
        <v>5.29</v>
      </c>
      <c r="D487" s="39">
        <v>22504023</v>
      </c>
      <c r="E487" s="39" t="s">
        <v>503</v>
      </c>
      <c r="F487" s="39" t="s">
        <v>621</v>
      </c>
      <c r="G487" s="35">
        <v>0.85763888888888884</v>
      </c>
      <c r="H487" s="35">
        <v>0.86458333333333337</v>
      </c>
      <c r="I487" s="36">
        <v>10</v>
      </c>
      <c r="J487" s="67" t="s">
        <v>52</v>
      </c>
      <c r="K487" s="104" t="s">
        <v>445</v>
      </c>
      <c r="L487" s="67" t="s">
        <v>59</v>
      </c>
      <c r="M487" s="47" t="s">
        <v>432</v>
      </c>
    </row>
    <row r="488" spans="1:22" x14ac:dyDescent="0.35">
      <c r="A488" s="17">
        <v>45773</v>
      </c>
      <c r="B488" s="39">
        <v>58</v>
      </c>
      <c r="C488" s="39">
        <v>5.29</v>
      </c>
      <c r="D488" s="39">
        <v>22504023</v>
      </c>
      <c r="E488" s="39" t="s">
        <v>501</v>
      </c>
      <c r="F488" s="39" t="s">
        <v>620</v>
      </c>
      <c r="G488" s="35">
        <v>0.86458333333333337</v>
      </c>
      <c r="H488" s="35">
        <v>0.86805555555555558</v>
      </c>
      <c r="I488" s="36">
        <v>5</v>
      </c>
      <c r="J488" s="67" t="s">
        <v>52</v>
      </c>
      <c r="K488" s="104" t="s">
        <v>62</v>
      </c>
      <c r="L488" s="67" t="s">
        <v>130</v>
      </c>
      <c r="M488" s="47" t="s">
        <v>164</v>
      </c>
    </row>
    <row r="489" spans="1:22" x14ac:dyDescent="0.35">
      <c r="A489" s="17">
        <v>45775</v>
      </c>
      <c r="B489" s="85">
        <v>58</v>
      </c>
      <c r="C489" s="85">
        <v>5.13</v>
      </c>
      <c r="D489" s="85">
        <v>22504024</v>
      </c>
      <c r="E489" s="45" t="s">
        <v>501</v>
      </c>
      <c r="F489" s="45">
        <v>1230</v>
      </c>
      <c r="G489" s="35">
        <v>0.20833333333333334</v>
      </c>
      <c r="H489" s="35">
        <v>0.22916666666666666</v>
      </c>
      <c r="I489" s="36">
        <v>30</v>
      </c>
      <c r="J489" s="67" t="s">
        <v>51</v>
      </c>
      <c r="K489" s="67" t="s">
        <v>445</v>
      </c>
      <c r="L489" s="67" t="s">
        <v>53</v>
      </c>
      <c r="M489" s="47" t="s">
        <v>54</v>
      </c>
    </row>
    <row r="490" spans="1:22" x14ac:dyDescent="0.35">
      <c r="A490" s="17">
        <v>45776</v>
      </c>
      <c r="B490" s="39">
        <v>58</v>
      </c>
      <c r="C490" s="39">
        <v>5.31</v>
      </c>
      <c r="D490" s="39">
        <v>22504025</v>
      </c>
      <c r="E490" s="39" t="s">
        <v>501</v>
      </c>
      <c r="F490" s="39">
        <v>1250</v>
      </c>
      <c r="G490" s="35">
        <v>0.54513888888888884</v>
      </c>
      <c r="H490" s="35">
        <v>0.56597222222222221</v>
      </c>
      <c r="I490" s="36">
        <v>30</v>
      </c>
      <c r="J490" s="86" t="s">
        <v>51</v>
      </c>
      <c r="K490" s="86" t="s">
        <v>445</v>
      </c>
      <c r="L490" s="86" t="s">
        <v>53</v>
      </c>
      <c r="M490" s="47" t="s">
        <v>54</v>
      </c>
    </row>
    <row r="491" spans="1:22" x14ac:dyDescent="0.35">
      <c r="A491" s="17">
        <v>45776</v>
      </c>
      <c r="B491" s="39">
        <v>58</v>
      </c>
      <c r="C491" s="39">
        <v>5.31</v>
      </c>
      <c r="D491" s="39">
        <v>22504025</v>
      </c>
      <c r="E491" s="39" t="s">
        <v>501</v>
      </c>
      <c r="F491" s="39">
        <v>1250</v>
      </c>
      <c r="G491" s="35">
        <v>0.56597222222222221</v>
      </c>
      <c r="H491" s="35">
        <v>0.57638888888888884</v>
      </c>
      <c r="I491" s="36">
        <v>15</v>
      </c>
      <c r="J491" s="86" t="s">
        <v>52</v>
      </c>
      <c r="K491" s="86" t="s">
        <v>445</v>
      </c>
      <c r="L491" s="86" t="s">
        <v>73</v>
      </c>
      <c r="M491" s="47" t="s">
        <v>59</v>
      </c>
    </row>
    <row r="492" spans="1:22" x14ac:dyDescent="0.35">
      <c r="A492" s="17">
        <v>45776</v>
      </c>
      <c r="B492" s="39">
        <v>58</v>
      </c>
      <c r="C492" s="39">
        <v>5.31</v>
      </c>
      <c r="D492" s="39">
        <v>22504026</v>
      </c>
      <c r="E492" s="39" t="s">
        <v>160</v>
      </c>
      <c r="F492" s="39">
        <v>1250</v>
      </c>
      <c r="G492" s="35">
        <v>0.85416666666666663</v>
      </c>
      <c r="H492" s="35">
        <v>0.91666666666666663</v>
      </c>
      <c r="I492" s="36">
        <v>90</v>
      </c>
      <c r="J492" s="86" t="s">
        <v>463</v>
      </c>
      <c r="K492" s="86" t="s">
        <v>552</v>
      </c>
      <c r="L492" s="86" t="s">
        <v>622</v>
      </c>
      <c r="M492" s="47" t="s">
        <v>624</v>
      </c>
    </row>
    <row r="493" spans="1:22" x14ac:dyDescent="0.35">
      <c r="A493" s="17">
        <v>45777</v>
      </c>
      <c r="B493" s="85">
        <v>58</v>
      </c>
      <c r="C493" s="85">
        <v>5.45</v>
      </c>
      <c r="D493" s="39">
        <v>22504026</v>
      </c>
      <c r="E493" s="39" t="s">
        <v>160</v>
      </c>
      <c r="F493" s="39">
        <v>1250</v>
      </c>
      <c r="G493" s="35">
        <v>0.91666666666666663</v>
      </c>
      <c r="H493" s="35">
        <v>0.97013888888888888</v>
      </c>
      <c r="I493" s="86"/>
      <c r="J493" s="86" t="s">
        <v>446</v>
      </c>
      <c r="K493" s="86" t="s">
        <v>552</v>
      </c>
      <c r="L493" s="86" t="s">
        <v>622</v>
      </c>
      <c r="M493" s="47" t="s">
        <v>625</v>
      </c>
    </row>
    <row r="494" spans="1:22" x14ac:dyDescent="0.35">
      <c r="A494" s="17">
        <v>45778</v>
      </c>
      <c r="B494" s="39">
        <v>58</v>
      </c>
      <c r="C494" s="39">
        <v>5.34</v>
      </c>
      <c r="D494" s="45">
        <v>12504027</v>
      </c>
      <c r="E494" s="45" t="s">
        <v>501</v>
      </c>
      <c r="F494" s="45">
        <v>1250</v>
      </c>
      <c r="G494" s="35">
        <v>0.29583333333333334</v>
      </c>
      <c r="H494" s="35">
        <v>0.31666666666666665</v>
      </c>
      <c r="I494" s="36">
        <v>30</v>
      </c>
      <c r="J494" s="67" t="s">
        <v>51</v>
      </c>
      <c r="K494" s="67" t="s">
        <v>445</v>
      </c>
      <c r="L494" s="67" t="s">
        <v>53</v>
      </c>
      <c r="M494" s="47" t="s">
        <v>54</v>
      </c>
      <c r="N494" s="37"/>
      <c r="O494" s="37"/>
      <c r="P494" s="37"/>
      <c r="Q494" s="37"/>
      <c r="R494" s="37"/>
      <c r="S494" s="37"/>
      <c r="T494" s="37"/>
      <c r="U494" s="37"/>
      <c r="V494" s="37"/>
    </row>
    <row r="495" spans="1:22" x14ac:dyDescent="0.35">
      <c r="A495" s="17">
        <v>45779</v>
      </c>
      <c r="B495" s="39">
        <v>58</v>
      </c>
      <c r="C495" s="39">
        <v>5.29</v>
      </c>
      <c r="D495" s="39">
        <v>12505001</v>
      </c>
      <c r="E495" s="39" t="s">
        <v>501</v>
      </c>
      <c r="F495" s="39">
        <v>1260</v>
      </c>
      <c r="G495" s="35">
        <v>0.64444444444444449</v>
      </c>
      <c r="H495" s="35">
        <v>0.66527777777777775</v>
      </c>
      <c r="I495" s="36">
        <v>30</v>
      </c>
      <c r="J495" s="86" t="s">
        <v>51</v>
      </c>
      <c r="K495" s="86" t="s">
        <v>445</v>
      </c>
      <c r="L495" s="86" t="s">
        <v>53</v>
      </c>
      <c r="M495" s="47" t="s">
        <v>54</v>
      </c>
    </row>
    <row r="496" spans="1:22" x14ac:dyDescent="0.35">
      <c r="A496" s="17">
        <v>45779</v>
      </c>
      <c r="B496" s="39">
        <v>58</v>
      </c>
      <c r="C496" s="39">
        <v>5.29</v>
      </c>
      <c r="D496" s="39">
        <v>12505001</v>
      </c>
      <c r="E496" s="39" t="s">
        <v>501</v>
      </c>
      <c r="F496" s="39">
        <v>1260</v>
      </c>
      <c r="G496" s="35">
        <v>0.66527777777777775</v>
      </c>
      <c r="H496" s="35">
        <v>0.67083333333333328</v>
      </c>
      <c r="I496" s="36">
        <v>8</v>
      </c>
      <c r="J496" s="86" t="s">
        <v>52</v>
      </c>
      <c r="K496" s="86" t="s">
        <v>445</v>
      </c>
      <c r="L496" s="86" t="s">
        <v>59</v>
      </c>
      <c r="M496" s="47" t="s">
        <v>432</v>
      </c>
    </row>
    <row r="497" spans="1:13" x14ac:dyDescent="0.35">
      <c r="A497" s="17">
        <v>45779</v>
      </c>
      <c r="B497" s="39">
        <v>58</v>
      </c>
      <c r="C497" s="39">
        <v>5.29</v>
      </c>
      <c r="D497" s="39">
        <v>12505001</v>
      </c>
      <c r="E497" s="39" t="s">
        <v>501</v>
      </c>
      <c r="F497" s="39">
        <v>1260</v>
      </c>
      <c r="G497" s="35">
        <v>0.67083333333333328</v>
      </c>
      <c r="H497" s="35">
        <v>0.6791666666666667</v>
      </c>
      <c r="I497" s="36">
        <v>12</v>
      </c>
      <c r="J497" s="86" t="s">
        <v>52</v>
      </c>
      <c r="K497" s="86" t="s">
        <v>62</v>
      </c>
      <c r="L497" s="86" t="s">
        <v>130</v>
      </c>
      <c r="M497" s="47" t="s">
        <v>250</v>
      </c>
    </row>
    <row r="498" spans="1:13" x14ac:dyDescent="0.35">
      <c r="A498" s="17">
        <v>45780</v>
      </c>
      <c r="B498" s="39">
        <v>58</v>
      </c>
      <c r="C498" s="39">
        <v>5.23</v>
      </c>
      <c r="D498" s="39">
        <v>12505002</v>
      </c>
      <c r="E498" s="39" t="s">
        <v>313</v>
      </c>
      <c r="F498" s="39">
        <v>1260</v>
      </c>
      <c r="G498" s="35">
        <v>0.3576388888888889</v>
      </c>
      <c r="H498" s="35">
        <v>0.60416666666666663</v>
      </c>
      <c r="I498" s="36">
        <v>355</v>
      </c>
      <c r="J498" s="67" t="s">
        <v>448</v>
      </c>
      <c r="K498" s="67" t="s">
        <v>15</v>
      </c>
      <c r="L498" s="67" t="s">
        <v>448</v>
      </c>
      <c r="M498" s="47" t="s">
        <v>17</v>
      </c>
    </row>
    <row r="499" spans="1:13" x14ac:dyDescent="0.35">
      <c r="A499" s="17">
        <v>45780</v>
      </c>
      <c r="B499" s="39">
        <v>58</v>
      </c>
      <c r="C499" s="39">
        <v>5.23</v>
      </c>
      <c r="D499" s="39">
        <v>12505002</v>
      </c>
      <c r="E499" s="39" t="s">
        <v>313</v>
      </c>
      <c r="F499" s="39">
        <v>1260</v>
      </c>
      <c r="G499" s="35">
        <v>0.60416666666666663</v>
      </c>
      <c r="H499" s="35">
        <v>0.68402777777777779</v>
      </c>
      <c r="I499" s="36">
        <v>115</v>
      </c>
      <c r="J499" s="67" t="s">
        <v>446</v>
      </c>
      <c r="K499" s="67" t="s">
        <v>41</v>
      </c>
      <c r="L499" s="67" t="s">
        <v>627</v>
      </c>
      <c r="M499" s="47" t="s">
        <v>628</v>
      </c>
    </row>
    <row r="500" spans="1:13" x14ac:dyDescent="0.35">
      <c r="A500" s="17">
        <v>45782</v>
      </c>
      <c r="B500" s="39">
        <v>58</v>
      </c>
      <c r="C500" s="39">
        <v>5.29</v>
      </c>
      <c r="D500" s="119">
        <v>12505003</v>
      </c>
      <c r="E500" s="45" t="s">
        <v>104</v>
      </c>
      <c r="F500" s="45">
        <v>1230</v>
      </c>
      <c r="G500" s="35">
        <v>0.95972222222222225</v>
      </c>
      <c r="H500" s="35">
        <v>0.10069444444444445</v>
      </c>
      <c r="I500" s="36">
        <v>203</v>
      </c>
      <c r="J500" s="67" t="s">
        <v>35</v>
      </c>
      <c r="K500" s="67" t="s">
        <v>19</v>
      </c>
      <c r="L500" s="67" t="s">
        <v>418</v>
      </c>
      <c r="M500" s="49" t="s">
        <v>629</v>
      </c>
    </row>
    <row r="501" spans="1:13" x14ac:dyDescent="0.35">
      <c r="A501" s="17">
        <v>45783</v>
      </c>
      <c r="B501" s="39">
        <v>55.33</v>
      </c>
      <c r="C501" s="39">
        <v>5.57</v>
      </c>
      <c r="D501" s="39">
        <v>22505004</v>
      </c>
      <c r="E501" s="39" t="s">
        <v>496</v>
      </c>
      <c r="F501" s="39">
        <v>1335</v>
      </c>
      <c r="G501" s="35">
        <v>0.36805555555555558</v>
      </c>
      <c r="H501" s="35">
        <v>0.3888888888888889</v>
      </c>
      <c r="I501" s="36">
        <v>30</v>
      </c>
      <c r="J501" s="67" t="s">
        <v>51</v>
      </c>
      <c r="K501" s="67" t="s">
        <v>445</v>
      </c>
      <c r="L501" s="67" t="s">
        <v>53</v>
      </c>
      <c r="M501" s="47" t="s">
        <v>54</v>
      </c>
    </row>
    <row r="502" spans="1:13" x14ac:dyDescent="0.35">
      <c r="A502" s="17">
        <v>45783</v>
      </c>
      <c r="B502" s="39">
        <v>55.33</v>
      </c>
      <c r="C502" s="39">
        <v>5.57</v>
      </c>
      <c r="D502" s="39">
        <v>22505004</v>
      </c>
      <c r="E502" s="39" t="s">
        <v>496</v>
      </c>
      <c r="F502" s="39">
        <v>1335</v>
      </c>
      <c r="G502" s="35">
        <v>0.3888888888888889</v>
      </c>
      <c r="H502" s="35">
        <v>0.39930555555555558</v>
      </c>
      <c r="I502" s="36">
        <v>15</v>
      </c>
      <c r="J502" s="67" t="s">
        <v>52</v>
      </c>
      <c r="K502" s="67" t="s">
        <v>62</v>
      </c>
      <c r="L502" s="67" t="s">
        <v>130</v>
      </c>
      <c r="M502" s="47" t="s">
        <v>250</v>
      </c>
    </row>
    <row r="503" spans="1:13" x14ac:dyDescent="0.35">
      <c r="A503" s="17">
        <v>45784</v>
      </c>
      <c r="B503" s="39">
        <v>57.14</v>
      </c>
      <c r="C503" s="39">
        <v>5.28</v>
      </c>
      <c r="D503" s="46">
        <v>22505005</v>
      </c>
      <c r="E503" s="45" t="s">
        <v>66</v>
      </c>
      <c r="F503" s="45">
        <v>1260</v>
      </c>
      <c r="G503" s="35">
        <v>0.36805555555555558</v>
      </c>
      <c r="H503" s="35">
        <v>0.4777777777777778</v>
      </c>
      <c r="I503" s="36">
        <v>158</v>
      </c>
      <c r="J503" s="67" t="s">
        <v>35</v>
      </c>
      <c r="K503" s="67" t="s">
        <v>161</v>
      </c>
      <c r="L503" s="67" t="s">
        <v>633</v>
      </c>
      <c r="M503" s="49" t="s">
        <v>634</v>
      </c>
    </row>
    <row r="504" spans="1:13" x14ac:dyDescent="0.35">
      <c r="A504" s="17">
        <v>45784</v>
      </c>
      <c r="B504" s="39">
        <v>57.14</v>
      </c>
      <c r="C504" s="39">
        <v>5.28</v>
      </c>
      <c r="D504" s="46">
        <v>22505006</v>
      </c>
      <c r="E504" s="45" t="s">
        <v>24</v>
      </c>
      <c r="F504" s="45">
        <v>1230</v>
      </c>
      <c r="G504" s="35">
        <v>0.68333333333333335</v>
      </c>
      <c r="H504" s="35">
        <v>0.74305555555555558</v>
      </c>
      <c r="I504" s="36">
        <v>86</v>
      </c>
      <c r="J504" s="67" t="s">
        <v>35</v>
      </c>
      <c r="K504" s="67" t="s">
        <v>19</v>
      </c>
      <c r="L504" s="67"/>
      <c r="M504" s="49" t="s">
        <v>635</v>
      </c>
    </row>
    <row r="505" spans="1:13" x14ac:dyDescent="0.35">
      <c r="A505" s="17">
        <v>45786</v>
      </c>
      <c r="B505" s="45">
        <v>57</v>
      </c>
      <c r="C505" s="45">
        <v>5.39</v>
      </c>
      <c r="D505" s="46">
        <v>22505007</v>
      </c>
      <c r="E505" s="45" t="s">
        <v>72</v>
      </c>
      <c r="F505" s="45">
        <v>1250</v>
      </c>
      <c r="G505" s="35">
        <v>2.4305555555555556E-2</v>
      </c>
      <c r="H505" s="35">
        <v>4.5138888888888888E-2</v>
      </c>
      <c r="I505" s="36">
        <v>30</v>
      </c>
      <c r="J505" s="67" t="s">
        <v>51</v>
      </c>
      <c r="K505" s="67" t="s">
        <v>445</v>
      </c>
      <c r="L505" s="67" t="s">
        <v>53</v>
      </c>
      <c r="M505" s="47" t="s">
        <v>54</v>
      </c>
    </row>
    <row r="506" spans="1:13" x14ac:dyDescent="0.35">
      <c r="A506" s="17">
        <v>45786</v>
      </c>
      <c r="B506" s="45">
        <v>57.02</v>
      </c>
      <c r="C506" s="45">
        <v>5.47</v>
      </c>
      <c r="D506" s="39">
        <v>22505008</v>
      </c>
      <c r="E506" s="39" t="s">
        <v>496</v>
      </c>
      <c r="F506" s="39">
        <v>1260</v>
      </c>
      <c r="G506" s="35">
        <v>0.32291666666666669</v>
      </c>
      <c r="H506" s="35">
        <v>0.40972222222222221</v>
      </c>
      <c r="I506" s="36">
        <v>125</v>
      </c>
      <c r="J506" s="67" t="s">
        <v>35</v>
      </c>
      <c r="K506" s="104" t="s">
        <v>552</v>
      </c>
      <c r="L506" s="67" t="s">
        <v>553</v>
      </c>
      <c r="M506" s="49" t="s">
        <v>637</v>
      </c>
    </row>
    <row r="507" spans="1:13" x14ac:dyDescent="0.35">
      <c r="A507" s="17">
        <v>45787</v>
      </c>
      <c r="B507" s="45">
        <v>57.03</v>
      </c>
      <c r="C507" s="45">
        <v>5.37</v>
      </c>
      <c r="D507" s="39">
        <v>22505008</v>
      </c>
      <c r="E507" s="39" t="s">
        <v>496</v>
      </c>
      <c r="F507" s="39">
        <v>1260</v>
      </c>
      <c r="G507" s="35">
        <v>0.40972222222222221</v>
      </c>
      <c r="H507" s="35">
        <v>0.56597222222222221</v>
      </c>
      <c r="I507" s="36">
        <v>225</v>
      </c>
      <c r="J507" s="67" t="s">
        <v>446</v>
      </c>
      <c r="K507" s="67" t="s">
        <v>552</v>
      </c>
      <c r="L507" s="67" t="s">
        <v>622</v>
      </c>
      <c r="M507" s="47" t="s">
        <v>293</v>
      </c>
    </row>
    <row r="508" spans="1:13" x14ac:dyDescent="0.35">
      <c r="A508" s="17">
        <v>45788</v>
      </c>
      <c r="B508" s="45">
        <v>56.63</v>
      </c>
      <c r="C508" s="45">
        <v>5.43</v>
      </c>
      <c r="D508" s="46">
        <v>22505009</v>
      </c>
      <c r="E508" s="45" t="s">
        <v>119</v>
      </c>
      <c r="F508" s="45">
        <v>1260</v>
      </c>
      <c r="G508" s="35">
        <v>0.81944444444444442</v>
      </c>
      <c r="H508" s="35">
        <v>0.84027777777777779</v>
      </c>
      <c r="I508" s="36">
        <v>30</v>
      </c>
      <c r="J508" s="67" t="s">
        <v>51</v>
      </c>
      <c r="K508" s="67" t="s">
        <v>445</v>
      </c>
      <c r="L508" s="67" t="s">
        <v>53</v>
      </c>
      <c r="M508" s="47" t="s">
        <v>54</v>
      </c>
    </row>
    <row r="509" spans="1:13" x14ac:dyDescent="0.35">
      <c r="A509" s="17">
        <v>45789</v>
      </c>
      <c r="B509" s="39">
        <v>56.92</v>
      </c>
      <c r="C509" s="39">
        <v>5.37</v>
      </c>
      <c r="D509" s="39">
        <v>22505010</v>
      </c>
      <c r="E509" s="39" t="s">
        <v>468</v>
      </c>
      <c r="F509" s="39">
        <v>1250</v>
      </c>
      <c r="G509" s="35">
        <v>0.34166666666666667</v>
      </c>
      <c r="H509" s="35">
        <v>0.40416666666666667</v>
      </c>
      <c r="I509" s="36">
        <v>90</v>
      </c>
      <c r="J509" s="67" t="s">
        <v>463</v>
      </c>
      <c r="K509" s="67" t="s">
        <v>26</v>
      </c>
      <c r="L509" s="67" t="s">
        <v>32</v>
      </c>
      <c r="M509" s="47" t="s">
        <v>639</v>
      </c>
    </row>
    <row r="510" spans="1:13" x14ac:dyDescent="0.35">
      <c r="A510" s="17">
        <v>45789</v>
      </c>
      <c r="B510" s="39">
        <v>56.92</v>
      </c>
      <c r="C510" s="39">
        <v>5.37</v>
      </c>
      <c r="D510" s="39">
        <v>22505010</v>
      </c>
      <c r="E510" s="39" t="s">
        <v>468</v>
      </c>
      <c r="F510" s="39">
        <v>1250</v>
      </c>
      <c r="G510" s="35">
        <v>0.40416666666666667</v>
      </c>
      <c r="H510" s="35">
        <v>0.40972222222222221</v>
      </c>
      <c r="I510" s="36">
        <v>8</v>
      </c>
      <c r="J510" s="67" t="s">
        <v>446</v>
      </c>
      <c r="K510" s="67" t="s">
        <v>445</v>
      </c>
      <c r="L510" s="67" t="s">
        <v>74</v>
      </c>
      <c r="M510" s="47" t="s">
        <v>640</v>
      </c>
    </row>
    <row r="511" spans="1:13" x14ac:dyDescent="0.35">
      <c r="A511" s="17">
        <v>45790</v>
      </c>
      <c r="B511" s="45">
        <v>57.05</v>
      </c>
      <c r="C511" s="45">
        <v>5.28</v>
      </c>
      <c r="D511" s="46">
        <v>22505011</v>
      </c>
      <c r="E511" s="45" t="s">
        <v>104</v>
      </c>
      <c r="F511" s="45">
        <v>1250</v>
      </c>
      <c r="G511" s="35">
        <v>0.71527777777777779</v>
      </c>
      <c r="H511" s="35">
        <v>0.73611111111111116</v>
      </c>
      <c r="I511" s="36">
        <v>30</v>
      </c>
      <c r="J511" s="86" t="s">
        <v>51</v>
      </c>
      <c r="K511" s="86" t="s">
        <v>445</v>
      </c>
      <c r="L511" s="86" t="s">
        <v>53</v>
      </c>
      <c r="M511" s="47" t="s">
        <v>54</v>
      </c>
    </row>
    <row r="512" spans="1:13" x14ac:dyDescent="0.35">
      <c r="A512" s="17">
        <v>45792</v>
      </c>
      <c r="B512" s="45">
        <v>57.19</v>
      </c>
      <c r="C512" s="45">
        <v>5.58</v>
      </c>
      <c r="D512" s="39">
        <v>22505012</v>
      </c>
      <c r="E512" s="39" t="s">
        <v>72</v>
      </c>
      <c r="F512" s="39">
        <v>1260</v>
      </c>
      <c r="G512" s="35">
        <v>3.472222222222222E-3</v>
      </c>
      <c r="H512" s="35">
        <v>2.4305555555555556E-2</v>
      </c>
      <c r="I512" s="36">
        <v>30</v>
      </c>
      <c r="J512" s="67" t="s">
        <v>51</v>
      </c>
      <c r="K512" s="67" t="s">
        <v>445</v>
      </c>
      <c r="L512" s="67" t="s">
        <v>53</v>
      </c>
      <c r="M512" s="47" t="s">
        <v>54</v>
      </c>
    </row>
    <row r="513" spans="1:13" x14ac:dyDescent="0.35">
      <c r="A513" s="17">
        <v>45792</v>
      </c>
      <c r="B513" s="39">
        <v>57.94</v>
      </c>
      <c r="C513" s="39">
        <v>5.08</v>
      </c>
      <c r="D513" s="39">
        <v>22505012</v>
      </c>
      <c r="E513" s="39" t="s">
        <v>72</v>
      </c>
      <c r="F513" s="39">
        <v>1260</v>
      </c>
      <c r="G513" s="35">
        <v>2.4305555555555556E-2</v>
      </c>
      <c r="H513" s="35">
        <v>9.0277777777777776E-2</v>
      </c>
      <c r="I513" s="36">
        <v>95</v>
      </c>
      <c r="J513" s="67" t="s">
        <v>446</v>
      </c>
      <c r="K513" s="67" t="s">
        <v>445</v>
      </c>
      <c r="L513" s="67" t="s">
        <v>59</v>
      </c>
      <c r="M513" s="47" t="s">
        <v>642</v>
      </c>
    </row>
    <row r="514" spans="1:13" x14ac:dyDescent="0.35">
      <c r="A514" s="17">
        <v>45792</v>
      </c>
      <c r="B514" s="39">
        <v>57.94</v>
      </c>
      <c r="C514" s="39">
        <v>5.08</v>
      </c>
      <c r="D514" s="46">
        <v>22505013</v>
      </c>
      <c r="E514" s="45" t="s">
        <v>34</v>
      </c>
      <c r="F514" s="45">
        <v>1230</v>
      </c>
      <c r="G514" s="35">
        <v>0.15902777777777777</v>
      </c>
      <c r="H514" s="35">
        <v>0.23958333333333334</v>
      </c>
      <c r="I514" s="36">
        <v>116</v>
      </c>
      <c r="J514" s="67" t="s">
        <v>35</v>
      </c>
      <c r="K514" s="67" t="s">
        <v>62</v>
      </c>
      <c r="L514" s="67" t="s">
        <v>236</v>
      </c>
      <c r="M514" s="49" t="s">
        <v>641</v>
      </c>
    </row>
    <row r="515" spans="1:13" x14ac:dyDescent="0.35">
      <c r="A515" s="17">
        <v>45793</v>
      </c>
      <c r="B515" s="45">
        <v>56.76</v>
      </c>
      <c r="C515" s="45">
        <v>5.21</v>
      </c>
      <c r="D515" s="45">
        <v>22505014</v>
      </c>
      <c r="E515" s="45" t="s">
        <v>93</v>
      </c>
      <c r="F515" s="45">
        <v>1230</v>
      </c>
      <c r="G515" s="35">
        <v>0.31597222222222221</v>
      </c>
      <c r="H515" s="35">
        <v>0.3576388888888889</v>
      </c>
      <c r="I515" s="36">
        <v>60</v>
      </c>
      <c r="J515" s="67" t="s">
        <v>35</v>
      </c>
      <c r="K515" s="67" t="s">
        <v>445</v>
      </c>
      <c r="L515" s="67" t="s">
        <v>287</v>
      </c>
      <c r="M515" s="49" t="s">
        <v>643</v>
      </c>
    </row>
    <row r="516" spans="1:13" x14ac:dyDescent="0.35">
      <c r="A516" s="17">
        <v>45794</v>
      </c>
      <c r="B516" s="39">
        <v>57.05</v>
      </c>
      <c r="C516" s="39">
        <v>5.29</v>
      </c>
      <c r="D516" s="45">
        <v>22505015</v>
      </c>
      <c r="E516" s="45" t="s">
        <v>82</v>
      </c>
      <c r="F516" s="45">
        <v>1255</v>
      </c>
      <c r="G516" s="35">
        <v>0.40208333333333335</v>
      </c>
      <c r="H516" s="35">
        <v>0.4909722222222222</v>
      </c>
      <c r="I516" s="36">
        <v>128</v>
      </c>
      <c r="J516" s="67" t="s">
        <v>35</v>
      </c>
      <c r="K516" s="67" t="s">
        <v>26</v>
      </c>
      <c r="L516" s="67" t="s">
        <v>529</v>
      </c>
      <c r="M516" s="49" t="s">
        <v>645</v>
      </c>
    </row>
    <row r="517" spans="1:13" x14ac:dyDescent="0.35">
      <c r="A517" s="17">
        <v>45794</v>
      </c>
      <c r="B517" s="39">
        <v>57.05</v>
      </c>
      <c r="C517" s="39">
        <v>5.29</v>
      </c>
      <c r="D517" s="45">
        <v>22505016</v>
      </c>
      <c r="E517" s="45" t="s">
        <v>47</v>
      </c>
      <c r="F517" s="45">
        <v>1230</v>
      </c>
      <c r="G517" s="35">
        <v>0.49166666666666664</v>
      </c>
      <c r="H517" s="35">
        <v>0.57777777777777772</v>
      </c>
      <c r="I517" s="36">
        <v>124</v>
      </c>
      <c r="J517" s="67" t="s">
        <v>35</v>
      </c>
      <c r="K517" s="67" t="s">
        <v>445</v>
      </c>
      <c r="L517" s="67" t="s">
        <v>287</v>
      </c>
      <c r="M517" s="49" t="s">
        <v>646</v>
      </c>
    </row>
    <row r="518" spans="1:13" x14ac:dyDescent="0.35">
      <c r="A518" s="17">
        <v>45795</v>
      </c>
      <c r="B518" s="39">
        <v>57.05</v>
      </c>
      <c r="C518" s="39">
        <v>5.47</v>
      </c>
      <c r="D518" s="45">
        <v>22505017</v>
      </c>
      <c r="E518" s="45" t="s">
        <v>116</v>
      </c>
      <c r="F518" s="45">
        <v>1230</v>
      </c>
      <c r="G518" s="35">
        <v>0.66666666666666663</v>
      </c>
      <c r="H518" s="35">
        <v>0.72916666666666663</v>
      </c>
      <c r="I518" s="36">
        <v>90</v>
      </c>
      <c r="J518" s="67" t="s">
        <v>25</v>
      </c>
      <c r="K518" s="67" t="s">
        <v>445</v>
      </c>
      <c r="L518" s="67" t="s">
        <v>492</v>
      </c>
      <c r="M518" s="60" t="s">
        <v>647</v>
      </c>
    </row>
    <row r="519" spans="1:13" x14ac:dyDescent="0.35">
      <c r="A519" s="17">
        <v>45796</v>
      </c>
      <c r="B519" s="39">
        <v>57.03</v>
      </c>
      <c r="C519" s="39">
        <v>5.39</v>
      </c>
      <c r="D519" s="46">
        <v>22505018</v>
      </c>
      <c r="E519" s="45" t="s">
        <v>522</v>
      </c>
      <c r="F519" s="45">
        <v>1260</v>
      </c>
      <c r="G519" s="35">
        <v>0.40277777777777779</v>
      </c>
      <c r="H519" s="35">
        <v>0.67361111111111116</v>
      </c>
      <c r="I519" s="36">
        <v>390</v>
      </c>
      <c r="J519" s="67" t="s">
        <v>463</v>
      </c>
      <c r="K519" s="67" t="s">
        <v>283</v>
      </c>
      <c r="L519" s="67" t="s">
        <v>283</v>
      </c>
      <c r="M519" s="47" t="s">
        <v>286</v>
      </c>
    </row>
    <row r="520" spans="1:13" x14ac:dyDescent="0.35">
      <c r="A520" s="17">
        <v>45797</v>
      </c>
      <c r="B520" s="39">
        <v>57.04</v>
      </c>
      <c r="C520" s="39">
        <v>5.1100000000000003</v>
      </c>
      <c r="D520" s="46">
        <v>22505019</v>
      </c>
      <c r="E520" s="45" t="s">
        <v>103</v>
      </c>
      <c r="F520" s="45">
        <v>1230</v>
      </c>
      <c r="G520" s="35">
        <v>0.51736111111111116</v>
      </c>
      <c r="H520" s="35">
        <v>0.88749999999999996</v>
      </c>
      <c r="I520" s="36">
        <v>533</v>
      </c>
      <c r="J520" s="67" t="s">
        <v>463</v>
      </c>
      <c r="K520" s="67" t="s">
        <v>283</v>
      </c>
      <c r="L520" s="67" t="s">
        <v>283</v>
      </c>
      <c r="M520" s="47" t="s">
        <v>286</v>
      </c>
    </row>
    <row r="521" spans="1:13" x14ac:dyDescent="0.35">
      <c r="A521" s="17">
        <v>45797</v>
      </c>
      <c r="B521" s="39">
        <v>57.04</v>
      </c>
      <c r="C521" s="39">
        <v>5.1100000000000003</v>
      </c>
      <c r="D521" s="46">
        <v>22505020</v>
      </c>
      <c r="E521" s="45" t="s">
        <v>47</v>
      </c>
      <c r="F521" s="45">
        <v>1270</v>
      </c>
      <c r="G521" s="35">
        <v>0.8881944444444444</v>
      </c>
      <c r="H521" s="35">
        <v>0.91666666666666663</v>
      </c>
      <c r="I521" s="36">
        <v>41</v>
      </c>
      <c r="J521" s="67" t="s">
        <v>35</v>
      </c>
      <c r="K521" s="67" t="s">
        <v>19</v>
      </c>
      <c r="L521" s="67" t="s">
        <v>418</v>
      </c>
      <c r="M521" s="49" t="s">
        <v>649</v>
      </c>
    </row>
    <row r="522" spans="1:13" x14ac:dyDescent="0.35">
      <c r="A522" s="17">
        <v>45798</v>
      </c>
      <c r="B522" s="39">
        <v>57.07</v>
      </c>
      <c r="C522" s="39">
        <v>5.23</v>
      </c>
      <c r="D522" s="46">
        <v>22505020</v>
      </c>
      <c r="E522" s="45" t="s">
        <v>47</v>
      </c>
      <c r="F522" s="45">
        <v>1270</v>
      </c>
      <c r="G522" s="35">
        <v>0.91666666666666663</v>
      </c>
      <c r="H522" s="35">
        <v>6.9444444444444441E-3</v>
      </c>
      <c r="I522" s="36">
        <v>130</v>
      </c>
      <c r="J522" s="67" t="s">
        <v>446</v>
      </c>
      <c r="K522" s="67" t="s">
        <v>445</v>
      </c>
      <c r="L522" s="67" t="s">
        <v>650</v>
      </c>
      <c r="M522" s="47" t="s">
        <v>651</v>
      </c>
    </row>
    <row r="523" spans="1:13" x14ac:dyDescent="0.35">
      <c r="A523" s="17">
        <v>45798</v>
      </c>
      <c r="B523" s="39">
        <v>57.07</v>
      </c>
      <c r="C523" s="39">
        <v>5.23</v>
      </c>
      <c r="D523" s="45">
        <v>22505021</v>
      </c>
      <c r="E523" s="45" t="s">
        <v>109</v>
      </c>
      <c r="F523" s="45">
        <v>1250</v>
      </c>
      <c r="G523" s="35">
        <v>0.67847222222222225</v>
      </c>
      <c r="H523" s="35">
        <v>0.8979166666666667</v>
      </c>
      <c r="I523" s="36">
        <v>316</v>
      </c>
      <c r="J523" s="67" t="s">
        <v>463</v>
      </c>
      <c r="K523" s="67" t="s">
        <v>283</v>
      </c>
      <c r="L523" s="67" t="s">
        <v>283</v>
      </c>
      <c r="M523" s="47" t="s">
        <v>286</v>
      </c>
    </row>
    <row r="524" spans="1:13" x14ac:dyDescent="0.35">
      <c r="A524" s="17">
        <v>45800</v>
      </c>
      <c r="B524" s="45">
        <v>57</v>
      </c>
      <c r="C524" s="45">
        <v>5.46</v>
      </c>
      <c r="D524" s="39">
        <v>22505022</v>
      </c>
      <c r="E524" s="39" t="s">
        <v>66</v>
      </c>
      <c r="F524" s="39">
        <v>1010</v>
      </c>
      <c r="G524" s="35">
        <v>0.15277777777777779</v>
      </c>
      <c r="H524" s="35">
        <v>0.1736111111111111</v>
      </c>
      <c r="I524" s="36">
        <v>30</v>
      </c>
      <c r="J524" s="67" t="s">
        <v>51</v>
      </c>
      <c r="K524" s="67" t="s">
        <v>445</v>
      </c>
      <c r="L524" s="67" t="s">
        <v>53</v>
      </c>
      <c r="M524" s="47" t="s">
        <v>54</v>
      </c>
    </row>
    <row r="525" spans="1:13" x14ac:dyDescent="0.35">
      <c r="A525" s="17">
        <v>45800</v>
      </c>
      <c r="B525" s="39">
        <v>57</v>
      </c>
      <c r="C525" s="39">
        <v>5.01</v>
      </c>
      <c r="D525" s="39">
        <v>22505022</v>
      </c>
      <c r="E525" s="39" t="s">
        <v>66</v>
      </c>
      <c r="F525" s="39">
        <v>1010</v>
      </c>
      <c r="G525" s="35">
        <v>0.1736111111111111</v>
      </c>
      <c r="H525" s="35">
        <v>0.18055555555555555</v>
      </c>
      <c r="I525" s="36">
        <v>10</v>
      </c>
      <c r="J525" s="67" t="s">
        <v>52</v>
      </c>
      <c r="K525" s="67" t="s">
        <v>62</v>
      </c>
      <c r="L525" s="67" t="s">
        <v>130</v>
      </c>
      <c r="M525" s="47" t="s">
        <v>422</v>
      </c>
    </row>
    <row r="526" spans="1:13" x14ac:dyDescent="0.35">
      <c r="A526" s="17">
        <v>45800</v>
      </c>
      <c r="B526" s="39">
        <v>57</v>
      </c>
      <c r="C526" s="39">
        <v>5.01</v>
      </c>
      <c r="D526" s="39">
        <v>22505022</v>
      </c>
      <c r="E526" s="39" t="s">
        <v>66</v>
      </c>
      <c r="F526" s="39">
        <v>1010</v>
      </c>
      <c r="G526" s="35">
        <v>0.18055555555555555</v>
      </c>
      <c r="H526" s="35">
        <v>0.1875</v>
      </c>
      <c r="I526" s="36">
        <v>10</v>
      </c>
      <c r="J526" s="67" t="s">
        <v>446</v>
      </c>
      <c r="K526" s="67" t="s">
        <v>445</v>
      </c>
      <c r="L526" s="67" t="s">
        <v>206</v>
      </c>
      <c r="M526" s="47" t="s">
        <v>206</v>
      </c>
    </row>
    <row r="527" spans="1:13" x14ac:dyDescent="0.35">
      <c r="A527" s="17">
        <v>45800</v>
      </c>
      <c r="B527" s="39">
        <v>57</v>
      </c>
      <c r="C527" s="39">
        <v>5.01</v>
      </c>
      <c r="D527" s="39">
        <v>22505023</v>
      </c>
      <c r="E527" s="39" t="s">
        <v>90</v>
      </c>
      <c r="F527" s="39">
        <v>1260</v>
      </c>
      <c r="G527" s="35">
        <v>0.52083333333333337</v>
      </c>
      <c r="H527" s="35">
        <v>0.79166666666666663</v>
      </c>
      <c r="I527" s="36">
        <v>390</v>
      </c>
      <c r="J527" s="67" t="s">
        <v>446</v>
      </c>
      <c r="K527" s="67" t="s">
        <v>283</v>
      </c>
      <c r="L527" s="67" t="s">
        <v>283</v>
      </c>
      <c r="M527" s="47" t="s">
        <v>286</v>
      </c>
    </row>
    <row r="528" spans="1:13" x14ac:dyDescent="0.35">
      <c r="A528" s="17">
        <v>45800</v>
      </c>
      <c r="B528" s="39">
        <v>57</v>
      </c>
      <c r="C528" s="39">
        <v>5.01</v>
      </c>
      <c r="D528" s="39">
        <v>22505023</v>
      </c>
      <c r="E528" s="39" t="s">
        <v>90</v>
      </c>
      <c r="F528" s="39">
        <v>1260</v>
      </c>
      <c r="G528" s="35">
        <v>0.79166666666666663</v>
      </c>
      <c r="H528" s="35">
        <v>0.88888888888888884</v>
      </c>
      <c r="I528" s="36">
        <v>140</v>
      </c>
      <c r="J528" s="67" t="s">
        <v>446</v>
      </c>
      <c r="K528" s="67" t="s">
        <v>41</v>
      </c>
      <c r="L528" s="67" t="s">
        <v>454</v>
      </c>
      <c r="M528" s="47" t="s">
        <v>655</v>
      </c>
    </row>
    <row r="529" spans="1:13" x14ac:dyDescent="0.35">
      <c r="A529" s="17">
        <v>45800</v>
      </c>
      <c r="B529" s="39">
        <v>57</v>
      </c>
      <c r="C529" s="39">
        <v>5.01</v>
      </c>
      <c r="D529" s="39">
        <v>22505024</v>
      </c>
      <c r="E529" s="39" t="s">
        <v>47</v>
      </c>
      <c r="F529" s="39">
        <v>1260</v>
      </c>
      <c r="G529" s="35">
        <v>0.88958333333333328</v>
      </c>
      <c r="H529" s="35">
        <v>0.97291666666666665</v>
      </c>
      <c r="I529" s="36">
        <v>120</v>
      </c>
      <c r="J529" s="67" t="s">
        <v>25</v>
      </c>
      <c r="K529" s="67" t="s">
        <v>445</v>
      </c>
      <c r="L529" s="67" t="s">
        <v>492</v>
      </c>
      <c r="M529" s="60" t="s">
        <v>647</v>
      </c>
    </row>
    <row r="530" spans="1:13" x14ac:dyDescent="0.35">
      <c r="A530" s="17">
        <v>45801</v>
      </c>
      <c r="B530" s="39">
        <v>57.14</v>
      </c>
      <c r="C530" s="39">
        <v>5.19</v>
      </c>
      <c r="D530" s="39">
        <v>22505024</v>
      </c>
      <c r="E530" s="39" t="s">
        <v>47</v>
      </c>
      <c r="F530" s="39">
        <v>1260</v>
      </c>
      <c r="G530" s="35">
        <v>0.97291666666666665</v>
      </c>
      <c r="H530" s="35">
        <v>0.9868055555555556</v>
      </c>
      <c r="I530" s="36">
        <v>20</v>
      </c>
      <c r="J530" s="67" t="s">
        <v>446</v>
      </c>
      <c r="K530" s="67" t="s">
        <v>41</v>
      </c>
      <c r="L530" s="67" t="s">
        <v>454</v>
      </c>
      <c r="M530" s="47" t="s">
        <v>286</v>
      </c>
    </row>
    <row r="531" spans="1:13" x14ac:dyDescent="0.35">
      <c r="A531" s="17">
        <v>45801</v>
      </c>
      <c r="B531" s="39">
        <v>57.14</v>
      </c>
      <c r="C531" s="39">
        <v>5.19</v>
      </c>
      <c r="D531" s="39">
        <v>22505024</v>
      </c>
      <c r="E531" s="39" t="s">
        <v>47</v>
      </c>
      <c r="F531" s="39">
        <v>1260</v>
      </c>
      <c r="G531" s="35">
        <v>0.9868055555555556</v>
      </c>
      <c r="H531" s="35">
        <v>0.99583333333333335</v>
      </c>
      <c r="I531" s="36">
        <v>13</v>
      </c>
      <c r="J531" s="67" t="s">
        <v>446</v>
      </c>
      <c r="K531" s="67" t="s">
        <v>41</v>
      </c>
      <c r="L531" s="67" t="s">
        <v>454</v>
      </c>
      <c r="M531" s="47" t="s">
        <v>656</v>
      </c>
    </row>
    <row r="532" spans="1:13" x14ac:dyDescent="0.35">
      <c r="A532" s="17">
        <v>45801</v>
      </c>
      <c r="B532" s="39">
        <v>57.14</v>
      </c>
      <c r="C532" s="39">
        <v>5.19</v>
      </c>
      <c r="D532" s="39">
        <v>22505025</v>
      </c>
      <c r="E532" s="39" t="s">
        <v>47</v>
      </c>
      <c r="F532" s="39">
        <v>1255</v>
      </c>
      <c r="G532" s="35">
        <v>0.99722222222222223</v>
      </c>
      <c r="H532" s="35">
        <v>5.9722222222222225E-2</v>
      </c>
      <c r="I532" s="36">
        <v>90</v>
      </c>
      <c r="J532" s="67" t="s">
        <v>35</v>
      </c>
      <c r="K532" s="67" t="s">
        <v>19</v>
      </c>
      <c r="L532" s="67" t="s">
        <v>132</v>
      </c>
      <c r="M532" s="49" t="s">
        <v>657</v>
      </c>
    </row>
    <row r="533" spans="1:13" x14ac:dyDescent="0.35">
      <c r="A533" s="17">
        <v>45801</v>
      </c>
      <c r="B533" s="39">
        <v>57.14</v>
      </c>
      <c r="C533" s="39">
        <v>5.19</v>
      </c>
      <c r="D533" s="39">
        <v>22505025</v>
      </c>
      <c r="E533" s="39" t="s">
        <v>47</v>
      </c>
      <c r="F533" s="39">
        <v>1255</v>
      </c>
      <c r="G533" s="35">
        <v>5.9722222222222225E-2</v>
      </c>
      <c r="H533" s="35">
        <v>6.5972222222222224E-2</v>
      </c>
      <c r="I533" s="36">
        <v>9</v>
      </c>
      <c r="J533" s="67" t="s">
        <v>446</v>
      </c>
      <c r="K533" s="67" t="s">
        <v>445</v>
      </c>
      <c r="L533" s="67" t="s">
        <v>454</v>
      </c>
      <c r="M533" s="47" t="s">
        <v>658</v>
      </c>
    </row>
    <row r="534" spans="1:13" x14ac:dyDescent="0.35">
      <c r="A534" s="17">
        <v>45801</v>
      </c>
      <c r="B534" s="39">
        <v>57.14</v>
      </c>
      <c r="C534" s="39">
        <v>5.19</v>
      </c>
      <c r="D534" s="39">
        <v>22505026</v>
      </c>
      <c r="E534" s="39" t="s">
        <v>87</v>
      </c>
      <c r="F534" s="39">
        <v>1255</v>
      </c>
      <c r="G534" s="35">
        <v>0.5625</v>
      </c>
      <c r="H534" s="35">
        <v>0.875</v>
      </c>
      <c r="I534" s="36">
        <v>450</v>
      </c>
      <c r="J534" s="67" t="s">
        <v>463</v>
      </c>
      <c r="K534" s="104" t="s">
        <v>283</v>
      </c>
      <c r="L534" s="67" t="s">
        <v>283</v>
      </c>
      <c r="M534" s="47" t="s">
        <v>286</v>
      </c>
    </row>
    <row r="535" spans="1:13" x14ac:dyDescent="0.35">
      <c r="A535" s="17">
        <v>45801</v>
      </c>
      <c r="B535" s="39">
        <v>57.14</v>
      </c>
      <c r="C535" s="39">
        <v>5.19</v>
      </c>
      <c r="D535" s="39">
        <v>22505026</v>
      </c>
      <c r="E535" s="39" t="s">
        <v>87</v>
      </c>
      <c r="F535" s="39">
        <v>1255</v>
      </c>
      <c r="G535" s="35">
        <v>0.875</v>
      </c>
      <c r="H535" s="35">
        <v>0.89930555555555558</v>
      </c>
      <c r="I535" s="36">
        <v>35</v>
      </c>
      <c r="J535" s="67" t="s">
        <v>446</v>
      </c>
      <c r="K535" s="104" t="s">
        <v>41</v>
      </c>
      <c r="L535" s="67" t="s">
        <v>454</v>
      </c>
      <c r="M535" s="47" t="s">
        <v>659</v>
      </c>
    </row>
    <row r="536" spans="1:13" x14ac:dyDescent="0.35">
      <c r="A536" s="17">
        <v>45802</v>
      </c>
      <c r="B536" s="39">
        <v>57.13</v>
      </c>
      <c r="C536" s="39">
        <v>4.79</v>
      </c>
      <c r="D536" s="46">
        <v>22505027</v>
      </c>
      <c r="E536" s="45" t="s">
        <v>173</v>
      </c>
      <c r="F536" s="45">
        <v>1230</v>
      </c>
      <c r="G536" s="35">
        <v>0.96180555555555558</v>
      </c>
      <c r="H536" s="35">
        <v>6.9444444444444448E-2</v>
      </c>
      <c r="I536" s="36">
        <v>155</v>
      </c>
      <c r="J536" s="67" t="s">
        <v>463</v>
      </c>
      <c r="K536" s="67" t="s">
        <v>41</v>
      </c>
      <c r="L536" s="67" t="s">
        <v>454</v>
      </c>
      <c r="M536" s="47" t="s">
        <v>660</v>
      </c>
    </row>
    <row r="537" spans="1:13" x14ac:dyDescent="0.35">
      <c r="A537" s="17">
        <v>45802</v>
      </c>
      <c r="B537" s="39">
        <v>57.13</v>
      </c>
      <c r="C537" s="39">
        <v>4.79</v>
      </c>
      <c r="D537" s="46">
        <v>22505028</v>
      </c>
      <c r="E537" s="45" t="s">
        <v>90</v>
      </c>
      <c r="F537" s="45">
        <v>1250</v>
      </c>
      <c r="G537" s="35">
        <v>0.44097222222222221</v>
      </c>
      <c r="H537" s="35">
        <v>0.91666666666666663</v>
      </c>
      <c r="I537" s="36">
        <v>685</v>
      </c>
      <c r="J537" s="67" t="s">
        <v>448</v>
      </c>
      <c r="K537" s="67" t="s">
        <v>15</v>
      </c>
      <c r="L537" s="67" t="s">
        <v>448</v>
      </c>
      <c r="M537" s="47" t="s">
        <v>17</v>
      </c>
    </row>
    <row r="538" spans="1:13" x14ac:dyDescent="0.35">
      <c r="A538" s="17">
        <v>45803</v>
      </c>
      <c r="B538" s="39">
        <v>57.13</v>
      </c>
      <c r="C538" s="39">
        <v>4.79</v>
      </c>
      <c r="D538" s="46">
        <v>22505028</v>
      </c>
      <c r="E538" s="45" t="s">
        <v>226</v>
      </c>
      <c r="F538" s="45">
        <v>1251</v>
      </c>
      <c r="G538" s="35">
        <v>0.91666666666666663</v>
      </c>
      <c r="H538" s="35">
        <v>0.91666666666666663</v>
      </c>
      <c r="I538" s="36">
        <v>1440</v>
      </c>
      <c r="J538" s="67" t="s">
        <v>448</v>
      </c>
      <c r="K538" s="67" t="s">
        <v>15</v>
      </c>
      <c r="L538" s="67" t="s">
        <v>448</v>
      </c>
      <c r="M538" s="47" t="s">
        <v>663</v>
      </c>
    </row>
    <row r="539" spans="1:13" x14ac:dyDescent="0.35">
      <c r="A539" s="17">
        <v>45804</v>
      </c>
      <c r="B539" s="39">
        <v>57.13</v>
      </c>
      <c r="C539" s="39">
        <v>4.79</v>
      </c>
      <c r="D539" s="46">
        <v>22505028</v>
      </c>
      <c r="E539" s="45" t="s">
        <v>311</v>
      </c>
      <c r="F539" s="45">
        <v>1252</v>
      </c>
      <c r="G539" s="35">
        <v>0.91666666666666663</v>
      </c>
      <c r="H539" s="35">
        <v>0.91666666666666663</v>
      </c>
      <c r="I539" s="36">
        <v>1440</v>
      </c>
      <c r="J539" s="67" t="s">
        <v>448</v>
      </c>
      <c r="K539" s="67" t="s">
        <v>15</v>
      </c>
      <c r="L539" s="67" t="s">
        <v>448</v>
      </c>
      <c r="M539" s="47" t="s">
        <v>663</v>
      </c>
    </row>
    <row r="540" spans="1:13" x14ac:dyDescent="0.35">
      <c r="A540" s="17">
        <v>45805</v>
      </c>
      <c r="B540" s="39">
        <v>57.13</v>
      </c>
      <c r="C540" s="39">
        <v>4.79</v>
      </c>
      <c r="D540" s="46">
        <v>22505028</v>
      </c>
      <c r="E540" s="45" t="s">
        <v>341</v>
      </c>
      <c r="F540" s="45">
        <v>1253</v>
      </c>
      <c r="G540" s="35">
        <v>0.91666666666666663</v>
      </c>
      <c r="H540" s="35">
        <v>0.91666666666666663</v>
      </c>
      <c r="I540" s="36">
        <v>1440</v>
      </c>
      <c r="J540" s="67" t="s">
        <v>448</v>
      </c>
      <c r="K540" s="67" t="s">
        <v>15</v>
      </c>
      <c r="L540" s="67" t="s">
        <v>448</v>
      </c>
      <c r="M540" s="47" t="s">
        <v>663</v>
      </c>
    </row>
    <row r="541" spans="1:13" x14ac:dyDescent="0.35">
      <c r="A541" s="17">
        <v>45806</v>
      </c>
      <c r="B541" s="39">
        <v>57.13</v>
      </c>
      <c r="C541" s="39">
        <v>4.79</v>
      </c>
      <c r="D541" s="46">
        <v>22505028</v>
      </c>
      <c r="E541" s="45" t="s">
        <v>18</v>
      </c>
      <c r="F541" s="45">
        <v>1254</v>
      </c>
      <c r="G541" s="35">
        <v>0.91666666666666663</v>
      </c>
      <c r="H541" s="35">
        <v>0.91666666666666663</v>
      </c>
      <c r="I541" s="36">
        <v>1440</v>
      </c>
      <c r="J541" s="67" t="s">
        <v>448</v>
      </c>
      <c r="K541" s="67" t="s">
        <v>15</v>
      </c>
      <c r="L541" s="67" t="s">
        <v>448</v>
      </c>
      <c r="M541" s="49" t="s">
        <v>664</v>
      </c>
    </row>
    <row r="542" spans="1:13" x14ac:dyDescent="0.35">
      <c r="A542" s="17">
        <v>45807</v>
      </c>
      <c r="B542" s="39">
        <v>57.13</v>
      </c>
      <c r="C542" s="39">
        <v>4.79</v>
      </c>
      <c r="D542" s="46">
        <v>22505028</v>
      </c>
      <c r="E542" s="45" t="s">
        <v>170</v>
      </c>
      <c r="F542" s="45">
        <v>1255</v>
      </c>
      <c r="G542" s="35">
        <v>0.91666666666666663</v>
      </c>
      <c r="H542" s="35">
        <v>0.91666666666666663</v>
      </c>
      <c r="I542" s="36">
        <v>1440</v>
      </c>
      <c r="J542" s="67" t="s">
        <v>448</v>
      </c>
      <c r="K542" s="104" t="s">
        <v>15</v>
      </c>
      <c r="L542" s="67" t="s">
        <v>448</v>
      </c>
      <c r="M542" s="49" t="s">
        <v>664</v>
      </c>
    </row>
    <row r="543" spans="1:13" x14ac:dyDescent="0.35">
      <c r="A543" s="17">
        <v>45808</v>
      </c>
      <c r="B543" s="39">
        <v>57.13</v>
      </c>
      <c r="C543" s="39">
        <v>4.79</v>
      </c>
      <c r="D543" s="46">
        <v>22505028</v>
      </c>
      <c r="E543" s="45" t="s">
        <v>87</v>
      </c>
      <c r="F543" s="45">
        <v>1256</v>
      </c>
      <c r="G543" s="35">
        <v>0.91666666666666663</v>
      </c>
      <c r="H543" s="35">
        <v>0.91666666666666663</v>
      </c>
      <c r="I543" s="36">
        <v>1440</v>
      </c>
      <c r="J543" s="67" t="s">
        <v>448</v>
      </c>
      <c r="K543" s="104" t="s">
        <v>15</v>
      </c>
      <c r="L543" s="67" t="s">
        <v>448</v>
      </c>
      <c r="M543" s="49" t="s">
        <v>664</v>
      </c>
    </row>
    <row r="544" spans="1:13" x14ac:dyDescent="0.35">
      <c r="A544" s="17">
        <v>45809</v>
      </c>
      <c r="B544" s="39">
        <v>57.13</v>
      </c>
      <c r="C544" s="39">
        <v>4.79</v>
      </c>
      <c r="D544" s="46">
        <v>22505028</v>
      </c>
      <c r="E544" s="45" t="s">
        <v>468</v>
      </c>
      <c r="F544" s="45">
        <v>1257</v>
      </c>
      <c r="G544" s="35">
        <v>0.91666666666666663</v>
      </c>
      <c r="H544" s="35">
        <v>0.91666666666666663</v>
      </c>
      <c r="I544" s="36">
        <v>1440</v>
      </c>
      <c r="J544" s="67" t="s">
        <v>448</v>
      </c>
      <c r="K544" s="67" t="s">
        <v>15</v>
      </c>
      <c r="L544" s="67" t="s">
        <v>448</v>
      </c>
      <c r="M544" s="49" t="s">
        <v>664</v>
      </c>
    </row>
    <row r="545" spans="1:13" x14ac:dyDescent="0.35">
      <c r="A545" s="17">
        <v>45810</v>
      </c>
      <c r="B545" s="39">
        <v>57.13</v>
      </c>
      <c r="C545" s="39">
        <v>4.79</v>
      </c>
      <c r="D545" s="46">
        <v>22505028</v>
      </c>
      <c r="E545" s="45" t="s">
        <v>379</v>
      </c>
      <c r="F545" s="45">
        <v>1258</v>
      </c>
      <c r="G545" s="35">
        <v>0.91666666666666663</v>
      </c>
      <c r="H545" s="35">
        <v>0.91666666666666663</v>
      </c>
      <c r="I545" s="36">
        <v>1440</v>
      </c>
      <c r="J545" s="67" t="s">
        <v>448</v>
      </c>
      <c r="K545" s="67" t="s">
        <v>15</v>
      </c>
      <c r="L545" s="67" t="s">
        <v>448</v>
      </c>
      <c r="M545" s="49" t="s">
        <v>664</v>
      </c>
    </row>
    <row r="546" spans="1:13" x14ac:dyDescent="0.35">
      <c r="A546" s="17">
        <v>45811</v>
      </c>
      <c r="B546" s="39">
        <v>57.13</v>
      </c>
      <c r="C546" s="39">
        <v>4.79</v>
      </c>
      <c r="D546" s="46">
        <v>22505028</v>
      </c>
      <c r="E546" s="45" t="s">
        <v>452</v>
      </c>
      <c r="F546" s="45">
        <v>1259</v>
      </c>
      <c r="G546" s="35">
        <v>0.91666666666666663</v>
      </c>
      <c r="H546" s="35">
        <v>0.91666666666666663</v>
      </c>
      <c r="I546" s="36">
        <v>1440</v>
      </c>
      <c r="J546" s="67" t="s">
        <v>448</v>
      </c>
      <c r="K546" s="67" t="s">
        <v>15</v>
      </c>
      <c r="L546" s="67" t="s">
        <v>448</v>
      </c>
      <c r="M546" s="49" t="s">
        <v>664</v>
      </c>
    </row>
    <row r="547" spans="1:13" x14ac:dyDescent="0.35">
      <c r="A547" s="17">
        <v>45812</v>
      </c>
      <c r="B547" s="45">
        <v>58</v>
      </c>
      <c r="C547" s="45">
        <v>3.2</v>
      </c>
      <c r="D547" s="46">
        <v>22505028</v>
      </c>
      <c r="E547" s="45" t="s">
        <v>452</v>
      </c>
      <c r="F547" s="45">
        <v>1259</v>
      </c>
      <c r="G547" s="35">
        <v>0.91666666666666663</v>
      </c>
      <c r="H547" s="35">
        <v>0.90277777777777779</v>
      </c>
      <c r="I547" s="36">
        <v>1420</v>
      </c>
      <c r="J547" s="67" t="s">
        <v>448</v>
      </c>
      <c r="K547" s="67" t="s">
        <v>15</v>
      </c>
      <c r="L547" s="67" t="s">
        <v>448</v>
      </c>
      <c r="M547" s="49" t="s">
        <v>664</v>
      </c>
    </row>
    <row r="548" spans="1:13" x14ac:dyDescent="0.35">
      <c r="A548" s="17">
        <v>45813</v>
      </c>
      <c r="B548" s="39">
        <v>58</v>
      </c>
      <c r="C548" s="39">
        <v>4.7</v>
      </c>
      <c r="D548" s="39">
        <v>22506001</v>
      </c>
      <c r="E548" s="39" t="s">
        <v>173</v>
      </c>
      <c r="F548" s="39">
        <v>1230</v>
      </c>
      <c r="G548" s="35">
        <v>0.95138888888888884</v>
      </c>
      <c r="H548" s="35">
        <v>3.4722222222222224E-2</v>
      </c>
      <c r="I548" s="36">
        <v>120</v>
      </c>
      <c r="J548" s="67" t="s">
        <v>35</v>
      </c>
      <c r="K548" s="67" t="s">
        <v>161</v>
      </c>
      <c r="L548" s="67" t="s">
        <v>168</v>
      </c>
      <c r="M548" s="49" t="s">
        <v>672</v>
      </c>
    </row>
    <row r="549" spans="1:13" x14ac:dyDescent="0.35">
      <c r="A549" s="17">
        <v>45813</v>
      </c>
      <c r="B549" s="39">
        <v>58</v>
      </c>
      <c r="C549" s="39">
        <v>4.7</v>
      </c>
      <c r="D549" s="39">
        <v>22506001</v>
      </c>
      <c r="E549" s="39" t="s">
        <v>173</v>
      </c>
      <c r="F549" s="39">
        <v>1230</v>
      </c>
      <c r="G549" s="35">
        <v>3.4722222222222224E-2</v>
      </c>
      <c r="H549" s="35">
        <v>0.55694444444444446</v>
      </c>
      <c r="I549" s="36">
        <v>752</v>
      </c>
      <c r="J549" s="67" t="s">
        <v>448</v>
      </c>
      <c r="K549" s="67" t="s">
        <v>15</v>
      </c>
      <c r="L549" s="67" t="s">
        <v>448</v>
      </c>
      <c r="M549" s="47" t="s">
        <v>666</v>
      </c>
    </row>
    <row r="550" spans="1:13" x14ac:dyDescent="0.35">
      <c r="A550" s="17">
        <v>45814</v>
      </c>
      <c r="B550" s="39">
        <v>57.87</v>
      </c>
      <c r="C550" s="39">
        <v>4.87</v>
      </c>
      <c r="D550" s="39">
        <v>22506002</v>
      </c>
      <c r="E550" s="39" t="s">
        <v>156</v>
      </c>
      <c r="F550" s="39">
        <v>1255</v>
      </c>
      <c r="G550" s="35">
        <v>0.4513888888888889</v>
      </c>
      <c r="H550" s="35">
        <v>0.51388888888888884</v>
      </c>
      <c r="I550" s="36">
        <v>90</v>
      </c>
      <c r="J550" s="67" t="s">
        <v>35</v>
      </c>
      <c r="K550" s="67" t="s">
        <v>445</v>
      </c>
      <c r="L550" s="67" t="s">
        <v>675</v>
      </c>
      <c r="M550" s="49" t="s">
        <v>288</v>
      </c>
    </row>
    <row r="551" spans="1:13" x14ac:dyDescent="0.35">
      <c r="A551" s="17">
        <v>45814</v>
      </c>
      <c r="B551" s="39">
        <v>57.87</v>
      </c>
      <c r="C551" s="39">
        <v>4.87</v>
      </c>
      <c r="D551" s="39">
        <v>22506002</v>
      </c>
      <c r="E551" s="39" t="s">
        <v>156</v>
      </c>
      <c r="F551" s="39">
        <v>1255</v>
      </c>
      <c r="G551" s="35">
        <v>0.51388888888888884</v>
      </c>
      <c r="H551" s="35">
        <v>0.64930555555555558</v>
      </c>
      <c r="I551" s="36">
        <v>195</v>
      </c>
      <c r="J551" s="67" t="s">
        <v>448</v>
      </c>
      <c r="K551" s="67" t="s">
        <v>15</v>
      </c>
      <c r="L551" s="67" t="s">
        <v>448</v>
      </c>
      <c r="M551" s="47" t="s">
        <v>668</v>
      </c>
    </row>
    <row r="552" spans="1:13" x14ac:dyDescent="0.35">
      <c r="A552" s="17">
        <v>45815</v>
      </c>
      <c r="B552" s="39">
        <v>58</v>
      </c>
      <c r="C552" s="39">
        <v>4.28</v>
      </c>
      <c r="D552" s="45">
        <v>22506003</v>
      </c>
      <c r="E552" s="45" t="s">
        <v>24</v>
      </c>
      <c r="F552" s="45">
        <v>1035</v>
      </c>
      <c r="G552" s="35">
        <v>0.97569444444444442</v>
      </c>
      <c r="H552" s="35">
        <v>0.1701388888888889</v>
      </c>
      <c r="I552" s="36">
        <v>280</v>
      </c>
      <c r="J552" s="67" t="s">
        <v>448</v>
      </c>
      <c r="K552" s="67" t="s">
        <v>15</v>
      </c>
      <c r="L552" s="67" t="s">
        <v>448</v>
      </c>
      <c r="M552" s="47" t="s">
        <v>673</v>
      </c>
    </row>
    <row r="553" spans="1:13" x14ac:dyDescent="0.35">
      <c r="A553" s="17">
        <v>45815</v>
      </c>
      <c r="B553" s="39">
        <v>58</v>
      </c>
      <c r="C553" s="39">
        <v>4.28</v>
      </c>
      <c r="D553" s="39">
        <v>22506004</v>
      </c>
      <c r="E553" s="39" t="s">
        <v>31</v>
      </c>
      <c r="F553" s="39">
        <v>920</v>
      </c>
      <c r="G553" s="35">
        <v>0.4201388888888889</v>
      </c>
      <c r="H553" s="35">
        <v>0.44097222222222221</v>
      </c>
      <c r="I553" s="36">
        <v>30</v>
      </c>
      <c r="J553" s="67" t="s">
        <v>51</v>
      </c>
      <c r="K553" s="67" t="s">
        <v>445</v>
      </c>
      <c r="L553" s="67" t="s">
        <v>53</v>
      </c>
      <c r="M553" s="47" t="s">
        <v>674</v>
      </c>
    </row>
    <row r="554" spans="1:13" x14ac:dyDescent="0.35">
      <c r="A554" s="17">
        <v>45815</v>
      </c>
      <c r="B554" s="39">
        <v>58</v>
      </c>
      <c r="C554" s="39">
        <v>4.28</v>
      </c>
      <c r="D554" s="39">
        <v>22506004</v>
      </c>
      <c r="E554" s="39" t="s">
        <v>31</v>
      </c>
      <c r="F554" s="39">
        <v>920</v>
      </c>
      <c r="G554" s="35">
        <v>0.44097222222222221</v>
      </c>
      <c r="H554" s="35">
        <v>0.91666666666666663</v>
      </c>
      <c r="I554" s="36">
        <v>685</v>
      </c>
      <c r="J554" s="67" t="s">
        <v>448</v>
      </c>
      <c r="K554" s="67" t="s">
        <v>15</v>
      </c>
      <c r="L554" s="67" t="s">
        <v>448</v>
      </c>
      <c r="M554" s="47" t="s">
        <v>668</v>
      </c>
    </row>
    <row r="555" spans="1:13" x14ac:dyDescent="0.35">
      <c r="A555" s="17">
        <v>45816</v>
      </c>
      <c r="B555" s="45">
        <v>58</v>
      </c>
      <c r="C555" s="45">
        <v>5.0999999999999996</v>
      </c>
      <c r="D555" s="39">
        <v>22506004</v>
      </c>
      <c r="E555" s="39" t="s">
        <v>31</v>
      </c>
      <c r="F555" s="39">
        <v>920</v>
      </c>
      <c r="G555" s="35">
        <v>0.91666666666666663</v>
      </c>
      <c r="H555" s="35">
        <v>0.5</v>
      </c>
      <c r="I555" s="36">
        <v>840</v>
      </c>
      <c r="J555" s="67" t="s">
        <v>448</v>
      </c>
      <c r="K555" s="67" t="s">
        <v>15</v>
      </c>
      <c r="L555" s="67" t="s">
        <v>448</v>
      </c>
      <c r="M555" s="47" t="s">
        <v>668</v>
      </c>
    </row>
    <row r="556" spans="1:13" x14ac:dyDescent="0.35">
      <c r="A556" s="17">
        <v>45817</v>
      </c>
      <c r="B556" s="39">
        <v>57.75</v>
      </c>
      <c r="C556" s="39">
        <v>4.9400000000000004</v>
      </c>
      <c r="D556" s="39">
        <v>22506005</v>
      </c>
      <c r="E556" s="39" t="s">
        <v>357</v>
      </c>
      <c r="F556" s="39">
        <v>920</v>
      </c>
      <c r="G556" s="35">
        <v>0.40555555555555556</v>
      </c>
      <c r="H556" s="35">
        <v>0.42638888888888887</v>
      </c>
      <c r="I556" s="36">
        <v>30</v>
      </c>
      <c r="J556" s="67" t="s">
        <v>51</v>
      </c>
      <c r="K556" s="67" t="s">
        <v>445</v>
      </c>
      <c r="L556" s="67" t="s">
        <v>53</v>
      </c>
      <c r="M556" s="47" t="s">
        <v>674</v>
      </c>
    </row>
    <row r="557" spans="1:13" x14ac:dyDescent="0.35">
      <c r="A557" s="17">
        <v>45817</v>
      </c>
      <c r="B557" s="39">
        <v>57.75</v>
      </c>
      <c r="C557" s="39">
        <v>4.9400000000000004</v>
      </c>
      <c r="D557" s="39">
        <v>22506005</v>
      </c>
      <c r="E557" s="39" t="s">
        <v>357</v>
      </c>
      <c r="F557" s="39">
        <v>920</v>
      </c>
      <c r="G557" s="35">
        <v>0.42638888888888887</v>
      </c>
      <c r="H557" s="35">
        <v>0.77777777777777779</v>
      </c>
      <c r="I557" s="36">
        <v>506</v>
      </c>
      <c r="J557" s="67" t="s">
        <v>52</v>
      </c>
      <c r="K557" s="67" t="s">
        <v>26</v>
      </c>
      <c r="L557" s="67" t="s">
        <v>67</v>
      </c>
      <c r="M557" s="47" t="s">
        <v>677</v>
      </c>
    </row>
    <row r="558" spans="1:13" x14ac:dyDescent="0.35">
      <c r="A558" s="17">
        <v>45818</v>
      </c>
      <c r="B558" s="45">
        <v>57.03</v>
      </c>
      <c r="C558" s="45">
        <v>4.79</v>
      </c>
      <c r="D558" s="46">
        <v>22506006</v>
      </c>
      <c r="E558" s="45" t="s">
        <v>69</v>
      </c>
      <c r="F558" s="45">
        <v>1255</v>
      </c>
      <c r="G558" s="35">
        <v>0.88888888888888884</v>
      </c>
      <c r="H558" s="35">
        <v>0.91666666666666663</v>
      </c>
      <c r="I558" s="36">
        <v>40</v>
      </c>
      <c r="J558" s="67" t="s">
        <v>463</v>
      </c>
      <c r="K558" s="67" t="s">
        <v>26</v>
      </c>
      <c r="L558" s="67" t="s">
        <v>543</v>
      </c>
      <c r="M558" s="47" t="s">
        <v>681</v>
      </c>
    </row>
    <row r="559" spans="1:13" x14ac:dyDescent="0.35">
      <c r="A559" s="17">
        <v>45819</v>
      </c>
      <c r="B559" s="39">
        <v>57.29</v>
      </c>
      <c r="C559" s="39">
        <v>4.78</v>
      </c>
      <c r="D559" s="46">
        <v>22506006</v>
      </c>
      <c r="E559" s="45" t="s">
        <v>69</v>
      </c>
      <c r="F559" s="45">
        <v>1255</v>
      </c>
      <c r="G559" s="35">
        <v>0.91666666666666663</v>
      </c>
      <c r="H559" s="35">
        <v>6.9444444444444448E-2</v>
      </c>
      <c r="I559" s="36">
        <v>220</v>
      </c>
      <c r="J559" s="67" t="s">
        <v>446</v>
      </c>
      <c r="K559" s="67" t="s">
        <v>26</v>
      </c>
      <c r="L559" s="67" t="s">
        <v>543</v>
      </c>
      <c r="M559" s="47" t="s">
        <v>61</v>
      </c>
    </row>
    <row r="560" spans="1:13" x14ac:dyDescent="0.35">
      <c r="A560" s="17">
        <v>45819</v>
      </c>
      <c r="B560" s="39">
        <v>57.29</v>
      </c>
      <c r="C560" s="39">
        <v>4.78</v>
      </c>
      <c r="D560" s="39">
        <v>22506007</v>
      </c>
      <c r="E560" s="39" t="s">
        <v>43</v>
      </c>
      <c r="F560" s="39">
        <v>1230</v>
      </c>
      <c r="G560" s="35">
        <v>0.40625</v>
      </c>
      <c r="H560" s="35">
        <v>0.47916666666666669</v>
      </c>
      <c r="I560" s="36">
        <v>105</v>
      </c>
      <c r="J560" s="67" t="s">
        <v>463</v>
      </c>
      <c r="K560" s="67" t="s">
        <v>26</v>
      </c>
      <c r="L560" s="67" t="s">
        <v>543</v>
      </c>
      <c r="M560" s="47" t="s">
        <v>297</v>
      </c>
    </row>
    <row r="561" spans="1:13" x14ac:dyDescent="0.35">
      <c r="A561" s="17">
        <v>45819</v>
      </c>
      <c r="B561" s="39">
        <v>57.29</v>
      </c>
      <c r="C561" s="39">
        <v>4.78</v>
      </c>
      <c r="D561" s="39">
        <v>22506007</v>
      </c>
      <c r="E561" s="39" t="s">
        <v>43</v>
      </c>
      <c r="F561" s="39">
        <v>1230</v>
      </c>
      <c r="G561" s="35">
        <v>0.47916666666666669</v>
      </c>
      <c r="H561" s="35">
        <v>0.50694444444444442</v>
      </c>
      <c r="I561" s="36">
        <v>40</v>
      </c>
      <c r="J561" s="67" t="s">
        <v>446</v>
      </c>
      <c r="K561" s="67" t="s">
        <v>19</v>
      </c>
      <c r="L561" s="47" t="s">
        <v>682</v>
      </c>
      <c r="M561" s="47" t="s">
        <v>682</v>
      </c>
    </row>
    <row r="562" spans="1:13" x14ac:dyDescent="0.35">
      <c r="A562" s="17">
        <v>45819</v>
      </c>
      <c r="B562" s="39">
        <v>57.29</v>
      </c>
      <c r="C562" s="39">
        <v>4.78</v>
      </c>
      <c r="D562" s="39">
        <v>22506007</v>
      </c>
      <c r="E562" s="39" t="s">
        <v>43</v>
      </c>
      <c r="F562" s="39">
        <v>1230</v>
      </c>
      <c r="G562" s="35">
        <v>0.50694444444444442</v>
      </c>
      <c r="H562" s="35">
        <v>0.53472222222222221</v>
      </c>
      <c r="I562" s="36">
        <v>40</v>
      </c>
      <c r="J562" s="67" t="s">
        <v>446</v>
      </c>
      <c r="K562" s="67" t="s">
        <v>41</v>
      </c>
      <c r="L562" s="47" t="s">
        <v>683</v>
      </c>
      <c r="M562" s="47" t="s">
        <v>683</v>
      </c>
    </row>
    <row r="563" spans="1:13" x14ac:dyDescent="0.35">
      <c r="A563" s="17">
        <v>45820</v>
      </c>
      <c r="B563" s="39">
        <v>57</v>
      </c>
      <c r="C563" s="39">
        <v>5.0999999999999996</v>
      </c>
      <c r="D563" s="39">
        <v>22506008</v>
      </c>
      <c r="E563" s="39" t="s">
        <v>116</v>
      </c>
      <c r="F563" s="39" t="s">
        <v>58</v>
      </c>
      <c r="G563" s="35">
        <v>0.79513888888888884</v>
      </c>
      <c r="H563" s="35">
        <v>0.81597222222222221</v>
      </c>
      <c r="I563" s="36">
        <v>30</v>
      </c>
      <c r="J563" s="67" t="s">
        <v>51</v>
      </c>
      <c r="K563" s="67" t="s">
        <v>445</v>
      </c>
      <c r="L563" s="67" t="s">
        <v>53</v>
      </c>
      <c r="M563" s="47" t="s">
        <v>686</v>
      </c>
    </row>
    <row r="564" spans="1:13" x14ac:dyDescent="0.35">
      <c r="A564" s="17">
        <v>45820</v>
      </c>
      <c r="B564" s="39">
        <v>57</v>
      </c>
      <c r="C564" s="39">
        <v>5.0999999999999996</v>
      </c>
      <c r="D564" s="39">
        <v>22506008</v>
      </c>
      <c r="E564" s="39" t="s">
        <v>116</v>
      </c>
      <c r="F564" s="39" t="s">
        <v>58</v>
      </c>
      <c r="G564" s="35">
        <v>0.81597222222222221</v>
      </c>
      <c r="H564" s="35">
        <v>0.82152777777777775</v>
      </c>
      <c r="I564" s="36">
        <v>8</v>
      </c>
      <c r="J564" s="67" t="s">
        <v>446</v>
      </c>
      <c r="K564" s="67" t="s">
        <v>445</v>
      </c>
      <c r="L564" s="47" t="s">
        <v>687</v>
      </c>
      <c r="M564" s="47" t="s">
        <v>687</v>
      </c>
    </row>
    <row r="565" spans="1:13" x14ac:dyDescent="0.35">
      <c r="A565" s="17">
        <v>45820</v>
      </c>
      <c r="B565" s="39">
        <v>57</v>
      </c>
      <c r="C565" s="39">
        <v>5.0999999999999996</v>
      </c>
      <c r="D565" s="39">
        <v>22506008</v>
      </c>
      <c r="E565" s="39" t="s">
        <v>116</v>
      </c>
      <c r="F565" s="39" t="s">
        <v>58</v>
      </c>
      <c r="G565" s="35">
        <v>0.82152777777777775</v>
      </c>
      <c r="H565" s="35">
        <v>0.82638888888888884</v>
      </c>
      <c r="I565" s="36">
        <v>7</v>
      </c>
      <c r="J565" s="67" t="s">
        <v>446</v>
      </c>
      <c r="K565" s="67" t="s">
        <v>445</v>
      </c>
      <c r="L565" s="47" t="s">
        <v>580</v>
      </c>
      <c r="M565" s="47" t="s">
        <v>580</v>
      </c>
    </row>
    <row r="566" spans="1:13" x14ac:dyDescent="0.35">
      <c r="A566" s="17">
        <v>45821</v>
      </c>
      <c r="B566" s="39">
        <v>57.06</v>
      </c>
      <c r="C566" s="39">
        <v>5.26</v>
      </c>
      <c r="D566" s="39">
        <v>22506009</v>
      </c>
      <c r="E566" s="39" t="s">
        <v>311</v>
      </c>
      <c r="F566" s="39">
        <v>1250</v>
      </c>
      <c r="G566" s="35">
        <v>0.19444444444444445</v>
      </c>
      <c r="H566" s="35">
        <v>0.29166666666666669</v>
      </c>
      <c r="I566" s="36">
        <v>140</v>
      </c>
      <c r="J566" s="67" t="s">
        <v>25</v>
      </c>
      <c r="K566" s="67" t="s">
        <v>445</v>
      </c>
      <c r="L566" s="67" t="s">
        <v>456</v>
      </c>
      <c r="M566" s="60" t="s">
        <v>654</v>
      </c>
    </row>
    <row r="567" spans="1:13" x14ac:dyDescent="0.35">
      <c r="A567" s="17">
        <v>45821</v>
      </c>
      <c r="B567" s="39">
        <v>57.06</v>
      </c>
      <c r="C567" s="39">
        <v>5.26</v>
      </c>
      <c r="D567" s="39">
        <v>22506009</v>
      </c>
      <c r="E567" s="39" t="s">
        <v>311</v>
      </c>
      <c r="F567" s="39">
        <v>1250</v>
      </c>
      <c r="G567" s="35">
        <v>0.29166666666666669</v>
      </c>
      <c r="H567" s="35">
        <v>0.31388888888888888</v>
      </c>
      <c r="I567" s="36">
        <v>32</v>
      </c>
      <c r="J567" s="67" t="s">
        <v>463</v>
      </c>
      <c r="K567" s="67" t="s">
        <v>19</v>
      </c>
      <c r="L567" s="67"/>
      <c r="M567" s="47" t="s">
        <v>690</v>
      </c>
    </row>
    <row r="568" spans="1:13" x14ac:dyDescent="0.35">
      <c r="A568" s="17">
        <v>45822</v>
      </c>
      <c r="B568" s="39">
        <v>57.05</v>
      </c>
      <c r="C568" s="39">
        <v>5.17</v>
      </c>
      <c r="D568" s="39">
        <v>22506010</v>
      </c>
      <c r="E568" s="39" t="s">
        <v>159</v>
      </c>
      <c r="F568" s="39">
        <v>1235</v>
      </c>
      <c r="G568" s="35">
        <v>0.54166666666666663</v>
      </c>
      <c r="H568" s="35">
        <v>0.5625</v>
      </c>
      <c r="I568" s="36">
        <v>30</v>
      </c>
      <c r="J568" s="67" t="s">
        <v>51</v>
      </c>
      <c r="K568" s="67" t="s">
        <v>445</v>
      </c>
      <c r="L568" s="67" t="s">
        <v>53</v>
      </c>
      <c r="M568" s="47" t="s">
        <v>686</v>
      </c>
    </row>
    <row r="569" spans="1:13" x14ac:dyDescent="0.35">
      <c r="A569" s="17">
        <v>45822</v>
      </c>
      <c r="B569" s="39">
        <v>57.05</v>
      </c>
      <c r="C569" s="39">
        <v>5.17</v>
      </c>
      <c r="D569" s="39">
        <v>22506010</v>
      </c>
      <c r="E569" s="39" t="s">
        <v>159</v>
      </c>
      <c r="F569" s="39">
        <v>1235</v>
      </c>
      <c r="G569" s="35">
        <v>0.5625</v>
      </c>
      <c r="H569" s="35">
        <v>0.57638888888888884</v>
      </c>
      <c r="I569" s="36">
        <v>20</v>
      </c>
      <c r="J569" s="67" t="s">
        <v>446</v>
      </c>
      <c r="K569" s="67" t="s">
        <v>445</v>
      </c>
      <c r="L569" s="121" t="s">
        <v>698</v>
      </c>
      <c r="M569" s="121" t="s">
        <v>698</v>
      </c>
    </row>
    <row r="570" spans="1:13" x14ac:dyDescent="0.35">
      <c r="A570" s="17">
        <v>45823</v>
      </c>
      <c r="B570" s="39">
        <v>57.05</v>
      </c>
      <c r="C570" s="39">
        <v>5.27</v>
      </c>
      <c r="D570" s="39">
        <v>22506011</v>
      </c>
      <c r="E570" s="39" t="s">
        <v>13</v>
      </c>
      <c r="F570" s="39">
        <v>1255</v>
      </c>
      <c r="G570" s="35">
        <v>0.4861111111111111</v>
      </c>
      <c r="H570" s="35">
        <v>0.5625</v>
      </c>
      <c r="I570" s="36">
        <v>110</v>
      </c>
      <c r="J570" s="67" t="s">
        <v>35</v>
      </c>
      <c r="K570" s="67" t="s">
        <v>62</v>
      </c>
      <c r="L570" s="67" t="s">
        <v>190</v>
      </c>
      <c r="M570" s="47" t="s">
        <v>693</v>
      </c>
    </row>
    <row r="571" spans="1:13" x14ac:dyDescent="0.35">
      <c r="A571" s="17">
        <v>45823</v>
      </c>
      <c r="B571" s="39">
        <v>57.05</v>
      </c>
      <c r="C571" s="39">
        <v>5.27</v>
      </c>
      <c r="D571" s="39">
        <v>22506011</v>
      </c>
      <c r="E571" s="39" t="s">
        <v>13</v>
      </c>
      <c r="F571" s="39">
        <v>1255</v>
      </c>
      <c r="G571" s="35">
        <v>0.5625</v>
      </c>
      <c r="H571" s="35">
        <v>0.59722222222222221</v>
      </c>
      <c r="I571" s="36">
        <v>50</v>
      </c>
      <c r="J571" s="67" t="s">
        <v>446</v>
      </c>
      <c r="K571" s="67" t="s">
        <v>41</v>
      </c>
      <c r="L571" s="67" t="s">
        <v>178</v>
      </c>
      <c r="M571" s="47" t="s">
        <v>699</v>
      </c>
    </row>
    <row r="572" spans="1:13" x14ac:dyDescent="0.35">
      <c r="A572" s="17">
        <v>45824</v>
      </c>
      <c r="B572" s="39">
        <v>57</v>
      </c>
      <c r="C572" s="39">
        <v>4.99</v>
      </c>
      <c r="D572" s="39">
        <v>22506012</v>
      </c>
      <c r="E572" s="39" t="s">
        <v>80</v>
      </c>
      <c r="F572" s="39" t="s">
        <v>494</v>
      </c>
      <c r="G572" s="35">
        <v>0.85972222222222228</v>
      </c>
      <c r="H572" s="35">
        <v>0.88055555555555554</v>
      </c>
      <c r="I572" s="36">
        <v>30</v>
      </c>
      <c r="J572" s="67" t="s">
        <v>51</v>
      </c>
      <c r="K572" s="67" t="s">
        <v>445</v>
      </c>
      <c r="L572" s="67" t="s">
        <v>53</v>
      </c>
      <c r="M572" s="47" t="s">
        <v>54</v>
      </c>
    </row>
    <row r="573" spans="1:13" x14ac:dyDescent="0.35">
      <c r="A573" s="17">
        <v>45824</v>
      </c>
      <c r="B573" s="39">
        <v>57</v>
      </c>
      <c r="C573" s="39">
        <v>4.99</v>
      </c>
      <c r="D573" s="39">
        <v>22506012</v>
      </c>
      <c r="E573" s="39" t="s">
        <v>80</v>
      </c>
      <c r="F573" s="39" t="s">
        <v>494</v>
      </c>
      <c r="G573" s="35">
        <v>0.88055555555555554</v>
      </c>
      <c r="H573" s="35">
        <v>0.89097222222222228</v>
      </c>
      <c r="I573" s="36">
        <v>15</v>
      </c>
      <c r="J573" s="67" t="s">
        <v>446</v>
      </c>
      <c r="K573" s="67" t="s">
        <v>19</v>
      </c>
      <c r="L573" s="67" t="s">
        <v>143</v>
      </c>
      <c r="M573" s="47" t="s">
        <v>700</v>
      </c>
    </row>
    <row r="574" spans="1:13" x14ac:dyDescent="0.35">
      <c r="A574" s="17">
        <v>45824</v>
      </c>
      <c r="B574" s="39">
        <v>57</v>
      </c>
      <c r="C574" s="39">
        <v>4.99</v>
      </c>
      <c r="D574" s="39">
        <v>22506012</v>
      </c>
      <c r="E574" s="39" t="s">
        <v>80</v>
      </c>
      <c r="F574" s="39" t="s">
        <v>494</v>
      </c>
      <c r="G574" s="35">
        <v>0.89097222222222228</v>
      </c>
      <c r="H574" s="35">
        <v>0.91666666666666663</v>
      </c>
      <c r="I574" s="36">
        <v>37</v>
      </c>
      <c r="J574" s="67" t="s">
        <v>446</v>
      </c>
      <c r="K574" s="67" t="s">
        <v>19</v>
      </c>
      <c r="L574" s="67" t="s">
        <v>143</v>
      </c>
      <c r="M574" s="47" t="s">
        <v>701</v>
      </c>
    </row>
    <row r="575" spans="1:13" x14ac:dyDescent="0.35">
      <c r="A575" s="17">
        <v>45825</v>
      </c>
      <c r="B575" s="39">
        <v>57</v>
      </c>
      <c r="C575" s="39">
        <v>4.99</v>
      </c>
      <c r="D575" s="39">
        <v>22506012</v>
      </c>
      <c r="E575" s="39" t="s">
        <v>57</v>
      </c>
      <c r="F575" s="39" t="s">
        <v>705</v>
      </c>
      <c r="G575" s="35">
        <v>0.91666666666666663</v>
      </c>
      <c r="H575" s="35">
        <v>0.95138888888888884</v>
      </c>
      <c r="I575" s="36">
        <v>50</v>
      </c>
      <c r="J575" s="67" t="s">
        <v>446</v>
      </c>
      <c r="K575" s="67" t="s">
        <v>19</v>
      </c>
      <c r="L575" s="67" t="s">
        <v>143</v>
      </c>
      <c r="M575" s="47" t="s">
        <v>701</v>
      </c>
    </row>
    <row r="576" spans="1:13" x14ac:dyDescent="0.35">
      <c r="A576" s="17">
        <v>45825</v>
      </c>
      <c r="B576" s="39">
        <v>56.94</v>
      </c>
      <c r="C576" s="39">
        <v>5.21</v>
      </c>
      <c r="D576" s="39">
        <v>22506013</v>
      </c>
      <c r="E576" s="39" t="s">
        <v>379</v>
      </c>
      <c r="F576" s="39">
        <v>1260</v>
      </c>
      <c r="G576" s="35">
        <v>0.49861111111111112</v>
      </c>
      <c r="H576" s="35">
        <v>0.56111111111111112</v>
      </c>
      <c r="I576" s="36">
        <v>90</v>
      </c>
      <c r="J576" s="67" t="s">
        <v>35</v>
      </c>
      <c r="K576" s="67" t="s">
        <v>161</v>
      </c>
      <c r="L576" s="49" t="s">
        <v>702</v>
      </c>
      <c r="M576" s="49" t="s">
        <v>702</v>
      </c>
    </row>
    <row r="577" spans="1:13" x14ac:dyDescent="0.35">
      <c r="A577" s="17">
        <v>45825</v>
      </c>
      <c r="B577" s="39">
        <v>56.94</v>
      </c>
      <c r="C577" s="39">
        <v>5.21</v>
      </c>
      <c r="D577" s="39">
        <v>22506013</v>
      </c>
      <c r="E577" s="39" t="s">
        <v>379</v>
      </c>
      <c r="F577" s="39">
        <v>1260</v>
      </c>
      <c r="G577" s="35">
        <v>0.56111111111111112</v>
      </c>
      <c r="H577" s="35">
        <v>0.58333333333333337</v>
      </c>
      <c r="I577" s="36">
        <v>32</v>
      </c>
      <c r="J577" s="67" t="s">
        <v>446</v>
      </c>
      <c r="K577" s="67" t="s">
        <v>41</v>
      </c>
      <c r="L577" s="67" t="s">
        <v>703</v>
      </c>
      <c r="M577" s="47" t="s">
        <v>704</v>
      </c>
    </row>
    <row r="578" spans="1:13" x14ac:dyDescent="0.35">
      <c r="A578" s="122">
        <v>45826</v>
      </c>
      <c r="B578" s="45">
        <v>57.06</v>
      </c>
      <c r="C578" s="45">
        <v>5.0599999999999996</v>
      </c>
      <c r="D578" s="45">
        <v>22506014</v>
      </c>
      <c r="E578" s="45" t="s">
        <v>468</v>
      </c>
      <c r="F578" s="45">
        <v>1250</v>
      </c>
      <c r="G578" s="35">
        <v>0.11805555555555555</v>
      </c>
      <c r="H578" s="35">
        <v>0.26805555555555555</v>
      </c>
      <c r="I578" s="36">
        <v>216</v>
      </c>
      <c r="J578" s="67" t="s">
        <v>35</v>
      </c>
      <c r="K578" s="104" t="s">
        <v>62</v>
      </c>
      <c r="L578" s="67" t="s">
        <v>236</v>
      </c>
      <c r="M578" s="49" t="s">
        <v>706</v>
      </c>
    </row>
    <row r="579" spans="1:13" x14ac:dyDescent="0.35">
      <c r="A579" s="123">
        <v>45827</v>
      </c>
      <c r="B579" s="39">
        <v>57.13</v>
      </c>
      <c r="C579" s="39">
        <v>5.26</v>
      </c>
      <c r="D579" s="39">
        <v>22506015</v>
      </c>
      <c r="E579" s="39" t="s">
        <v>72</v>
      </c>
      <c r="F579" s="39">
        <v>1230</v>
      </c>
      <c r="G579" s="35">
        <v>0.54513888888888884</v>
      </c>
      <c r="H579" s="35">
        <v>0.56597222222222221</v>
      </c>
      <c r="I579" s="36">
        <v>30</v>
      </c>
      <c r="J579" s="67" t="s">
        <v>51</v>
      </c>
      <c r="K579" s="67" t="s">
        <v>445</v>
      </c>
      <c r="L579" s="67" t="s">
        <v>53</v>
      </c>
      <c r="M579" s="47" t="s">
        <v>54</v>
      </c>
    </row>
    <row r="580" spans="1:13" x14ac:dyDescent="0.35">
      <c r="A580" s="123">
        <v>45827</v>
      </c>
      <c r="B580" s="39">
        <v>57.13</v>
      </c>
      <c r="C580" s="39">
        <v>5.26</v>
      </c>
      <c r="D580" s="39">
        <v>22506015</v>
      </c>
      <c r="E580" s="39" t="s">
        <v>72</v>
      </c>
      <c r="F580" s="39">
        <v>1230</v>
      </c>
      <c r="G580" s="35">
        <v>0.56597222222222221</v>
      </c>
      <c r="H580" s="35">
        <v>0.57638888888888884</v>
      </c>
      <c r="I580" s="36">
        <v>15</v>
      </c>
      <c r="J580" s="67" t="s">
        <v>52</v>
      </c>
      <c r="K580" s="67" t="s">
        <v>445</v>
      </c>
      <c r="L580" s="67" t="s">
        <v>59</v>
      </c>
      <c r="M580" s="47" t="s">
        <v>59</v>
      </c>
    </row>
    <row r="581" spans="1:13" x14ac:dyDescent="0.35">
      <c r="A581" s="123">
        <v>45827</v>
      </c>
      <c r="B581" s="39">
        <v>57.13</v>
      </c>
      <c r="C581" s="39">
        <v>5.26</v>
      </c>
      <c r="D581" s="39">
        <v>22506015</v>
      </c>
      <c r="E581" s="39" t="s">
        <v>72</v>
      </c>
      <c r="F581" s="39">
        <v>1230</v>
      </c>
      <c r="G581" s="35">
        <v>0.57638888888888884</v>
      </c>
      <c r="H581" s="35">
        <v>0.58680555555555558</v>
      </c>
      <c r="I581" s="36">
        <v>15</v>
      </c>
      <c r="J581" s="67" t="s">
        <v>446</v>
      </c>
      <c r="K581" s="67" t="s">
        <v>445</v>
      </c>
      <c r="L581" s="67" t="s">
        <v>74</v>
      </c>
      <c r="M581" s="47" t="s">
        <v>75</v>
      </c>
    </row>
    <row r="582" spans="1:13" x14ac:dyDescent="0.35">
      <c r="A582" s="122">
        <v>45828</v>
      </c>
      <c r="B582" s="45">
        <v>57.03</v>
      </c>
      <c r="C582" s="45">
        <v>5.24</v>
      </c>
      <c r="D582" s="46">
        <v>22506016</v>
      </c>
      <c r="E582" s="45" t="s">
        <v>18</v>
      </c>
      <c r="F582" s="45">
        <v>1335</v>
      </c>
      <c r="G582" s="35">
        <v>3.472222222222222E-3</v>
      </c>
      <c r="H582" s="35">
        <v>8.3333333333333329E-2</v>
      </c>
      <c r="I582" s="36">
        <v>115</v>
      </c>
      <c r="J582" s="67" t="s">
        <v>25</v>
      </c>
      <c r="K582" s="67" t="s">
        <v>445</v>
      </c>
      <c r="L582" s="67" t="s">
        <v>492</v>
      </c>
      <c r="M582" s="60" t="s">
        <v>209</v>
      </c>
    </row>
    <row r="583" spans="1:13" x14ac:dyDescent="0.35">
      <c r="A583" s="123">
        <v>45829</v>
      </c>
      <c r="B583" s="39">
        <v>57.02</v>
      </c>
      <c r="C583" s="39">
        <v>5.41</v>
      </c>
      <c r="D583" s="39">
        <v>22506017</v>
      </c>
      <c r="E583" s="39" t="s">
        <v>104</v>
      </c>
      <c r="F583" s="39" t="s">
        <v>711</v>
      </c>
      <c r="G583" s="35">
        <v>0.37222222222222223</v>
      </c>
      <c r="H583" s="35">
        <v>0.39305555555555555</v>
      </c>
      <c r="I583" s="36">
        <v>30</v>
      </c>
      <c r="J583" s="67" t="s">
        <v>51</v>
      </c>
      <c r="K583" s="67" t="s">
        <v>445</v>
      </c>
      <c r="L583" s="67" t="s">
        <v>53</v>
      </c>
      <c r="M583" s="47" t="s">
        <v>54</v>
      </c>
    </row>
    <row r="584" spans="1:13" x14ac:dyDescent="0.35">
      <c r="A584" s="123">
        <v>45829</v>
      </c>
      <c r="B584" s="39">
        <v>57.02</v>
      </c>
      <c r="C584" s="39">
        <v>5.41</v>
      </c>
      <c r="D584" s="39">
        <v>22506017</v>
      </c>
      <c r="E584" s="39" t="s">
        <v>104</v>
      </c>
      <c r="F584" s="39" t="s">
        <v>711</v>
      </c>
      <c r="G584" s="35">
        <v>0.39305555555555555</v>
      </c>
      <c r="H584" s="35">
        <v>0.41111111111111109</v>
      </c>
      <c r="I584" s="36">
        <v>26</v>
      </c>
      <c r="J584" s="67" t="s">
        <v>446</v>
      </c>
      <c r="K584" s="67" t="s">
        <v>445</v>
      </c>
      <c r="L584" s="67" t="s">
        <v>55</v>
      </c>
      <c r="M584" s="47" t="s">
        <v>712</v>
      </c>
    </row>
    <row r="585" spans="1:13" x14ac:dyDescent="0.35">
      <c r="A585" s="123">
        <v>45830</v>
      </c>
      <c r="B585" s="39">
        <v>57.03</v>
      </c>
      <c r="C585" s="39">
        <v>5.33</v>
      </c>
      <c r="D585" s="39">
        <v>22506018</v>
      </c>
      <c r="E585" s="39" t="s">
        <v>141</v>
      </c>
      <c r="F585" s="39" t="s">
        <v>713</v>
      </c>
      <c r="G585" s="35">
        <v>0.6875</v>
      </c>
      <c r="H585" s="35">
        <v>0.70833333333333337</v>
      </c>
      <c r="I585" s="36">
        <v>30</v>
      </c>
      <c r="J585" s="67" t="s">
        <v>51</v>
      </c>
      <c r="K585" s="67" t="s">
        <v>445</v>
      </c>
      <c r="L585" s="67" t="s">
        <v>53</v>
      </c>
      <c r="M585" s="47" t="s">
        <v>54</v>
      </c>
    </row>
    <row r="586" spans="1:13" x14ac:dyDescent="0.35">
      <c r="A586" s="123">
        <v>45830</v>
      </c>
      <c r="B586" s="39">
        <v>57.03</v>
      </c>
      <c r="C586" s="39">
        <v>5.33</v>
      </c>
      <c r="D586" s="39">
        <v>22506018</v>
      </c>
      <c r="E586" s="39" t="s">
        <v>141</v>
      </c>
      <c r="F586" s="39" t="s">
        <v>713</v>
      </c>
      <c r="G586" s="35">
        <v>0.70833333333333337</v>
      </c>
      <c r="H586" s="35">
        <v>0.71875</v>
      </c>
      <c r="I586" s="36">
        <v>15</v>
      </c>
      <c r="J586" s="67" t="s">
        <v>52</v>
      </c>
      <c r="K586" s="67" t="s">
        <v>445</v>
      </c>
      <c r="L586" s="67" t="s">
        <v>59</v>
      </c>
      <c r="M586" s="47" t="s">
        <v>59</v>
      </c>
    </row>
    <row r="587" spans="1:13" x14ac:dyDescent="0.35">
      <c r="A587" s="123">
        <v>45830</v>
      </c>
      <c r="B587" s="39">
        <v>57.03</v>
      </c>
      <c r="C587" s="39">
        <v>5.33</v>
      </c>
      <c r="D587" s="39">
        <v>22506018</v>
      </c>
      <c r="E587" s="39" t="s">
        <v>141</v>
      </c>
      <c r="F587" s="39" t="s">
        <v>713</v>
      </c>
      <c r="G587" s="35">
        <v>0.71875</v>
      </c>
      <c r="H587" s="35">
        <v>0.72430555555555554</v>
      </c>
      <c r="I587" s="36">
        <v>8</v>
      </c>
      <c r="J587" s="67" t="s">
        <v>446</v>
      </c>
      <c r="K587" s="67" t="s">
        <v>445</v>
      </c>
      <c r="L587" s="67" t="s">
        <v>55</v>
      </c>
      <c r="M587" s="47" t="s">
        <v>267</v>
      </c>
    </row>
    <row r="588" spans="1:13" x14ac:dyDescent="0.35">
      <c r="A588" s="123">
        <v>45830</v>
      </c>
      <c r="B588" s="39">
        <v>57.03</v>
      </c>
      <c r="C588" s="39">
        <v>5.33</v>
      </c>
      <c r="D588" s="39">
        <v>22506018</v>
      </c>
      <c r="E588" s="39" t="s">
        <v>141</v>
      </c>
      <c r="F588" s="39" t="s">
        <v>713</v>
      </c>
      <c r="G588" s="35">
        <v>0.72430555555555554</v>
      </c>
      <c r="H588" s="35">
        <v>0.72916666666666663</v>
      </c>
      <c r="I588" s="36">
        <v>7</v>
      </c>
      <c r="J588" s="67" t="s">
        <v>446</v>
      </c>
      <c r="K588" s="67" t="s">
        <v>19</v>
      </c>
      <c r="L588" s="67" t="s">
        <v>143</v>
      </c>
      <c r="M588" s="47" t="s">
        <v>714</v>
      </c>
    </row>
    <row r="589" spans="1:13" x14ac:dyDescent="0.35">
      <c r="A589" s="123">
        <v>45832</v>
      </c>
      <c r="B589" s="45">
        <v>56.92</v>
      </c>
      <c r="C589" s="45">
        <v>5.04</v>
      </c>
      <c r="D589" s="39">
        <v>22506019</v>
      </c>
      <c r="E589" s="39" t="s">
        <v>80</v>
      </c>
      <c r="F589" s="39" t="s">
        <v>715</v>
      </c>
      <c r="G589" s="35">
        <v>1.0416666666666666E-2</v>
      </c>
      <c r="H589" s="35">
        <v>3.125E-2</v>
      </c>
      <c r="I589" s="36">
        <v>30</v>
      </c>
      <c r="J589" s="67" t="s">
        <v>51</v>
      </c>
      <c r="K589" s="67" t="s">
        <v>445</v>
      </c>
      <c r="L589" s="67" t="s">
        <v>53</v>
      </c>
      <c r="M589" s="47" t="s">
        <v>54</v>
      </c>
    </row>
    <row r="590" spans="1:13" x14ac:dyDescent="0.35">
      <c r="A590" s="123">
        <v>45832</v>
      </c>
      <c r="B590" s="39">
        <v>57.07</v>
      </c>
      <c r="C590" s="39">
        <v>4.84</v>
      </c>
      <c r="D590" s="39">
        <v>22506019</v>
      </c>
      <c r="E590" s="39" t="s">
        <v>80</v>
      </c>
      <c r="F590" s="39" t="s">
        <v>715</v>
      </c>
      <c r="G590" s="35">
        <v>3.125E-2</v>
      </c>
      <c r="H590" s="35">
        <v>5.2083333333333336E-2</v>
      </c>
      <c r="I590" s="36">
        <v>30</v>
      </c>
      <c r="J590" s="67" t="s">
        <v>52</v>
      </c>
      <c r="K590" s="67" t="s">
        <v>445</v>
      </c>
      <c r="L590" s="67" t="s">
        <v>178</v>
      </c>
      <c r="M590" s="47" t="s">
        <v>179</v>
      </c>
    </row>
    <row r="591" spans="1:13" x14ac:dyDescent="0.35">
      <c r="A591" s="123">
        <v>45832</v>
      </c>
      <c r="B591" s="39">
        <v>57.07</v>
      </c>
      <c r="C591" s="39">
        <v>4.84</v>
      </c>
      <c r="D591" s="39">
        <v>22506019</v>
      </c>
      <c r="E591" s="39" t="s">
        <v>80</v>
      </c>
      <c r="F591" s="39" t="s">
        <v>715</v>
      </c>
      <c r="G591" s="35">
        <v>5.2083333333333336E-2</v>
      </c>
      <c r="H591" s="35">
        <v>5.486111111111111E-2</v>
      </c>
      <c r="I591" s="36">
        <v>4</v>
      </c>
      <c r="J591" s="67" t="s">
        <v>446</v>
      </c>
      <c r="K591" s="67" t="s">
        <v>26</v>
      </c>
      <c r="L591" s="67" t="s">
        <v>32</v>
      </c>
      <c r="M591" s="47" t="s">
        <v>32</v>
      </c>
    </row>
    <row r="592" spans="1:13" x14ac:dyDescent="0.35">
      <c r="A592" s="123">
        <v>45832</v>
      </c>
      <c r="B592" s="39">
        <v>57.07</v>
      </c>
      <c r="C592" s="39">
        <v>4.84</v>
      </c>
      <c r="D592" s="39">
        <v>22506020</v>
      </c>
      <c r="E592" s="39" t="s">
        <v>452</v>
      </c>
      <c r="F592" s="39" t="s">
        <v>717</v>
      </c>
      <c r="G592" s="35">
        <v>0.625</v>
      </c>
      <c r="H592" s="35">
        <v>0.70833333333333337</v>
      </c>
      <c r="I592" s="36">
        <v>120</v>
      </c>
      <c r="J592" s="67" t="s">
        <v>25</v>
      </c>
      <c r="K592" s="67" t="s">
        <v>445</v>
      </c>
      <c r="L592" s="67" t="s">
        <v>456</v>
      </c>
      <c r="M592" s="60" t="s">
        <v>654</v>
      </c>
    </row>
    <row r="593" spans="1:22" x14ac:dyDescent="0.35">
      <c r="A593" s="123">
        <v>45832</v>
      </c>
      <c r="B593" s="39">
        <v>57.07</v>
      </c>
      <c r="C593" s="39">
        <v>4.84</v>
      </c>
      <c r="D593" s="39">
        <v>22506020</v>
      </c>
      <c r="E593" s="39" t="s">
        <v>452</v>
      </c>
      <c r="F593" s="39" t="s">
        <v>717</v>
      </c>
      <c r="G593" s="35">
        <v>0.70833333333333337</v>
      </c>
      <c r="H593" s="35">
        <v>0.75972222222222219</v>
      </c>
      <c r="I593" s="36">
        <v>74</v>
      </c>
      <c r="J593" s="67" t="s">
        <v>446</v>
      </c>
      <c r="K593" s="104" t="s">
        <v>445</v>
      </c>
      <c r="L593" s="67" t="s">
        <v>650</v>
      </c>
      <c r="M593" s="47" t="s">
        <v>718</v>
      </c>
    </row>
    <row r="594" spans="1:22" x14ac:dyDescent="0.35">
      <c r="A594" s="123">
        <v>45832</v>
      </c>
      <c r="B594" s="39">
        <v>57.07</v>
      </c>
      <c r="C594" s="39">
        <v>4.84</v>
      </c>
      <c r="D594" s="45">
        <v>22506021</v>
      </c>
      <c r="E594" s="45" t="s">
        <v>47</v>
      </c>
      <c r="F594" s="45">
        <v>1230</v>
      </c>
      <c r="G594" s="35">
        <v>0.76041666666666663</v>
      </c>
      <c r="H594" s="35">
        <v>0.84027777777777779</v>
      </c>
      <c r="I594" s="36">
        <v>115</v>
      </c>
      <c r="J594" s="67" t="s">
        <v>25</v>
      </c>
      <c r="K594" s="104" t="s">
        <v>445</v>
      </c>
      <c r="L594" s="67" t="s">
        <v>456</v>
      </c>
      <c r="M594" s="60" t="s">
        <v>654</v>
      </c>
    </row>
    <row r="595" spans="1:22" x14ac:dyDescent="0.35">
      <c r="A595" s="123">
        <v>45833</v>
      </c>
      <c r="B595" s="39">
        <v>57.33</v>
      </c>
      <c r="C595" s="39">
        <v>5.18</v>
      </c>
      <c r="D595" s="39">
        <v>22506022</v>
      </c>
      <c r="E595" s="85" t="s">
        <v>34</v>
      </c>
      <c r="F595" s="85">
        <v>1230</v>
      </c>
      <c r="G595" s="35">
        <v>0.93402777777777779</v>
      </c>
      <c r="H595" s="35">
        <v>0.97569444444444442</v>
      </c>
      <c r="I595" s="36">
        <v>60</v>
      </c>
      <c r="J595" s="67" t="s">
        <v>463</v>
      </c>
      <c r="K595" s="104" t="s">
        <v>19</v>
      </c>
      <c r="L595" s="67" t="s">
        <v>231</v>
      </c>
      <c r="M595" s="124" t="s">
        <v>719</v>
      </c>
    </row>
    <row r="596" spans="1:22" x14ac:dyDescent="0.35">
      <c r="A596" s="123">
        <v>45833</v>
      </c>
      <c r="B596" s="39">
        <v>57.33</v>
      </c>
      <c r="C596" s="39">
        <v>5.18</v>
      </c>
      <c r="D596" s="46">
        <v>22506023</v>
      </c>
      <c r="E596" s="45" t="s">
        <v>138</v>
      </c>
      <c r="F596" s="45">
        <v>1230</v>
      </c>
      <c r="G596" s="35">
        <v>0.55555555555555558</v>
      </c>
      <c r="H596" s="35">
        <v>0.625</v>
      </c>
      <c r="I596" s="36">
        <v>100</v>
      </c>
      <c r="J596" s="67" t="s">
        <v>25</v>
      </c>
      <c r="K596" s="104" t="s">
        <v>445</v>
      </c>
      <c r="L596" s="67" t="s">
        <v>456</v>
      </c>
      <c r="M596" s="60" t="s">
        <v>654</v>
      </c>
    </row>
    <row r="597" spans="1:22" x14ac:dyDescent="0.35">
      <c r="A597" s="126">
        <v>45834</v>
      </c>
      <c r="B597" s="127">
        <v>58</v>
      </c>
      <c r="C597" s="127">
        <v>5.08</v>
      </c>
      <c r="D597" s="45">
        <v>22506024</v>
      </c>
      <c r="E597" s="45" t="s">
        <v>313</v>
      </c>
      <c r="F597" s="45">
        <v>1250</v>
      </c>
      <c r="G597" s="35">
        <v>0.40138888888888891</v>
      </c>
      <c r="H597" s="35">
        <v>0.45763888888888887</v>
      </c>
      <c r="I597" s="36">
        <v>81</v>
      </c>
      <c r="J597" s="67" t="s">
        <v>463</v>
      </c>
      <c r="K597" s="67" t="s">
        <v>41</v>
      </c>
      <c r="L597" s="67" t="s">
        <v>577</v>
      </c>
      <c r="M597" s="47" t="s">
        <v>722</v>
      </c>
    </row>
    <row r="598" spans="1:22" x14ac:dyDescent="0.35">
      <c r="A598" s="126">
        <v>45835</v>
      </c>
      <c r="B598" s="45">
        <v>57.64</v>
      </c>
      <c r="C598" s="45">
        <v>5.23</v>
      </c>
      <c r="D598" s="46">
        <v>22506025</v>
      </c>
      <c r="E598" s="45" t="s">
        <v>57</v>
      </c>
      <c r="F598" s="45">
        <v>1240</v>
      </c>
      <c r="G598" s="35">
        <v>0.65625</v>
      </c>
      <c r="H598" s="35">
        <v>0.72777777777777775</v>
      </c>
      <c r="I598" s="36">
        <v>103</v>
      </c>
      <c r="J598" s="67" t="s">
        <v>25</v>
      </c>
      <c r="K598" s="104" t="s">
        <v>445</v>
      </c>
      <c r="L598" s="67" t="s">
        <v>456</v>
      </c>
      <c r="M598" s="60" t="s">
        <v>723</v>
      </c>
    </row>
    <row r="599" spans="1:22" x14ac:dyDescent="0.35">
      <c r="A599" s="123">
        <v>45837</v>
      </c>
      <c r="B599" s="45">
        <v>57</v>
      </c>
      <c r="C599" s="45">
        <v>5.39</v>
      </c>
      <c r="D599" s="39">
        <v>22506026</v>
      </c>
      <c r="E599" s="39" t="s">
        <v>57</v>
      </c>
      <c r="F599" s="39">
        <v>1255</v>
      </c>
      <c r="G599" s="35">
        <v>0.95833333333333337</v>
      </c>
      <c r="H599" s="35">
        <v>0.97916666666666663</v>
      </c>
      <c r="I599" s="36">
        <v>30</v>
      </c>
      <c r="J599" s="67" t="s">
        <v>51</v>
      </c>
      <c r="K599" s="67" t="s">
        <v>445</v>
      </c>
      <c r="L599" s="67" t="s">
        <v>53</v>
      </c>
      <c r="M599" s="47" t="s">
        <v>54</v>
      </c>
    </row>
    <row r="600" spans="1:22" x14ac:dyDescent="0.35">
      <c r="A600" s="123">
        <v>45837</v>
      </c>
      <c r="B600" s="39">
        <v>56.96</v>
      </c>
      <c r="C600" s="39">
        <v>4.9400000000000004</v>
      </c>
      <c r="D600" s="39">
        <v>22506026</v>
      </c>
      <c r="E600" s="39" t="s">
        <v>57</v>
      </c>
      <c r="F600" s="39">
        <v>1255</v>
      </c>
      <c r="G600" s="35">
        <v>0.97916666666666663</v>
      </c>
      <c r="H600" s="35">
        <v>6.5972222222222224E-2</v>
      </c>
      <c r="I600" s="36">
        <v>125</v>
      </c>
      <c r="J600" s="67" t="s">
        <v>446</v>
      </c>
      <c r="K600" s="67" t="s">
        <v>552</v>
      </c>
      <c r="L600" s="47" t="s">
        <v>724</v>
      </c>
      <c r="M600" s="47" t="s">
        <v>724</v>
      </c>
    </row>
    <row r="601" spans="1:22" x14ac:dyDescent="0.35">
      <c r="A601" s="123">
        <v>45837</v>
      </c>
      <c r="B601" s="39">
        <v>56.96</v>
      </c>
      <c r="C601" s="39">
        <v>4.9400000000000004</v>
      </c>
      <c r="D601" s="39">
        <v>22506026</v>
      </c>
      <c r="E601" s="39" t="s">
        <v>57</v>
      </c>
      <c r="F601" s="39">
        <v>1255</v>
      </c>
      <c r="G601" s="35">
        <v>6.5972222222222224E-2</v>
      </c>
      <c r="H601" s="35">
        <v>0.15277777777777779</v>
      </c>
      <c r="I601" s="36">
        <v>125</v>
      </c>
      <c r="J601" s="67" t="s">
        <v>446</v>
      </c>
      <c r="K601" s="67" t="s">
        <v>283</v>
      </c>
      <c r="L601" s="67" t="s">
        <v>283</v>
      </c>
      <c r="M601" s="47" t="s">
        <v>725</v>
      </c>
    </row>
    <row r="602" spans="1:22" x14ac:dyDescent="0.35">
      <c r="A602" s="123">
        <v>45837</v>
      </c>
      <c r="B602" s="39">
        <v>56.96</v>
      </c>
      <c r="C602" s="39">
        <v>4.9400000000000004</v>
      </c>
      <c r="D602" s="45">
        <v>22506027</v>
      </c>
      <c r="E602" s="45" t="s">
        <v>285</v>
      </c>
      <c r="F602" s="45">
        <v>1250</v>
      </c>
      <c r="G602" s="35">
        <v>0.35069444444444442</v>
      </c>
      <c r="H602" s="35">
        <v>0.58333333333333337</v>
      </c>
      <c r="I602" s="36">
        <v>335</v>
      </c>
      <c r="J602" s="67" t="s">
        <v>35</v>
      </c>
      <c r="K602" s="67" t="s">
        <v>161</v>
      </c>
      <c r="L602" s="67" t="s">
        <v>633</v>
      </c>
      <c r="M602" s="49" t="s">
        <v>726</v>
      </c>
    </row>
    <row r="603" spans="1:22" x14ac:dyDescent="0.35">
      <c r="A603" s="123">
        <v>45838</v>
      </c>
      <c r="B603" s="39">
        <v>57.09</v>
      </c>
      <c r="C603" s="39">
        <v>4.5599999999999996</v>
      </c>
      <c r="D603" s="39">
        <v>22506028</v>
      </c>
      <c r="E603" s="39" t="s">
        <v>311</v>
      </c>
      <c r="F603" s="39">
        <v>1250</v>
      </c>
      <c r="G603" s="35">
        <v>0.99652777777777779</v>
      </c>
      <c r="H603" s="35">
        <v>0.125</v>
      </c>
      <c r="I603" s="36">
        <v>185</v>
      </c>
      <c r="J603" s="67" t="s">
        <v>463</v>
      </c>
      <c r="K603" s="67" t="s">
        <v>283</v>
      </c>
      <c r="L603" s="67" t="s">
        <v>283</v>
      </c>
      <c r="M603" s="124" t="s">
        <v>727</v>
      </c>
    </row>
    <row r="604" spans="1:22" x14ac:dyDescent="0.35">
      <c r="A604" s="123">
        <v>45838</v>
      </c>
      <c r="B604" s="39">
        <v>57.09</v>
      </c>
      <c r="C604" s="39">
        <v>4.5599999999999996</v>
      </c>
      <c r="D604" s="39">
        <v>22506028</v>
      </c>
      <c r="E604" s="39" t="s">
        <v>311</v>
      </c>
      <c r="F604" s="39">
        <v>1250</v>
      </c>
      <c r="G604" s="35">
        <v>0.125</v>
      </c>
      <c r="H604" s="35">
        <v>0.14930555555555555</v>
      </c>
      <c r="I604" s="36">
        <v>35</v>
      </c>
      <c r="J604" s="67" t="s">
        <v>446</v>
      </c>
      <c r="K604" s="67" t="s">
        <v>445</v>
      </c>
      <c r="L604" s="67" t="s">
        <v>22</v>
      </c>
      <c r="M604" s="47" t="s">
        <v>728</v>
      </c>
    </row>
    <row r="605" spans="1:22" x14ac:dyDescent="0.35">
      <c r="A605" s="123">
        <v>45838</v>
      </c>
      <c r="B605" s="39">
        <v>57.09</v>
      </c>
      <c r="C605" s="39">
        <v>4.5599999999999996</v>
      </c>
      <c r="D605" s="39">
        <v>22506029</v>
      </c>
      <c r="E605" s="39" t="s">
        <v>189</v>
      </c>
      <c r="F605" s="39">
        <v>1250</v>
      </c>
      <c r="G605" s="35">
        <v>0.46180555555555558</v>
      </c>
      <c r="H605" s="35">
        <v>0.54513888888888884</v>
      </c>
      <c r="I605" s="36">
        <v>120</v>
      </c>
      <c r="J605" s="67" t="s">
        <v>25</v>
      </c>
      <c r="K605" s="67" t="s">
        <v>445</v>
      </c>
      <c r="L605" s="67" t="s">
        <v>456</v>
      </c>
      <c r="M605" s="60" t="s">
        <v>84</v>
      </c>
    </row>
    <row r="606" spans="1:22" x14ac:dyDescent="0.35">
      <c r="A606" s="123">
        <v>45838</v>
      </c>
      <c r="B606" s="39">
        <v>57.09</v>
      </c>
      <c r="C606" s="39">
        <v>4.5599999999999996</v>
      </c>
      <c r="D606" s="39">
        <v>22506029</v>
      </c>
      <c r="E606" s="39" t="s">
        <v>189</v>
      </c>
      <c r="F606" s="39">
        <v>1250</v>
      </c>
      <c r="G606" s="35">
        <v>0.54513888888888884</v>
      </c>
      <c r="H606" s="35">
        <v>0.70138888888888884</v>
      </c>
      <c r="I606" s="36">
        <v>225</v>
      </c>
      <c r="J606" s="67" t="s">
        <v>446</v>
      </c>
      <c r="K606" s="67" t="s">
        <v>283</v>
      </c>
      <c r="L606" s="67" t="s">
        <v>283</v>
      </c>
      <c r="M606" s="124" t="s">
        <v>729</v>
      </c>
    </row>
    <row r="607" spans="1:22" x14ac:dyDescent="0.35">
      <c r="A607" s="123">
        <v>45839</v>
      </c>
      <c r="B607" s="39">
        <v>57.42</v>
      </c>
      <c r="C607" s="39">
        <v>5.0199999999999996</v>
      </c>
      <c r="D607" s="46">
        <v>22506030</v>
      </c>
      <c r="E607" s="45" t="s">
        <v>452</v>
      </c>
      <c r="F607" s="45">
        <v>1230</v>
      </c>
      <c r="G607" s="35">
        <v>0.3</v>
      </c>
      <c r="H607" s="35">
        <v>0.47569444444444442</v>
      </c>
      <c r="I607" s="36">
        <v>253</v>
      </c>
      <c r="J607" s="86" t="s">
        <v>463</v>
      </c>
      <c r="K607" s="86" t="s">
        <v>283</v>
      </c>
      <c r="L607" s="86" t="s">
        <v>283</v>
      </c>
      <c r="M607" s="47" t="s">
        <v>286</v>
      </c>
      <c r="N607" s="86"/>
      <c r="O607" s="86"/>
      <c r="P607" s="86"/>
      <c r="Q607" s="86"/>
      <c r="R607" s="86"/>
      <c r="S607" s="86"/>
      <c r="T607" s="86"/>
      <c r="U607" s="86"/>
      <c r="V607" s="86"/>
    </row>
    <row r="608" spans="1:22" x14ac:dyDescent="0.35">
      <c r="A608" s="123">
        <v>45840</v>
      </c>
      <c r="B608" s="39">
        <v>57.52</v>
      </c>
      <c r="C608" s="39">
        <v>5.18</v>
      </c>
      <c r="D608" s="39">
        <v>22507001</v>
      </c>
      <c r="E608" s="39" t="s">
        <v>522</v>
      </c>
      <c r="F608" s="39">
        <v>1252</v>
      </c>
      <c r="G608" s="35">
        <v>0.17916666666666667</v>
      </c>
      <c r="H608" s="35">
        <v>0.5625</v>
      </c>
      <c r="I608" s="36">
        <v>552</v>
      </c>
      <c r="J608" s="67" t="s">
        <v>463</v>
      </c>
      <c r="K608" s="67" t="s">
        <v>283</v>
      </c>
      <c r="L608" s="67" t="s">
        <v>283</v>
      </c>
      <c r="M608" s="47" t="s">
        <v>286</v>
      </c>
    </row>
    <row r="609" spans="1:13" x14ac:dyDescent="0.35">
      <c r="A609" s="123">
        <v>45840</v>
      </c>
      <c r="B609" s="39">
        <v>57.52</v>
      </c>
      <c r="C609" s="39">
        <v>5.18</v>
      </c>
      <c r="D609" s="39">
        <v>22507001</v>
      </c>
      <c r="E609" s="39" t="s">
        <v>522</v>
      </c>
      <c r="F609" s="39">
        <v>1252</v>
      </c>
      <c r="G609" s="35">
        <v>0.5625</v>
      </c>
      <c r="H609" s="35">
        <v>0.5805555555555556</v>
      </c>
      <c r="I609" s="36">
        <v>26</v>
      </c>
      <c r="J609" s="67" t="s">
        <v>446</v>
      </c>
      <c r="K609" s="67" t="s">
        <v>41</v>
      </c>
      <c r="L609" s="67" t="s">
        <v>577</v>
      </c>
      <c r="M609" s="47" t="s">
        <v>734</v>
      </c>
    </row>
    <row r="610" spans="1:13" x14ac:dyDescent="0.35">
      <c r="A610" s="123">
        <v>45841</v>
      </c>
      <c r="B610" s="39">
        <v>58</v>
      </c>
      <c r="C610" s="39">
        <v>5.07</v>
      </c>
      <c r="D610" s="39">
        <v>22507002</v>
      </c>
      <c r="E610" s="39" t="s">
        <v>452</v>
      </c>
      <c r="F610" s="39">
        <v>915</v>
      </c>
      <c r="G610" s="35">
        <v>0.35625000000000001</v>
      </c>
      <c r="H610" s="35">
        <v>0.43958333333333333</v>
      </c>
      <c r="I610" s="36">
        <v>120</v>
      </c>
      <c r="J610" s="67" t="s">
        <v>25</v>
      </c>
      <c r="K610" s="67" t="s">
        <v>445</v>
      </c>
      <c r="L610" s="67" t="s">
        <v>456</v>
      </c>
      <c r="M610" s="49" t="s">
        <v>323</v>
      </c>
    </row>
    <row r="611" spans="1:13" x14ac:dyDescent="0.35">
      <c r="A611" s="123">
        <v>45841</v>
      </c>
      <c r="B611" s="39">
        <v>58</v>
      </c>
      <c r="C611" s="39">
        <v>5.07</v>
      </c>
      <c r="D611" s="39">
        <v>22507002</v>
      </c>
      <c r="E611" s="39" t="s">
        <v>452</v>
      </c>
      <c r="F611" s="39">
        <v>915</v>
      </c>
      <c r="G611" s="35">
        <v>0.43958333333333333</v>
      </c>
      <c r="H611" s="35">
        <v>0.4513888888888889</v>
      </c>
      <c r="I611" s="36">
        <v>17</v>
      </c>
      <c r="J611" s="67" t="s">
        <v>446</v>
      </c>
      <c r="K611" s="67" t="s">
        <v>41</v>
      </c>
      <c r="L611" s="67" t="s">
        <v>512</v>
      </c>
      <c r="M611" s="47" t="s">
        <v>735</v>
      </c>
    </row>
    <row r="612" spans="1:13" x14ac:dyDescent="0.35">
      <c r="A612" s="123">
        <v>45842</v>
      </c>
      <c r="B612" s="39">
        <v>58</v>
      </c>
      <c r="C612" s="39">
        <v>5.03</v>
      </c>
      <c r="D612" s="39">
        <v>22507003</v>
      </c>
      <c r="E612" s="39" t="s">
        <v>156</v>
      </c>
      <c r="F612" s="39">
        <v>920</v>
      </c>
      <c r="G612" s="35">
        <v>0.74027777777777781</v>
      </c>
      <c r="H612" s="35">
        <v>0.76111111111111107</v>
      </c>
      <c r="I612" s="36">
        <v>30</v>
      </c>
      <c r="J612" s="67" t="s">
        <v>51</v>
      </c>
      <c r="K612" s="104" t="s">
        <v>445</v>
      </c>
      <c r="L612" s="67" t="s">
        <v>53</v>
      </c>
      <c r="M612" s="47" t="s">
        <v>54</v>
      </c>
    </row>
    <row r="613" spans="1:13" x14ac:dyDescent="0.35">
      <c r="A613" s="123">
        <v>45842</v>
      </c>
      <c r="B613" s="39">
        <v>58</v>
      </c>
      <c r="C613" s="39">
        <v>5.03</v>
      </c>
      <c r="D613" s="39">
        <v>22507003</v>
      </c>
      <c r="E613" s="39" t="s">
        <v>156</v>
      </c>
      <c r="F613" s="39">
        <v>920</v>
      </c>
      <c r="G613" s="35">
        <v>0.76111111111111107</v>
      </c>
      <c r="H613" s="35">
        <v>0.77847222222222223</v>
      </c>
      <c r="I613" s="36">
        <v>25</v>
      </c>
      <c r="J613" s="67" t="s">
        <v>446</v>
      </c>
      <c r="K613" s="67" t="s">
        <v>445</v>
      </c>
      <c r="L613" s="47" t="s">
        <v>737</v>
      </c>
      <c r="M613" s="47" t="s">
        <v>737</v>
      </c>
    </row>
    <row r="614" spans="1:13" x14ac:dyDescent="0.35">
      <c r="A614" s="123">
        <v>45842</v>
      </c>
      <c r="B614" s="39">
        <v>58</v>
      </c>
      <c r="C614" s="39">
        <v>5.03</v>
      </c>
      <c r="D614" s="39">
        <v>22507003</v>
      </c>
      <c r="E614" s="39" t="s">
        <v>156</v>
      </c>
      <c r="F614" s="39">
        <v>920</v>
      </c>
      <c r="G614" s="35">
        <v>0.77847222222222223</v>
      </c>
      <c r="H614" s="35">
        <v>0.8881944444444444</v>
      </c>
      <c r="I614" s="36">
        <v>158</v>
      </c>
      <c r="J614" s="67" t="s">
        <v>446</v>
      </c>
      <c r="K614" s="67" t="s">
        <v>19</v>
      </c>
      <c r="L614" s="67" t="s">
        <v>149</v>
      </c>
      <c r="M614" s="47" t="s">
        <v>738</v>
      </c>
    </row>
    <row r="615" spans="1:13" x14ac:dyDescent="0.35">
      <c r="A615" s="123">
        <v>45842</v>
      </c>
      <c r="B615" s="39">
        <v>58</v>
      </c>
      <c r="C615" s="39">
        <v>5.03</v>
      </c>
      <c r="D615" s="39">
        <v>22507003</v>
      </c>
      <c r="E615" s="39" t="s">
        <v>156</v>
      </c>
      <c r="F615" s="39">
        <v>920</v>
      </c>
      <c r="G615" s="35">
        <v>0.8881944444444444</v>
      </c>
      <c r="H615" s="35">
        <v>0.90625</v>
      </c>
      <c r="I615" s="36">
        <v>26</v>
      </c>
      <c r="J615" s="67" t="s">
        <v>446</v>
      </c>
      <c r="K615" s="67" t="s">
        <v>445</v>
      </c>
      <c r="L615" s="47" t="s">
        <v>739</v>
      </c>
      <c r="M615" s="47" t="s">
        <v>739</v>
      </c>
    </row>
    <row r="616" spans="1:13" x14ac:dyDescent="0.35">
      <c r="A616" s="122">
        <v>45843</v>
      </c>
      <c r="B616" s="45">
        <v>58</v>
      </c>
      <c r="C616" s="45">
        <v>4.88</v>
      </c>
      <c r="D616" s="39">
        <v>22507004</v>
      </c>
      <c r="E616" s="39" t="s">
        <v>109</v>
      </c>
      <c r="F616" s="39">
        <v>920</v>
      </c>
      <c r="G616" s="35">
        <v>0.81736111111111109</v>
      </c>
      <c r="H616" s="35">
        <v>0.91666666666666663</v>
      </c>
      <c r="I616" s="36">
        <v>143</v>
      </c>
      <c r="J616" s="67" t="s">
        <v>463</v>
      </c>
      <c r="K616" s="67" t="s">
        <v>283</v>
      </c>
      <c r="L616" s="67" t="s">
        <v>283</v>
      </c>
      <c r="M616" s="47" t="s">
        <v>286</v>
      </c>
    </row>
    <row r="617" spans="1:13" x14ac:dyDescent="0.35">
      <c r="A617" s="123">
        <v>45844</v>
      </c>
      <c r="B617" s="39">
        <v>57.3</v>
      </c>
      <c r="C617" s="39">
        <v>4.93</v>
      </c>
      <c r="D617" s="39">
        <v>22507004</v>
      </c>
      <c r="E617" s="39" t="s">
        <v>109</v>
      </c>
      <c r="F617" s="39">
        <v>920</v>
      </c>
      <c r="G617" s="35">
        <v>0.91666666666666663</v>
      </c>
      <c r="H617" s="35">
        <v>0.13819444444444445</v>
      </c>
      <c r="I617" s="36">
        <v>319</v>
      </c>
      <c r="J617" s="67" t="s">
        <v>446</v>
      </c>
      <c r="K617" s="67" t="s">
        <v>283</v>
      </c>
      <c r="L617" s="67" t="s">
        <v>283</v>
      </c>
      <c r="M617" s="47" t="s">
        <v>284</v>
      </c>
    </row>
    <row r="618" spans="1:13" x14ac:dyDescent="0.35">
      <c r="A618" s="123">
        <v>45844</v>
      </c>
      <c r="B618" s="39">
        <v>57.3</v>
      </c>
      <c r="C618" s="39">
        <v>4.93</v>
      </c>
      <c r="D618" s="39">
        <v>22507005</v>
      </c>
      <c r="E618" s="39" t="s">
        <v>47</v>
      </c>
      <c r="F618" s="39">
        <v>1010</v>
      </c>
      <c r="G618" s="35">
        <v>0.1388888888888889</v>
      </c>
      <c r="H618" s="35">
        <v>0.2013888888888889</v>
      </c>
      <c r="I618" s="36">
        <v>90</v>
      </c>
      <c r="J618" s="67" t="s">
        <v>35</v>
      </c>
      <c r="K618" s="67" t="s">
        <v>445</v>
      </c>
      <c r="L618" s="67" t="s">
        <v>287</v>
      </c>
      <c r="M618" s="49" t="s">
        <v>95</v>
      </c>
    </row>
    <row r="619" spans="1:13" x14ac:dyDescent="0.35">
      <c r="A619" s="123">
        <v>45844</v>
      </c>
      <c r="B619" s="39">
        <v>57.3</v>
      </c>
      <c r="C619" s="39">
        <v>4.93</v>
      </c>
      <c r="D619" s="39">
        <v>22507005</v>
      </c>
      <c r="E619" s="39" t="s">
        <v>47</v>
      </c>
      <c r="F619" s="39">
        <v>1010</v>
      </c>
      <c r="G619" s="35">
        <v>0.2013888888888889</v>
      </c>
      <c r="H619" s="35">
        <v>0.21111111111111111</v>
      </c>
      <c r="I619" s="36">
        <v>14</v>
      </c>
      <c r="J619" s="67" t="s">
        <v>446</v>
      </c>
      <c r="K619" s="67" t="s">
        <v>26</v>
      </c>
      <c r="L619" s="67" t="s">
        <v>32</v>
      </c>
      <c r="M619" s="47" t="s">
        <v>61</v>
      </c>
    </row>
    <row r="620" spans="1:13" x14ac:dyDescent="0.35">
      <c r="A620" s="123">
        <v>45844</v>
      </c>
      <c r="B620" s="39">
        <v>57.3</v>
      </c>
      <c r="C620" s="39">
        <v>4.93</v>
      </c>
      <c r="D620" s="45">
        <v>22507006</v>
      </c>
      <c r="E620" s="45" t="s">
        <v>126</v>
      </c>
      <c r="F620" s="45">
        <v>1010</v>
      </c>
      <c r="G620" s="35">
        <v>0.34930555555555554</v>
      </c>
      <c r="H620" s="35">
        <v>0.5625</v>
      </c>
      <c r="I620" s="36">
        <v>307</v>
      </c>
      <c r="J620" s="67" t="s">
        <v>448</v>
      </c>
      <c r="K620" s="67" t="s">
        <v>15</v>
      </c>
      <c r="L620" s="67" t="s">
        <v>448</v>
      </c>
      <c r="M620" s="49" t="s">
        <v>17</v>
      </c>
    </row>
    <row r="621" spans="1:13" x14ac:dyDescent="0.35">
      <c r="A621" s="123">
        <v>45845</v>
      </c>
      <c r="B621" s="39">
        <v>57</v>
      </c>
      <c r="C621" s="39">
        <v>4.74</v>
      </c>
      <c r="D621" s="39">
        <v>22507007</v>
      </c>
      <c r="E621" s="39" t="s">
        <v>109</v>
      </c>
      <c r="F621" s="39">
        <v>1260</v>
      </c>
      <c r="G621" s="35">
        <v>0.26666666666666666</v>
      </c>
      <c r="H621" s="35">
        <v>0.85416666666666663</v>
      </c>
      <c r="I621" s="36">
        <v>846</v>
      </c>
      <c r="J621" s="67" t="s">
        <v>448</v>
      </c>
      <c r="K621" s="67" t="s">
        <v>15</v>
      </c>
      <c r="L621" s="67" t="s">
        <v>448</v>
      </c>
      <c r="M621" s="49" t="s">
        <v>17</v>
      </c>
    </row>
    <row r="622" spans="1:13" x14ac:dyDescent="0.35">
      <c r="A622" s="123">
        <v>45845</v>
      </c>
      <c r="B622" s="39">
        <v>57</v>
      </c>
      <c r="C622" s="39">
        <v>4.74</v>
      </c>
      <c r="D622" s="39">
        <v>22507007</v>
      </c>
      <c r="E622" s="39" t="s">
        <v>109</v>
      </c>
      <c r="F622" s="39">
        <v>1260</v>
      </c>
      <c r="G622" s="35">
        <v>0.85416666666666663</v>
      </c>
      <c r="H622" s="35">
        <v>0.91666666666666663</v>
      </c>
      <c r="I622" s="36">
        <v>90</v>
      </c>
      <c r="J622" s="67" t="s">
        <v>446</v>
      </c>
      <c r="K622" s="67" t="s">
        <v>283</v>
      </c>
      <c r="L622" s="67" t="s">
        <v>283</v>
      </c>
      <c r="M622" s="47" t="s">
        <v>284</v>
      </c>
    </row>
    <row r="623" spans="1:13" x14ac:dyDescent="0.35">
      <c r="A623" s="123">
        <v>45846</v>
      </c>
      <c r="B623" s="39">
        <v>57.35</v>
      </c>
      <c r="C623" s="39">
        <v>5.01</v>
      </c>
      <c r="D623" s="39">
        <v>22507007</v>
      </c>
      <c r="E623" s="39" t="s">
        <v>109</v>
      </c>
      <c r="F623" s="39">
        <v>1260</v>
      </c>
      <c r="G623" s="35">
        <v>0.91666666666666663</v>
      </c>
      <c r="H623" s="35">
        <v>5.9027777777777776E-2</v>
      </c>
      <c r="I623" s="36">
        <v>205</v>
      </c>
      <c r="J623" s="67" t="s">
        <v>446</v>
      </c>
      <c r="K623" s="67" t="s">
        <v>283</v>
      </c>
      <c r="L623" s="67" t="s">
        <v>283</v>
      </c>
      <c r="M623" s="47" t="s">
        <v>284</v>
      </c>
    </row>
    <row r="624" spans="1:13" x14ac:dyDescent="0.35">
      <c r="A624" s="123">
        <v>45846</v>
      </c>
      <c r="B624" s="39">
        <v>57.35</v>
      </c>
      <c r="C624" s="39">
        <v>5.01</v>
      </c>
      <c r="D624" s="46">
        <v>22507008</v>
      </c>
      <c r="E624" s="45" t="s">
        <v>313</v>
      </c>
      <c r="F624" s="45">
        <v>1255</v>
      </c>
      <c r="G624" s="35">
        <v>0.80555555555555558</v>
      </c>
      <c r="H624" s="35">
        <v>0.91041666666666665</v>
      </c>
      <c r="I624" s="36">
        <v>151</v>
      </c>
      <c r="J624" s="67" t="s">
        <v>463</v>
      </c>
      <c r="K624" s="67" t="s">
        <v>26</v>
      </c>
      <c r="L624" s="67" t="s">
        <v>29</v>
      </c>
      <c r="M624" s="49" t="s">
        <v>681</v>
      </c>
    </row>
    <row r="625" spans="1:13" x14ac:dyDescent="0.35">
      <c r="A625" s="122">
        <v>45847</v>
      </c>
      <c r="B625" s="45">
        <v>57.34</v>
      </c>
      <c r="C625" s="45">
        <v>4.84</v>
      </c>
      <c r="D625" s="46">
        <v>22507009</v>
      </c>
      <c r="E625" s="45" t="s">
        <v>273</v>
      </c>
      <c r="F625" s="45">
        <v>1250</v>
      </c>
      <c r="G625" s="35">
        <v>0.72916666666666663</v>
      </c>
      <c r="H625" s="35">
        <v>0.79166666666666663</v>
      </c>
      <c r="I625" s="36">
        <v>90</v>
      </c>
      <c r="J625" s="67" t="s">
        <v>35</v>
      </c>
      <c r="K625" s="67" t="s">
        <v>26</v>
      </c>
      <c r="L625" s="67" t="s">
        <v>742</v>
      </c>
      <c r="M625" s="49" t="s">
        <v>744</v>
      </c>
    </row>
    <row r="626" spans="1:13" x14ac:dyDescent="0.35">
      <c r="A626" s="123">
        <v>45849</v>
      </c>
      <c r="B626" s="45">
        <v>57.35</v>
      </c>
      <c r="C626" s="45">
        <v>5.4</v>
      </c>
      <c r="D626" s="39">
        <v>22507010</v>
      </c>
      <c r="E626" s="39" t="s">
        <v>72</v>
      </c>
      <c r="F626" s="39">
        <v>1270</v>
      </c>
      <c r="G626" s="35">
        <v>7.6388888888888895E-2</v>
      </c>
      <c r="H626" s="35">
        <v>9.7222222222222224E-2</v>
      </c>
      <c r="I626" s="36">
        <v>30</v>
      </c>
      <c r="J626" s="67" t="s">
        <v>51</v>
      </c>
      <c r="K626" s="104" t="s">
        <v>445</v>
      </c>
      <c r="L626" s="67" t="s">
        <v>53</v>
      </c>
      <c r="M626" s="47" t="s">
        <v>54</v>
      </c>
    </row>
    <row r="627" spans="1:13" x14ac:dyDescent="0.35">
      <c r="A627" s="123">
        <v>45849</v>
      </c>
      <c r="B627" s="39">
        <v>57.15</v>
      </c>
      <c r="C627" s="39">
        <v>4.9800000000000004</v>
      </c>
      <c r="D627" s="39">
        <v>22507010</v>
      </c>
      <c r="E627" s="39" t="s">
        <v>72</v>
      </c>
      <c r="F627" s="39">
        <v>1270</v>
      </c>
      <c r="G627" s="35">
        <v>9.7222222222222224E-2</v>
      </c>
      <c r="H627" s="35">
        <v>0.1076388888888889</v>
      </c>
      <c r="I627" s="36">
        <v>15</v>
      </c>
      <c r="J627" s="67" t="s">
        <v>52</v>
      </c>
      <c r="K627" s="104" t="s">
        <v>445</v>
      </c>
      <c r="L627" s="67" t="s">
        <v>59</v>
      </c>
      <c r="M627" s="47" t="s">
        <v>432</v>
      </c>
    </row>
    <row r="628" spans="1:13" x14ac:dyDescent="0.35">
      <c r="A628" s="123">
        <v>45849</v>
      </c>
      <c r="B628" s="39">
        <v>57.15</v>
      </c>
      <c r="C628" s="39">
        <v>4.9800000000000004</v>
      </c>
      <c r="D628" s="39">
        <v>22507010</v>
      </c>
      <c r="E628" s="39" t="s">
        <v>72</v>
      </c>
      <c r="F628" s="39">
        <v>1270</v>
      </c>
      <c r="G628" s="35">
        <v>0.1076388888888889</v>
      </c>
      <c r="H628" s="35">
        <v>0.23749999999999999</v>
      </c>
      <c r="I628" s="36">
        <v>187</v>
      </c>
      <c r="J628" s="67" t="s">
        <v>446</v>
      </c>
      <c r="K628" s="67" t="s">
        <v>19</v>
      </c>
      <c r="L628" s="67" t="s">
        <v>354</v>
      </c>
      <c r="M628" s="47" t="s">
        <v>745</v>
      </c>
    </row>
    <row r="629" spans="1:13" x14ac:dyDescent="0.35">
      <c r="A629" s="123">
        <v>45849</v>
      </c>
      <c r="B629" s="39">
        <v>57.15</v>
      </c>
      <c r="C629" s="39">
        <v>4.9800000000000004</v>
      </c>
      <c r="D629" s="39">
        <v>22507011</v>
      </c>
      <c r="E629" s="39" t="s">
        <v>47</v>
      </c>
      <c r="F629" s="39">
        <v>1230</v>
      </c>
      <c r="G629" s="35">
        <v>0.23958333333333334</v>
      </c>
      <c r="H629" s="35">
        <v>0.32291666666666669</v>
      </c>
      <c r="I629" s="36">
        <v>120</v>
      </c>
      <c r="J629" s="67" t="s">
        <v>25</v>
      </c>
      <c r="K629" s="67" t="s">
        <v>445</v>
      </c>
      <c r="L629" s="67" t="s">
        <v>456</v>
      </c>
      <c r="M629" s="60" t="s">
        <v>84</v>
      </c>
    </row>
    <row r="630" spans="1:13" x14ac:dyDescent="0.35">
      <c r="A630" s="123">
        <v>45849</v>
      </c>
      <c r="B630" s="39">
        <v>57.15</v>
      </c>
      <c r="C630" s="39">
        <v>4.9800000000000004</v>
      </c>
      <c r="D630" s="39">
        <v>22507011</v>
      </c>
      <c r="E630" s="39" t="s">
        <v>47</v>
      </c>
      <c r="F630" s="39">
        <v>1230</v>
      </c>
      <c r="G630" s="35">
        <v>0.32291666666666669</v>
      </c>
      <c r="H630" s="35">
        <v>0.37152777777777779</v>
      </c>
      <c r="I630" s="36">
        <v>70</v>
      </c>
      <c r="J630" s="67" t="s">
        <v>446</v>
      </c>
      <c r="K630" s="67" t="s">
        <v>445</v>
      </c>
      <c r="L630" s="67" t="s">
        <v>650</v>
      </c>
      <c r="M630" s="47" t="s">
        <v>293</v>
      </c>
    </row>
    <row r="631" spans="1:13" x14ac:dyDescent="0.35">
      <c r="A631" s="123">
        <v>45849</v>
      </c>
      <c r="B631" s="39">
        <v>57.15</v>
      </c>
      <c r="C631" s="39">
        <v>4.9800000000000004</v>
      </c>
      <c r="D631" s="39">
        <v>22507012</v>
      </c>
      <c r="E631" s="39" t="s">
        <v>31</v>
      </c>
      <c r="F631" s="39">
        <v>1260</v>
      </c>
      <c r="G631" s="35">
        <v>0.54236111111111107</v>
      </c>
      <c r="H631" s="35">
        <v>0.60486111111111107</v>
      </c>
      <c r="I631" s="36">
        <v>90</v>
      </c>
      <c r="J631" s="67" t="s">
        <v>35</v>
      </c>
      <c r="K631" s="67" t="s">
        <v>26</v>
      </c>
      <c r="L631" s="49" t="s">
        <v>450</v>
      </c>
      <c r="M631" s="139" t="s">
        <v>450</v>
      </c>
    </row>
    <row r="632" spans="1:13" x14ac:dyDescent="0.35">
      <c r="A632" s="123">
        <v>45849</v>
      </c>
      <c r="B632" s="39">
        <v>57.15</v>
      </c>
      <c r="C632" s="39">
        <v>4.9800000000000004</v>
      </c>
      <c r="D632" s="39">
        <v>22507012</v>
      </c>
      <c r="E632" s="39" t="s">
        <v>31</v>
      </c>
      <c r="F632" s="39">
        <v>1260</v>
      </c>
      <c r="G632" s="35">
        <v>0.60486111111111107</v>
      </c>
      <c r="H632" s="35">
        <v>0.61944444444444446</v>
      </c>
      <c r="I632" s="36">
        <v>21</v>
      </c>
      <c r="J632" s="67" t="s">
        <v>446</v>
      </c>
      <c r="K632" s="67" t="s">
        <v>19</v>
      </c>
      <c r="L632" s="67" t="s">
        <v>74</v>
      </c>
      <c r="M632" s="47" t="s">
        <v>746</v>
      </c>
    </row>
    <row r="633" spans="1:13" x14ac:dyDescent="0.35">
      <c r="A633" s="123">
        <v>45850</v>
      </c>
      <c r="B633" s="39">
        <v>57.06</v>
      </c>
      <c r="C633" s="39">
        <v>5</v>
      </c>
      <c r="D633" s="39">
        <v>22507013</v>
      </c>
      <c r="E633" s="39" t="s">
        <v>452</v>
      </c>
      <c r="F633" s="39">
        <v>1260</v>
      </c>
      <c r="G633" s="35">
        <v>0.16597222222222222</v>
      </c>
      <c r="H633" s="35">
        <v>0.24930555555555556</v>
      </c>
      <c r="I633" s="36">
        <v>120</v>
      </c>
      <c r="J633" s="67" t="s">
        <v>25</v>
      </c>
      <c r="K633" s="67" t="s">
        <v>445</v>
      </c>
      <c r="L633" s="67" t="s">
        <v>456</v>
      </c>
      <c r="M633" s="60" t="s">
        <v>654</v>
      </c>
    </row>
    <row r="634" spans="1:13" x14ac:dyDescent="0.35">
      <c r="A634" s="123">
        <v>45850</v>
      </c>
      <c r="B634" s="39">
        <v>57.06</v>
      </c>
      <c r="C634" s="39">
        <v>5</v>
      </c>
      <c r="D634" s="39">
        <v>22507013</v>
      </c>
      <c r="E634" s="39" t="s">
        <v>452</v>
      </c>
      <c r="F634" s="39">
        <v>1260</v>
      </c>
      <c r="G634" s="35">
        <v>0.24930555555555556</v>
      </c>
      <c r="H634" s="35">
        <v>0.32430555555555557</v>
      </c>
      <c r="I634" s="36">
        <v>108</v>
      </c>
      <c r="J634" s="67" t="s">
        <v>446</v>
      </c>
      <c r="K634" s="67" t="s">
        <v>445</v>
      </c>
      <c r="L634" s="67" t="s">
        <v>650</v>
      </c>
      <c r="M634" s="47" t="s">
        <v>293</v>
      </c>
    </row>
    <row r="635" spans="1:13" x14ac:dyDescent="0.35">
      <c r="A635" s="123">
        <v>45850</v>
      </c>
      <c r="B635" s="39">
        <v>57.06</v>
      </c>
      <c r="C635" s="39">
        <v>5</v>
      </c>
      <c r="D635" s="103">
        <v>22507014</v>
      </c>
      <c r="E635" s="45" t="s">
        <v>126</v>
      </c>
      <c r="F635" s="45">
        <v>1230</v>
      </c>
      <c r="G635" s="35">
        <v>0.4152777777777778</v>
      </c>
      <c r="H635" s="35">
        <v>0.48402777777777778</v>
      </c>
      <c r="I635" s="36">
        <v>99</v>
      </c>
      <c r="J635" s="67" t="s">
        <v>35</v>
      </c>
      <c r="K635" s="67" t="s">
        <v>26</v>
      </c>
      <c r="L635" s="49" t="s">
        <v>450</v>
      </c>
      <c r="M635" s="139" t="s">
        <v>450</v>
      </c>
    </row>
    <row r="636" spans="1:13" x14ac:dyDescent="0.35">
      <c r="A636" s="123">
        <v>45851</v>
      </c>
      <c r="B636" s="39">
        <v>57.09</v>
      </c>
      <c r="C636" s="39">
        <v>5.09</v>
      </c>
      <c r="D636" s="39">
        <v>22507015</v>
      </c>
      <c r="E636" s="39" t="s">
        <v>170</v>
      </c>
      <c r="F636" s="39">
        <v>1230</v>
      </c>
      <c r="G636" s="35">
        <v>0.95486111111111116</v>
      </c>
      <c r="H636" s="35">
        <v>1.7361111111111112E-2</v>
      </c>
      <c r="I636" s="36">
        <v>90</v>
      </c>
      <c r="J636" s="67" t="s">
        <v>35</v>
      </c>
      <c r="K636" s="67" t="s">
        <v>26</v>
      </c>
      <c r="L636" s="49" t="s">
        <v>450</v>
      </c>
      <c r="M636" s="139" t="s">
        <v>450</v>
      </c>
    </row>
    <row r="637" spans="1:13" x14ac:dyDescent="0.35">
      <c r="A637" s="123">
        <v>45851</v>
      </c>
      <c r="B637" s="39">
        <v>57.09</v>
      </c>
      <c r="C637" s="39">
        <v>5.09</v>
      </c>
      <c r="D637" s="39">
        <v>22507015</v>
      </c>
      <c r="E637" s="39" t="s">
        <v>170</v>
      </c>
      <c r="F637" s="39">
        <v>1230</v>
      </c>
      <c r="G637" s="35">
        <v>1.7361111111111112E-2</v>
      </c>
      <c r="H637" s="35">
        <v>3.8194444444444448E-2</v>
      </c>
      <c r="I637" s="36">
        <v>30</v>
      </c>
      <c r="J637" s="67" t="s">
        <v>446</v>
      </c>
      <c r="K637" s="67" t="s">
        <v>19</v>
      </c>
      <c r="L637" s="67" t="s">
        <v>149</v>
      </c>
      <c r="M637" s="47" t="s">
        <v>749</v>
      </c>
    </row>
    <row r="638" spans="1:13" x14ac:dyDescent="0.35">
      <c r="A638" s="123">
        <v>45851</v>
      </c>
      <c r="B638" s="39">
        <v>57.09</v>
      </c>
      <c r="C638" s="39">
        <v>5.09</v>
      </c>
      <c r="D638" s="45">
        <v>22507016</v>
      </c>
      <c r="E638" s="45" t="s">
        <v>87</v>
      </c>
      <c r="F638" s="45">
        <v>1230</v>
      </c>
      <c r="G638" s="35">
        <v>0.52152777777777781</v>
      </c>
      <c r="H638" s="35">
        <v>0.58333333333333337</v>
      </c>
      <c r="I638" s="36">
        <v>89</v>
      </c>
      <c r="J638" s="67" t="s">
        <v>25</v>
      </c>
      <c r="K638" s="67" t="s">
        <v>445</v>
      </c>
      <c r="L638" s="67" t="s">
        <v>456</v>
      </c>
      <c r="M638" s="60" t="s">
        <v>654</v>
      </c>
    </row>
    <row r="639" spans="1:13" x14ac:dyDescent="0.35">
      <c r="A639" s="122">
        <v>45852</v>
      </c>
      <c r="B639" s="45">
        <v>57.04</v>
      </c>
      <c r="C639" s="45">
        <v>4.79</v>
      </c>
      <c r="D639" s="103">
        <v>22507017</v>
      </c>
      <c r="E639" s="45" t="s">
        <v>170</v>
      </c>
      <c r="F639" s="45">
        <v>1230</v>
      </c>
      <c r="G639" s="35">
        <v>7.9861111111111105E-2</v>
      </c>
      <c r="H639" s="35">
        <v>0.40972222222222221</v>
      </c>
      <c r="I639" s="36">
        <v>475</v>
      </c>
      <c r="J639" s="67" t="s">
        <v>463</v>
      </c>
      <c r="K639" s="67" t="s">
        <v>283</v>
      </c>
      <c r="L639" s="67" t="s">
        <v>283</v>
      </c>
      <c r="M639" s="139" t="s">
        <v>750</v>
      </c>
    </row>
    <row r="640" spans="1:13" x14ac:dyDescent="0.35">
      <c r="A640" s="123">
        <v>45853</v>
      </c>
      <c r="B640" s="39">
        <v>57.05</v>
      </c>
      <c r="C640" s="39">
        <v>5.31</v>
      </c>
      <c r="D640" s="39">
        <v>22507018</v>
      </c>
      <c r="E640" s="39" t="s">
        <v>72</v>
      </c>
      <c r="F640" s="39">
        <v>1240</v>
      </c>
      <c r="G640" s="35">
        <v>0.69444444444444442</v>
      </c>
      <c r="H640" s="35">
        <v>0.71527777777777779</v>
      </c>
      <c r="I640" s="36">
        <v>30</v>
      </c>
      <c r="J640" s="67" t="s">
        <v>51</v>
      </c>
      <c r="K640" s="104" t="s">
        <v>445</v>
      </c>
      <c r="L640" s="67" t="s">
        <v>53</v>
      </c>
      <c r="M640" s="47" t="s">
        <v>54</v>
      </c>
    </row>
    <row r="641" spans="1:13" x14ac:dyDescent="0.35">
      <c r="A641" s="123">
        <v>45853</v>
      </c>
      <c r="B641" s="39">
        <v>57.05</v>
      </c>
      <c r="C641" s="39">
        <v>5.31</v>
      </c>
      <c r="D641" s="39">
        <v>22507018</v>
      </c>
      <c r="E641" s="39" t="s">
        <v>72</v>
      </c>
      <c r="F641" s="39">
        <v>1240</v>
      </c>
      <c r="G641" s="35">
        <v>0.71527777777777779</v>
      </c>
      <c r="H641" s="35">
        <v>0.73611111111111116</v>
      </c>
      <c r="I641" s="36">
        <v>30</v>
      </c>
      <c r="J641" s="67" t="s">
        <v>52</v>
      </c>
      <c r="K641" s="67" t="s">
        <v>445</v>
      </c>
      <c r="L641" s="67" t="s">
        <v>178</v>
      </c>
      <c r="M641" s="47" t="s">
        <v>179</v>
      </c>
    </row>
    <row r="642" spans="1:13" x14ac:dyDescent="0.35">
      <c r="A642" s="123">
        <v>45853</v>
      </c>
      <c r="B642" s="39">
        <v>57.05</v>
      </c>
      <c r="C642" s="39">
        <v>5.31</v>
      </c>
      <c r="D642" s="39">
        <v>22507018</v>
      </c>
      <c r="E642" s="39" t="s">
        <v>72</v>
      </c>
      <c r="F642" s="39">
        <v>1240</v>
      </c>
      <c r="G642" s="35">
        <v>0.73611111111111116</v>
      </c>
      <c r="H642" s="35">
        <v>0.74652777777777779</v>
      </c>
      <c r="I642" s="36">
        <v>15</v>
      </c>
      <c r="J642" s="67" t="s">
        <v>446</v>
      </c>
      <c r="K642" s="67" t="s">
        <v>41</v>
      </c>
      <c r="L642" s="67" t="s">
        <v>512</v>
      </c>
      <c r="M642" s="47" t="s">
        <v>751</v>
      </c>
    </row>
    <row r="643" spans="1:13" x14ac:dyDescent="0.35">
      <c r="A643" s="122">
        <v>45854</v>
      </c>
      <c r="B643" s="45">
        <v>57.05</v>
      </c>
      <c r="C643" s="45">
        <v>4.8099999999999996</v>
      </c>
      <c r="D643" s="45">
        <v>22507019</v>
      </c>
      <c r="E643" s="45" t="s">
        <v>24</v>
      </c>
      <c r="F643" s="45">
        <v>1250</v>
      </c>
      <c r="G643" s="35">
        <v>0.96527777777777779</v>
      </c>
      <c r="H643" s="35">
        <v>2.7777777777777776E-2</v>
      </c>
      <c r="I643" s="36">
        <v>90</v>
      </c>
      <c r="J643" s="67" t="s">
        <v>35</v>
      </c>
      <c r="K643" s="67" t="s">
        <v>19</v>
      </c>
      <c r="L643" s="67" t="s">
        <v>535</v>
      </c>
      <c r="M643" s="49" t="s">
        <v>755</v>
      </c>
    </row>
    <row r="644" spans="1:13" x14ac:dyDescent="0.35">
      <c r="A644" s="122">
        <v>45855</v>
      </c>
      <c r="B644" s="45">
        <v>57.05</v>
      </c>
      <c r="C644" s="45">
        <v>4.7699999999999996</v>
      </c>
      <c r="D644" s="45">
        <v>22507020</v>
      </c>
      <c r="E644" s="45" t="s">
        <v>13</v>
      </c>
      <c r="F644" s="45">
        <v>1250</v>
      </c>
      <c r="G644" s="35">
        <v>1.3888888888888888E-2</v>
      </c>
      <c r="H644" s="35">
        <v>7.0833333333333331E-2</v>
      </c>
      <c r="I644" s="36">
        <v>82</v>
      </c>
      <c r="J644" s="67" t="s">
        <v>35</v>
      </c>
      <c r="K644" s="67" t="s">
        <v>26</v>
      </c>
      <c r="L644" s="67" t="s">
        <v>362</v>
      </c>
      <c r="M644" s="49" t="s">
        <v>758</v>
      </c>
    </row>
    <row r="645" spans="1:13" x14ac:dyDescent="0.35">
      <c r="A645" s="122">
        <v>45856</v>
      </c>
      <c r="B645" s="45">
        <v>57.88</v>
      </c>
      <c r="C645" s="45">
        <v>5.08</v>
      </c>
      <c r="D645" s="46">
        <v>22507021</v>
      </c>
      <c r="E645" s="45" t="s">
        <v>98</v>
      </c>
      <c r="F645" s="45">
        <v>1250</v>
      </c>
      <c r="G645" s="35">
        <v>4.1666666666666664E-2</v>
      </c>
      <c r="H645" s="35">
        <v>0.25763888888888886</v>
      </c>
      <c r="I645" s="36">
        <v>311</v>
      </c>
      <c r="J645" s="67" t="s">
        <v>463</v>
      </c>
      <c r="K645" s="67" t="s">
        <v>26</v>
      </c>
      <c r="L645" s="67" t="s">
        <v>67</v>
      </c>
      <c r="M645" s="47" t="s">
        <v>760</v>
      </c>
    </row>
    <row r="646" spans="1:13" x14ac:dyDescent="0.35">
      <c r="A646" s="123">
        <v>45857</v>
      </c>
      <c r="B646" s="39">
        <v>57.02</v>
      </c>
      <c r="C646" s="39">
        <v>5.0999999999999996</v>
      </c>
      <c r="D646" s="39">
        <v>22507022</v>
      </c>
      <c r="E646" s="39" t="s">
        <v>72</v>
      </c>
      <c r="F646" s="39">
        <v>1250</v>
      </c>
      <c r="G646" s="35">
        <v>0.53125</v>
      </c>
      <c r="H646" s="35">
        <v>0.55208333333333337</v>
      </c>
      <c r="I646" s="36">
        <v>30</v>
      </c>
      <c r="J646" s="67" t="s">
        <v>51</v>
      </c>
      <c r="K646" s="104" t="s">
        <v>445</v>
      </c>
      <c r="L646" s="67" t="s">
        <v>53</v>
      </c>
      <c r="M646" s="47" t="s">
        <v>54</v>
      </c>
    </row>
    <row r="647" spans="1:13" x14ac:dyDescent="0.35">
      <c r="A647" s="123">
        <v>45857</v>
      </c>
      <c r="B647" s="39">
        <v>57.02</v>
      </c>
      <c r="C647" s="39">
        <v>5.0999999999999996</v>
      </c>
      <c r="D647" s="39">
        <v>22507022</v>
      </c>
      <c r="E647" s="39" t="s">
        <v>72</v>
      </c>
      <c r="F647" s="39">
        <v>1250</v>
      </c>
      <c r="G647" s="35">
        <v>0.55208333333333337</v>
      </c>
      <c r="H647" s="35">
        <v>0.55763888888888891</v>
      </c>
      <c r="I647" s="36">
        <v>8</v>
      </c>
      <c r="J647" s="67" t="s">
        <v>446</v>
      </c>
      <c r="K647" s="67" t="s">
        <v>26</v>
      </c>
      <c r="L647" s="67" t="s">
        <v>32</v>
      </c>
      <c r="M647" s="47" t="s">
        <v>61</v>
      </c>
    </row>
    <row r="648" spans="1:13" x14ac:dyDescent="0.35">
      <c r="A648" s="123">
        <v>45858</v>
      </c>
      <c r="B648" s="39">
        <v>57.34</v>
      </c>
      <c r="C648" s="39">
        <v>4.87</v>
      </c>
      <c r="D648" s="39">
        <v>22507023</v>
      </c>
      <c r="E648" s="39" t="s">
        <v>66</v>
      </c>
      <c r="F648" s="39">
        <v>1335</v>
      </c>
      <c r="G648" s="35">
        <v>0.53472222222222221</v>
      </c>
      <c r="H648" s="35">
        <v>0.55555555555555558</v>
      </c>
      <c r="I648" s="36">
        <v>30</v>
      </c>
      <c r="J648" s="67" t="s">
        <v>51</v>
      </c>
      <c r="K648" s="104" t="s">
        <v>445</v>
      </c>
      <c r="L648" s="67" t="s">
        <v>53</v>
      </c>
      <c r="M648" s="47" t="s">
        <v>54</v>
      </c>
    </row>
    <row r="649" spans="1:13" x14ac:dyDescent="0.35">
      <c r="A649" s="123">
        <v>45858</v>
      </c>
      <c r="B649" s="39">
        <v>57.34</v>
      </c>
      <c r="C649" s="39">
        <v>4.87</v>
      </c>
      <c r="D649" s="39">
        <v>22507023</v>
      </c>
      <c r="E649" s="39" t="s">
        <v>66</v>
      </c>
      <c r="F649" s="39">
        <v>1335</v>
      </c>
      <c r="G649" s="35">
        <v>0.55555555555555558</v>
      </c>
      <c r="H649" s="35">
        <v>0.59722222222222221</v>
      </c>
      <c r="I649" s="36">
        <v>60</v>
      </c>
      <c r="J649" s="67" t="s">
        <v>51</v>
      </c>
      <c r="K649" s="67" t="s">
        <v>445</v>
      </c>
      <c r="L649" s="67" t="s">
        <v>73</v>
      </c>
      <c r="M649" s="47" t="s">
        <v>411</v>
      </c>
    </row>
    <row r="650" spans="1:13" x14ac:dyDescent="0.35">
      <c r="A650" s="123">
        <v>45858</v>
      </c>
      <c r="B650" s="39">
        <v>57.34</v>
      </c>
      <c r="C650" s="39">
        <v>4.87</v>
      </c>
      <c r="D650" s="39">
        <v>22507023</v>
      </c>
      <c r="E650" s="39" t="s">
        <v>66</v>
      </c>
      <c r="F650" s="39">
        <v>1335</v>
      </c>
      <c r="G650" s="35">
        <v>0.59722222222222221</v>
      </c>
      <c r="H650" s="35">
        <v>0.6020833333333333</v>
      </c>
      <c r="I650" s="36">
        <v>7</v>
      </c>
      <c r="J650" s="67" t="s">
        <v>446</v>
      </c>
      <c r="K650" s="67" t="s">
        <v>41</v>
      </c>
      <c r="L650" s="47" t="s">
        <v>765</v>
      </c>
      <c r="M650" s="47" t="s">
        <v>765</v>
      </c>
    </row>
    <row r="651" spans="1:13" x14ac:dyDescent="0.35">
      <c r="A651" s="123">
        <v>45860</v>
      </c>
      <c r="B651" s="45">
        <v>58</v>
      </c>
      <c r="C651" s="45">
        <v>5.22</v>
      </c>
      <c r="D651" s="39">
        <v>22507024</v>
      </c>
      <c r="E651" s="39" t="s">
        <v>104</v>
      </c>
      <c r="F651" s="39">
        <v>1250</v>
      </c>
      <c r="G651" s="35">
        <v>0.93333333333333335</v>
      </c>
      <c r="H651" s="35">
        <v>0.95416666666666672</v>
      </c>
      <c r="I651" s="36">
        <v>30</v>
      </c>
      <c r="J651" s="67" t="s">
        <v>51</v>
      </c>
      <c r="K651" s="104" t="s">
        <v>445</v>
      </c>
      <c r="L651" s="67" t="s">
        <v>53</v>
      </c>
      <c r="M651" s="47" t="s">
        <v>54</v>
      </c>
    </row>
    <row r="652" spans="1:13" x14ac:dyDescent="0.35">
      <c r="A652" s="123">
        <v>45860</v>
      </c>
      <c r="B652" s="39">
        <v>57.02</v>
      </c>
      <c r="C652" s="39">
        <v>5.33</v>
      </c>
      <c r="D652" s="39">
        <v>22507024</v>
      </c>
      <c r="E652" s="39" t="s">
        <v>104</v>
      </c>
      <c r="F652" s="39">
        <v>1250</v>
      </c>
      <c r="G652" s="35">
        <v>0.95416666666666672</v>
      </c>
      <c r="H652" s="35">
        <v>0.96458333333333335</v>
      </c>
      <c r="I652" s="36">
        <v>15</v>
      </c>
      <c r="J652" s="67" t="s">
        <v>446</v>
      </c>
      <c r="K652" s="67" t="s">
        <v>19</v>
      </c>
      <c r="L652" s="47" t="s">
        <v>382</v>
      </c>
      <c r="M652" s="47" t="s">
        <v>382</v>
      </c>
    </row>
    <row r="653" spans="1:13" x14ac:dyDescent="0.35">
      <c r="A653" s="123">
        <v>45860</v>
      </c>
      <c r="B653" s="39">
        <v>57.02</v>
      </c>
      <c r="C653" s="39">
        <v>5.33</v>
      </c>
      <c r="D653" s="39">
        <v>22507024</v>
      </c>
      <c r="E653" s="39" t="s">
        <v>104</v>
      </c>
      <c r="F653" s="39">
        <v>1250</v>
      </c>
      <c r="G653" s="35">
        <v>0.96458333333333335</v>
      </c>
      <c r="H653" s="35">
        <v>0.96805555555555556</v>
      </c>
      <c r="I653" s="36">
        <v>5</v>
      </c>
      <c r="J653" s="67" t="s">
        <v>446</v>
      </c>
      <c r="K653" s="67" t="s">
        <v>41</v>
      </c>
      <c r="L653" s="47" t="s">
        <v>766</v>
      </c>
      <c r="M653" s="47" t="s">
        <v>766</v>
      </c>
    </row>
    <row r="654" spans="1:13" x14ac:dyDescent="0.35">
      <c r="A654" s="123">
        <v>45861</v>
      </c>
      <c r="B654" s="39">
        <v>57.9</v>
      </c>
      <c r="C654" s="39">
        <v>4.93</v>
      </c>
      <c r="D654" s="39">
        <v>22507025</v>
      </c>
      <c r="E654" s="39" t="s">
        <v>66</v>
      </c>
      <c r="F654" s="39">
        <v>1230</v>
      </c>
      <c r="G654" s="35">
        <v>0.9458333333333333</v>
      </c>
      <c r="H654" s="35">
        <v>2.9166666666666667E-2</v>
      </c>
      <c r="I654" s="36">
        <v>120</v>
      </c>
      <c r="J654" s="67" t="s">
        <v>25</v>
      </c>
      <c r="K654" s="67" t="s">
        <v>445</v>
      </c>
      <c r="L654" s="67" t="s">
        <v>456</v>
      </c>
      <c r="M654" s="60" t="s">
        <v>654</v>
      </c>
    </row>
    <row r="655" spans="1:13" x14ac:dyDescent="0.35">
      <c r="A655" s="123">
        <v>45861</v>
      </c>
      <c r="B655" s="39">
        <v>57.9</v>
      </c>
      <c r="C655" s="39">
        <v>4.93</v>
      </c>
      <c r="D655" s="39">
        <v>22507025</v>
      </c>
      <c r="E655" s="39" t="s">
        <v>66</v>
      </c>
      <c r="F655" s="39">
        <v>1230</v>
      </c>
      <c r="G655" s="35">
        <v>2.9166666666666667E-2</v>
      </c>
      <c r="H655" s="35">
        <v>8.7499999999999994E-2</v>
      </c>
      <c r="I655" s="36">
        <v>84</v>
      </c>
      <c r="J655" s="67" t="s">
        <v>446</v>
      </c>
      <c r="K655" s="104" t="s">
        <v>41</v>
      </c>
      <c r="L655" s="67" t="s">
        <v>577</v>
      </c>
      <c r="M655" s="47" t="s">
        <v>767</v>
      </c>
    </row>
    <row r="656" spans="1:13" x14ac:dyDescent="0.35">
      <c r="A656" s="123">
        <v>45861</v>
      </c>
      <c r="B656" s="39">
        <v>57.9</v>
      </c>
      <c r="C656" s="39">
        <v>4.93</v>
      </c>
      <c r="D656" s="46">
        <v>22507026</v>
      </c>
      <c r="E656" s="45" t="s">
        <v>173</v>
      </c>
      <c r="F656" s="45">
        <v>1250</v>
      </c>
      <c r="G656" s="35">
        <v>0.1388888888888889</v>
      </c>
      <c r="H656" s="35">
        <v>0.19236111111111112</v>
      </c>
      <c r="I656" s="36">
        <v>77</v>
      </c>
      <c r="J656" s="67" t="s">
        <v>35</v>
      </c>
      <c r="K656" s="104" t="s">
        <v>445</v>
      </c>
      <c r="L656" s="49" t="s">
        <v>768</v>
      </c>
      <c r="M656" s="49" t="s">
        <v>768</v>
      </c>
    </row>
    <row r="657" spans="1:13" x14ac:dyDescent="0.35">
      <c r="A657" s="123">
        <v>45861</v>
      </c>
      <c r="B657" s="39">
        <v>57.9</v>
      </c>
      <c r="C657" s="39">
        <v>4.93</v>
      </c>
      <c r="D657" s="39">
        <v>22507027</v>
      </c>
      <c r="E657" s="39" t="s">
        <v>47</v>
      </c>
      <c r="F657" s="39">
        <v>1250</v>
      </c>
      <c r="G657" s="35">
        <v>0.19305555555555556</v>
      </c>
      <c r="H657" s="35">
        <v>0.25555555555555554</v>
      </c>
      <c r="I657" s="36">
        <v>90</v>
      </c>
      <c r="J657" s="67" t="s">
        <v>35</v>
      </c>
      <c r="K657" s="104" t="s">
        <v>445</v>
      </c>
      <c r="L657" s="49" t="s">
        <v>769</v>
      </c>
      <c r="M657" s="49" t="s">
        <v>769</v>
      </c>
    </row>
    <row r="658" spans="1:13" x14ac:dyDescent="0.35">
      <c r="A658" s="123">
        <v>45861</v>
      </c>
      <c r="B658" s="39">
        <v>57.9</v>
      </c>
      <c r="C658" s="39">
        <v>4.93</v>
      </c>
      <c r="D658" s="39">
        <v>22507027</v>
      </c>
      <c r="E658" s="39" t="s">
        <v>47</v>
      </c>
      <c r="F658" s="39">
        <v>1250</v>
      </c>
      <c r="G658" s="35">
        <v>0.25555555555555554</v>
      </c>
      <c r="H658" s="35">
        <v>0.26250000000000001</v>
      </c>
      <c r="I658" s="36">
        <v>10</v>
      </c>
      <c r="J658" s="67" t="s">
        <v>446</v>
      </c>
      <c r="K658" s="104" t="s">
        <v>445</v>
      </c>
      <c r="L658" s="47" t="s">
        <v>770</v>
      </c>
      <c r="M658" s="47" t="s">
        <v>770</v>
      </c>
    </row>
    <row r="659" spans="1:13" x14ac:dyDescent="0.35">
      <c r="A659" s="123">
        <v>45861</v>
      </c>
      <c r="B659" s="39">
        <v>57.9</v>
      </c>
      <c r="C659" s="39">
        <v>4.93</v>
      </c>
      <c r="D659" s="39">
        <v>22507027</v>
      </c>
      <c r="E659" s="39" t="s">
        <v>47</v>
      </c>
      <c r="F659" s="39">
        <v>1250</v>
      </c>
      <c r="G659" s="35">
        <v>0.26250000000000001</v>
      </c>
      <c r="H659" s="35">
        <v>0.27291666666666664</v>
      </c>
      <c r="I659" s="36">
        <v>15</v>
      </c>
      <c r="J659" s="67" t="s">
        <v>446</v>
      </c>
      <c r="K659" s="67" t="s">
        <v>26</v>
      </c>
      <c r="L659" s="67" t="s">
        <v>32</v>
      </c>
      <c r="M659" s="47" t="s">
        <v>32</v>
      </c>
    </row>
    <row r="660" spans="1:13" x14ac:dyDescent="0.35">
      <c r="A660" s="123">
        <v>45861</v>
      </c>
      <c r="B660" s="39">
        <v>57.9</v>
      </c>
      <c r="C660" s="39">
        <v>4.93</v>
      </c>
      <c r="D660" s="46">
        <v>22507028</v>
      </c>
      <c r="E660" s="45" t="s">
        <v>111</v>
      </c>
      <c r="F660" s="45">
        <v>1250</v>
      </c>
      <c r="G660" s="35">
        <v>0.87986111111111109</v>
      </c>
      <c r="H660" s="35">
        <v>0.91666666666666663</v>
      </c>
      <c r="I660" s="36">
        <v>53</v>
      </c>
      <c r="J660" s="67" t="s">
        <v>25</v>
      </c>
      <c r="K660" s="104" t="s">
        <v>445</v>
      </c>
      <c r="L660" s="67" t="s">
        <v>456</v>
      </c>
      <c r="M660" s="60" t="s">
        <v>654</v>
      </c>
    </row>
    <row r="661" spans="1:13" x14ac:dyDescent="0.35">
      <c r="A661" s="123">
        <v>45862</v>
      </c>
      <c r="B661" s="39">
        <v>58</v>
      </c>
      <c r="C661" s="39">
        <v>5.01</v>
      </c>
      <c r="D661" s="46">
        <v>22507028</v>
      </c>
      <c r="E661" s="45" t="s">
        <v>111</v>
      </c>
      <c r="F661" s="45">
        <v>1250</v>
      </c>
      <c r="G661" s="35">
        <v>0.91666666666666663</v>
      </c>
      <c r="H661" s="35">
        <v>0.94444444444444442</v>
      </c>
      <c r="I661" s="36">
        <v>40</v>
      </c>
      <c r="J661" s="67" t="s">
        <v>446</v>
      </c>
      <c r="K661" s="104" t="s">
        <v>445</v>
      </c>
      <c r="L661" s="67" t="s">
        <v>456</v>
      </c>
      <c r="M661" s="129" t="s">
        <v>209</v>
      </c>
    </row>
    <row r="662" spans="1:13" x14ac:dyDescent="0.35">
      <c r="A662" s="123">
        <v>45862</v>
      </c>
      <c r="B662" s="39">
        <v>58</v>
      </c>
      <c r="C662" s="39">
        <v>5.01</v>
      </c>
      <c r="D662" s="39">
        <v>22507029</v>
      </c>
      <c r="E662" s="39" t="s">
        <v>38</v>
      </c>
      <c r="F662" s="39">
        <v>1250</v>
      </c>
      <c r="G662" s="35">
        <v>0.22916666666666666</v>
      </c>
      <c r="H662" s="35">
        <v>0.27777777777777779</v>
      </c>
      <c r="I662" s="36">
        <v>70</v>
      </c>
      <c r="J662" s="67" t="s">
        <v>463</v>
      </c>
      <c r="K662" s="67" t="s">
        <v>26</v>
      </c>
      <c r="L662" s="67" t="s">
        <v>477</v>
      </c>
      <c r="M662" s="47" t="s">
        <v>771</v>
      </c>
    </row>
    <row r="663" spans="1:13" x14ac:dyDescent="0.35">
      <c r="A663" s="123">
        <v>45862</v>
      </c>
      <c r="B663" s="39">
        <v>58</v>
      </c>
      <c r="C663" s="39">
        <v>5.01</v>
      </c>
      <c r="D663" s="39">
        <v>22507029</v>
      </c>
      <c r="E663" s="39" t="s">
        <v>38</v>
      </c>
      <c r="F663" s="39">
        <v>1250</v>
      </c>
      <c r="G663" s="35">
        <v>0.27777777777777779</v>
      </c>
      <c r="H663" s="35">
        <v>0.29652777777777778</v>
      </c>
      <c r="I663" s="36">
        <v>27</v>
      </c>
      <c r="J663" s="67" t="s">
        <v>446</v>
      </c>
      <c r="K663" s="67" t="s">
        <v>26</v>
      </c>
      <c r="L663" s="67" t="s">
        <v>32</v>
      </c>
      <c r="M663" s="47" t="s">
        <v>772</v>
      </c>
    </row>
    <row r="664" spans="1:13" x14ac:dyDescent="0.35">
      <c r="A664" s="123">
        <v>45863</v>
      </c>
      <c r="B664" s="39">
        <v>58</v>
      </c>
      <c r="C664" s="39">
        <v>5.21</v>
      </c>
      <c r="D664" s="39">
        <v>22507030</v>
      </c>
      <c r="E664" s="39" t="s">
        <v>13</v>
      </c>
      <c r="F664" s="39">
        <v>1260</v>
      </c>
      <c r="G664" s="35">
        <v>0.2361111111111111</v>
      </c>
      <c r="H664" s="35">
        <v>0.31944444444444442</v>
      </c>
      <c r="I664" s="36">
        <v>120</v>
      </c>
      <c r="J664" s="67" t="s">
        <v>25</v>
      </c>
      <c r="K664" s="104" t="s">
        <v>445</v>
      </c>
      <c r="L664" s="67" t="s">
        <v>456</v>
      </c>
      <c r="M664" s="60" t="s">
        <v>654</v>
      </c>
    </row>
    <row r="665" spans="1:13" x14ac:dyDescent="0.35">
      <c r="A665" s="123">
        <v>45863</v>
      </c>
      <c r="B665" s="39">
        <v>58</v>
      </c>
      <c r="C665" s="39">
        <v>5.21</v>
      </c>
      <c r="D665" s="39">
        <v>22507030</v>
      </c>
      <c r="E665" s="39" t="s">
        <v>13</v>
      </c>
      <c r="F665" s="39">
        <v>1260</v>
      </c>
      <c r="G665" s="35">
        <v>0.31944444444444442</v>
      </c>
      <c r="H665" s="35">
        <v>0.3215277777777778</v>
      </c>
      <c r="I665" s="36">
        <v>3</v>
      </c>
      <c r="J665" s="67" t="s">
        <v>446</v>
      </c>
      <c r="K665" s="67" t="s">
        <v>26</v>
      </c>
      <c r="L665" s="67" t="s">
        <v>32</v>
      </c>
      <c r="M665" s="47" t="s">
        <v>61</v>
      </c>
    </row>
    <row r="666" spans="1:13" x14ac:dyDescent="0.35">
      <c r="A666" s="123">
        <v>45863</v>
      </c>
      <c r="B666" s="39">
        <v>58</v>
      </c>
      <c r="C666" s="39">
        <v>5.21</v>
      </c>
      <c r="D666" s="45">
        <v>22507031</v>
      </c>
      <c r="E666" s="45" t="s">
        <v>44</v>
      </c>
      <c r="F666" s="45">
        <v>1230</v>
      </c>
      <c r="G666" s="35">
        <v>0.44930555555555557</v>
      </c>
      <c r="H666" s="35">
        <v>0.50694444444444442</v>
      </c>
      <c r="I666" s="36">
        <v>83</v>
      </c>
      <c r="J666" s="67" t="s">
        <v>463</v>
      </c>
      <c r="K666" s="67" t="s">
        <v>26</v>
      </c>
      <c r="L666" s="67" t="s">
        <v>32</v>
      </c>
      <c r="M666" s="47" t="s">
        <v>773</v>
      </c>
    </row>
    <row r="667" spans="1:13" x14ac:dyDescent="0.35">
      <c r="A667" s="123">
        <v>45864</v>
      </c>
      <c r="B667" s="39">
        <v>58</v>
      </c>
      <c r="C667" s="39">
        <v>5</v>
      </c>
      <c r="D667" s="39">
        <v>22507032</v>
      </c>
      <c r="E667" s="39" t="s">
        <v>72</v>
      </c>
      <c r="F667" s="39" t="s">
        <v>58</v>
      </c>
      <c r="G667" s="35">
        <v>0.8041666666666667</v>
      </c>
      <c r="H667" s="35">
        <v>0.82499999999999996</v>
      </c>
      <c r="I667" s="36">
        <v>30</v>
      </c>
      <c r="J667" s="67" t="s">
        <v>51</v>
      </c>
      <c r="K667" s="104" t="s">
        <v>445</v>
      </c>
      <c r="L667" s="67" t="s">
        <v>53</v>
      </c>
      <c r="M667" s="47" t="s">
        <v>54</v>
      </c>
    </row>
    <row r="668" spans="1:13" x14ac:dyDescent="0.35">
      <c r="A668" s="123">
        <v>45864</v>
      </c>
      <c r="B668" s="39">
        <v>58</v>
      </c>
      <c r="C668" s="39">
        <v>5</v>
      </c>
      <c r="D668" s="39">
        <v>22507032</v>
      </c>
      <c r="E668" s="39" t="s">
        <v>72</v>
      </c>
      <c r="F668" s="39" t="s">
        <v>58</v>
      </c>
      <c r="G668" s="35">
        <v>0.82499999999999996</v>
      </c>
      <c r="H668" s="35">
        <v>0.84305555555555556</v>
      </c>
      <c r="I668" s="36">
        <v>26</v>
      </c>
      <c r="J668" s="67" t="s">
        <v>446</v>
      </c>
      <c r="K668" s="67" t="s">
        <v>19</v>
      </c>
      <c r="L668" s="67" t="s">
        <v>143</v>
      </c>
      <c r="M668" s="49" t="s">
        <v>776</v>
      </c>
    </row>
    <row r="669" spans="1:13" x14ac:dyDescent="0.35">
      <c r="A669" s="123">
        <v>45864</v>
      </c>
      <c r="B669" s="39">
        <v>58</v>
      </c>
      <c r="C669" s="39">
        <v>5</v>
      </c>
      <c r="D669" s="39">
        <v>22507033</v>
      </c>
      <c r="E669" s="39" t="s">
        <v>47</v>
      </c>
      <c r="F669" s="39">
        <v>1250</v>
      </c>
      <c r="G669" s="130">
        <v>0.84375</v>
      </c>
      <c r="H669" s="130">
        <v>0.91666666666666663</v>
      </c>
      <c r="I669" s="131">
        <v>105</v>
      </c>
      <c r="J669" s="67" t="s">
        <v>35</v>
      </c>
      <c r="K669" s="67" t="s">
        <v>19</v>
      </c>
      <c r="L669" s="67" t="s">
        <v>143</v>
      </c>
      <c r="M669" s="49" t="s">
        <v>777</v>
      </c>
    </row>
    <row r="670" spans="1:13" x14ac:dyDescent="0.35">
      <c r="A670" s="123">
        <v>45866</v>
      </c>
      <c r="B670" s="39">
        <v>58</v>
      </c>
      <c r="C670" s="39">
        <v>4.92</v>
      </c>
      <c r="D670" s="46">
        <v>22507034</v>
      </c>
      <c r="E670" s="45" t="s">
        <v>80</v>
      </c>
      <c r="F670" s="45">
        <v>1250</v>
      </c>
      <c r="G670" s="35">
        <v>0.15277777777777779</v>
      </c>
      <c r="H670" s="35">
        <v>0.1736111111111111</v>
      </c>
      <c r="I670" s="36">
        <v>30</v>
      </c>
      <c r="J670" s="67" t="s">
        <v>51</v>
      </c>
      <c r="K670" s="104" t="s">
        <v>445</v>
      </c>
      <c r="L670" s="67" t="s">
        <v>53</v>
      </c>
      <c r="M670" s="48" t="s">
        <v>54</v>
      </c>
    </row>
    <row r="671" spans="1:13" x14ac:dyDescent="0.35">
      <c r="A671" s="123">
        <v>45866</v>
      </c>
      <c r="B671" s="39">
        <v>58</v>
      </c>
      <c r="C671" s="39">
        <v>4.92</v>
      </c>
      <c r="D671" s="46">
        <v>22507035</v>
      </c>
      <c r="E671" s="45" t="s">
        <v>173</v>
      </c>
      <c r="F671" s="45">
        <v>1250</v>
      </c>
      <c r="G671" s="35">
        <v>0.22569444444444445</v>
      </c>
      <c r="H671" s="35">
        <v>0.28472222222222221</v>
      </c>
      <c r="I671" s="36">
        <v>85</v>
      </c>
      <c r="J671" s="67" t="s">
        <v>35</v>
      </c>
      <c r="K671" s="67" t="s">
        <v>26</v>
      </c>
      <c r="L671" s="67" t="s">
        <v>742</v>
      </c>
      <c r="M671" s="141" t="s">
        <v>779</v>
      </c>
    </row>
    <row r="672" spans="1:13" x14ac:dyDescent="0.35">
      <c r="A672" s="123">
        <v>45866</v>
      </c>
      <c r="B672" s="39">
        <v>58</v>
      </c>
      <c r="C672" s="39">
        <v>4.92</v>
      </c>
      <c r="D672" s="46">
        <v>22507036</v>
      </c>
      <c r="E672" s="45" t="s">
        <v>285</v>
      </c>
      <c r="F672" s="45">
        <v>1250</v>
      </c>
      <c r="G672" s="35">
        <v>0.47222222222222221</v>
      </c>
      <c r="H672" s="35">
        <v>0.51736111111111116</v>
      </c>
      <c r="I672" s="36">
        <v>65</v>
      </c>
      <c r="J672" s="67" t="s">
        <v>35</v>
      </c>
      <c r="K672" s="67" t="s">
        <v>62</v>
      </c>
      <c r="L672" s="67" t="s">
        <v>190</v>
      </c>
      <c r="M672" s="63" t="s">
        <v>778</v>
      </c>
    </row>
    <row r="673" spans="1:29" x14ac:dyDescent="0.35">
      <c r="A673" s="123">
        <v>45867</v>
      </c>
      <c r="B673" s="39">
        <v>58</v>
      </c>
      <c r="C673" s="39">
        <v>5.14</v>
      </c>
      <c r="D673" s="39">
        <v>22507037</v>
      </c>
      <c r="E673" s="39" t="s">
        <v>69</v>
      </c>
      <c r="F673" s="39">
        <v>1250</v>
      </c>
      <c r="G673" s="35">
        <v>0.54513888888888884</v>
      </c>
      <c r="H673" s="35">
        <v>0.62847222222222221</v>
      </c>
      <c r="I673" s="36">
        <v>120</v>
      </c>
      <c r="J673" s="67" t="s">
        <v>25</v>
      </c>
      <c r="K673" s="67" t="s">
        <v>445</v>
      </c>
      <c r="L673" s="67" t="s">
        <v>456</v>
      </c>
      <c r="M673" s="60" t="s">
        <v>654</v>
      </c>
    </row>
    <row r="674" spans="1:29" x14ac:dyDescent="0.35">
      <c r="A674" s="123">
        <v>45867</v>
      </c>
      <c r="B674" s="39">
        <v>58</v>
      </c>
      <c r="C674" s="39">
        <v>5.14</v>
      </c>
      <c r="D674" s="39">
        <v>22507037</v>
      </c>
      <c r="E674" s="39" t="s">
        <v>69</v>
      </c>
      <c r="F674" s="39">
        <v>1250</v>
      </c>
      <c r="G674" s="35">
        <v>0.62847222222222221</v>
      </c>
      <c r="H674" s="35">
        <v>0.63888888888888884</v>
      </c>
      <c r="I674" s="36">
        <v>15</v>
      </c>
      <c r="J674" s="67" t="s">
        <v>446</v>
      </c>
      <c r="K674" s="67" t="s">
        <v>41</v>
      </c>
      <c r="L674" s="67" t="s">
        <v>454</v>
      </c>
      <c r="M674" s="47" t="s">
        <v>781</v>
      </c>
    </row>
    <row r="675" spans="1:29" x14ac:dyDescent="0.35">
      <c r="A675" s="123">
        <v>45867</v>
      </c>
      <c r="B675" s="39">
        <v>58</v>
      </c>
      <c r="C675" s="39">
        <v>5.14</v>
      </c>
      <c r="D675" s="39">
        <v>22507037</v>
      </c>
      <c r="E675" s="39" t="s">
        <v>69</v>
      </c>
      <c r="F675" s="39">
        <v>1250</v>
      </c>
      <c r="G675" s="35">
        <v>0.63888888888888884</v>
      </c>
      <c r="H675" s="35">
        <v>0.64236111111111116</v>
      </c>
      <c r="I675" s="36">
        <v>5</v>
      </c>
      <c r="J675" s="67" t="s">
        <v>446</v>
      </c>
      <c r="K675" s="67" t="s">
        <v>19</v>
      </c>
      <c r="L675" s="67" t="s">
        <v>143</v>
      </c>
      <c r="M675" s="47" t="s">
        <v>782</v>
      </c>
    </row>
    <row r="676" spans="1:29" x14ac:dyDescent="0.35">
      <c r="A676" s="126">
        <v>45869</v>
      </c>
      <c r="B676" s="45">
        <v>58</v>
      </c>
      <c r="C676" s="45">
        <v>5.26</v>
      </c>
      <c r="D676" s="45">
        <v>22507038</v>
      </c>
      <c r="E676" s="45" t="s">
        <v>119</v>
      </c>
      <c r="F676" s="45">
        <v>1250</v>
      </c>
      <c r="G676" s="35">
        <v>0.94097222222222221</v>
      </c>
      <c r="H676" s="35">
        <v>0.96180555555555558</v>
      </c>
      <c r="I676" s="36">
        <v>30</v>
      </c>
      <c r="J676" s="67" t="s">
        <v>51</v>
      </c>
      <c r="K676" s="104" t="s">
        <v>445</v>
      </c>
      <c r="L676" s="67" t="s">
        <v>53</v>
      </c>
      <c r="M676" s="47" t="s">
        <v>54</v>
      </c>
    </row>
    <row r="677" spans="1:29" x14ac:dyDescent="0.35">
      <c r="A677" s="123">
        <v>45870</v>
      </c>
      <c r="B677" s="39">
        <v>57.42</v>
      </c>
      <c r="C677" s="39">
        <v>4.84</v>
      </c>
      <c r="D677" s="39">
        <v>22507039</v>
      </c>
      <c r="E677" s="39" t="s">
        <v>104</v>
      </c>
      <c r="F677" s="39">
        <v>1250</v>
      </c>
      <c r="G677" s="35">
        <v>0.26111111111111113</v>
      </c>
      <c r="H677" s="35">
        <v>0.28194444444444444</v>
      </c>
      <c r="I677" s="36">
        <v>30</v>
      </c>
      <c r="J677" s="86" t="s">
        <v>51</v>
      </c>
      <c r="K677" s="86" t="s">
        <v>445</v>
      </c>
      <c r="L677" s="86" t="s">
        <v>53</v>
      </c>
      <c r="M677" s="47" t="s">
        <v>54</v>
      </c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</row>
    <row r="678" spans="1:29" x14ac:dyDescent="0.35">
      <c r="A678" s="123">
        <v>45870</v>
      </c>
      <c r="B678" s="39">
        <v>57.42</v>
      </c>
      <c r="C678" s="39">
        <v>4.84</v>
      </c>
      <c r="D678" s="39">
        <v>22507039</v>
      </c>
      <c r="E678" s="39" t="s">
        <v>104</v>
      </c>
      <c r="F678" s="39">
        <v>1250</v>
      </c>
      <c r="G678" s="35">
        <v>0.28194444444444444</v>
      </c>
      <c r="H678" s="35">
        <v>0.29236111111111113</v>
      </c>
      <c r="I678" s="36">
        <v>15</v>
      </c>
      <c r="J678" s="86" t="s">
        <v>52</v>
      </c>
      <c r="K678" s="116" t="s">
        <v>445</v>
      </c>
      <c r="L678" s="86" t="s">
        <v>59</v>
      </c>
      <c r="M678" s="47" t="s">
        <v>432</v>
      </c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</row>
    <row r="679" spans="1:29" x14ac:dyDescent="0.35">
      <c r="A679" s="123">
        <v>45870</v>
      </c>
      <c r="B679" s="39">
        <v>57.42</v>
      </c>
      <c r="C679" s="39">
        <v>4.84</v>
      </c>
      <c r="D679" s="39">
        <v>22507039</v>
      </c>
      <c r="E679" s="39" t="s">
        <v>104</v>
      </c>
      <c r="F679" s="39">
        <v>1250</v>
      </c>
      <c r="G679" s="35">
        <v>0.29236111111111113</v>
      </c>
      <c r="H679" s="35">
        <v>0.2986111111111111</v>
      </c>
      <c r="I679" s="36">
        <v>9</v>
      </c>
      <c r="J679" s="86" t="s">
        <v>446</v>
      </c>
      <c r="K679" s="86" t="s">
        <v>19</v>
      </c>
      <c r="L679" s="86" t="s">
        <v>203</v>
      </c>
      <c r="M679" s="47" t="s">
        <v>786</v>
      </c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</row>
    <row r="680" spans="1:29" x14ac:dyDescent="0.35">
      <c r="A680" s="122">
        <v>45871</v>
      </c>
      <c r="B680" s="45">
        <v>57.21</v>
      </c>
      <c r="C680" s="45">
        <v>4.74</v>
      </c>
      <c r="D680" s="46">
        <v>22508001</v>
      </c>
      <c r="E680" s="45" t="s">
        <v>119</v>
      </c>
      <c r="F680" s="45">
        <v>1250</v>
      </c>
      <c r="G680" s="35">
        <v>0.61805555555555558</v>
      </c>
      <c r="H680" s="35">
        <v>0.63888888888888884</v>
      </c>
      <c r="I680" s="36">
        <v>30</v>
      </c>
      <c r="J680" s="86" t="s">
        <v>51</v>
      </c>
      <c r="K680" s="86" t="s">
        <v>445</v>
      </c>
      <c r="L680" s="86" t="s">
        <v>53</v>
      </c>
      <c r="M680" s="47" t="s">
        <v>54</v>
      </c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</row>
    <row r="681" spans="1:29" x14ac:dyDescent="0.35">
      <c r="A681" s="122">
        <v>45872</v>
      </c>
      <c r="B681" s="45">
        <v>58</v>
      </c>
      <c r="C681" s="45">
        <v>4.84</v>
      </c>
      <c r="D681" s="46">
        <v>22508002</v>
      </c>
      <c r="E681" s="45" t="s">
        <v>103</v>
      </c>
      <c r="F681" s="45">
        <v>1250</v>
      </c>
      <c r="G681" s="35">
        <v>0.52916666666666667</v>
      </c>
      <c r="H681" s="35">
        <v>0.59027777777777779</v>
      </c>
      <c r="I681" s="36">
        <v>88</v>
      </c>
      <c r="J681" s="86" t="s">
        <v>35</v>
      </c>
      <c r="K681" s="86" t="s">
        <v>62</v>
      </c>
      <c r="L681" s="86" t="s">
        <v>190</v>
      </c>
      <c r="M681" s="47" t="s">
        <v>102</v>
      </c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</row>
    <row r="682" spans="1:29" x14ac:dyDescent="0.35">
      <c r="A682" s="122">
        <v>45873</v>
      </c>
      <c r="B682" s="45">
        <v>58</v>
      </c>
      <c r="C682" s="45">
        <v>4.57</v>
      </c>
      <c r="D682" s="39">
        <v>22508003</v>
      </c>
      <c r="E682" s="39" t="s">
        <v>111</v>
      </c>
      <c r="F682" s="39">
        <v>1250</v>
      </c>
      <c r="G682" s="35">
        <v>0.27777777777777779</v>
      </c>
      <c r="H682" s="35">
        <v>0.91666666666666663</v>
      </c>
      <c r="I682" s="36">
        <v>920</v>
      </c>
      <c r="J682" s="67" t="s">
        <v>448</v>
      </c>
      <c r="K682" s="67" t="s">
        <v>15</v>
      </c>
      <c r="L682" s="67" t="s">
        <v>448</v>
      </c>
      <c r="M682" s="49" t="s">
        <v>17</v>
      </c>
    </row>
    <row r="683" spans="1:29" x14ac:dyDescent="0.35">
      <c r="A683" s="123">
        <v>45874</v>
      </c>
      <c r="B683" s="39">
        <v>58</v>
      </c>
      <c r="C683" s="39">
        <v>4.84</v>
      </c>
      <c r="D683" s="39">
        <v>22508003</v>
      </c>
      <c r="E683" s="39" t="s">
        <v>111</v>
      </c>
      <c r="F683" s="39">
        <v>1250</v>
      </c>
      <c r="G683" s="35">
        <v>0.91666666666666663</v>
      </c>
      <c r="H683" s="35">
        <v>0.94791666666666663</v>
      </c>
      <c r="I683" s="36">
        <v>45</v>
      </c>
      <c r="J683" s="67" t="s">
        <v>446</v>
      </c>
      <c r="K683" s="67" t="s">
        <v>15</v>
      </c>
      <c r="L683" s="67" t="s">
        <v>448</v>
      </c>
      <c r="M683" s="49" t="s">
        <v>17</v>
      </c>
    </row>
    <row r="684" spans="1:29" x14ac:dyDescent="0.35">
      <c r="A684" s="123">
        <v>45874</v>
      </c>
      <c r="B684" s="39">
        <v>58</v>
      </c>
      <c r="C684" s="39">
        <v>4.84</v>
      </c>
      <c r="D684" s="45">
        <v>22508004</v>
      </c>
      <c r="E684" s="45" t="s">
        <v>47</v>
      </c>
      <c r="F684" s="45">
        <v>1270</v>
      </c>
      <c r="G684" s="35">
        <v>0.95138888888888884</v>
      </c>
      <c r="H684" s="35">
        <v>2.7777777777777776E-2</v>
      </c>
      <c r="I684" s="36">
        <v>110</v>
      </c>
      <c r="J684" s="67" t="s">
        <v>35</v>
      </c>
      <c r="K684" s="67" t="s">
        <v>19</v>
      </c>
      <c r="L684" s="67" t="s">
        <v>132</v>
      </c>
      <c r="M684" s="49" t="s">
        <v>790</v>
      </c>
    </row>
    <row r="685" spans="1:29" x14ac:dyDescent="0.35">
      <c r="A685" s="123">
        <v>45874</v>
      </c>
      <c r="B685" s="39">
        <v>58</v>
      </c>
      <c r="C685" s="39">
        <v>4.84</v>
      </c>
      <c r="D685" s="45">
        <v>22508005</v>
      </c>
      <c r="E685" s="45" t="s">
        <v>76</v>
      </c>
      <c r="F685" s="45">
        <v>1270</v>
      </c>
      <c r="G685" s="35">
        <v>0.61111111111111116</v>
      </c>
      <c r="H685" s="35">
        <v>0.83680555555555558</v>
      </c>
      <c r="I685" s="36">
        <v>325</v>
      </c>
      <c r="J685" s="67" t="s">
        <v>35</v>
      </c>
      <c r="K685" s="67" t="s">
        <v>161</v>
      </c>
      <c r="L685" s="67" t="s">
        <v>168</v>
      </c>
      <c r="M685" s="49" t="s">
        <v>791</v>
      </c>
    </row>
    <row r="686" spans="1:29" x14ac:dyDescent="0.35">
      <c r="A686" s="122">
        <v>45875</v>
      </c>
      <c r="B686" s="45">
        <v>58</v>
      </c>
      <c r="C686" s="45">
        <v>5.16</v>
      </c>
      <c r="D686" s="45">
        <v>22508006</v>
      </c>
      <c r="E686" s="45" t="s">
        <v>38</v>
      </c>
      <c r="F686" s="45">
        <v>1230</v>
      </c>
      <c r="G686" s="35">
        <v>7.6388888888888895E-2</v>
      </c>
      <c r="H686" s="35">
        <v>0.15416666666666667</v>
      </c>
      <c r="I686" s="36">
        <v>112</v>
      </c>
      <c r="J686" s="86" t="s">
        <v>25</v>
      </c>
      <c r="K686" s="86" t="s">
        <v>445</v>
      </c>
      <c r="L686" s="86" t="s">
        <v>492</v>
      </c>
      <c r="M686" s="60" t="s">
        <v>647</v>
      </c>
    </row>
    <row r="687" spans="1:29" x14ac:dyDescent="0.35">
      <c r="A687" s="123">
        <v>45876</v>
      </c>
      <c r="B687" s="39">
        <v>57.89</v>
      </c>
      <c r="C687" s="39">
        <v>4.99</v>
      </c>
      <c r="D687" s="39">
        <v>22508007</v>
      </c>
      <c r="E687" s="39" t="s">
        <v>141</v>
      </c>
      <c r="F687" s="39">
        <v>1230</v>
      </c>
      <c r="G687" s="35">
        <v>0.4375</v>
      </c>
      <c r="H687" s="35">
        <v>0.45833333333333331</v>
      </c>
      <c r="I687" s="36">
        <v>30</v>
      </c>
      <c r="J687" s="86" t="s">
        <v>51</v>
      </c>
      <c r="K687" s="86" t="s">
        <v>445</v>
      </c>
      <c r="L687" s="86" t="s">
        <v>53</v>
      </c>
      <c r="M687" s="47" t="s">
        <v>54</v>
      </c>
    </row>
    <row r="688" spans="1:29" x14ac:dyDescent="0.35">
      <c r="A688" s="123">
        <v>45876</v>
      </c>
      <c r="B688" s="39">
        <v>57.89</v>
      </c>
      <c r="C688" s="39">
        <v>4.99</v>
      </c>
      <c r="D688" s="39">
        <v>22508007</v>
      </c>
      <c r="E688" s="39" t="s">
        <v>141</v>
      </c>
      <c r="F688" s="39">
        <v>1230</v>
      </c>
      <c r="G688" s="35">
        <v>0.45833333333333331</v>
      </c>
      <c r="H688" s="35">
        <v>0.4826388888888889</v>
      </c>
      <c r="I688" s="36">
        <v>35</v>
      </c>
      <c r="J688" s="86" t="s">
        <v>446</v>
      </c>
      <c r="K688" s="86" t="s">
        <v>41</v>
      </c>
      <c r="L688" s="86" t="s">
        <v>512</v>
      </c>
      <c r="M688" s="47" t="s">
        <v>766</v>
      </c>
    </row>
    <row r="689" spans="1:13" x14ac:dyDescent="0.35">
      <c r="A689" s="144">
        <v>45877</v>
      </c>
      <c r="B689" s="10">
        <v>57.794871794871796</v>
      </c>
      <c r="C689" s="10">
        <v>5.2156716417910456</v>
      </c>
      <c r="D689" s="8">
        <v>22508008</v>
      </c>
      <c r="E689" s="8" t="s">
        <v>76</v>
      </c>
      <c r="F689" s="8">
        <v>1250</v>
      </c>
      <c r="G689" s="4">
        <v>0.13194444444444445</v>
      </c>
      <c r="H689" s="4">
        <v>0.2013888888888889</v>
      </c>
      <c r="I689" s="5">
        <f t="shared" ref="I689:I704" si="66">IF(H689=0,"",(IF(H689&gt;G689,(H689-G689)*1440,(H689-G689+1)*1440)))</f>
        <v>100</v>
      </c>
      <c r="J689" s="12" t="s">
        <v>25</v>
      </c>
      <c r="K689" s="143" t="s">
        <v>445</v>
      </c>
      <c r="L689" s="12" t="s">
        <v>456</v>
      </c>
      <c r="M689" s="7" t="s">
        <v>323</v>
      </c>
    </row>
    <row r="690" spans="1:13" x14ac:dyDescent="0.35">
      <c r="A690" s="17">
        <v>45878</v>
      </c>
      <c r="B690" s="146">
        <v>58</v>
      </c>
      <c r="C690" s="18">
        <v>5.4195435092724678</v>
      </c>
      <c r="D690" s="15">
        <v>22508009</v>
      </c>
      <c r="E690" s="15" t="s">
        <v>141</v>
      </c>
      <c r="F690" s="15">
        <v>1230</v>
      </c>
      <c r="G690" s="4">
        <v>0.4909722222222222</v>
      </c>
      <c r="H690" s="4">
        <v>0.51180555555555551</v>
      </c>
      <c r="I690" s="5">
        <f t="shared" si="66"/>
        <v>29.999999999999972</v>
      </c>
      <c r="J690" s="12" t="s">
        <v>51</v>
      </c>
      <c r="K690" s="12" t="s">
        <v>445</v>
      </c>
      <c r="L690" s="12" t="s">
        <v>53</v>
      </c>
      <c r="M690" s="6" t="s">
        <v>54</v>
      </c>
    </row>
    <row r="691" spans="1:13" x14ac:dyDescent="0.35">
      <c r="A691" s="17">
        <v>45878</v>
      </c>
      <c r="B691" s="146">
        <v>58</v>
      </c>
      <c r="C691" s="18">
        <v>5.4195435092724678</v>
      </c>
      <c r="D691" s="15">
        <v>22508009</v>
      </c>
      <c r="E691" s="15" t="s">
        <v>141</v>
      </c>
      <c r="F691" s="15">
        <v>1230</v>
      </c>
      <c r="G691" s="4">
        <v>0.51180555555555551</v>
      </c>
      <c r="H691" s="4">
        <v>0.51736111111111116</v>
      </c>
      <c r="I691" s="5">
        <f t="shared" si="66"/>
        <v>8.0000000000001315</v>
      </c>
      <c r="J691" s="12" t="s">
        <v>446</v>
      </c>
      <c r="K691" s="12" t="s">
        <v>445</v>
      </c>
      <c r="L691" s="12" t="s">
        <v>55</v>
      </c>
      <c r="M691" s="6" t="s">
        <v>239</v>
      </c>
    </row>
    <row r="692" spans="1:13" x14ac:dyDescent="0.35">
      <c r="A692" s="17">
        <v>45879</v>
      </c>
      <c r="B692" s="18">
        <v>57.771428571428572</v>
      </c>
      <c r="C692" s="18">
        <v>5.0491286307053942</v>
      </c>
      <c r="D692" s="15">
        <v>22508010</v>
      </c>
      <c r="E692" s="15" t="s">
        <v>202</v>
      </c>
      <c r="F692" s="15">
        <v>1250</v>
      </c>
      <c r="G692" s="4">
        <v>0.54166666666666663</v>
      </c>
      <c r="H692" s="4">
        <v>0.625</v>
      </c>
      <c r="I692" s="5">
        <f t="shared" si="66"/>
        <v>120.00000000000006</v>
      </c>
      <c r="J692" s="12" t="s">
        <v>25</v>
      </c>
      <c r="K692" s="143" t="s">
        <v>445</v>
      </c>
      <c r="L692" s="12" t="s">
        <v>456</v>
      </c>
      <c r="M692" s="7" t="s">
        <v>323</v>
      </c>
    </row>
    <row r="693" spans="1:13" x14ac:dyDescent="0.35">
      <c r="A693" s="17">
        <v>45879</v>
      </c>
      <c r="B693" s="18">
        <v>57.771428571428572</v>
      </c>
      <c r="C693" s="18">
        <v>5.0491286307053942</v>
      </c>
      <c r="D693" s="15">
        <v>22508010</v>
      </c>
      <c r="E693" s="15" t="s">
        <v>202</v>
      </c>
      <c r="F693" s="15">
        <v>1250</v>
      </c>
      <c r="G693" s="4">
        <v>0.625</v>
      </c>
      <c r="H693" s="4">
        <v>0.70486111111111116</v>
      </c>
      <c r="I693" s="5">
        <f t="shared" si="66"/>
        <v>115.00000000000007</v>
      </c>
      <c r="J693" s="12" t="s">
        <v>446</v>
      </c>
      <c r="K693" s="12" t="s">
        <v>445</v>
      </c>
      <c r="L693" s="12" t="s">
        <v>650</v>
      </c>
      <c r="M693" s="6" t="s">
        <v>801</v>
      </c>
    </row>
    <row r="694" spans="1:13" x14ac:dyDescent="0.35">
      <c r="A694" s="17">
        <v>45881</v>
      </c>
      <c r="B694" s="10">
        <v>57</v>
      </c>
      <c r="C694" s="10">
        <v>5.5486111111111107</v>
      </c>
      <c r="D694" s="15">
        <v>22508011</v>
      </c>
      <c r="E694" s="15" t="s">
        <v>104</v>
      </c>
      <c r="F694" s="15">
        <v>1350</v>
      </c>
      <c r="G694" s="4">
        <v>0.96180555555555558</v>
      </c>
      <c r="H694" s="4">
        <v>0.98263888888888884</v>
      </c>
      <c r="I694" s="5">
        <f t="shared" si="66"/>
        <v>29.999999999999893</v>
      </c>
      <c r="J694" s="12" t="s">
        <v>51</v>
      </c>
      <c r="K694" s="12" t="s">
        <v>445</v>
      </c>
      <c r="L694" s="12" t="s">
        <v>53</v>
      </c>
      <c r="M694" s="6" t="s">
        <v>54</v>
      </c>
    </row>
    <row r="695" spans="1:13" x14ac:dyDescent="0.35">
      <c r="A695" s="17">
        <v>45881</v>
      </c>
      <c r="B695" s="10">
        <v>57.024999999999999</v>
      </c>
      <c r="C695" s="10">
        <v>5.2612186379928323</v>
      </c>
      <c r="D695" s="15">
        <v>22508011</v>
      </c>
      <c r="E695" s="15" t="s">
        <v>104</v>
      </c>
      <c r="F695" s="15">
        <v>1350</v>
      </c>
      <c r="G695" s="4">
        <v>0.98263888888888884</v>
      </c>
      <c r="H695" s="4">
        <v>0.99305555555555558</v>
      </c>
      <c r="I695" s="5">
        <f t="shared" si="66"/>
        <v>15.000000000000107</v>
      </c>
      <c r="J695" s="12" t="s">
        <v>52</v>
      </c>
      <c r="K695" s="143" t="s">
        <v>445</v>
      </c>
      <c r="L695" s="12" t="s">
        <v>59</v>
      </c>
      <c r="M695" s="6" t="s">
        <v>432</v>
      </c>
    </row>
    <row r="696" spans="1:13" x14ac:dyDescent="0.35">
      <c r="A696" s="17">
        <v>45882</v>
      </c>
      <c r="B696" s="18">
        <v>57.25</v>
      </c>
      <c r="C696" s="18">
        <v>5.3487055016181229</v>
      </c>
      <c r="D696" s="14">
        <v>22508012</v>
      </c>
      <c r="E696" s="8" t="s">
        <v>80</v>
      </c>
      <c r="F696" s="8">
        <v>1260</v>
      </c>
      <c r="G696" s="4">
        <v>0.16666666666666666</v>
      </c>
      <c r="H696" s="4">
        <v>0.24652777777777779</v>
      </c>
      <c r="I696" s="5">
        <f t="shared" si="66"/>
        <v>115.00000000000003</v>
      </c>
      <c r="J696" s="12" t="s">
        <v>25</v>
      </c>
      <c r="K696" s="143" t="s">
        <v>445</v>
      </c>
      <c r="L696" s="12" t="s">
        <v>456</v>
      </c>
      <c r="M696" s="7" t="s">
        <v>323</v>
      </c>
    </row>
    <row r="697" spans="1:13" x14ac:dyDescent="0.35">
      <c r="A697" s="17">
        <v>45882</v>
      </c>
      <c r="B697" s="18">
        <v>57.25</v>
      </c>
      <c r="C697" s="18">
        <v>5.3487055016181229</v>
      </c>
      <c r="D697" s="14">
        <v>22508013</v>
      </c>
      <c r="E697" s="8" t="s">
        <v>18</v>
      </c>
      <c r="F697" s="8" t="s">
        <v>620</v>
      </c>
      <c r="G697" s="4">
        <v>0.66388888888888886</v>
      </c>
      <c r="H697" s="4">
        <v>0.72569444444444442</v>
      </c>
      <c r="I697" s="5">
        <f t="shared" si="66"/>
        <v>89</v>
      </c>
      <c r="J697" s="12" t="s">
        <v>35</v>
      </c>
      <c r="K697" s="12" t="s">
        <v>19</v>
      </c>
      <c r="L697" s="12" t="s">
        <v>319</v>
      </c>
      <c r="M697" s="9" t="s">
        <v>802</v>
      </c>
    </row>
    <row r="698" spans="1:13" x14ac:dyDescent="0.35">
      <c r="A698" s="144">
        <v>45883</v>
      </c>
      <c r="B698" s="10">
        <v>58</v>
      </c>
      <c r="C698" s="10">
        <v>5.1913303437967118</v>
      </c>
      <c r="D698" s="15">
        <v>22508014</v>
      </c>
      <c r="E698" s="15" t="s">
        <v>101</v>
      </c>
      <c r="F698" s="15" t="s">
        <v>58</v>
      </c>
      <c r="G698" s="4">
        <v>0.84583333333333333</v>
      </c>
      <c r="H698" s="4">
        <v>0.91666666666666663</v>
      </c>
      <c r="I698" s="5">
        <f t="shared" si="66"/>
        <v>101.99999999999996</v>
      </c>
      <c r="J698" s="12" t="s">
        <v>35</v>
      </c>
      <c r="K698" s="12" t="s">
        <v>161</v>
      </c>
      <c r="L698" s="12" t="s">
        <v>803</v>
      </c>
      <c r="M698" s="9" t="s">
        <v>804</v>
      </c>
    </row>
    <row r="699" spans="1:13" x14ac:dyDescent="0.35">
      <c r="A699" s="17">
        <v>45884</v>
      </c>
      <c r="B699" s="18">
        <v>57.806451612903224</v>
      </c>
      <c r="C699" s="18">
        <v>4.8748709122203104</v>
      </c>
      <c r="D699" s="15">
        <v>22508014</v>
      </c>
      <c r="E699" s="15" t="s">
        <v>101</v>
      </c>
      <c r="F699" s="15" t="s">
        <v>58</v>
      </c>
      <c r="G699" s="4">
        <v>0.91666666666666663</v>
      </c>
      <c r="H699" s="4">
        <v>6.9444444444444441E-3</v>
      </c>
      <c r="I699" s="5">
        <f t="shared" si="66"/>
        <v>130.00000000000003</v>
      </c>
      <c r="J699" s="12" t="s">
        <v>446</v>
      </c>
      <c r="K699" s="12" t="s">
        <v>161</v>
      </c>
      <c r="L699" s="12" t="s">
        <v>803</v>
      </c>
      <c r="M699" s="6" t="s">
        <v>805</v>
      </c>
    </row>
    <row r="700" spans="1:13" x14ac:dyDescent="0.35">
      <c r="A700" s="17">
        <v>45884</v>
      </c>
      <c r="B700" s="18">
        <v>57.806451612903224</v>
      </c>
      <c r="C700" s="18">
        <v>4.8748709122203104</v>
      </c>
      <c r="D700" s="15">
        <v>22508015</v>
      </c>
      <c r="E700" s="15" t="s">
        <v>18</v>
      </c>
      <c r="F700" s="15">
        <v>1250</v>
      </c>
      <c r="G700" s="4">
        <v>0.45833333333333331</v>
      </c>
      <c r="H700" s="4">
        <v>0.54166666666666663</v>
      </c>
      <c r="I700" s="5">
        <f t="shared" si="66"/>
        <v>119.99999999999997</v>
      </c>
      <c r="J700" s="12" t="s">
        <v>25</v>
      </c>
      <c r="K700" s="12" t="s">
        <v>445</v>
      </c>
      <c r="L700" s="12" t="s">
        <v>456</v>
      </c>
      <c r="M700" s="7" t="s">
        <v>323</v>
      </c>
    </row>
    <row r="701" spans="1:13" x14ac:dyDescent="0.35">
      <c r="A701" s="17">
        <v>45884</v>
      </c>
      <c r="B701" s="18">
        <v>57.806451612903224</v>
      </c>
      <c r="C701" s="18">
        <v>4.8748709122203104</v>
      </c>
      <c r="D701" s="15">
        <v>22508015</v>
      </c>
      <c r="E701" s="15" t="s">
        <v>18</v>
      </c>
      <c r="F701" s="15">
        <v>1250</v>
      </c>
      <c r="G701" s="4">
        <v>0.54166666666666663</v>
      </c>
      <c r="H701" s="4">
        <v>0.56111111111111112</v>
      </c>
      <c r="I701" s="5">
        <f t="shared" si="66"/>
        <v>28.00000000000006</v>
      </c>
      <c r="J701" s="12" t="s">
        <v>446</v>
      </c>
      <c r="K701" s="12" t="s">
        <v>445</v>
      </c>
      <c r="L701" s="12" t="s">
        <v>74</v>
      </c>
      <c r="M701" s="6" t="s">
        <v>75</v>
      </c>
    </row>
    <row r="702" spans="1:13" x14ac:dyDescent="0.35">
      <c r="A702" s="144">
        <v>45885</v>
      </c>
      <c r="B702" s="10">
        <v>58</v>
      </c>
      <c r="C702" s="10">
        <v>5.3251063829787242</v>
      </c>
      <c r="D702" s="8">
        <v>22508016</v>
      </c>
      <c r="E702" s="8" t="s">
        <v>119</v>
      </c>
      <c r="F702" s="8" t="s">
        <v>88</v>
      </c>
      <c r="G702" s="4">
        <v>0.85763888888888884</v>
      </c>
      <c r="H702" s="4">
        <v>0.87847222222222221</v>
      </c>
      <c r="I702" s="5">
        <f t="shared" si="66"/>
        <v>30.000000000000053</v>
      </c>
      <c r="J702" s="12" t="s">
        <v>51</v>
      </c>
      <c r="K702" s="12" t="s">
        <v>445</v>
      </c>
      <c r="L702" s="12" t="s">
        <v>53</v>
      </c>
      <c r="M702" s="6" t="s">
        <v>54</v>
      </c>
    </row>
    <row r="703" spans="1:13" x14ac:dyDescent="0.35">
      <c r="A703" s="17">
        <v>45887</v>
      </c>
      <c r="B703" s="10">
        <v>57.69047619047619</v>
      </c>
      <c r="C703" s="10">
        <v>5.263055555555554</v>
      </c>
      <c r="D703" s="15">
        <v>22508017</v>
      </c>
      <c r="E703" s="15" t="s">
        <v>72</v>
      </c>
      <c r="F703" s="15">
        <v>1250</v>
      </c>
      <c r="G703" s="4">
        <v>0.15972222222222221</v>
      </c>
      <c r="H703" s="4">
        <v>0.18055555555555555</v>
      </c>
      <c r="I703" s="5">
        <f t="shared" si="66"/>
        <v>30.000000000000014</v>
      </c>
      <c r="J703" s="12" t="s">
        <v>51</v>
      </c>
      <c r="K703" s="12" t="s">
        <v>445</v>
      </c>
      <c r="L703" s="12" t="s">
        <v>53</v>
      </c>
      <c r="M703" s="6" t="s">
        <v>54</v>
      </c>
    </row>
    <row r="704" spans="1:13" x14ac:dyDescent="0.35">
      <c r="A704" s="17">
        <v>45887</v>
      </c>
      <c r="B704" s="10">
        <v>58</v>
      </c>
      <c r="C704" s="10">
        <v>5.1259420289855093</v>
      </c>
      <c r="D704" s="15">
        <v>22508017</v>
      </c>
      <c r="E704" s="15" t="s">
        <v>72</v>
      </c>
      <c r="F704" s="15">
        <v>1250</v>
      </c>
      <c r="G704" s="4">
        <v>0.18055555555555555</v>
      </c>
      <c r="H704" s="4">
        <v>0.2013888888888889</v>
      </c>
      <c r="I704" s="5">
        <f t="shared" si="66"/>
        <v>30.000000000000014</v>
      </c>
      <c r="J704" s="12" t="s">
        <v>52</v>
      </c>
      <c r="K704" s="143" t="s">
        <v>445</v>
      </c>
      <c r="L704" s="12" t="s">
        <v>178</v>
      </c>
      <c r="M704" s="6" t="s">
        <v>179</v>
      </c>
    </row>
    <row r="705" spans="1:13" x14ac:dyDescent="0.35">
      <c r="A705" s="123">
        <v>45888</v>
      </c>
      <c r="B705" s="39">
        <v>57.74</v>
      </c>
      <c r="C705" s="39">
        <v>5.01</v>
      </c>
      <c r="D705" s="39">
        <v>22508018</v>
      </c>
      <c r="E705" s="39" t="s">
        <v>72</v>
      </c>
      <c r="F705" s="39">
        <v>1230</v>
      </c>
      <c r="G705" s="35">
        <v>0.54027777777777775</v>
      </c>
      <c r="H705" s="35">
        <v>0.56111111111111112</v>
      </c>
      <c r="I705" s="36">
        <v>30</v>
      </c>
      <c r="J705" s="86" t="s">
        <v>51</v>
      </c>
      <c r="K705" s="86" t="s">
        <v>445</v>
      </c>
      <c r="L705" s="86" t="s">
        <v>53</v>
      </c>
      <c r="M705" s="147" t="s">
        <v>54</v>
      </c>
    </row>
    <row r="706" spans="1:13" x14ac:dyDescent="0.35">
      <c r="A706" s="123">
        <v>45888</v>
      </c>
      <c r="B706" s="39">
        <v>57.74</v>
      </c>
      <c r="C706" s="39">
        <v>5.01</v>
      </c>
      <c r="D706" s="39">
        <v>22508018</v>
      </c>
      <c r="E706" s="39" t="s">
        <v>72</v>
      </c>
      <c r="F706" s="39">
        <v>1230</v>
      </c>
      <c r="G706" s="35">
        <v>0.56111111111111112</v>
      </c>
      <c r="H706" s="35">
        <v>0.56805555555555554</v>
      </c>
      <c r="I706" s="36">
        <v>10</v>
      </c>
      <c r="J706" s="86" t="s">
        <v>446</v>
      </c>
      <c r="K706" s="86" t="s">
        <v>41</v>
      </c>
      <c r="L706" s="86" t="s">
        <v>454</v>
      </c>
      <c r="M706" s="147" t="s">
        <v>808</v>
      </c>
    </row>
    <row r="707" spans="1:13" x14ac:dyDescent="0.35">
      <c r="A707" s="123">
        <v>45888</v>
      </c>
      <c r="B707" s="39">
        <v>57.74</v>
      </c>
      <c r="C707" s="39">
        <v>5.01</v>
      </c>
      <c r="D707" s="39">
        <v>22508018</v>
      </c>
      <c r="E707" s="39" t="s">
        <v>72</v>
      </c>
      <c r="F707" s="39">
        <v>1230</v>
      </c>
      <c r="G707" s="35">
        <v>0.56805555555555554</v>
      </c>
      <c r="H707" s="35">
        <v>0.57222222222222219</v>
      </c>
      <c r="I707" s="36">
        <v>6</v>
      </c>
      <c r="J707" s="86" t="s">
        <v>446</v>
      </c>
      <c r="K707" s="86" t="s">
        <v>19</v>
      </c>
      <c r="L707" s="147" t="s">
        <v>809</v>
      </c>
      <c r="M707" s="147" t="s">
        <v>809</v>
      </c>
    </row>
    <row r="708" spans="1:13" x14ac:dyDescent="0.35">
      <c r="A708" s="123">
        <v>45889</v>
      </c>
      <c r="B708" s="39">
        <v>57.66</v>
      </c>
      <c r="C708" s="39">
        <v>5.04</v>
      </c>
      <c r="D708" s="46">
        <v>22508019</v>
      </c>
      <c r="E708" s="45" t="s">
        <v>341</v>
      </c>
      <c r="F708" s="45">
        <v>1240</v>
      </c>
      <c r="G708" s="35">
        <v>0.98263888888888884</v>
      </c>
      <c r="H708" s="35">
        <v>5.1388888888888887E-2</v>
      </c>
      <c r="I708" s="36">
        <v>99</v>
      </c>
      <c r="J708" s="86" t="s">
        <v>35</v>
      </c>
      <c r="K708" s="86" t="s">
        <v>62</v>
      </c>
      <c r="L708" s="86" t="s">
        <v>810</v>
      </c>
      <c r="M708" s="49" t="s">
        <v>811</v>
      </c>
    </row>
    <row r="709" spans="1:13" x14ac:dyDescent="0.35">
      <c r="A709" s="123">
        <v>45889</v>
      </c>
      <c r="B709" s="39">
        <v>57.66</v>
      </c>
      <c r="C709" s="39">
        <v>5.04</v>
      </c>
      <c r="D709" s="46">
        <v>22508020</v>
      </c>
      <c r="E709" s="45" t="s">
        <v>114</v>
      </c>
      <c r="F709" s="45">
        <v>1230</v>
      </c>
      <c r="G709" s="35">
        <v>0.85833333333333328</v>
      </c>
      <c r="H709" s="35">
        <v>0.91666666666666663</v>
      </c>
      <c r="I709" s="36">
        <v>84</v>
      </c>
      <c r="J709" s="86" t="s">
        <v>463</v>
      </c>
      <c r="K709" s="86" t="s">
        <v>26</v>
      </c>
      <c r="L709" s="86" t="s">
        <v>331</v>
      </c>
      <c r="M709" s="47" t="s">
        <v>812</v>
      </c>
    </row>
    <row r="710" spans="1:13" x14ac:dyDescent="0.35">
      <c r="A710" s="144">
        <v>45890</v>
      </c>
      <c r="B710" s="10">
        <v>58</v>
      </c>
      <c r="C710" s="10">
        <v>5.3944211994421201</v>
      </c>
      <c r="D710" s="46">
        <v>22508020</v>
      </c>
      <c r="E710" s="45" t="s">
        <v>114</v>
      </c>
      <c r="F710" s="45">
        <v>1230</v>
      </c>
      <c r="G710" s="4">
        <v>0.91666666666666663</v>
      </c>
      <c r="H710" s="4">
        <v>0.92083333333333328</v>
      </c>
      <c r="I710" s="5">
        <f t="shared" ref="I710:I720" si="67">IF(H710=0,"",(IF(H710&gt;G710,(H710-G710)*1440,(H710-G710+1)*1440)))</f>
        <v>5.9999999999999787</v>
      </c>
      <c r="J710" s="12" t="s">
        <v>446</v>
      </c>
      <c r="K710" s="12" t="s">
        <v>26</v>
      </c>
      <c r="L710" s="12" t="s">
        <v>331</v>
      </c>
      <c r="M710" s="6" t="s">
        <v>814</v>
      </c>
    </row>
    <row r="711" spans="1:13" x14ac:dyDescent="0.35">
      <c r="A711" s="17">
        <v>45891</v>
      </c>
      <c r="B711" s="18">
        <v>58</v>
      </c>
      <c r="C711" s="18">
        <v>4.9413059427732939</v>
      </c>
      <c r="D711" s="15">
        <v>22508021</v>
      </c>
      <c r="E711" s="15" t="s">
        <v>141</v>
      </c>
      <c r="F711" s="15" t="s">
        <v>817</v>
      </c>
      <c r="G711" s="4">
        <v>0.19444444444444445</v>
      </c>
      <c r="H711" s="4">
        <v>0.21527777777777779</v>
      </c>
      <c r="I711" s="5">
        <f t="shared" si="67"/>
        <v>30.000000000000014</v>
      </c>
      <c r="J711" s="12" t="s">
        <v>51</v>
      </c>
      <c r="K711" s="12" t="s">
        <v>445</v>
      </c>
      <c r="L711" s="12" t="s">
        <v>53</v>
      </c>
      <c r="M711" s="6" t="s">
        <v>54</v>
      </c>
    </row>
    <row r="712" spans="1:13" x14ac:dyDescent="0.35">
      <c r="A712" s="17">
        <v>45891</v>
      </c>
      <c r="B712" s="18">
        <v>58</v>
      </c>
      <c r="C712" s="18">
        <v>4.9413059427732939</v>
      </c>
      <c r="D712" s="15">
        <v>22508021</v>
      </c>
      <c r="E712" s="15" t="s">
        <v>141</v>
      </c>
      <c r="F712" s="15" t="s">
        <v>817</v>
      </c>
      <c r="G712" s="4">
        <v>0.21527777777777779</v>
      </c>
      <c r="H712" s="4">
        <v>0.21666666666666667</v>
      </c>
      <c r="I712" s="5">
        <f t="shared" si="67"/>
        <v>1.9999999999999929</v>
      </c>
      <c r="J712" s="12" t="s">
        <v>446</v>
      </c>
      <c r="K712" s="12" t="s">
        <v>445</v>
      </c>
      <c r="L712" s="12" t="s">
        <v>22</v>
      </c>
      <c r="M712" s="6" t="s">
        <v>818</v>
      </c>
    </row>
    <row r="713" spans="1:13" x14ac:dyDescent="0.35">
      <c r="A713" s="17">
        <v>45891</v>
      </c>
      <c r="B713" s="18">
        <v>58</v>
      </c>
      <c r="C713" s="18">
        <v>4.9413059427732939</v>
      </c>
      <c r="D713" s="8">
        <v>22508022</v>
      </c>
      <c r="E713" s="8" t="s">
        <v>379</v>
      </c>
      <c r="F713" s="8">
        <v>1320</v>
      </c>
      <c r="G713" s="4">
        <v>0.73263888888888884</v>
      </c>
      <c r="H713" s="4">
        <v>0.76388888888888884</v>
      </c>
      <c r="I713" s="5">
        <f t="shared" si="67"/>
        <v>45</v>
      </c>
      <c r="J713" s="12" t="s">
        <v>463</v>
      </c>
      <c r="K713" s="12" t="s">
        <v>445</v>
      </c>
      <c r="L713" s="6" t="s">
        <v>819</v>
      </c>
      <c r="M713" s="6" t="s">
        <v>819</v>
      </c>
    </row>
    <row r="714" spans="1:13" x14ac:dyDescent="0.35">
      <c r="A714" s="144">
        <v>45892</v>
      </c>
      <c r="B714" s="10">
        <v>58</v>
      </c>
      <c r="C714" s="10">
        <v>5.1361111111111111</v>
      </c>
      <c r="D714" s="15">
        <v>22508023</v>
      </c>
      <c r="E714" s="15" t="s">
        <v>72</v>
      </c>
      <c r="F714" s="15">
        <v>1252</v>
      </c>
      <c r="G714" s="4">
        <v>7.6388888888888895E-2</v>
      </c>
      <c r="H714" s="4">
        <v>9.7222222222222224E-2</v>
      </c>
      <c r="I714" s="5">
        <f t="shared" si="67"/>
        <v>29.999999999999993</v>
      </c>
      <c r="J714" s="12" t="s">
        <v>51</v>
      </c>
      <c r="K714" s="12" t="s">
        <v>445</v>
      </c>
      <c r="L714" s="12" t="s">
        <v>53</v>
      </c>
      <c r="M714" s="6" t="s">
        <v>54</v>
      </c>
    </row>
    <row r="715" spans="1:13" x14ac:dyDescent="0.35">
      <c r="A715" s="17">
        <v>45893</v>
      </c>
      <c r="B715" s="18">
        <v>57.764705882352942</v>
      </c>
      <c r="C715" s="18">
        <v>4.8143754909662206</v>
      </c>
      <c r="D715" s="15">
        <v>22508023</v>
      </c>
      <c r="E715" s="15" t="s">
        <v>72</v>
      </c>
      <c r="F715" s="15">
        <v>1252</v>
      </c>
      <c r="G715" s="4">
        <v>9.7222222222222224E-2</v>
      </c>
      <c r="H715" s="4">
        <v>0.10208333333333333</v>
      </c>
      <c r="I715" s="5">
        <f t="shared" si="67"/>
        <v>6.9999999999999947</v>
      </c>
      <c r="J715" s="12" t="s">
        <v>446</v>
      </c>
      <c r="K715" s="12" t="s">
        <v>445</v>
      </c>
      <c r="L715" s="12" t="s">
        <v>22</v>
      </c>
      <c r="M715" s="6" t="s">
        <v>809</v>
      </c>
    </row>
    <row r="716" spans="1:13" x14ac:dyDescent="0.35">
      <c r="A716" s="17">
        <v>45893</v>
      </c>
      <c r="B716" s="18">
        <v>57.764705882352942</v>
      </c>
      <c r="C716" s="18">
        <v>4.8143754909662206</v>
      </c>
      <c r="D716" s="14">
        <v>22508024</v>
      </c>
      <c r="E716" s="8" t="s">
        <v>522</v>
      </c>
      <c r="F716" s="8">
        <v>1250</v>
      </c>
      <c r="G716" s="4">
        <v>0.82638888888888884</v>
      </c>
      <c r="H716" s="4">
        <v>0.91666666666666663</v>
      </c>
      <c r="I716" s="5">
        <f t="shared" si="67"/>
        <v>130.00000000000003</v>
      </c>
      <c r="J716" s="12" t="s">
        <v>35</v>
      </c>
      <c r="K716" s="143" t="s">
        <v>62</v>
      </c>
      <c r="L716" s="12" t="s">
        <v>454</v>
      </c>
      <c r="M716" s="9" t="s">
        <v>821</v>
      </c>
    </row>
    <row r="717" spans="1:13" x14ac:dyDescent="0.35">
      <c r="A717" s="144">
        <v>45894</v>
      </c>
      <c r="B717" s="10">
        <v>58</v>
      </c>
      <c r="C717" s="10">
        <v>5.0483606557377048</v>
      </c>
      <c r="D717" s="14">
        <v>22508024</v>
      </c>
      <c r="E717" s="8" t="s">
        <v>522</v>
      </c>
      <c r="F717" s="8">
        <v>1250</v>
      </c>
      <c r="G717" s="4">
        <v>0.91666666666666663</v>
      </c>
      <c r="H717" s="4">
        <v>6.9444444444444448E-2</v>
      </c>
      <c r="I717" s="5">
        <f t="shared" si="67"/>
        <v>220.00000000000003</v>
      </c>
      <c r="J717" s="12" t="s">
        <v>446</v>
      </c>
      <c r="K717" s="143" t="s">
        <v>62</v>
      </c>
      <c r="L717" s="12" t="s">
        <v>454</v>
      </c>
      <c r="M717" s="9" t="s">
        <v>824</v>
      </c>
    </row>
    <row r="718" spans="1:13" x14ac:dyDescent="0.35">
      <c r="A718" s="17">
        <v>45895</v>
      </c>
      <c r="B718" s="18">
        <v>57</v>
      </c>
      <c r="C718" s="18">
        <v>5.277937995674117</v>
      </c>
      <c r="D718" s="15">
        <v>22508025</v>
      </c>
      <c r="E718" s="15" t="s">
        <v>116</v>
      </c>
      <c r="F718" s="15">
        <v>1250</v>
      </c>
      <c r="G718" s="4">
        <v>0.27430555555555558</v>
      </c>
      <c r="H718" s="4">
        <v>0.2951388888888889</v>
      </c>
      <c r="I718" s="5">
        <f t="shared" si="67"/>
        <v>29.999999999999972</v>
      </c>
      <c r="J718" s="12" t="s">
        <v>51</v>
      </c>
      <c r="K718" s="12" t="s">
        <v>445</v>
      </c>
      <c r="L718" s="12" t="s">
        <v>53</v>
      </c>
      <c r="M718" s="6" t="s">
        <v>54</v>
      </c>
    </row>
    <row r="719" spans="1:13" x14ac:dyDescent="0.35">
      <c r="A719" s="17">
        <v>45895</v>
      </c>
      <c r="B719" s="18">
        <v>57</v>
      </c>
      <c r="C719" s="18">
        <v>5.277937995674117</v>
      </c>
      <c r="D719" s="15">
        <v>22508025</v>
      </c>
      <c r="E719" s="15" t="s">
        <v>116</v>
      </c>
      <c r="F719" s="15">
        <v>1250</v>
      </c>
      <c r="G719" s="4">
        <v>0.2951388888888889</v>
      </c>
      <c r="H719" s="4">
        <v>0.30555555555555558</v>
      </c>
      <c r="I719" s="5">
        <f t="shared" si="67"/>
        <v>15.000000000000027</v>
      </c>
      <c r="J719" s="12" t="s">
        <v>52</v>
      </c>
      <c r="K719" s="143" t="s">
        <v>445</v>
      </c>
      <c r="L719" s="12" t="s">
        <v>59</v>
      </c>
      <c r="M719" s="6" t="s">
        <v>432</v>
      </c>
    </row>
    <row r="720" spans="1:13" x14ac:dyDescent="0.35">
      <c r="A720" s="17">
        <v>45895</v>
      </c>
      <c r="B720" s="18">
        <v>57</v>
      </c>
      <c r="C720" s="18">
        <v>5.277937995674117</v>
      </c>
      <c r="D720" s="15">
        <v>22508025</v>
      </c>
      <c r="E720" s="15" t="s">
        <v>116</v>
      </c>
      <c r="F720" s="15">
        <v>1250</v>
      </c>
      <c r="G720" s="4">
        <v>0.30555555555555558</v>
      </c>
      <c r="H720" s="4">
        <v>0.31111111111111112</v>
      </c>
      <c r="I720" s="5">
        <f t="shared" si="67"/>
        <v>7.9999999999999716</v>
      </c>
      <c r="J720" s="12" t="s">
        <v>446</v>
      </c>
      <c r="K720" s="12" t="s">
        <v>445</v>
      </c>
      <c r="L720" s="12" t="s">
        <v>74</v>
      </c>
      <c r="M720" s="6" t="s">
        <v>298</v>
      </c>
    </row>
    <row r="721" spans="1:13" x14ac:dyDescent="0.35">
      <c r="A721" s="123">
        <v>45896</v>
      </c>
      <c r="B721" s="39">
        <v>57.6</v>
      </c>
      <c r="C721" s="39">
        <v>4.96</v>
      </c>
      <c r="D721" s="39">
        <v>22508026</v>
      </c>
      <c r="E721" s="39" t="s">
        <v>119</v>
      </c>
      <c r="F721" s="39">
        <v>1250</v>
      </c>
      <c r="G721" s="35">
        <v>0.625</v>
      </c>
      <c r="H721" s="35">
        <v>0.64583333333333337</v>
      </c>
      <c r="I721" s="36">
        <v>30</v>
      </c>
      <c r="J721" s="86" t="s">
        <v>51</v>
      </c>
      <c r="K721" s="86" t="s">
        <v>445</v>
      </c>
      <c r="L721" s="86" t="s">
        <v>53</v>
      </c>
      <c r="M721" s="47" t="s">
        <v>54</v>
      </c>
    </row>
    <row r="722" spans="1:13" x14ac:dyDescent="0.35">
      <c r="A722" s="123">
        <v>45896</v>
      </c>
      <c r="B722" s="39">
        <v>57.6</v>
      </c>
      <c r="C722" s="39">
        <v>4.96</v>
      </c>
      <c r="D722" s="39">
        <v>22508026</v>
      </c>
      <c r="E722" s="39" t="s">
        <v>119</v>
      </c>
      <c r="F722" s="39">
        <v>1250</v>
      </c>
      <c r="G722" s="35">
        <v>0.64583333333333337</v>
      </c>
      <c r="H722" s="35">
        <v>0.66666666666666663</v>
      </c>
      <c r="I722" s="36">
        <v>30</v>
      </c>
      <c r="J722" s="86" t="s">
        <v>52</v>
      </c>
      <c r="K722" s="86" t="s">
        <v>445</v>
      </c>
      <c r="L722" s="86" t="s">
        <v>178</v>
      </c>
      <c r="M722" s="47" t="s">
        <v>179</v>
      </c>
    </row>
    <row r="723" spans="1:13" x14ac:dyDescent="0.35">
      <c r="A723" s="123">
        <v>45896</v>
      </c>
      <c r="B723" s="39">
        <v>57.6</v>
      </c>
      <c r="C723" s="39">
        <v>4.96</v>
      </c>
      <c r="D723" s="39">
        <v>22508026</v>
      </c>
      <c r="E723" s="39" t="s">
        <v>119</v>
      </c>
      <c r="F723" s="39">
        <v>1250</v>
      </c>
      <c r="G723" s="35">
        <v>0.66666666666666663</v>
      </c>
      <c r="H723" s="35">
        <v>0.67013888888888884</v>
      </c>
      <c r="I723" s="36">
        <v>5</v>
      </c>
      <c r="J723" s="86" t="s">
        <v>446</v>
      </c>
      <c r="K723" s="86" t="s">
        <v>19</v>
      </c>
      <c r="L723" s="86" t="s">
        <v>354</v>
      </c>
      <c r="M723" s="47" t="s">
        <v>825</v>
      </c>
    </row>
    <row r="724" spans="1:13" x14ac:dyDescent="0.35">
      <c r="A724" s="123">
        <v>45896</v>
      </c>
      <c r="B724" s="39">
        <v>57.6</v>
      </c>
      <c r="C724" s="39">
        <v>4.96</v>
      </c>
      <c r="D724" s="39">
        <v>22508026</v>
      </c>
      <c r="E724" s="39" t="s">
        <v>119</v>
      </c>
      <c r="F724" s="39">
        <v>1250</v>
      </c>
      <c r="G724" s="35">
        <v>0.67013888888888884</v>
      </c>
      <c r="H724" s="35">
        <v>0.67569444444444449</v>
      </c>
      <c r="I724" s="36">
        <v>8</v>
      </c>
      <c r="J724" s="86" t="s">
        <v>446</v>
      </c>
      <c r="K724" s="86" t="s">
        <v>445</v>
      </c>
      <c r="L724" s="86" t="s">
        <v>22</v>
      </c>
      <c r="M724" s="47" t="s">
        <v>809</v>
      </c>
    </row>
    <row r="725" spans="1:13" x14ac:dyDescent="0.35">
      <c r="A725" s="123">
        <v>45896</v>
      </c>
      <c r="B725" s="39">
        <v>57.6</v>
      </c>
      <c r="C725" s="39">
        <v>4.96</v>
      </c>
      <c r="D725" s="45">
        <v>22508027</v>
      </c>
      <c r="E725" s="45" t="s">
        <v>126</v>
      </c>
      <c r="F725" s="45">
        <v>1230</v>
      </c>
      <c r="G725" s="35">
        <v>0.77777777777777779</v>
      </c>
      <c r="H725" s="35">
        <v>0.84375</v>
      </c>
      <c r="I725" s="36">
        <v>95</v>
      </c>
      <c r="J725" s="86" t="s">
        <v>35</v>
      </c>
      <c r="K725" s="86" t="s">
        <v>445</v>
      </c>
      <c r="L725" s="49" t="s">
        <v>566</v>
      </c>
      <c r="M725" s="49" t="s">
        <v>566</v>
      </c>
    </row>
    <row r="726" spans="1:13" x14ac:dyDescent="0.35">
      <c r="A726" s="123">
        <v>45898</v>
      </c>
      <c r="B726" s="45">
        <v>58</v>
      </c>
      <c r="C726" s="45">
        <v>5.59</v>
      </c>
      <c r="D726" s="39">
        <v>22508028</v>
      </c>
      <c r="E726" s="39" t="s">
        <v>72</v>
      </c>
      <c r="F726" s="39">
        <v>1230</v>
      </c>
      <c r="G726" s="35">
        <v>0.10625</v>
      </c>
      <c r="H726" s="35">
        <v>0.12708333333333333</v>
      </c>
      <c r="I726" s="36">
        <v>30</v>
      </c>
      <c r="J726" s="86" t="s">
        <v>51</v>
      </c>
      <c r="K726" s="86" t="s">
        <v>445</v>
      </c>
      <c r="L726" s="86" t="s">
        <v>53</v>
      </c>
      <c r="M726" s="47" t="s">
        <v>54</v>
      </c>
    </row>
    <row r="727" spans="1:13" x14ac:dyDescent="0.35">
      <c r="A727" s="123">
        <v>45898</v>
      </c>
      <c r="B727" s="39">
        <v>58</v>
      </c>
      <c r="C727" s="39">
        <v>4.97</v>
      </c>
      <c r="D727" s="39">
        <v>22508028</v>
      </c>
      <c r="E727" s="39" t="s">
        <v>72</v>
      </c>
      <c r="F727" s="39">
        <v>1230</v>
      </c>
      <c r="G727" s="35">
        <v>0.12708333333333333</v>
      </c>
      <c r="H727" s="35">
        <v>0.13750000000000001</v>
      </c>
      <c r="I727" s="36">
        <v>15</v>
      </c>
      <c r="J727" s="86" t="s">
        <v>52</v>
      </c>
      <c r="K727" s="116" t="s">
        <v>445</v>
      </c>
      <c r="L727" s="86" t="s">
        <v>59</v>
      </c>
      <c r="M727" s="47" t="s">
        <v>432</v>
      </c>
    </row>
    <row r="728" spans="1:13" x14ac:dyDescent="0.35">
      <c r="A728" s="123">
        <v>45898</v>
      </c>
      <c r="B728" s="39">
        <v>58</v>
      </c>
      <c r="C728" s="39">
        <v>4.97</v>
      </c>
      <c r="D728" s="39">
        <v>22508028</v>
      </c>
      <c r="E728" s="39" t="s">
        <v>72</v>
      </c>
      <c r="F728" s="39">
        <v>1230</v>
      </c>
      <c r="G728" s="35">
        <v>0.13750000000000001</v>
      </c>
      <c r="H728" s="35">
        <v>0.1736111111111111</v>
      </c>
      <c r="I728" s="36">
        <v>52</v>
      </c>
      <c r="J728" s="86" t="s">
        <v>446</v>
      </c>
      <c r="K728" s="86" t="s">
        <v>19</v>
      </c>
      <c r="L728" s="86" t="s">
        <v>149</v>
      </c>
      <c r="M728" s="47" t="s">
        <v>828</v>
      </c>
    </row>
    <row r="729" spans="1:13" x14ac:dyDescent="0.35">
      <c r="A729" s="123">
        <v>45898</v>
      </c>
      <c r="B729" s="39">
        <v>58</v>
      </c>
      <c r="C729" s="39">
        <v>4.97</v>
      </c>
      <c r="D729" s="46">
        <v>22508029</v>
      </c>
      <c r="E729" s="45" t="s">
        <v>173</v>
      </c>
      <c r="F729" s="45">
        <v>1240</v>
      </c>
      <c r="G729" s="35">
        <v>0.21111111111111111</v>
      </c>
      <c r="H729" s="35">
        <v>0.30902777777777779</v>
      </c>
      <c r="I729" s="36">
        <v>141</v>
      </c>
      <c r="J729" s="86" t="s">
        <v>35</v>
      </c>
      <c r="K729" s="86" t="s">
        <v>161</v>
      </c>
      <c r="L729" s="86" t="s">
        <v>168</v>
      </c>
      <c r="M729" s="49" t="s">
        <v>829</v>
      </c>
    </row>
    <row r="730" spans="1:13" x14ac:dyDescent="0.35">
      <c r="A730" s="123">
        <v>45899</v>
      </c>
      <c r="B730" s="39">
        <v>57.35</v>
      </c>
      <c r="C730" s="39">
        <v>5.18</v>
      </c>
      <c r="D730" s="39">
        <v>22508030</v>
      </c>
      <c r="E730" s="39" t="s">
        <v>273</v>
      </c>
      <c r="F730" s="39">
        <v>1240</v>
      </c>
      <c r="G730" s="35">
        <v>0.10416666666666667</v>
      </c>
      <c r="H730" s="35">
        <v>0.16666666666666666</v>
      </c>
      <c r="I730" s="36">
        <v>90</v>
      </c>
      <c r="J730" s="86" t="s">
        <v>35</v>
      </c>
      <c r="K730" s="86" t="s">
        <v>161</v>
      </c>
      <c r="L730" s="86"/>
      <c r="M730" s="49" t="s">
        <v>834</v>
      </c>
    </row>
    <row r="731" spans="1:13" x14ac:dyDescent="0.35">
      <c r="A731" s="123">
        <v>45899</v>
      </c>
      <c r="B731" s="39">
        <v>57.35</v>
      </c>
      <c r="C731" s="39">
        <v>5.18</v>
      </c>
      <c r="D731" s="39">
        <v>22508030</v>
      </c>
      <c r="E731" s="39" t="s">
        <v>273</v>
      </c>
      <c r="F731" s="39">
        <v>1240</v>
      </c>
      <c r="G731" s="35">
        <v>0.16666666666666666</v>
      </c>
      <c r="H731" s="35">
        <v>0.16875000000000001</v>
      </c>
      <c r="I731" s="36">
        <v>3</v>
      </c>
      <c r="J731" s="86" t="s">
        <v>446</v>
      </c>
      <c r="K731" s="86" t="s">
        <v>26</v>
      </c>
      <c r="L731" s="86" t="s">
        <v>32</v>
      </c>
      <c r="M731" s="47" t="s">
        <v>32</v>
      </c>
    </row>
    <row r="732" spans="1:13" x14ac:dyDescent="0.35">
      <c r="A732" s="123">
        <v>45899</v>
      </c>
      <c r="B732" s="39">
        <v>57.35</v>
      </c>
      <c r="C732" s="39">
        <v>5.18</v>
      </c>
      <c r="D732" s="39">
        <v>22508031</v>
      </c>
      <c r="E732" s="39" t="s">
        <v>87</v>
      </c>
      <c r="F732" s="39">
        <v>1250</v>
      </c>
      <c r="G732" s="35">
        <v>0.65069444444444446</v>
      </c>
      <c r="H732" s="35">
        <v>0.71319444444444446</v>
      </c>
      <c r="I732" s="36">
        <v>90</v>
      </c>
      <c r="J732" s="86" t="s">
        <v>35</v>
      </c>
      <c r="K732" s="86" t="s">
        <v>41</v>
      </c>
      <c r="L732" s="86" t="s">
        <v>454</v>
      </c>
      <c r="M732" s="49" t="s">
        <v>835</v>
      </c>
    </row>
    <row r="733" spans="1:13" x14ac:dyDescent="0.35">
      <c r="A733" s="123">
        <v>45899</v>
      </c>
      <c r="B733" s="39">
        <v>57.35</v>
      </c>
      <c r="C733" s="39">
        <v>5.18</v>
      </c>
      <c r="D733" s="39">
        <v>22508031</v>
      </c>
      <c r="E733" s="39" t="s">
        <v>87</v>
      </c>
      <c r="F733" s="39">
        <v>1250</v>
      </c>
      <c r="G733" s="35">
        <v>0.71319444444444446</v>
      </c>
      <c r="H733" s="35">
        <v>0.86458333333333337</v>
      </c>
      <c r="I733" s="36">
        <v>218</v>
      </c>
      <c r="J733" s="86" t="s">
        <v>446</v>
      </c>
      <c r="K733" s="86" t="s">
        <v>41</v>
      </c>
      <c r="L733" s="86" t="s">
        <v>454</v>
      </c>
      <c r="M733" s="47" t="s">
        <v>831</v>
      </c>
    </row>
    <row r="734" spans="1:13" x14ac:dyDescent="0.35">
      <c r="A734" s="122">
        <v>45900</v>
      </c>
      <c r="B734" s="45">
        <v>58</v>
      </c>
      <c r="C734" s="45">
        <v>5.31</v>
      </c>
      <c r="D734" s="46">
        <v>22508032</v>
      </c>
      <c r="E734" s="45" t="s">
        <v>13</v>
      </c>
      <c r="F734" s="45">
        <v>1260</v>
      </c>
      <c r="G734" s="35">
        <v>0.72222222222222221</v>
      </c>
      <c r="H734" s="35">
        <v>0.91666666666666663</v>
      </c>
      <c r="I734" s="36">
        <v>280</v>
      </c>
      <c r="J734" s="86" t="s">
        <v>35</v>
      </c>
      <c r="K734" s="86" t="s">
        <v>161</v>
      </c>
      <c r="L734" s="86" t="s">
        <v>832</v>
      </c>
      <c r="M734" s="49" t="s">
        <v>833</v>
      </c>
    </row>
    <row r="735" spans="1:13" x14ac:dyDescent="0.35">
      <c r="A735" s="122">
        <v>45901</v>
      </c>
      <c r="B735" s="39">
        <v>57.07</v>
      </c>
      <c r="C735" s="39">
        <v>5.55</v>
      </c>
      <c r="D735" s="46">
        <v>22508032</v>
      </c>
      <c r="E735" s="45" t="s">
        <v>13</v>
      </c>
      <c r="F735" s="45">
        <v>1260</v>
      </c>
      <c r="G735" s="35">
        <v>0.91666666666666663</v>
      </c>
      <c r="H735" s="35">
        <v>0.98263888888888884</v>
      </c>
      <c r="I735" s="36">
        <v>95</v>
      </c>
      <c r="J735" s="86" t="s">
        <v>446</v>
      </c>
      <c r="K735" s="86" t="s">
        <v>161</v>
      </c>
      <c r="L735" s="86" t="s">
        <v>832</v>
      </c>
      <c r="M735" s="47" t="s">
        <v>836</v>
      </c>
    </row>
    <row r="736" spans="1:13" x14ac:dyDescent="0.35">
      <c r="A736" s="123">
        <v>45902</v>
      </c>
      <c r="B736" s="39">
        <v>57.61</v>
      </c>
      <c r="C736" s="39">
        <v>5.07</v>
      </c>
      <c r="D736" s="39">
        <v>22509001</v>
      </c>
      <c r="E736" s="39" t="s">
        <v>496</v>
      </c>
      <c r="F736" s="39" t="s">
        <v>88</v>
      </c>
      <c r="G736" s="35">
        <v>0.2638888888888889</v>
      </c>
      <c r="H736" s="35">
        <v>0.28472222222222221</v>
      </c>
      <c r="I736" s="36">
        <v>30</v>
      </c>
      <c r="J736" s="86" t="s">
        <v>51</v>
      </c>
      <c r="K736" s="86" t="s">
        <v>445</v>
      </c>
      <c r="L736" s="86" t="s">
        <v>53</v>
      </c>
      <c r="M736" s="47" t="s">
        <v>54</v>
      </c>
    </row>
    <row r="737" spans="1:13" x14ac:dyDescent="0.35">
      <c r="A737" s="123">
        <v>45902</v>
      </c>
      <c r="B737" s="39">
        <v>57.61</v>
      </c>
      <c r="C737" s="39">
        <v>5.07</v>
      </c>
      <c r="D737" s="39">
        <v>22509001</v>
      </c>
      <c r="E737" s="39" t="s">
        <v>496</v>
      </c>
      <c r="F737" s="39" t="s">
        <v>88</v>
      </c>
      <c r="G737" s="35">
        <v>0.28472222222222221</v>
      </c>
      <c r="H737" s="35">
        <v>0.30555555555555558</v>
      </c>
      <c r="I737" s="36">
        <v>30</v>
      </c>
      <c r="J737" s="86" t="s">
        <v>52</v>
      </c>
      <c r="K737" s="116" t="s">
        <v>445</v>
      </c>
      <c r="L737" s="86" t="s">
        <v>53</v>
      </c>
      <c r="M737" s="47" t="s">
        <v>179</v>
      </c>
    </row>
    <row r="738" spans="1:13" x14ac:dyDescent="0.35">
      <c r="A738" s="123">
        <v>45902</v>
      </c>
      <c r="B738" s="39">
        <v>57.61</v>
      </c>
      <c r="C738" s="39">
        <v>5.07</v>
      </c>
      <c r="D738" s="39">
        <v>22509001</v>
      </c>
      <c r="E738" s="39" t="s">
        <v>496</v>
      </c>
      <c r="F738" s="39" t="s">
        <v>88</v>
      </c>
      <c r="G738" s="35">
        <v>0.30555555555555558</v>
      </c>
      <c r="H738" s="35">
        <v>0.34722222222222221</v>
      </c>
      <c r="I738" s="36">
        <v>60</v>
      </c>
      <c r="J738" s="86" t="s">
        <v>446</v>
      </c>
      <c r="K738" s="86" t="s">
        <v>161</v>
      </c>
      <c r="L738" s="47" t="s">
        <v>841</v>
      </c>
      <c r="M738" s="47" t="s">
        <v>841</v>
      </c>
    </row>
    <row r="739" spans="1:13" x14ac:dyDescent="0.35">
      <c r="A739" s="123">
        <v>45902</v>
      </c>
      <c r="B739" s="39">
        <v>57.61</v>
      </c>
      <c r="C739" s="39">
        <v>5.07</v>
      </c>
      <c r="D739" s="39">
        <v>22509002</v>
      </c>
      <c r="E739" s="39" t="s">
        <v>160</v>
      </c>
      <c r="F739" s="39">
        <v>1250</v>
      </c>
      <c r="G739" s="35">
        <v>0.63680555555555551</v>
      </c>
      <c r="H739" s="35">
        <v>0.69930555555555551</v>
      </c>
      <c r="I739" s="36">
        <v>90</v>
      </c>
      <c r="J739" s="86" t="s">
        <v>35</v>
      </c>
      <c r="K739" s="86" t="s">
        <v>445</v>
      </c>
      <c r="L739" s="86" t="s">
        <v>838</v>
      </c>
      <c r="M739" s="49" t="s">
        <v>840</v>
      </c>
    </row>
    <row r="740" spans="1:13" x14ac:dyDescent="0.35">
      <c r="A740" s="123">
        <v>45902</v>
      </c>
      <c r="B740" s="39">
        <v>57.61</v>
      </c>
      <c r="C740" s="39">
        <v>5.07</v>
      </c>
      <c r="D740" s="39">
        <v>22509002</v>
      </c>
      <c r="E740" s="39" t="s">
        <v>160</v>
      </c>
      <c r="F740" s="39">
        <v>1250</v>
      </c>
      <c r="G740" s="35">
        <v>0.69930555555555551</v>
      </c>
      <c r="H740" s="35">
        <v>0.70486111111111116</v>
      </c>
      <c r="I740" s="36">
        <v>8</v>
      </c>
      <c r="J740" s="86" t="s">
        <v>446</v>
      </c>
      <c r="K740" s="86" t="s">
        <v>445</v>
      </c>
      <c r="L740" s="86" t="s">
        <v>74</v>
      </c>
      <c r="M740" s="47" t="s">
        <v>298</v>
      </c>
    </row>
    <row r="741" spans="1:13" x14ac:dyDescent="0.35">
      <c r="A741" s="123">
        <v>45904</v>
      </c>
      <c r="B741" s="85">
        <v>58</v>
      </c>
      <c r="C741" s="85">
        <v>5.35</v>
      </c>
      <c r="D741" s="39">
        <v>22509003</v>
      </c>
      <c r="E741" s="39" t="s">
        <v>104</v>
      </c>
      <c r="F741" s="39">
        <v>1250</v>
      </c>
      <c r="G741" s="35">
        <v>0.99791666666666667</v>
      </c>
      <c r="H741" s="35">
        <v>1.8749999999999999E-2</v>
      </c>
      <c r="I741" s="36">
        <v>30</v>
      </c>
      <c r="J741" s="86" t="s">
        <v>51</v>
      </c>
      <c r="K741" s="86" t="s">
        <v>445</v>
      </c>
      <c r="L741" s="86" t="s">
        <v>53</v>
      </c>
      <c r="M741" s="47" t="s">
        <v>54</v>
      </c>
    </row>
    <row r="742" spans="1:13" x14ac:dyDescent="0.35">
      <c r="A742" s="123">
        <v>45904</v>
      </c>
      <c r="B742" s="39">
        <v>58</v>
      </c>
      <c r="C742" s="39">
        <v>5.36</v>
      </c>
      <c r="D742" s="39">
        <v>22509003</v>
      </c>
      <c r="E742" s="39" t="s">
        <v>104</v>
      </c>
      <c r="F742" s="39">
        <v>1250</v>
      </c>
      <c r="G742" s="35">
        <v>1.8749999999999999E-2</v>
      </c>
      <c r="H742" s="35">
        <v>2.0833333333333332E-2</v>
      </c>
      <c r="I742" s="36">
        <v>3</v>
      </c>
      <c r="J742" s="86" t="s">
        <v>446</v>
      </c>
      <c r="K742" s="86" t="s">
        <v>445</v>
      </c>
      <c r="L742" s="86" t="s">
        <v>74</v>
      </c>
      <c r="M742" s="47" t="s">
        <v>298</v>
      </c>
    </row>
    <row r="743" spans="1:13" x14ac:dyDescent="0.35">
      <c r="A743" s="123">
        <v>45904</v>
      </c>
      <c r="B743" s="39">
        <v>58</v>
      </c>
      <c r="C743" s="39">
        <v>5.36</v>
      </c>
      <c r="D743" s="39">
        <v>22509004</v>
      </c>
      <c r="E743" s="39" t="s">
        <v>468</v>
      </c>
      <c r="F743" s="39">
        <v>1230</v>
      </c>
      <c r="G743" s="35">
        <v>0.51111111111111107</v>
      </c>
      <c r="H743" s="35">
        <v>0.58333333333333337</v>
      </c>
      <c r="I743" s="36">
        <v>104</v>
      </c>
      <c r="J743" s="86" t="s">
        <v>25</v>
      </c>
      <c r="K743" s="86" t="s">
        <v>445</v>
      </c>
      <c r="L743" s="86" t="s">
        <v>456</v>
      </c>
      <c r="M743" s="60" t="s">
        <v>323</v>
      </c>
    </row>
    <row r="744" spans="1:13" x14ac:dyDescent="0.35">
      <c r="A744" s="123">
        <v>45904</v>
      </c>
      <c r="B744" s="39">
        <v>58</v>
      </c>
      <c r="C744" s="39">
        <v>5.36</v>
      </c>
      <c r="D744" s="39">
        <v>22509004</v>
      </c>
      <c r="E744" s="39" t="s">
        <v>468</v>
      </c>
      <c r="F744" s="39">
        <v>1230</v>
      </c>
      <c r="G744" s="35">
        <v>0.58333333333333337</v>
      </c>
      <c r="H744" s="35">
        <v>0.62847222222222221</v>
      </c>
      <c r="I744" s="36">
        <v>65</v>
      </c>
      <c r="J744" s="86" t="s">
        <v>446</v>
      </c>
      <c r="K744" s="86" t="s">
        <v>445</v>
      </c>
      <c r="L744" s="47" t="s">
        <v>843</v>
      </c>
      <c r="M744" s="47" t="s">
        <v>843</v>
      </c>
    </row>
    <row r="745" spans="1:13" x14ac:dyDescent="0.35">
      <c r="A745" s="123">
        <v>45906</v>
      </c>
      <c r="B745" s="85">
        <v>57.6</v>
      </c>
      <c r="C745" s="85">
        <v>5.18</v>
      </c>
      <c r="D745" s="39">
        <v>22509005</v>
      </c>
      <c r="E745" s="39" t="s">
        <v>72</v>
      </c>
      <c r="F745" s="39">
        <v>1230</v>
      </c>
      <c r="G745" s="35">
        <v>0.94097222222222221</v>
      </c>
      <c r="H745" s="35">
        <v>0.96180555555555558</v>
      </c>
      <c r="I745" s="36">
        <v>30</v>
      </c>
      <c r="J745" s="86" t="s">
        <v>51</v>
      </c>
      <c r="K745" s="86" t="s">
        <v>445</v>
      </c>
      <c r="L745" s="86" t="s">
        <v>53</v>
      </c>
      <c r="M745" s="47" t="s">
        <v>54</v>
      </c>
    </row>
    <row r="746" spans="1:13" x14ac:dyDescent="0.35">
      <c r="A746" s="123">
        <v>45906</v>
      </c>
      <c r="B746" s="39">
        <v>58</v>
      </c>
      <c r="C746" s="39">
        <v>4.96</v>
      </c>
      <c r="D746" s="39">
        <v>22509005</v>
      </c>
      <c r="E746" s="39" t="s">
        <v>72</v>
      </c>
      <c r="F746" s="39">
        <v>1230</v>
      </c>
      <c r="G746" s="35">
        <v>0.96180555555555558</v>
      </c>
      <c r="H746" s="35">
        <v>0.97222222222222221</v>
      </c>
      <c r="I746" s="36">
        <v>15</v>
      </c>
      <c r="J746" s="86" t="s">
        <v>52</v>
      </c>
      <c r="K746" s="116" t="s">
        <v>445</v>
      </c>
      <c r="L746" s="86" t="s">
        <v>59</v>
      </c>
      <c r="M746" s="47" t="s">
        <v>432</v>
      </c>
    </row>
    <row r="747" spans="1:13" x14ac:dyDescent="0.35">
      <c r="A747" s="123">
        <v>45906</v>
      </c>
      <c r="B747" s="39">
        <v>58</v>
      </c>
      <c r="C747" s="39">
        <v>4.96</v>
      </c>
      <c r="D747" s="39">
        <v>22509005</v>
      </c>
      <c r="E747" s="39" t="s">
        <v>72</v>
      </c>
      <c r="F747" s="39">
        <v>1230</v>
      </c>
      <c r="G747" s="35">
        <v>0.97222222222222221</v>
      </c>
      <c r="H747" s="35">
        <v>0.99305555555555558</v>
      </c>
      <c r="I747" s="36">
        <v>30</v>
      </c>
      <c r="J747" s="86" t="s">
        <v>446</v>
      </c>
      <c r="K747" s="86" t="s">
        <v>19</v>
      </c>
      <c r="L747" s="86" t="s">
        <v>149</v>
      </c>
      <c r="M747" s="47" t="s">
        <v>845</v>
      </c>
    </row>
    <row r="748" spans="1:13" x14ac:dyDescent="0.35">
      <c r="A748" s="123">
        <v>45906</v>
      </c>
      <c r="B748" s="39">
        <v>58</v>
      </c>
      <c r="C748" s="39">
        <v>4.96</v>
      </c>
      <c r="D748" s="45">
        <v>22509006</v>
      </c>
      <c r="E748" s="45" t="s">
        <v>109</v>
      </c>
      <c r="F748" s="45">
        <v>1230</v>
      </c>
      <c r="G748" s="35">
        <v>0.68680555555555556</v>
      </c>
      <c r="H748" s="35">
        <v>0.75347222222222221</v>
      </c>
      <c r="I748" s="36">
        <v>96</v>
      </c>
      <c r="J748" s="86" t="s">
        <v>25</v>
      </c>
      <c r="K748" s="116" t="s">
        <v>445</v>
      </c>
      <c r="L748" s="86" t="s">
        <v>492</v>
      </c>
      <c r="M748" s="60" t="s">
        <v>647</v>
      </c>
    </row>
    <row r="749" spans="1:13" x14ac:dyDescent="0.35">
      <c r="A749" s="122">
        <v>45907</v>
      </c>
      <c r="B749" s="85">
        <v>57.41</v>
      </c>
      <c r="C749" s="85">
        <v>5.14</v>
      </c>
      <c r="D749" s="45">
        <v>22509007</v>
      </c>
      <c r="E749" s="45" t="s">
        <v>101</v>
      </c>
      <c r="F749" s="45" t="s">
        <v>58</v>
      </c>
      <c r="G749" s="35">
        <v>0.86458333333333337</v>
      </c>
      <c r="H749" s="35">
        <v>0.91666666666666663</v>
      </c>
      <c r="I749" s="36">
        <v>75</v>
      </c>
      <c r="J749" s="86" t="s">
        <v>25</v>
      </c>
      <c r="K749" s="86" t="s">
        <v>445</v>
      </c>
      <c r="L749" s="86" t="s">
        <v>456</v>
      </c>
      <c r="M749" s="60" t="s">
        <v>323</v>
      </c>
    </row>
    <row r="750" spans="1:13" x14ac:dyDescent="0.35">
      <c r="A750" s="123">
        <v>45908</v>
      </c>
      <c r="B750" s="39">
        <v>58</v>
      </c>
      <c r="C750" s="39">
        <v>5.15</v>
      </c>
      <c r="D750" s="45">
        <v>22509007</v>
      </c>
      <c r="E750" s="45" t="s">
        <v>101</v>
      </c>
      <c r="F750" s="45" t="s">
        <v>58</v>
      </c>
      <c r="G750" s="35">
        <v>0.91666666666666663</v>
      </c>
      <c r="H750" s="35">
        <v>0.9375</v>
      </c>
      <c r="I750" s="36">
        <v>30</v>
      </c>
      <c r="J750" s="86" t="s">
        <v>446</v>
      </c>
      <c r="K750" s="86" t="s">
        <v>445</v>
      </c>
      <c r="L750" s="86" t="s">
        <v>456</v>
      </c>
      <c r="M750" s="121" t="s">
        <v>847</v>
      </c>
    </row>
    <row r="751" spans="1:13" x14ac:dyDescent="0.35">
      <c r="A751" s="123">
        <v>45908</v>
      </c>
      <c r="B751" s="39">
        <v>58</v>
      </c>
      <c r="C751" s="39">
        <v>5.15</v>
      </c>
      <c r="D751" s="45">
        <v>22509008</v>
      </c>
      <c r="E751" s="45" t="s">
        <v>313</v>
      </c>
      <c r="F751" s="45">
        <v>1250</v>
      </c>
      <c r="G751" s="35">
        <v>0.65277777777777779</v>
      </c>
      <c r="H751" s="35">
        <v>0.69305555555555554</v>
      </c>
      <c r="I751" s="36">
        <v>58</v>
      </c>
      <c r="J751" s="86" t="s">
        <v>463</v>
      </c>
      <c r="K751" s="116" t="s">
        <v>445</v>
      </c>
      <c r="L751" s="86" t="s">
        <v>796</v>
      </c>
      <c r="M751" s="121" t="s">
        <v>848</v>
      </c>
    </row>
    <row r="752" spans="1:13" x14ac:dyDescent="0.35">
      <c r="A752" s="123">
        <v>45910</v>
      </c>
      <c r="B752" s="85">
        <v>57.27</v>
      </c>
      <c r="C752" s="85">
        <v>5.31</v>
      </c>
      <c r="D752" s="39">
        <v>22509009</v>
      </c>
      <c r="E752" s="39" t="s">
        <v>141</v>
      </c>
      <c r="F752" s="39">
        <v>1250</v>
      </c>
      <c r="G752" s="35">
        <v>0.99652777777777779</v>
      </c>
      <c r="H752" s="35">
        <v>1.7361111111111112E-2</v>
      </c>
      <c r="I752" s="36">
        <v>30</v>
      </c>
      <c r="J752" s="86" t="s">
        <v>51</v>
      </c>
      <c r="K752" s="86" t="s">
        <v>445</v>
      </c>
      <c r="L752" s="86" t="s">
        <v>53</v>
      </c>
      <c r="M752" s="47" t="s">
        <v>54</v>
      </c>
    </row>
    <row r="753" spans="1:13" x14ac:dyDescent="0.35">
      <c r="A753" s="123">
        <v>45910</v>
      </c>
      <c r="B753" s="39">
        <v>57.94</v>
      </c>
      <c r="C753" s="39">
        <v>5.29</v>
      </c>
      <c r="D753" s="39">
        <v>22509009</v>
      </c>
      <c r="E753" s="39" t="s">
        <v>141</v>
      </c>
      <c r="F753" s="39">
        <v>1250</v>
      </c>
      <c r="G753" s="35">
        <v>1.7361111111111112E-2</v>
      </c>
      <c r="H753" s="35">
        <v>2.7777777777777776E-2</v>
      </c>
      <c r="I753" s="36">
        <v>15</v>
      </c>
      <c r="J753" s="86" t="s">
        <v>52</v>
      </c>
      <c r="K753" s="116" t="s">
        <v>445</v>
      </c>
      <c r="L753" s="86" t="s">
        <v>59</v>
      </c>
      <c r="M753" s="47" t="s">
        <v>432</v>
      </c>
    </row>
    <row r="754" spans="1:13" x14ac:dyDescent="0.35">
      <c r="A754" s="123">
        <v>45910</v>
      </c>
      <c r="B754" s="39">
        <v>57.94</v>
      </c>
      <c r="C754" s="39">
        <v>5.29</v>
      </c>
      <c r="D754" s="39">
        <v>22509009</v>
      </c>
      <c r="E754" s="39" t="s">
        <v>141</v>
      </c>
      <c r="F754" s="39">
        <v>1250</v>
      </c>
      <c r="G754" s="35">
        <v>2.7777777777777776E-2</v>
      </c>
      <c r="H754" s="35">
        <v>5.9027777777777776E-2</v>
      </c>
      <c r="I754" s="36">
        <v>45</v>
      </c>
      <c r="J754" s="86" t="s">
        <v>446</v>
      </c>
      <c r="K754" s="116" t="s">
        <v>283</v>
      </c>
      <c r="L754" s="86" t="s">
        <v>283</v>
      </c>
      <c r="M754" s="47" t="s">
        <v>851</v>
      </c>
    </row>
    <row r="755" spans="1:13" x14ac:dyDescent="0.35">
      <c r="A755" s="123">
        <v>45910</v>
      </c>
      <c r="B755" s="39">
        <v>57.94</v>
      </c>
      <c r="C755" s="39">
        <v>5.29</v>
      </c>
      <c r="D755" s="39">
        <v>22509010</v>
      </c>
      <c r="E755" s="39" t="s">
        <v>285</v>
      </c>
      <c r="F755" s="39">
        <v>1250</v>
      </c>
      <c r="G755" s="35">
        <v>0.25486111111111109</v>
      </c>
      <c r="H755" s="35">
        <v>0.32013888888888886</v>
      </c>
      <c r="I755" s="36">
        <v>94</v>
      </c>
      <c r="J755" s="86" t="s">
        <v>35</v>
      </c>
      <c r="K755" s="116" t="s">
        <v>445</v>
      </c>
      <c r="L755" s="86" t="s">
        <v>838</v>
      </c>
      <c r="M755" s="49" t="s">
        <v>849</v>
      </c>
    </row>
    <row r="756" spans="1:13" x14ac:dyDescent="0.35">
      <c r="A756" s="123">
        <v>45910</v>
      </c>
      <c r="B756" s="39">
        <v>57.94</v>
      </c>
      <c r="C756" s="39">
        <v>5.29</v>
      </c>
      <c r="D756" s="39">
        <v>22509010</v>
      </c>
      <c r="E756" s="39" t="s">
        <v>285</v>
      </c>
      <c r="F756" s="39">
        <v>1250</v>
      </c>
      <c r="G756" s="35">
        <v>0.32013888888888886</v>
      </c>
      <c r="H756" s="35">
        <v>0.38541666666666669</v>
      </c>
      <c r="I756" s="36">
        <v>94</v>
      </c>
      <c r="J756" s="86" t="s">
        <v>35</v>
      </c>
      <c r="K756" s="116" t="s">
        <v>161</v>
      </c>
      <c r="L756" s="86" t="s">
        <v>168</v>
      </c>
      <c r="M756" s="49" t="s">
        <v>849</v>
      </c>
    </row>
    <row r="757" spans="1:13" x14ac:dyDescent="0.35">
      <c r="A757" s="122">
        <v>45911</v>
      </c>
      <c r="B757" s="85">
        <v>58</v>
      </c>
      <c r="C757" s="85">
        <v>5.26</v>
      </c>
      <c r="D757" s="45">
        <v>22509011</v>
      </c>
      <c r="E757" s="45" t="s">
        <v>116</v>
      </c>
      <c r="F757" s="45">
        <v>1250</v>
      </c>
      <c r="G757" s="35">
        <v>0.56319444444444444</v>
      </c>
      <c r="H757" s="35">
        <v>0.64583333333333337</v>
      </c>
      <c r="I757" s="36">
        <v>119</v>
      </c>
      <c r="J757" s="86" t="s">
        <v>35</v>
      </c>
      <c r="K757" s="86" t="s">
        <v>62</v>
      </c>
      <c r="L757" s="49" t="s">
        <v>852</v>
      </c>
      <c r="M757" s="49" t="s">
        <v>852</v>
      </c>
    </row>
    <row r="758" spans="1:13" x14ac:dyDescent="0.35">
      <c r="A758" s="122">
        <v>45912</v>
      </c>
      <c r="B758" s="85">
        <v>58</v>
      </c>
      <c r="C758" s="85">
        <v>5.39</v>
      </c>
      <c r="D758" s="45">
        <v>22509012</v>
      </c>
      <c r="E758" s="45" t="s">
        <v>522</v>
      </c>
      <c r="F758" s="45">
        <v>1235</v>
      </c>
      <c r="G758" s="35">
        <v>0.31944444444444442</v>
      </c>
      <c r="H758" s="35">
        <v>0.91666666666666663</v>
      </c>
      <c r="I758" s="36">
        <v>860</v>
      </c>
      <c r="J758" s="86" t="s">
        <v>448</v>
      </c>
      <c r="K758" s="86" t="s">
        <v>15</v>
      </c>
      <c r="L758" s="86" t="s">
        <v>448</v>
      </c>
      <c r="M758" s="49" t="s">
        <v>17</v>
      </c>
    </row>
    <row r="759" spans="1:13" x14ac:dyDescent="0.35">
      <c r="A759" s="123">
        <v>45913</v>
      </c>
      <c r="B759" s="39">
        <v>58</v>
      </c>
      <c r="C759" s="39">
        <v>5.4</v>
      </c>
      <c r="D759" s="45">
        <v>22509012</v>
      </c>
      <c r="E759" s="45" t="s">
        <v>522</v>
      </c>
      <c r="F759" s="45">
        <v>1235</v>
      </c>
      <c r="G759" s="35">
        <v>0.91666666666666663</v>
      </c>
      <c r="H759" s="35">
        <v>0.20833333333333334</v>
      </c>
      <c r="I759" s="36">
        <v>420</v>
      </c>
      <c r="J759" s="86" t="s">
        <v>448</v>
      </c>
      <c r="K759" s="86" t="s">
        <v>15</v>
      </c>
      <c r="L759" s="86" t="s">
        <v>448</v>
      </c>
      <c r="M759" s="49" t="s">
        <v>17</v>
      </c>
    </row>
    <row r="760" spans="1:13" x14ac:dyDescent="0.35">
      <c r="A760" s="123">
        <v>45913</v>
      </c>
      <c r="B760" s="39">
        <v>58</v>
      </c>
      <c r="C760" s="39">
        <v>5.4</v>
      </c>
      <c r="D760" s="45">
        <v>22509012</v>
      </c>
      <c r="E760" s="45" t="s">
        <v>522</v>
      </c>
      <c r="F760" s="45">
        <v>1235</v>
      </c>
      <c r="G760" s="35">
        <v>0.20833333333333334</v>
      </c>
      <c r="H760" s="35">
        <v>0.2638888888888889</v>
      </c>
      <c r="I760" s="36">
        <v>80</v>
      </c>
      <c r="J760" s="86" t="s">
        <v>446</v>
      </c>
      <c r="K760" s="86" t="s">
        <v>445</v>
      </c>
      <c r="L760" s="86" t="s">
        <v>22</v>
      </c>
      <c r="M760" s="47" t="s">
        <v>347</v>
      </c>
    </row>
    <row r="761" spans="1:13" x14ac:dyDescent="0.35">
      <c r="A761" s="123">
        <v>45914</v>
      </c>
      <c r="B761" s="39">
        <v>58</v>
      </c>
      <c r="C761" s="39">
        <v>5.29</v>
      </c>
      <c r="D761" s="39">
        <v>22509013</v>
      </c>
      <c r="E761" s="150" t="s">
        <v>116</v>
      </c>
      <c r="F761" s="39">
        <v>1035</v>
      </c>
      <c r="G761" s="35">
        <v>0.53611111111111109</v>
      </c>
      <c r="H761" s="35">
        <v>0.55694444444444446</v>
      </c>
      <c r="I761" s="36">
        <v>30</v>
      </c>
      <c r="J761" s="86" t="s">
        <v>51</v>
      </c>
      <c r="K761" s="86" t="s">
        <v>445</v>
      </c>
      <c r="L761" s="86" t="s">
        <v>53</v>
      </c>
      <c r="M761" s="47" t="s">
        <v>54</v>
      </c>
    </row>
    <row r="762" spans="1:13" x14ac:dyDescent="0.35">
      <c r="A762" s="123">
        <v>45914</v>
      </c>
      <c r="B762" s="39">
        <v>58</v>
      </c>
      <c r="C762" s="39">
        <v>5.29</v>
      </c>
      <c r="D762" s="39">
        <v>22509013</v>
      </c>
      <c r="E762" s="150" t="s">
        <v>116</v>
      </c>
      <c r="F762" s="39">
        <v>1035</v>
      </c>
      <c r="G762" s="35">
        <v>0.55694444444444446</v>
      </c>
      <c r="H762" s="35">
        <v>0.56736111111111109</v>
      </c>
      <c r="I762" s="36">
        <v>15</v>
      </c>
      <c r="J762" s="86" t="s">
        <v>52</v>
      </c>
      <c r="K762" s="116" t="s">
        <v>445</v>
      </c>
      <c r="L762" s="86" t="s">
        <v>59</v>
      </c>
      <c r="M762" s="47" t="s">
        <v>432</v>
      </c>
    </row>
    <row r="763" spans="1:13" x14ac:dyDescent="0.35">
      <c r="A763" s="123">
        <v>45914</v>
      </c>
      <c r="B763" s="39">
        <v>58</v>
      </c>
      <c r="C763" s="39">
        <v>5.29</v>
      </c>
      <c r="D763" s="39">
        <v>22509013</v>
      </c>
      <c r="E763" s="150" t="s">
        <v>116</v>
      </c>
      <c r="F763" s="39">
        <v>1035</v>
      </c>
      <c r="G763" s="35">
        <v>0.56736111111111109</v>
      </c>
      <c r="H763" s="35">
        <v>0.57291666666666663</v>
      </c>
      <c r="I763" s="36">
        <v>8</v>
      </c>
      <c r="J763" s="86" t="s">
        <v>446</v>
      </c>
      <c r="K763" s="116" t="s">
        <v>445</v>
      </c>
      <c r="L763" s="86" t="s">
        <v>206</v>
      </c>
      <c r="M763" s="47" t="s">
        <v>856</v>
      </c>
    </row>
    <row r="764" spans="1:13" x14ac:dyDescent="0.35">
      <c r="A764" s="123">
        <v>45915</v>
      </c>
      <c r="B764" s="39">
        <v>57.64</v>
      </c>
      <c r="C764" s="39">
        <v>5.17</v>
      </c>
      <c r="D764" s="39">
        <v>22509014</v>
      </c>
      <c r="E764" s="39" t="s">
        <v>141</v>
      </c>
      <c r="F764" s="39" t="s">
        <v>857</v>
      </c>
      <c r="G764" s="35">
        <v>0.87152777777777779</v>
      </c>
      <c r="H764" s="35">
        <v>0.89236111111111116</v>
      </c>
      <c r="I764" s="36">
        <v>30</v>
      </c>
      <c r="J764" s="86" t="s">
        <v>51</v>
      </c>
      <c r="K764" s="86" t="s">
        <v>445</v>
      </c>
      <c r="L764" s="86" t="s">
        <v>53</v>
      </c>
      <c r="M764" s="47" t="s">
        <v>54</v>
      </c>
    </row>
    <row r="765" spans="1:13" x14ac:dyDescent="0.35">
      <c r="A765" s="123">
        <v>45915</v>
      </c>
      <c r="B765" s="39">
        <v>57.64</v>
      </c>
      <c r="C765" s="39">
        <v>5.17</v>
      </c>
      <c r="D765" s="39">
        <v>22509014</v>
      </c>
      <c r="E765" s="39" t="s">
        <v>141</v>
      </c>
      <c r="F765" s="39" t="s">
        <v>857</v>
      </c>
      <c r="G765" s="35">
        <v>0.89236111111111116</v>
      </c>
      <c r="H765" s="35">
        <v>0.91666666666666663</v>
      </c>
      <c r="I765" s="36">
        <v>35</v>
      </c>
      <c r="J765" s="86" t="s">
        <v>446</v>
      </c>
      <c r="K765" s="86" t="s">
        <v>19</v>
      </c>
      <c r="L765" s="47" t="s">
        <v>858</v>
      </c>
      <c r="M765" s="47" t="s">
        <v>858</v>
      </c>
    </row>
    <row r="766" spans="1:13" x14ac:dyDescent="0.35">
      <c r="A766" s="122">
        <v>45916</v>
      </c>
      <c r="B766" s="85">
        <v>57.05</v>
      </c>
      <c r="C766" s="85">
        <v>5.42</v>
      </c>
      <c r="D766" s="39">
        <v>22509014</v>
      </c>
      <c r="E766" s="39" t="s">
        <v>141</v>
      </c>
      <c r="F766" s="39" t="s">
        <v>857</v>
      </c>
      <c r="G766" s="35">
        <v>0.91666666666666663</v>
      </c>
      <c r="H766" s="35">
        <v>0.98124999999999996</v>
      </c>
      <c r="I766" s="36">
        <v>93</v>
      </c>
      <c r="J766" s="86" t="s">
        <v>446</v>
      </c>
      <c r="K766" s="86" t="s">
        <v>19</v>
      </c>
      <c r="L766" s="86"/>
      <c r="M766" s="47" t="s">
        <v>858</v>
      </c>
    </row>
    <row r="767" spans="1:13" x14ac:dyDescent="0.35">
      <c r="A767" s="123">
        <v>45917</v>
      </c>
      <c r="B767" s="39">
        <v>57.97</v>
      </c>
      <c r="C767" s="39">
        <v>5.1100000000000003</v>
      </c>
      <c r="D767" s="39">
        <v>22509015</v>
      </c>
      <c r="E767" s="39" t="s">
        <v>202</v>
      </c>
      <c r="F767" s="39">
        <v>1350</v>
      </c>
      <c r="G767" s="35">
        <v>0.97013888888888888</v>
      </c>
      <c r="H767" s="35">
        <v>0.99097222222222225</v>
      </c>
      <c r="I767" s="36">
        <v>30</v>
      </c>
      <c r="J767" s="86" t="s">
        <v>51</v>
      </c>
      <c r="K767" s="86" t="s">
        <v>445</v>
      </c>
      <c r="L767" s="86" t="s">
        <v>53</v>
      </c>
      <c r="M767" s="47" t="s">
        <v>54</v>
      </c>
    </row>
    <row r="768" spans="1:13" x14ac:dyDescent="0.35">
      <c r="A768" s="123">
        <v>45917</v>
      </c>
      <c r="B768" s="39">
        <v>57.97</v>
      </c>
      <c r="C768" s="39">
        <v>5.1100000000000003</v>
      </c>
      <c r="D768" s="39">
        <v>22509015</v>
      </c>
      <c r="E768" s="39" t="s">
        <v>202</v>
      </c>
      <c r="F768" s="39">
        <v>1350</v>
      </c>
      <c r="G768" s="35">
        <v>0.99097222222222225</v>
      </c>
      <c r="H768" s="35">
        <v>1.3888888888888889E-3</v>
      </c>
      <c r="I768" s="36">
        <v>15</v>
      </c>
      <c r="J768" s="86" t="s">
        <v>52</v>
      </c>
      <c r="K768" s="116" t="s">
        <v>445</v>
      </c>
      <c r="L768" s="86" t="s">
        <v>59</v>
      </c>
      <c r="M768" s="47" t="s">
        <v>432</v>
      </c>
    </row>
    <row r="769" spans="1:13" x14ac:dyDescent="0.35">
      <c r="A769" s="123">
        <v>45917</v>
      </c>
      <c r="B769" s="39">
        <v>57.97</v>
      </c>
      <c r="C769" s="39">
        <v>5.1100000000000003</v>
      </c>
      <c r="D769" s="39">
        <v>22509016</v>
      </c>
      <c r="E769" s="39" t="s">
        <v>47</v>
      </c>
      <c r="F769" s="39">
        <v>1260</v>
      </c>
      <c r="G769" s="35">
        <v>3.472222222222222E-3</v>
      </c>
      <c r="H769" s="35">
        <v>5.2083333333333336E-2</v>
      </c>
      <c r="I769" s="36">
        <v>70</v>
      </c>
      <c r="J769" s="86" t="s">
        <v>35</v>
      </c>
      <c r="K769" s="86" t="s">
        <v>445</v>
      </c>
      <c r="L769" s="49" t="s">
        <v>769</v>
      </c>
      <c r="M769" s="49" t="s">
        <v>769</v>
      </c>
    </row>
    <row r="770" spans="1:13" x14ac:dyDescent="0.35">
      <c r="A770" s="123">
        <v>45917</v>
      </c>
      <c r="B770" s="39">
        <v>57.97</v>
      </c>
      <c r="C770" s="39">
        <v>5.1100000000000003</v>
      </c>
      <c r="D770" s="39">
        <v>22509016</v>
      </c>
      <c r="E770" s="39" t="s">
        <v>47</v>
      </c>
      <c r="F770" s="39">
        <v>1260</v>
      </c>
      <c r="G770" s="35">
        <v>5.2083333333333336E-2</v>
      </c>
      <c r="H770" s="35">
        <v>5.9027777777777776E-2</v>
      </c>
      <c r="I770" s="36">
        <v>10</v>
      </c>
      <c r="J770" s="86" t="s">
        <v>446</v>
      </c>
      <c r="K770" s="86" t="s">
        <v>445</v>
      </c>
      <c r="L770" s="86" t="s">
        <v>206</v>
      </c>
      <c r="M770" s="47" t="s">
        <v>206</v>
      </c>
    </row>
    <row r="771" spans="1:13" x14ac:dyDescent="0.35">
      <c r="A771" s="123">
        <v>45917</v>
      </c>
      <c r="B771" s="39">
        <v>57.97</v>
      </c>
      <c r="C771" s="39">
        <v>5.1100000000000003</v>
      </c>
      <c r="D771" s="45">
        <v>22509017</v>
      </c>
      <c r="E771" s="45" t="s">
        <v>226</v>
      </c>
      <c r="F771" s="45">
        <v>1255</v>
      </c>
      <c r="G771" s="35">
        <v>0.3888888888888889</v>
      </c>
      <c r="H771" s="35">
        <v>0.46180555555555558</v>
      </c>
      <c r="I771" s="36">
        <v>105</v>
      </c>
      <c r="J771" s="86" t="s">
        <v>35</v>
      </c>
      <c r="K771" s="86" t="s">
        <v>62</v>
      </c>
      <c r="L771" s="86" t="s">
        <v>190</v>
      </c>
      <c r="M771" s="49" t="s">
        <v>102</v>
      </c>
    </row>
    <row r="772" spans="1:13" x14ac:dyDescent="0.35">
      <c r="A772" s="122">
        <v>45918</v>
      </c>
      <c r="B772" s="45">
        <v>57.97</v>
      </c>
      <c r="C772" s="45">
        <v>5.35</v>
      </c>
      <c r="D772" s="45">
        <v>22509018</v>
      </c>
      <c r="E772" s="45" t="s">
        <v>167</v>
      </c>
      <c r="F772" s="45">
        <v>1255</v>
      </c>
      <c r="G772" s="35">
        <v>0.21875</v>
      </c>
      <c r="H772" s="35">
        <v>0.30069444444444443</v>
      </c>
      <c r="I772" s="36">
        <v>118</v>
      </c>
      <c r="J772" s="86" t="s">
        <v>25</v>
      </c>
      <c r="K772" s="86" t="s">
        <v>445</v>
      </c>
      <c r="L772" s="86" t="s">
        <v>456</v>
      </c>
      <c r="M772" s="60" t="s">
        <v>323</v>
      </c>
    </row>
    <row r="773" spans="1:13" x14ac:dyDescent="0.35">
      <c r="A773" s="122">
        <v>45919</v>
      </c>
      <c r="B773" s="45">
        <v>57.05</v>
      </c>
      <c r="C773" s="45">
        <v>5.57</v>
      </c>
      <c r="D773" s="45">
        <v>22509019</v>
      </c>
      <c r="E773" s="45" t="s">
        <v>109</v>
      </c>
      <c r="F773" s="45">
        <v>1230</v>
      </c>
      <c r="G773" s="35">
        <v>0.98611111111111116</v>
      </c>
      <c r="H773" s="35">
        <v>1.7361111111111112E-2</v>
      </c>
      <c r="I773" s="36">
        <v>45</v>
      </c>
      <c r="J773" s="86" t="s">
        <v>463</v>
      </c>
      <c r="K773" s="86" t="s">
        <v>445</v>
      </c>
      <c r="L773" s="86" t="s">
        <v>53</v>
      </c>
      <c r="M773" s="47" t="s">
        <v>864</v>
      </c>
    </row>
    <row r="774" spans="1:13" x14ac:dyDescent="0.35">
      <c r="A774" s="122">
        <v>45920</v>
      </c>
      <c r="B774" s="45">
        <v>57.08</v>
      </c>
      <c r="C774" s="45">
        <v>5.29</v>
      </c>
      <c r="D774" s="45">
        <v>22509020</v>
      </c>
      <c r="E774" s="45" t="s">
        <v>104</v>
      </c>
      <c r="F774" s="45">
        <v>1250</v>
      </c>
      <c r="G774" s="35">
        <v>0.30902777777777779</v>
      </c>
      <c r="H774" s="35">
        <v>0.3298611111111111</v>
      </c>
      <c r="I774" s="36">
        <v>30</v>
      </c>
      <c r="J774" s="86" t="s">
        <v>51</v>
      </c>
      <c r="K774" s="86" t="s">
        <v>445</v>
      </c>
      <c r="L774" s="86" t="s">
        <v>53</v>
      </c>
      <c r="M774" s="47" t="s">
        <v>54</v>
      </c>
    </row>
    <row r="775" spans="1:13" x14ac:dyDescent="0.35">
      <c r="A775" s="123">
        <v>45921</v>
      </c>
      <c r="B775" s="39">
        <v>57.32</v>
      </c>
      <c r="C775" s="39">
        <v>5.16</v>
      </c>
      <c r="D775" s="39">
        <v>22509021</v>
      </c>
      <c r="E775" s="39" t="s">
        <v>119</v>
      </c>
      <c r="F775" s="39">
        <v>1252</v>
      </c>
      <c r="G775" s="35">
        <v>0.64583333333333337</v>
      </c>
      <c r="H775" s="35">
        <v>0.66666666666666663</v>
      </c>
      <c r="I775" s="36">
        <v>30</v>
      </c>
      <c r="J775" s="86" t="s">
        <v>51</v>
      </c>
      <c r="K775" s="86" t="s">
        <v>445</v>
      </c>
      <c r="L775" s="86" t="s">
        <v>53</v>
      </c>
      <c r="M775" s="47" t="s">
        <v>54</v>
      </c>
    </row>
    <row r="776" spans="1:13" x14ac:dyDescent="0.35">
      <c r="A776" s="123">
        <v>45921</v>
      </c>
      <c r="B776" s="39">
        <v>57.32</v>
      </c>
      <c r="C776" s="39">
        <v>5.16</v>
      </c>
      <c r="D776" s="39">
        <v>22509021</v>
      </c>
      <c r="E776" s="39" t="s">
        <v>119</v>
      </c>
      <c r="F776" s="39">
        <v>1252</v>
      </c>
      <c r="G776" s="35">
        <v>0.66666666666666663</v>
      </c>
      <c r="H776" s="35">
        <v>0.67708333333333337</v>
      </c>
      <c r="I776" s="36">
        <v>15</v>
      </c>
      <c r="J776" s="86" t="s">
        <v>52</v>
      </c>
      <c r="K776" s="116" t="s">
        <v>445</v>
      </c>
      <c r="L776" s="86" t="s">
        <v>59</v>
      </c>
      <c r="M776" s="47" t="s">
        <v>432</v>
      </c>
    </row>
    <row r="777" spans="1:13" x14ac:dyDescent="0.35">
      <c r="A777" s="123">
        <v>45921</v>
      </c>
      <c r="B777" s="39">
        <v>57.32</v>
      </c>
      <c r="C777" s="39">
        <v>5.16</v>
      </c>
      <c r="D777" s="39">
        <v>22509021</v>
      </c>
      <c r="E777" s="39" t="s">
        <v>119</v>
      </c>
      <c r="F777" s="39">
        <v>1252</v>
      </c>
      <c r="G777" s="35">
        <v>0.67708333333333337</v>
      </c>
      <c r="H777" s="35">
        <v>0.68402777777777779</v>
      </c>
      <c r="I777" s="36">
        <v>10</v>
      </c>
      <c r="J777" s="86" t="s">
        <v>446</v>
      </c>
      <c r="K777" s="116" t="s">
        <v>19</v>
      </c>
      <c r="L777" s="86" t="s">
        <v>85</v>
      </c>
      <c r="M777" s="47" t="s">
        <v>867</v>
      </c>
    </row>
    <row r="778" spans="1:13" x14ac:dyDescent="0.35">
      <c r="A778" s="123">
        <v>45921</v>
      </c>
      <c r="B778" s="39">
        <v>57.32</v>
      </c>
      <c r="C778" s="39">
        <v>5.16</v>
      </c>
      <c r="D778" s="39">
        <v>22509021</v>
      </c>
      <c r="E778" s="39" t="s">
        <v>119</v>
      </c>
      <c r="F778" s="39">
        <v>1252</v>
      </c>
      <c r="G778" s="35">
        <v>0.68402777777777779</v>
      </c>
      <c r="H778" s="35">
        <v>0.69097222222222221</v>
      </c>
      <c r="I778" s="36">
        <v>10</v>
      </c>
      <c r="J778" s="86" t="s">
        <v>446</v>
      </c>
      <c r="K778" s="86" t="s">
        <v>445</v>
      </c>
      <c r="L778" s="86" t="s">
        <v>74</v>
      </c>
      <c r="M778" s="47" t="s">
        <v>75</v>
      </c>
    </row>
    <row r="779" spans="1:13" x14ac:dyDescent="0.35">
      <c r="A779" s="123">
        <v>45922</v>
      </c>
      <c r="B779" s="39">
        <v>57.45</v>
      </c>
      <c r="C779" s="39">
        <v>4.93</v>
      </c>
      <c r="D779" s="45">
        <v>22509022</v>
      </c>
      <c r="E779" s="45" t="s">
        <v>208</v>
      </c>
      <c r="F779" s="45">
        <v>1205</v>
      </c>
      <c r="G779" s="35">
        <v>0.48402777777777778</v>
      </c>
      <c r="H779" s="35">
        <v>0.55902777777777779</v>
      </c>
      <c r="I779" s="36">
        <v>108</v>
      </c>
      <c r="J779" s="86" t="s">
        <v>463</v>
      </c>
      <c r="K779" s="86" t="s">
        <v>19</v>
      </c>
      <c r="L779" s="86" t="s">
        <v>868</v>
      </c>
      <c r="M779" s="47" t="s">
        <v>869</v>
      </c>
    </row>
    <row r="780" spans="1:13" x14ac:dyDescent="0.35">
      <c r="A780" s="123">
        <v>45922</v>
      </c>
      <c r="B780" s="39">
        <v>57.45</v>
      </c>
      <c r="C780" s="39">
        <v>4.93</v>
      </c>
      <c r="D780" s="39">
        <v>22509023</v>
      </c>
      <c r="E780" s="39" t="s">
        <v>126</v>
      </c>
      <c r="F780" s="39">
        <v>1250</v>
      </c>
      <c r="G780" s="35">
        <v>0.65972222222222221</v>
      </c>
      <c r="H780" s="35">
        <v>0.72222222222222221</v>
      </c>
      <c r="I780" s="36">
        <v>90</v>
      </c>
      <c r="J780" s="86" t="s">
        <v>25</v>
      </c>
      <c r="K780" s="86" t="s">
        <v>445</v>
      </c>
      <c r="L780" s="86" t="s">
        <v>456</v>
      </c>
      <c r="M780" s="60" t="s">
        <v>323</v>
      </c>
    </row>
    <row r="781" spans="1:13" x14ac:dyDescent="0.35">
      <c r="A781" s="123">
        <v>45922</v>
      </c>
      <c r="B781" s="39">
        <v>57.45</v>
      </c>
      <c r="C781" s="39">
        <v>4.93</v>
      </c>
      <c r="D781" s="39">
        <v>22509023</v>
      </c>
      <c r="E781" s="39" t="s">
        <v>126</v>
      </c>
      <c r="F781" s="39">
        <v>1250</v>
      </c>
      <c r="G781" s="35">
        <v>0.72222222222222221</v>
      </c>
      <c r="H781" s="35">
        <v>0.73472222222222228</v>
      </c>
      <c r="I781" s="36">
        <v>18</v>
      </c>
      <c r="J781" s="86" t="s">
        <v>446</v>
      </c>
      <c r="K781" s="86" t="s">
        <v>445</v>
      </c>
      <c r="L781" s="86" t="s">
        <v>74</v>
      </c>
      <c r="M781" s="47" t="s">
        <v>75</v>
      </c>
    </row>
    <row r="782" spans="1:13" x14ac:dyDescent="0.35">
      <c r="A782" s="123">
        <v>45923</v>
      </c>
      <c r="B782" s="39">
        <v>56.9</v>
      </c>
      <c r="C782" s="39">
        <v>4.5</v>
      </c>
      <c r="D782" s="39">
        <v>22509024</v>
      </c>
      <c r="E782" s="39" t="s">
        <v>160</v>
      </c>
      <c r="F782" s="39">
        <v>1250</v>
      </c>
      <c r="G782" s="35">
        <v>7.9166666666666663E-2</v>
      </c>
      <c r="H782" s="35">
        <v>0.14166666666666666</v>
      </c>
      <c r="I782" s="36">
        <v>90</v>
      </c>
      <c r="J782" s="86" t="s">
        <v>25</v>
      </c>
      <c r="K782" s="86" t="s">
        <v>445</v>
      </c>
      <c r="L782" s="86" t="s">
        <v>492</v>
      </c>
      <c r="M782" s="60" t="s">
        <v>647</v>
      </c>
    </row>
    <row r="783" spans="1:13" x14ac:dyDescent="0.35">
      <c r="A783" s="123">
        <v>45923</v>
      </c>
      <c r="B783" s="39">
        <v>56.9</v>
      </c>
      <c r="C783" s="39">
        <v>4.5</v>
      </c>
      <c r="D783" s="39">
        <v>22509024</v>
      </c>
      <c r="E783" s="39" t="s">
        <v>160</v>
      </c>
      <c r="F783" s="39">
        <v>1250</v>
      </c>
      <c r="G783" s="35">
        <v>0.14166666666666666</v>
      </c>
      <c r="H783" s="35">
        <v>0.14861111111111111</v>
      </c>
      <c r="I783" s="36">
        <v>10</v>
      </c>
      <c r="J783" s="86" t="s">
        <v>446</v>
      </c>
      <c r="K783" s="86" t="s">
        <v>445</v>
      </c>
      <c r="L783" s="86" t="s">
        <v>74</v>
      </c>
      <c r="M783" s="47" t="s">
        <v>75</v>
      </c>
    </row>
    <row r="784" spans="1:13" x14ac:dyDescent="0.35">
      <c r="A784" s="123">
        <v>45923</v>
      </c>
      <c r="B784" s="39">
        <v>56.9</v>
      </c>
      <c r="C784" s="39">
        <v>4.5</v>
      </c>
      <c r="D784" s="39">
        <v>22509024</v>
      </c>
      <c r="E784" s="39" t="s">
        <v>160</v>
      </c>
      <c r="F784" s="39">
        <v>1250</v>
      </c>
      <c r="G784" s="35">
        <v>0.14861111111111111</v>
      </c>
      <c r="H784" s="35">
        <v>0.20416666666666666</v>
      </c>
      <c r="I784" s="36">
        <v>80</v>
      </c>
      <c r="J784" s="86" t="s">
        <v>446</v>
      </c>
      <c r="K784" s="86" t="s">
        <v>161</v>
      </c>
      <c r="L784" s="86" t="s">
        <v>803</v>
      </c>
      <c r="M784" s="47" t="s">
        <v>870</v>
      </c>
    </row>
    <row r="785" spans="1:13" x14ac:dyDescent="0.35">
      <c r="A785" s="123">
        <v>45923</v>
      </c>
      <c r="B785" s="39">
        <v>56.9</v>
      </c>
      <c r="C785" s="39">
        <v>4.5</v>
      </c>
      <c r="D785" s="39">
        <v>22509024</v>
      </c>
      <c r="E785" s="39" t="s">
        <v>160</v>
      </c>
      <c r="F785" s="39">
        <v>1250</v>
      </c>
      <c r="G785" s="35">
        <v>0.20416666666666666</v>
      </c>
      <c r="H785" s="35">
        <v>0.20833333333333334</v>
      </c>
      <c r="I785" s="36">
        <v>6</v>
      </c>
      <c r="J785" s="86" t="s">
        <v>446</v>
      </c>
      <c r="K785" s="116" t="s">
        <v>26</v>
      </c>
      <c r="L785" s="86" t="s">
        <v>32</v>
      </c>
      <c r="M785" s="47" t="s">
        <v>871</v>
      </c>
    </row>
    <row r="786" spans="1:13" x14ac:dyDescent="0.35">
      <c r="A786" s="123">
        <v>45924</v>
      </c>
      <c r="B786" s="39">
        <v>57.5</v>
      </c>
      <c r="C786" s="39">
        <v>5.01</v>
      </c>
      <c r="D786" s="39">
        <v>22509025</v>
      </c>
      <c r="E786" s="39" t="s">
        <v>202</v>
      </c>
      <c r="F786" s="39">
        <v>1250</v>
      </c>
      <c r="G786" s="35">
        <v>0.50138888888888888</v>
      </c>
      <c r="H786" s="35">
        <v>0.52222222222222225</v>
      </c>
      <c r="I786" s="36">
        <v>30</v>
      </c>
      <c r="J786" s="86" t="s">
        <v>51</v>
      </c>
      <c r="K786" s="86" t="s">
        <v>445</v>
      </c>
      <c r="L786" s="86" t="s">
        <v>53</v>
      </c>
      <c r="M786" s="47" t="s">
        <v>54</v>
      </c>
    </row>
    <row r="787" spans="1:13" x14ac:dyDescent="0.35">
      <c r="A787" s="123">
        <v>45924</v>
      </c>
      <c r="B787" s="39">
        <v>57.5</v>
      </c>
      <c r="C787" s="39">
        <v>5.01</v>
      </c>
      <c r="D787" s="39">
        <v>22509025</v>
      </c>
      <c r="E787" s="39" t="s">
        <v>202</v>
      </c>
      <c r="F787" s="39">
        <v>1250</v>
      </c>
      <c r="G787" s="35">
        <v>0.52222222222222225</v>
      </c>
      <c r="H787" s="35">
        <v>0.52916666666666667</v>
      </c>
      <c r="I787" s="36">
        <v>10</v>
      </c>
      <c r="J787" s="86" t="s">
        <v>446</v>
      </c>
      <c r="K787" s="86" t="s">
        <v>445</v>
      </c>
      <c r="L787" s="86" t="s">
        <v>22</v>
      </c>
      <c r="M787" s="47" t="s">
        <v>22</v>
      </c>
    </row>
    <row r="788" spans="1:13" x14ac:dyDescent="0.35">
      <c r="A788" s="123">
        <v>45925</v>
      </c>
      <c r="B788" s="39">
        <v>58</v>
      </c>
      <c r="C788" s="39">
        <v>5.43</v>
      </c>
      <c r="D788" s="39">
        <v>22509026</v>
      </c>
      <c r="E788" s="39" t="s">
        <v>72</v>
      </c>
      <c r="F788" s="39" t="s">
        <v>715</v>
      </c>
      <c r="G788" s="35">
        <v>0.82499999999999996</v>
      </c>
      <c r="H788" s="35">
        <v>0.84583333333333333</v>
      </c>
      <c r="I788" s="36">
        <v>30</v>
      </c>
      <c r="J788" s="86" t="s">
        <v>51</v>
      </c>
      <c r="K788" s="86" t="s">
        <v>445</v>
      </c>
      <c r="L788" s="86" t="s">
        <v>53</v>
      </c>
      <c r="M788" s="47" t="s">
        <v>54</v>
      </c>
    </row>
    <row r="789" spans="1:13" x14ac:dyDescent="0.35">
      <c r="A789" s="123">
        <v>45925</v>
      </c>
      <c r="B789" s="39">
        <v>58</v>
      </c>
      <c r="C789" s="39">
        <v>5.43</v>
      </c>
      <c r="D789" s="39">
        <v>22509026</v>
      </c>
      <c r="E789" s="39" t="s">
        <v>72</v>
      </c>
      <c r="F789" s="39" t="s">
        <v>715</v>
      </c>
      <c r="G789" s="35">
        <v>0.84583333333333333</v>
      </c>
      <c r="H789" s="35">
        <v>0.84930555555555554</v>
      </c>
      <c r="I789" s="36">
        <v>5</v>
      </c>
      <c r="J789" s="86" t="s">
        <v>446</v>
      </c>
      <c r="K789" s="86" t="s">
        <v>445</v>
      </c>
      <c r="L789" s="86" t="s">
        <v>74</v>
      </c>
      <c r="M789" s="47" t="s">
        <v>75</v>
      </c>
    </row>
    <row r="790" spans="1:13" x14ac:dyDescent="0.35">
      <c r="A790" s="123">
        <v>45927</v>
      </c>
      <c r="B790" s="45">
        <v>58</v>
      </c>
      <c r="C790" s="45">
        <v>5.03</v>
      </c>
      <c r="D790" s="39">
        <v>22509027</v>
      </c>
      <c r="E790" s="39" t="s">
        <v>69</v>
      </c>
      <c r="F790" s="39">
        <v>1240</v>
      </c>
      <c r="G790" s="35">
        <v>0.97916666666666663</v>
      </c>
      <c r="H790" s="35">
        <v>0</v>
      </c>
      <c r="I790" s="36">
        <v>30</v>
      </c>
      <c r="J790" s="86" t="s">
        <v>51</v>
      </c>
      <c r="K790" s="86" t="s">
        <v>445</v>
      </c>
      <c r="L790" s="86" t="s">
        <v>53</v>
      </c>
      <c r="M790" s="86" t="s">
        <v>54</v>
      </c>
    </row>
    <row r="791" spans="1:13" x14ac:dyDescent="0.35">
      <c r="A791" s="123">
        <v>45927</v>
      </c>
      <c r="B791" s="39">
        <v>58</v>
      </c>
      <c r="C791" s="39">
        <v>5.31</v>
      </c>
      <c r="D791" s="39">
        <v>22509027</v>
      </c>
      <c r="E791" s="39" t="s">
        <v>69</v>
      </c>
      <c r="F791" s="39">
        <v>1240</v>
      </c>
      <c r="G791" s="35">
        <v>0</v>
      </c>
      <c r="H791" s="35">
        <v>1.0416666666666666E-2</v>
      </c>
      <c r="I791" s="36">
        <v>15</v>
      </c>
      <c r="J791" s="86" t="s">
        <v>52</v>
      </c>
      <c r="K791" s="116" t="s">
        <v>445</v>
      </c>
      <c r="L791" s="86" t="s">
        <v>59</v>
      </c>
      <c r="M791" s="86" t="s">
        <v>432</v>
      </c>
    </row>
    <row r="792" spans="1:13" x14ac:dyDescent="0.35">
      <c r="A792" s="123">
        <v>45927</v>
      </c>
      <c r="B792" s="39">
        <v>58</v>
      </c>
      <c r="C792" s="39">
        <v>5.31</v>
      </c>
      <c r="D792" s="39">
        <v>22509027</v>
      </c>
      <c r="E792" s="39" t="s">
        <v>69</v>
      </c>
      <c r="F792" s="39">
        <v>1240</v>
      </c>
      <c r="G792" s="35">
        <v>1.0416666666666666E-2</v>
      </c>
      <c r="H792" s="35">
        <v>1.3194444444444444E-2</v>
      </c>
      <c r="I792" s="36">
        <v>4</v>
      </c>
      <c r="J792" s="86" t="s">
        <v>446</v>
      </c>
      <c r="K792" s="86" t="s">
        <v>445</v>
      </c>
      <c r="L792" s="86" t="s">
        <v>74</v>
      </c>
      <c r="M792" s="86" t="s">
        <v>75</v>
      </c>
    </row>
    <row r="793" spans="1:13" x14ac:dyDescent="0.35">
      <c r="A793" s="122">
        <v>45928</v>
      </c>
      <c r="B793" s="45">
        <v>58</v>
      </c>
      <c r="C793" s="45">
        <v>5.35</v>
      </c>
      <c r="D793" s="45">
        <v>22509028</v>
      </c>
      <c r="E793" s="45" t="s">
        <v>104</v>
      </c>
      <c r="F793" s="45">
        <v>1230</v>
      </c>
      <c r="G793" s="35">
        <v>0.32430555555555557</v>
      </c>
      <c r="H793" s="35">
        <v>0.34513888888888888</v>
      </c>
      <c r="I793" s="36">
        <v>30</v>
      </c>
      <c r="J793" s="86" t="s">
        <v>51</v>
      </c>
      <c r="K793" s="86" t="s">
        <v>445</v>
      </c>
      <c r="L793" s="86" t="s">
        <v>53</v>
      </c>
      <c r="M793" s="86" t="s">
        <v>54</v>
      </c>
    </row>
    <row r="794" spans="1:13" x14ac:dyDescent="0.35">
      <c r="A794" s="123">
        <v>45929</v>
      </c>
      <c r="B794" s="39">
        <v>57.75</v>
      </c>
      <c r="C794" s="39">
        <v>5.31</v>
      </c>
      <c r="D794" s="39">
        <v>22509029</v>
      </c>
      <c r="E794" s="39" t="s">
        <v>496</v>
      </c>
      <c r="F794" s="39">
        <v>1250</v>
      </c>
      <c r="G794" s="35">
        <v>0.64583333333333337</v>
      </c>
      <c r="H794" s="35">
        <v>0.66666666666666663</v>
      </c>
      <c r="I794" s="36">
        <v>30</v>
      </c>
      <c r="J794" s="86" t="s">
        <v>51</v>
      </c>
      <c r="K794" s="86" t="s">
        <v>445</v>
      </c>
      <c r="L794" s="86" t="s">
        <v>53</v>
      </c>
      <c r="M794" s="86" t="s">
        <v>54</v>
      </c>
    </row>
    <row r="795" spans="1:13" x14ac:dyDescent="0.35">
      <c r="A795" s="123">
        <v>45929</v>
      </c>
      <c r="B795" s="39">
        <v>57.75</v>
      </c>
      <c r="C795" s="39">
        <v>5.31</v>
      </c>
      <c r="D795" s="39">
        <v>22509029</v>
      </c>
      <c r="E795" s="39" t="s">
        <v>496</v>
      </c>
      <c r="F795" s="39">
        <v>1250</v>
      </c>
      <c r="G795" s="35">
        <v>0.66666666666666663</v>
      </c>
      <c r="H795" s="35">
        <v>0.67708333333333337</v>
      </c>
      <c r="I795" s="36">
        <v>15</v>
      </c>
      <c r="J795" s="86" t="s">
        <v>52</v>
      </c>
      <c r="K795" s="116" t="s">
        <v>445</v>
      </c>
      <c r="L795" s="86" t="s">
        <v>59</v>
      </c>
      <c r="M795" s="86" t="s">
        <v>432</v>
      </c>
    </row>
    <row r="796" spans="1:13" x14ac:dyDescent="0.35">
      <c r="A796" s="123">
        <v>45929</v>
      </c>
      <c r="B796" s="39">
        <v>57.75</v>
      </c>
      <c r="C796" s="39">
        <v>5.31</v>
      </c>
      <c r="D796" s="39">
        <v>22509029</v>
      </c>
      <c r="E796" s="39" t="s">
        <v>496</v>
      </c>
      <c r="F796" s="39">
        <v>1250</v>
      </c>
      <c r="G796" s="35">
        <v>0.67708333333333337</v>
      </c>
      <c r="H796" s="35">
        <v>0.68055555555555558</v>
      </c>
      <c r="I796" s="36">
        <v>5</v>
      </c>
      <c r="J796" s="86" t="s">
        <v>446</v>
      </c>
      <c r="K796" s="116" t="s">
        <v>445</v>
      </c>
      <c r="L796" s="86" t="s">
        <v>74</v>
      </c>
      <c r="M796" s="86" t="s">
        <v>75</v>
      </c>
    </row>
    <row r="797" spans="1:13" x14ac:dyDescent="0.35">
      <c r="A797" s="122">
        <v>45930</v>
      </c>
      <c r="B797" s="45">
        <v>58</v>
      </c>
      <c r="C797" s="45">
        <v>5</v>
      </c>
      <c r="D797" s="45">
        <v>22509030</v>
      </c>
      <c r="E797" s="45" t="s">
        <v>122</v>
      </c>
      <c r="F797" s="45">
        <v>1252</v>
      </c>
      <c r="G797" s="35">
        <v>0.70486111111111116</v>
      </c>
      <c r="H797" s="35">
        <v>0.76249999999999996</v>
      </c>
      <c r="I797" s="36">
        <v>83</v>
      </c>
      <c r="J797" s="86" t="s">
        <v>25</v>
      </c>
      <c r="K797" s="86" t="s">
        <v>445</v>
      </c>
      <c r="L797" s="86" t="s">
        <v>456</v>
      </c>
      <c r="M797" s="86" t="s">
        <v>323</v>
      </c>
    </row>
    <row r="798" spans="1:13" x14ac:dyDescent="0.35">
      <c r="A798" s="123">
        <v>45932</v>
      </c>
      <c r="B798" s="39">
        <v>58</v>
      </c>
      <c r="C798" s="39">
        <v>5.33</v>
      </c>
      <c r="D798" s="39">
        <v>22509031</v>
      </c>
      <c r="E798" s="39" t="s">
        <v>104</v>
      </c>
      <c r="F798" s="39">
        <v>1230</v>
      </c>
      <c r="G798" s="35">
        <v>6.25E-2</v>
      </c>
      <c r="H798" s="35">
        <v>8.3333333333333329E-2</v>
      </c>
      <c r="I798" s="36">
        <v>30</v>
      </c>
      <c r="J798" s="86" t="s">
        <v>51</v>
      </c>
      <c r="K798" s="86" t="s">
        <v>445</v>
      </c>
      <c r="L798" s="86" t="s">
        <v>53</v>
      </c>
      <c r="M798" s="152" t="s">
        <v>54</v>
      </c>
    </row>
    <row r="799" spans="1:13" x14ac:dyDescent="0.35">
      <c r="A799" s="123">
        <v>45932</v>
      </c>
      <c r="B799" s="39">
        <v>58</v>
      </c>
      <c r="C799" s="39">
        <v>5.33</v>
      </c>
      <c r="D799" s="39">
        <v>22509031</v>
      </c>
      <c r="E799" s="39" t="s">
        <v>104</v>
      </c>
      <c r="F799" s="39">
        <v>1230</v>
      </c>
      <c r="G799" s="35">
        <v>8.3333333333333329E-2</v>
      </c>
      <c r="H799" s="35">
        <v>9.375E-2</v>
      </c>
      <c r="I799" s="36">
        <v>15</v>
      </c>
      <c r="J799" s="86" t="s">
        <v>446</v>
      </c>
      <c r="K799" s="116" t="s">
        <v>19</v>
      </c>
      <c r="L799" s="152" t="s">
        <v>875</v>
      </c>
      <c r="M799" s="152" t="s">
        <v>875</v>
      </c>
    </row>
    <row r="800" spans="1:13" x14ac:dyDescent="0.35">
      <c r="A800" s="123">
        <v>45933</v>
      </c>
      <c r="B800" s="39">
        <v>58</v>
      </c>
      <c r="C800" s="39">
        <v>5.26</v>
      </c>
      <c r="D800" s="39">
        <v>22510001</v>
      </c>
      <c r="E800" s="39" t="s">
        <v>104</v>
      </c>
      <c r="F800" s="39">
        <v>1240</v>
      </c>
      <c r="G800" s="35">
        <v>0.38194444444444442</v>
      </c>
      <c r="H800" s="35">
        <v>0.40277777777777779</v>
      </c>
      <c r="I800" s="36">
        <v>30</v>
      </c>
      <c r="J800" s="47" t="s">
        <v>51</v>
      </c>
      <c r="K800" s="86" t="s">
        <v>445</v>
      </c>
      <c r="L800" s="86" t="s">
        <v>53</v>
      </c>
      <c r="M800" s="152" t="s">
        <v>54</v>
      </c>
    </row>
    <row r="801" spans="1:13" x14ac:dyDescent="0.35">
      <c r="A801" s="123">
        <v>45933</v>
      </c>
      <c r="B801" s="39">
        <v>58</v>
      </c>
      <c r="C801" s="39">
        <v>5.26</v>
      </c>
      <c r="D801" s="39">
        <v>22510001</v>
      </c>
      <c r="E801" s="39" t="s">
        <v>104</v>
      </c>
      <c r="F801" s="39">
        <v>1240</v>
      </c>
      <c r="G801" s="35">
        <v>0.40277777777777779</v>
      </c>
      <c r="H801" s="35">
        <v>0.41319444444444442</v>
      </c>
      <c r="I801" s="36">
        <v>15</v>
      </c>
      <c r="J801" s="47" t="s">
        <v>52</v>
      </c>
      <c r="K801" s="86" t="s">
        <v>445</v>
      </c>
      <c r="L801" s="86" t="s">
        <v>59</v>
      </c>
      <c r="M801" s="152" t="s">
        <v>432</v>
      </c>
    </row>
    <row r="802" spans="1:13" x14ac:dyDescent="0.35">
      <c r="A802" s="123">
        <v>45933</v>
      </c>
      <c r="B802" s="39">
        <v>58</v>
      </c>
      <c r="C802" s="39">
        <v>5.26</v>
      </c>
      <c r="D802" s="39">
        <v>22510001</v>
      </c>
      <c r="E802" s="39" t="s">
        <v>104</v>
      </c>
      <c r="F802" s="39">
        <v>1240</v>
      </c>
      <c r="G802" s="35">
        <v>0.41319444444444442</v>
      </c>
      <c r="H802" s="35">
        <v>0.41666666666666669</v>
      </c>
      <c r="I802" s="36">
        <v>5</v>
      </c>
      <c r="J802" s="47" t="s">
        <v>446</v>
      </c>
      <c r="K802" s="86" t="s">
        <v>445</v>
      </c>
      <c r="L802" s="86" t="s">
        <v>74</v>
      </c>
      <c r="M802" s="152" t="s">
        <v>75</v>
      </c>
    </row>
    <row r="803" spans="1:13" x14ac:dyDescent="0.35">
      <c r="A803" s="122">
        <v>45934</v>
      </c>
      <c r="B803" s="45">
        <v>58</v>
      </c>
      <c r="C803" s="45">
        <v>5.43</v>
      </c>
      <c r="D803" s="45">
        <v>22510002</v>
      </c>
      <c r="E803" s="45" t="s">
        <v>104</v>
      </c>
      <c r="F803" s="45">
        <v>1255</v>
      </c>
      <c r="G803" s="151">
        <v>0.70138888888888884</v>
      </c>
      <c r="H803" s="151">
        <v>0.72222222222222221</v>
      </c>
      <c r="I803" s="36">
        <v>30</v>
      </c>
      <c r="J803" s="86" t="s">
        <v>51</v>
      </c>
      <c r="K803" s="86" t="s">
        <v>445</v>
      </c>
      <c r="L803" s="86" t="s">
        <v>53</v>
      </c>
      <c r="M803" s="152" t="s">
        <v>54</v>
      </c>
    </row>
    <row r="804" spans="1:13" x14ac:dyDescent="0.35">
      <c r="A804" s="123">
        <v>45935</v>
      </c>
      <c r="B804" s="39">
        <v>57.82</v>
      </c>
      <c r="C804" s="39">
        <v>4.99</v>
      </c>
      <c r="D804" s="39">
        <v>22510003</v>
      </c>
      <c r="E804" s="39" t="s">
        <v>273</v>
      </c>
      <c r="F804" s="39">
        <v>1255</v>
      </c>
      <c r="G804" s="35">
        <v>0.56458333333333333</v>
      </c>
      <c r="H804" s="35">
        <v>0.5854166666666667</v>
      </c>
      <c r="I804" s="36">
        <v>30</v>
      </c>
      <c r="J804" s="86" t="s">
        <v>51</v>
      </c>
      <c r="K804" s="86" t="s">
        <v>445</v>
      </c>
      <c r="L804" s="86" t="s">
        <v>53</v>
      </c>
      <c r="M804" s="152" t="s">
        <v>880</v>
      </c>
    </row>
    <row r="805" spans="1:13" x14ac:dyDescent="0.35">
      <c r="A805" s="123">
        <v>45935</v>
      </c>
      <c r="B805" s="39">
        <v>57.82</v>
      </c>
      <c r="C805" s="39">
        <v>4.99</v>
      </c>
      <c r="D805" s="39">
        <v>22510003</v>
      </c>
      <c r="E805" s="39" t="s">
        <v>273</v>
      </c>
      <c r="F805" s="39">
        <v>1255</v>
      </c>
      <c r="G805" s="35">
        <v>0.5854166666666667</v>
      </c>
      <c r="H805" s="35">
        <v>0.59583333333333333</v>
      </c>
      <c r="I805" s="36">
        <v>15</v>
      </c>
      <c r="J805" s="86" t="s">
        <v>52</v>
      </c>
      <c r="K805" s="86" t="s">
        <v>445</v>
      </c>
      <c r="L805" s="86" t="s">
        <v>59</v>
      </c>
      <c r="M805" s="154" t="s">
        <v>432</v>
      </c>
    </row>
    <row r="806" spans="1:13" x14ac:dyDescent="0.35">
      <c r="A806" s="123">
        <v>45936</v>
      </c>
      <c r="B806" s="39">
        <v>57.42</v>
      </c>
      <c r="C806" s="39">
        <v>5.07</v>
      </c>
      <c r="D806" s="46">
        <v>22510004</v>
      </c>
      <c r="E806" s="45" t="s">
        <v>226</v>
      </c>
      <c r="F806" s="45">
        <v>1350</v>
      </c>
      <c r="G806" s="35">
        <v>0.9770833333333333</v>
      </c>
      <c r="H806" s="35">
        <v>0.26597222222222222</v>
      </c>
      <c r="I806" s="36">
        <v>416</v>
      </c>
      <c r="J806" s="86" t="s">
        <v>463</v>
      </c>
      <c r="K806" s="86" t="s">
        <v>283</v>
      </c>
      <c r="L806" s="86" t="s">
        <v>283</v>
      </c>
      <c r="M806" s="152" t="s">
        <v>878</v>
      </c>
    </row>
    <row r="807" spans="1:13" x14ac:dyDescent="0.35">
      <c r="A807" s="123">
        <v>45936</v>
      </c>
      <c r="B807" s="39">
        <v>57.42</v>
      </c>
      <c r="C807" s="39">
        <v>5.07</v>
      </c>
      <c r="D807" s="39">
        <v>22510005</v>
      </c>
      <c r="E807" s="39" t="s">
        <v>173</v>
      </c>
      <c r="F807" s="39">
        <v>1350</v>
      </c>
      <c r="G807" s="35">
        <v>0.29722222222222222</v>
      </c>
      <c r="H807" s="35">
        <v>0.34583333333333333</v>
      </c>
      <c r="I807" s="36">
        <v>70</v>
      </c>
      <c r="J807" s="86" t="s">
        <v>35</v>
      </c>
      <c r="K807" s="86" t="s">
        <v>41</v>
      </c>
      <c r="L807" s="86" t="s">
        <v>454</v>
      </c>
      <c r="M807" s="152" t="s">
        <v>881</v>
      </c>
    </row>
    <row r="808" spans="1:13" x14ac:dyDescent="0.35">
      <c r="A808" s="123">
        <v>45936</v>
      </c>
      <c r="B808" s="39">
        <v>57.42</v>
      </c>
      <c r="C808" s="39">
        <v>5.07</v>
      </c>
      <c r="D808" s="39">
        <v>22510005</v>
      </c>
      <c r="E808" s="39" t="s">
        <v>173</v>
      </c>
      <c r="F808" s="39">
        <v>1350</v>
      </c>
      <c r="G808" s="35">
        <v>0.34583333333333333</v>
      </c>
      <c r="H808" s="35">
        <v>0.59375</v>
      </c>
      <c r="I808" s="36">
        <v>357</v>
      </c>
      <c r="J808" s="86" t="s">
        <v>446</v>
      </c>
      <c r="K808" s="86" t="s">
        <v>41</v>
      </c>
      <c r="L808" s="86" t="s">
        <v>454</v>
      </c>
      <c r="M808" s="152" t="s">
        <v>882</v>
      </c>
    </row>
    <row r="809" spans="1:13" x14ac:dyDescent="0.35">
      <c r="A809" s="123">
        <v>45937</v>
      </c>
      <c r="B809" s="39">
        <v>57.3</v>
      </c>
      <c r="C809" s="39">
        <v>4.8499999999999996</v>
      </c>
      <c r="D809" s="39">
        <v>22510006</v>
      </c>
      <c r="E809" s="39" t="s">
        <v>50</v>
      </c>
      <c r="F809" s="39">
        <v>1350</v>
      </c>
      <c r="G809" s="35">
        <v>0.52986111111111112</v>
      </c>
      <c r="H809" s="35">
        <v>0.59236111111111112</v>
      </c>
      <c r="I809" s="36">
        <v>90</v>
      </c>
      <c r="J809" s="86" t="s">
        <v>25</v>
      </c>
      <c r="K809" s="86" t="s">
        <v>445</v>
      </c>
      <c r="L809" s="86" t="s">
        <v>456</v>
      </c>
      <c r="M809" s="60" t="s">
        <v>323</v>
      </c>
    </row>
    <row r="810" spans="1:13" x14ac:dyDescent="0.35">
      <c r="A810" s="123">
        <v>45937</v>
      </c>
      <c r="B810" s="39">
        <v>57.3</v>
      </c>
      <c r="C810" s="39">
        <v>4.8499999999999996</v>
      </c>
      <c r="D810" s="39">
        <v>22510006</v>
      </c>
      <c r="E810" s="39" t="s">
        <v>50</v>
      </c>
      <c r="F810" s="39">
        <v>1350</v>
      </c>
      <c r="G810" s="35">
        <v>0.59236111111111112</v>
      </c>
      <c r="H810" s="35">
        <v>0.63888888888888884</v>
      </c>
      <c r="I810" s="36">
        <v>67</v>
      </c>
      <c r="J810" s="86" t="s">
        <v>446</v>
      </c>
      <c r="K810" s="116" t="s">
        <v>445</v>
      </c>
      <c r="L810" s="86" t="s">
        <v>650</v>
      </c>
      <c r="M810" s="47" t="s">
        <v>293</v>
      </c>
    </row>
    <row r="811" spans="1:13" x14ac:dyDescent="0.35">
      <c r="A811" s="123">
        <v>45939</v>
      </c>
      <c r="B811" s="45">
        <v>58</v>
      </c>
      <c r="C811" s="45">
        <v>5.0599999999999996</v>
      </c>
      <c r="D811" s="39">
        <v>22510007</v>
      </c>
      <c r="E811" s="39" t="s">
        <v>72</v>
      </c>
      <c r="F811" s="39" t="s">
        <v>58</v>
      </c>
      <c r="G811" s="35">
        <v>0.92847222222222225</v>
      </c>
      <c r="H811" s="35">
        <v>0.94930555555555551</v>
      </c>
      <c r="I811" s="36">
        <v>30</v>
      </c>
      <c r="J811" s="86" t="s">
        <v>51</v>
      </c>
      <c r="K811" s="86" t="s">
        <v>445</v>
      </c>
      <c r="L811" s="86" t="s">
        <v>53</v>
      </c>
      <c r="M811" s="152" t="s">
        <v>54</v>
      </c>
    </row>
    <row r="812" spans="1:13" x14ac:dyDescent="0.35">
      <c r="A812" s="123">
        <v>45939</v>
      </c>
      <c r="B812" s="45">
        <v>58</v>
      </c>
      <c r="C812" s="45">
        <v>5.38</v>
      </c>
      <c r="D812" s="39">
        <v>22510007</v>
      </c>
      <c r="E812" s="39" t="s">
        <v>72</v>
      </c>
      <c r="F812" s="39" t="s">
        <v>58</v>
      </c>
      <c r="G812" s="35">
        <v>0.94930555555555551</v>
      </c>
      <c r="H812" s="35">
        <v>0.95277777777777772</v>
      </c>
      <c r="I812" s="36">
        <v>5</v>
      </c>
      <c r="J812" s="86" t="s">
        <v>446</v>
      </c>
      <c r="K812" s="86" t="s">
        <v>445</v>
      </c>
      <c r="L812" s="152" t="s">
        <v>580</v>
      </c>
      <c r="M812" s="152" t="s">
        <v>580</v>
      </c>
    </row>
    <row r="813" spans="1:13" x14ac:dyDescent="0.35">
      <c r="A813" s="123">
        <v>45940</v>
      </c>
      <c r="B813" s="39">
        <v>57.81</v>
      </c>
      <c r="C813" s="39">
        <v>5.27</v>
      </c>
      <c r="D813" s="39">
        <v>22510008</v>
      </c>
      <c r="E813" s="39" t="s">
        <v>80</v>
      </c>
      <c r="F813" s="39">
        <v>1250</v>
      </c>
      <c r="G813" s="35">
        <v>9.7222222222222224E-2</v>
      </c>
      <c r="H813" s="35">
        <v>0.14583333333333334</v>
      </c>
      <c r="I813" s="36">
        <v>70</v>
      </c>
      <c r="J813" s="86" t="s">
        <v>35</v>
      </c>
      <c r="K813" s="86" t="s">
        <v>445</v>
      </c>
      <c r="L813" s="86"/>
      <c r="M813" s="153" t="s">
        <v>883</v>
      </c>
    </row>
    <row r="814" spans="1:13" x14ac:dyDescent="0.35">
      <c r="A814" s="123">
        <v>45940</v>
      </c>
      <c r="B814" s="39">
        <v>57.81</v>
      </c>
      <c r="C814" s="39">
        <v>5.27</v>
      </c>
      <c r="D814" s="39">
        <v>22510008</v>
      </c>
      <c r="E814" s="39" t="s">
        <v>80</v>
      </c>
      <c r="F814" s="39">
        <v>1250</v>
      </c>
      <c r="G814" s="35">
        <v>0.14583333333333334</v>
      </c>
      <c r="H814" s="35">
        <v>0.15069444444444444</v>
      </c>
      <c r="I814" s="36">
        <v>7</v>
      </c>
      <c r="J814" s="86" t="s">
        <v>446</v>
      </c>
      <c r="K814" s="86" t="s">
        <v>445</v>
      </c>
      <c r="L814" s="86" t="s">
        <v>74</v>
      </c>
      <c r="M814" s="152" t="s">
        <v>74</v>
      </c>
    </row>
    <row r="815" spans="1:13" x14ac:dyDescent="0.35">
      <c r="A815" s="123">
        <v>45941</v>
      </c>
      <c r="B815" s="39">
        <v>58</v>
      </c>
      <c r="C815" s="39">
        <v>5.31</v>
      </c>
      <c r="D815" s="39">
        <v>22510009</v>
      </c>
      <c r="E815" s="39" t="s">
        <v>496</v>
      </c>
      <c r="F815" s="39" t="s">
        <v>884</v>
      </c>
      <c r="G815" s="35">
        <v>0.43541666666666667</v>
      </c>
      <c r="H815" s="35">
        <v>0.45624999999999999</v>
      </c>
      <c r="I815" s="36">
        <v>30</v>
      </c>
      <c r="J815" s="86" t="s">
        <v>51</v>
      </c>
      <c r="K815" s="86" t="s">
        <v>445</v>
      </c>
      <c r="L815" s="86" t="s">
        <v>53</v>
      </c>
      <c r="M815" s="152" t="s">
        <v>54</v>
      </c>
    </row>
    <row r="816" spans="1:13" x14ac:dyDescent="0.35">
      <c r="A816" s="123">
        <v>45941</v>
      </c>
      <c r="B816" s="39">
        <v>58</v>
      </c>
      <c r="C816" s="39">
        <v>5.31</v>
      </c>
      <c r="D816" s="39">
        <v>22510009</v>
      </c>
      <c r="E816" s="39" t="s">
        <v>496</v>
      </c>
      <c r="F816" s="39" t="s">
        <v>884</v>
      </c>
      <c r="G816" s="35">
        <v>0.45624999999999999</v>
      </c>
      <c r="H816" s="35">
        <v>0.47708333333333336</v>
      </c>
      <c r="I816" s="36">
        <v>30</v>
      </c>
      <c r="J816" s="86" t="s">
        <v>52</v>
      </c>
      <c r="K816" s="86" t="s">
        <v>445</v>
      </c>
      <c r="L816" s="86" t="s">
        <v>178</v>
      </c>
      <c r="M816" s="152" t="s">
        <v>179</v>
      </c>
    </row>
    <row r="817" spans="1:13" x14ac:dyDescent="0.35">
      <c r="A817" s="123">
        <v>45941</v>
      </c>
      <c r="B817" s="39">
        <v>58</v>
      </c>
      <c r="C817" s="39">
        <v>5.31</v>
      </c>
      <c r="D817" s="39">
        <v>22510009</v>
      </c>
      <c r="E817" s="39" t="s">
        <v>496</v>
      </c>
      <c r="F817" s="39" t="s">
        <v>884</v>
      </c>
      <c r="G817" s="35">
        <v>0.47708333333333336</v>
      </c>
      <c r="H817" s="35">
        <v>0.4861111111111111</v>
      </c>
      <c r="I817" s="36">
        <v>13</v>
      </c>
      <c r="J817" s="86" t="s">
        <v>446</v>
      </c>
      <c r="K817" s="116" t="s">
        <v>19</v>
      </c>
      <c r="L817" s="152" t="s">
        <v>886</v>
      </c>
      <c r="M817" s="152" t="s">
        <v>886</v>
      </c>
    </row>
    <row r="818" spans="1:13" x14ac:dyDescent="0.35">
      <c r="A818" s="123">
        <v>45942</v>
      </c>
      <c r="B818" s="39">
        <v>58</v>
      </c>
      <c r="C818" s="39">
        <v>4.92</v>
      </c>
      <c r="D818" s="39">
        <v>22510010</v>
      </c>
      <c r="E818" s="39" t="s">
        <v>156</v>
      </c>
      <c r="F818" s="39" t="s">
        <v>887</v>
      </c>
      <c r="G818" s="35">
        <v>0.39930555555555558</v>
      </c>
      <c r="H818" s="155">
        <v>0.44791666666666669</v>
      </c>
      <c r="I818" s="36">
        <v>70</v>
      </c>
      <c r="J818" s="86" t="s">
        <v>35</v>
      </c>
      <c r="K818" s="116" t="s">
        <v>26</v>
      </c>
      <c r="L818" s="86" t="s">
        <v>529</v>
      </c>
      <c r="M818" s="49" t="s">
        <v>888</v>
      </c>
    </row>
    <row r="819" spans="1:13" x14ac:dyDescent="0.35">
      <c r="A819" s="123">
        <v>45942</v>
      </c>
      <c r="B819" s="39">
        <v>58</v>
      </c>
      <c r="C819" s="39">
        <v>4.92</v>
      </c>
      <c r="D819" s="39">
        <v>22510010</v>
      </c>
      <c r="E819" s="39" t="s">
        <v>156</v>
      </c>
      <c r="F819" s="39" t="s">
        <v>887</v>
      </c>
      <c r="G819" s="151">
        <v>0.44791666666666669</v>
      </c>
      <c r="H819" s="155">
        <v>0.4513888888888889</v>
      </c>
      <c r="I819" s="36">
        <v>5</v>
      </c>
      <c r="J819" s="86" t="s">
        <v>446</v>
      </c>
      <c r="K819" s="86" t="s">
        <v>26</v>
      </c>
      <c r="L819" s="86" t="s">
        <v>32</v>
      </c>
      <c r="M819" s="47" t="s">
        <v>32</v>
      </c>
    </row>
    <row r="820" spans="1:13" x14ac:dyDescent="0.35">
      <c r="A820" s="123">
        <v>45942</v>
      </c>
      <c r="B820" s="39">
        <v>58</v>
      </c>
      <c r="C820" s="39">
        <v>4.92</v>
      </c>
      <c r="D820" s="45">
        <v>22510011</v>
      </c>
      <c r="E820" s="45" t="s">
        <v>18</v>
      </c>
      <c r="F820" s="45">
        <v>1250</v>
      </c>
      <c r="G820" s="35">
        <v>0.89444444444444449</v>
      </c>
      <c r="H820" s="35">
        <v>0.91666666666666663</v>
      </c>
      <c r="I820" s="36">
        <v>32</v>
      </c>
      <c r="J820" s="86" t="s">
        <v>463</v>
      </c>
      <c r="K820" s="86" t="s">
        <v>19</v>
      </c>
      <c r="L820" s="86" t="s">
        <v>143</v>
      </c>
      <c r="M820" s="47" t="s">
        <v>889</v>
      </c>
    </row>
    <row r="821" spans="1:13" x14ac:dyDescent="0.35">
      <c r="A821" s="123">
        <v>45943</v>
      </c>
      <c r="B821" s="39">
        <v>58</v>
      </c>
      <c r="C821" s="39">
        <v>5.03</v>
      </c>
      <c r="D821" s="45">
        <v>22510011</v>
      </c>
      <c r="E821" s="45" t="s">
        <v>18</v>
      </c>
      <c r="F821" s="45">
        <v>1250</v>
      </c>
      <c r="G821" s="35">
        <v>0.91666666666666663</v>
      </c>
      <c r="H821" s="35">
        <v>7.6388888888888895E-2</v>
      </c>
      <c r="I821" s="36">
        <v>230</v>
      </c>
      <c r="J821" s="86" t="s">
        <v>463</v>
      </c>
      <c r="K821" s="86" t="s">
        <v>19</v>
      </c>
      <c r="L821" s="86" t="s">
        <v>143</v>
      </c>
      <c r="M821" s="47" t="s">
        <v>890</v>
      </c>
    </row>
    <row r="822" spans="1:13" x14ac:dyDescent="0.35">
      <c r="A822" s="123">
        <v>45943</v>
      </c>
      <c r="B822" s="39">
        <v>58</v>
      </c>
      <c r="C822" s="39">
        <v>5.03</v>
      </c>
      <c r="D822" s="39">
        <v>22510012</v>
      </c>
      <c r="E822" s="39" t="s">
        <v>47</v>
      </c>
      <c r="F822" s="39">
        <v>1250</v>
      </c>
      <c r="G822" s="35">
        <v>7.8472222222222221E-2</v>
      </c>
      <c r="H822" s="35">
        <v>0.14097222222222222</v>
      </c>
      <c r="I822" s="36">
        <v>90</v>
      </c>
      <c r="J822" s="86" t="s">
        <v>25</v>
      </c>
      <c r="K822" s="86" t="s">
        <v>445</v>
      </c>
      <c r="L822" s="86" t="s">
        <v>492</v>
      </c>
      <c r="M822" s="60" t="s">
        <v>647</v>
      </c>
    </row>
    <row r="823" spans="1:13" x14ac:dyDescent="0.35">
      <c r="A823" s="123">
        <v>45943</v>
      </c>
      <c r="B823" s="39">
        <v>58</v>
      </c>
      <c r="C823" s="39">
        <v>5.03</v>
      </c>
      <c r="D823" s="39">
        <v>22510012</v>
      </c>
      <c r="E823" s="39" t="s">
        <v>47</v>
      </c>
      <c r="F823" s="39">
        <v>1250</v>
      </c>
      <c r="G823" s="35">
        <v>0.14097222222222222</v>
      </c>
      <c r="H823" s="35">
        <v>0.19097222222222221</v>
      </c>
      <c r="I823" s="36">
        <v>72</v>
      </c>
      <c r="J823" s="86" t="s">
        <v>446</v>
      </c>
      <c r="K823" s="86" t="s">
        <v>445</v>
      </c>
      <c r="L823" s="86" t="s">
        <v>74</v>
      </c>
      <c r="M823" s="47" t="s">
        <v>75</v>
      </c>
    </row>
    <row r="824" spans="1:13" x14ac:dyDescent="0.35">
      <c r="A824" s="123">
        <v>45944</v>
      </c>
      <c r="B824" s="39">
        <v>58</v>
      </c>
      <c r="C824" s="39">
        <v>4.24</v>
      </c>
      <c r="D824" s="39">
        <v>22510013</v>
      </c>
      <c r="E824" s="39" t="s">
        <v>101</v>
      </c>
      <c r="F824" s="39">
        <v>1250</v>
      </c>
      <c r="G824" s="35">
        <v>0.43402777777777779</v>
      </c>
      <c r="H824" s="35">
        <v>0.4548611111111111</v>
      </c>
      <c r="I824" s="36">
        <v>30</v>
      </c>
      <c r="J824" s="86" t="s">
        <v>51</v>
      </c>
      <c r="K824" s="86" t="s">
        <v>445</v>
      </c>
      <c r="L824" s="86" t="s">
        <v>53</v>
      </c>
      <c r="M824" s="152" t="s">
        <v>54</v>
      </c>
    </row>
    <row r="825" spans="1:13" x14ac:dyDescent="0.35">
      <c r="A825" s="123">
        <v>45944</v>
      </c>
      <c r="B825" s="39">
        <v>58</v>
      </c>
      <c r="C825" s="39">
        <v>4.24</v>
      </c>
      <c r="D825" s="39">
        <v>22510013</v>
      </c>
      <c r="E825" s="39" t="s">
        <v>101</v>
      </c>
      <c r="F825" s="39">
        <v>1250</v>
      </c>
      <c r="G825" s="35">
        <v>0.4548611111111111</v>
      </c>
      <c r="H825" s="35">
        <v>0.47569444444444442</v>
      </c>
      <c r="I825" s="36">
        <v>20</v>
      </c>
      <c r="J825" s="86" t="s">
        <v>446</v>
      </c>
      <c r="K825" s="116" t="s">
        <v>19</v>
      </c>
      <c r="L825" s="86" t="s">
        <v>868</v>
      </c>
      <c r="M825" s="152" t="s">
        <v>893</v>
      </c>
    </row>
    <row r="826" spans="1:13" x14ac:dyDescent="0.35">
      <c r="A826" s="123">
        <v>45944</v>
      </c>
      <c r="B826" s="39">
        <v>58</v>
      </c>
      <c r="C826" s="39">
        <v>4.24</v>
      </c>
      <c r="D826" s="39">
        <v>22510013</v>
      </c>
      <c r="E826" s="39" t="s">
        <v>101</v>
      </c>
      <c r="F826" s="39">
        <v>1250</v>
      </c>
      <c r="G826" s="35">
        <v>0.47569444444444442</v>
      </c>
      <c r="H826" s="35">
        <v>0.48680555555555555</v>
      </c>
      <c r="I826" s="36">
        <v>26</v>
      </c>
      <c r="J826" s="86" t="s">
        <v>446</v>
      </c>
      <c r="K826" s="86" t="s">
        <v>41</v>
      </c>
      <c r="L826" s="86" t="s">
        <v>454</v>
      </c>
      <c r="M826" s="152" t="s">
        <v>894</v>
      </c>
    </row>
    <row r="827" spans="1:13" x14ac:dyDescent="0.35">
      <c r="A827" s="123">
        <v>45944</v>
      </c>
      <c r="B827" s="39">
        <v>58</v>
      </c>
      <c r="C827" s="39">
        <v>4.24</v>
      </c>
      <c r="D827" s="46">
        <v>22510014</v>
      </c>
      <c r="E827" s="45" t="s">
        <v>38</v>
      </c>
      <c r="F827" s="45">
        <v>1250</v>
      </c>
      <c r="G827" s="35">
        <v>0.75</v>
      </c>
      <c r="H827" s="35">
        <v>0.82291666666666663</v>
      </c>
      <c r="I827" s="36">
        <v>105</v>
      </c>
      <c r="J827" s="86" t="s">
        <v>35</v>
      </c>
      <c r="K827" s="86" t="s">
        <v>62</v>
      </c>
      <c r="L827" s="86" t="s">
        <v>190</v>
      </c>
      <c r="M827" s="153" t="s">
        <v>892</v>
      </c>
    </row>
    <row r="828" spans="1:13" x14ac:dyDescent="0.35">
      <c r="A828" s="123">
        <v>45944</v>
      </c>
      <c r="B828" s="39">
        <v>58</v>
      </c>
      <c r="C828" s="39">
        <v>4.24</v>
      </c>
      <c r="D828" s="46">
        <v>22510015</v>
      </c>
      <c r="E828" s="45" t="s">
        <v>47</v>
      </c>
      <c r="F828" s="45">
        <v>1240</v>
      </c>
      <c r="G828" s="35">
        <v>0.86458333333333337</v>
      </c>
      <c r="H828" s="35">
        <v>0.91666666666666663</v>
      </c>
      <c r="I828" s="36">
        <v>75</v>
      </c>
      <c r="J828" s="86" t="s">
        <v>463</v>
      </c>
      <c r="K828" s="86" t="s">
        <v>445</v>
      </c>
      <c r="L828" s="152" t="s">
        <v>895</v>
      </c>
      <c r="M828" s="152" t="s">
        <v>895</v>
      </c>
    </row>
    <row r="829" spans="1:13" x14ac:dyDescent="0.35">
      <c r="A829" s="123">
        <v>45944</v>
      </c>
      <c r="B829" s="39">
        <v>58</v>
      </c>
      <c r="C829" s="39">
        <v>4.24</v>
      </c>
      <c r="D829" s="46">
        <v>22510015</v>
      </c>
      <c r="E829" s="45" t="s">
        <v>47</v>
      </c>
      <c r="F829" s="45">
        <v>1240</v>
      </c>
      <c r="G829" s="35">
        <v>0.91666666666666663</v>
      </c>
      <c r="H829" s="35">
        <v>0.92013888888888884</v>
      </c>
      <c r="I829" s="36">
        <v>5</v>
      </c>
      <c r="J829" s="86" t="s">
        <v>446</v>
      </c>
      <c r="K829" s="86" t="s">
        <v>445</v>
      </c>
      <c r="L829" s="152" t="s">
        <v>896</v>
      </c>
      <c r="M829" s="152" t="s">
        <v>896</v>
      </c>
    </row>
    <row r="830" spans="1:13" x14ac:dyDescent="0.35">
      <c r="A830" s="123">
        <v>45946</v>
      </c>
      <c r="B830" s="39">
        <v>58</v>
      </c>
      <c r="C830" s="39">
        <v>4.47</v>
      </c>
      <c r="D830" s="39">
        <v>22510016</v>
      </c>
      <c r="E830" s="39" t="s">
        <v>101</v>
      </c>
      <c r="F830" s="39">
        <v>1240</v>
      </c>
      <c r="G830" s="35">
        <v>0.2013888888888889</v>
      </c>
      <c r="H830" s="35">
        <v>0.22222222222222221</v>
      </c>
      <c r="I830" s="36">
        <v>30</v>
      </c>
      <c r="J830" s="86" t="s">
        <v>51</v>
      </c>
      <c r="K830" s="86" t="s">
        <v>445</v>
      </c>
      <c r="L830" s="86" t="s">
        <v>53</v>
      </c>
      <c r="M830" s="152" t="s">
        <v>54</v>
      </c>
    </row>
    <row r="831" spans="1:13" x14ac:dyDescent="0.35">
      <c r="A831" s="123">
        <v>45946</v>
      </c>
      <c r="B831" s="39">
        <v>58</v>
      </c>
      <c r="C831" s="39">
        <v>4.47</v>
      </c>
      <c r="D831" s="39">
        <v>22510016</v>
      </c>
      <c r="E831" s="39" t="s">
        <v>101</v>
      </c>
      <c r="F831" s="39">
        <v>1240</v>
      </c>
      <c r="G831" s="35">
        <v>0.22222222222222221</v>
      </c>
      <c r="H831" s="35">
        <v>0.2326388888888889</v>
      </c>
      <c r="I831" s="36">
        <v>15</v>
      </c>
      <c r="J831" s="86" t="s">
        <v>52</v>
      </c>
      <c r="K831" s="86" t="s">
        <v>445</v>
      </c>
      <c r="L831" s="86" t="s">
        <v>59</v>
      </c>
      <c r="M831" s="152" t="s">
        <v>59</v>
      </c>
    </row>
    <row r="832" spans="1:13" x14ac:dyDescent="0.35">
      <c r="A832" s="123">
        <v>45946</v>
      </c>
      <c r="B832" s="39">
        <v>58</v>
      </c>
      <c r="C832" s="39">
        <v>4.47</v>
      </c>
      <c r="D832" s="39">
        <v>22510016</v>
      </c>
      <c r="E832" s="39" t="s">
        <v>101</v>
      </c>
      <c r="F832" s="39">
        <v>1240</v>
      </c>
      <c r="G832" s="35">
        <v>0.2326388888888889</v>
      </c>
      <c r="H832" s="35">
        <v>0.23472222222222222</v>
      </c>
      <c r="I832" s="36">
        <v>3</v>
      </c>
      <c r="J832" s="86" t="s">
        <v>446</v>
      </c>
      <c r="K832" s="86" t="s">
        <v>19</v>
      </c>
      <c r="L832" s="152" t="s">
        <v>899</v>
      </c>
      <c r="M832" s="152" t="s">
        <v>899</v>
      </c>
    </row>
    <row r="833" spans="1:13" x14ac:dyDescent="0.35">
      <c r="A833" s="123">
        <v>45946</v>
      </c>
      <c r="B833" s="39">
        <v>58</v>
      </c>
      <c r="C833" s="39">
        <v>4.47</v>
      </c>
      <c r="D833" s="39">
        <v>22510016</v>
      </c>
      <c r="E833" s="39" t="s">
        <v>101</v>
      </c>
      <c r="F833" s="39">
        <v>1240</v>
      </c>
      <c r="G833" s="35">
        <v>0.23472222222222222</v>
      </c>
      <c r="H833" s="35">
        <v>0.2361111111111111</v>
      </c>
      <c r="I833" s="36">
        <v>2</v>
      </c>
      <c r="J833" s="86" t="s">
        <v>446</v>
      </c>
      <c r="K833" s="86" t="s">
        <v>41</v>
      </c>
      <c r="L833" s="152" t="s">
        <v>900</v>
      </c>
      <c r="M833" s="152" t="s">
        <v>900</v>
      </c>
    </row>
    <row r="834" spans="1:13" x14ac:dyDescent="0.35">
      <c r="A834" s="122">
        <v>45947</v>
      </c>
      <c r="B834" s="45">
        <v>58</v>
      </c>
      <c r="C834" s="45">
        <v>4.87</v>
      </c>
      <c r="D834" s="45">
        <v>22510017</v>
      </c>
      <c r="E834" s="45" t="s">
        <v>208</v>
      </c>
      <c r="F834" s="45" t="s">
        <v>88</v>
      </c>
      <c r="G834" s="35">
        <v>0.1111111111111111</v>
      </c>
      <c r="H834" s="35">
        <v>0.37847222222222221</v>
      </c>
      <c r="I834" s="36">
        <v>385</v>
      </c>
      <c r="J834" s="86" t="s">
        <v>463</v>
      </c>
      <c r="K834" s="86" t="s">
        <v>26</v>
      </c>
      <c r="L834" s="86" t="s">
        <v>67</v>
      </c>
      <c r="M834" s="152" t="s">
        <v>911</v>
      </c>
    </row>
    <row r="835" spans="1:13" x14ac:dyDescent="0.35">
      <c r="A835" s="123">
        <v>45948</v>
      </c>
      <c r="B835" s="39">
        <v>58</v>
      </c>
      <c r="C835" s="39">
        <v>5.26</v>
      </c>
      <c r="D835" s="39">
        <v>22510018</v>
      </c>
      <c r="E835" s="39" t="s">
        <v>119</v>
      </c>
      <c r="F835" s="39">
        <v>1230</v>
      </c>
      <c r="G835" s="35">
        <v>0.67013888888888884</v>
      </c>
      <c r="H835" s="35">
        <v>0.69097222222222221</v>
      </c>
      <c r="I835" s="36">
        <v>30</v>
      </c>
      <c r="J835" s="86" t="s">
        <v>51</v>
      </c>
      <c r="K835" s="86" t="s">
        <v>445</v>
      </c>
      <c r="L835" s="86" t="s">
        <v>53</v>
      </c>
      <c r="M835" s="152" t="s">
        <v>54</v>
      </c>
    </row>
    <row r="836" spans="1:13" x14ac:dyDescent="0.35">
      <c r="A836" s="123">
        <v>45948</v>
      </c>
      <c r="B836" s="39">
        <v>58</v>
      </c>
      <c r="C836" s="39">
        <v>5.26</v>
      </c>
      <c r="D836" s="39">
        <v>22510018</v>
      </c>
      <c r="E836" s="39" t="s">
        <v>119</v>
      </c>
      <c r="F836" s="39">
        <v>1230</v>
      </c>
      <c r="G836" s="35">
        <v>0.69097222222222221</v>
      </c>
      <c r="H836" s="35">
        <v>0.70138888888888884</v>
      </c>
      <c r="I836" s="36">
        <v>15</v>
      </c>
      <c r="J836" s="86" t="s">
        <v>52</v>
      </c>
      <c r="K836" s="86" t="s">
        <v>445</v>
      </c>
      <c r="L836" s="86" t="s">
        <v>59</v>
      </c>
      <c r="M836" s="152" t="s">
        <v>59</v>
      </c>
    </row>
    <row r="837" spans="1:13" x14ac:dyDescent="0.35">
      <c r="A837" s="122">
        <v>45949</v>
      </c>
      <c r="B837" s="45">
        <v>57.4</v>
      </c>
      <c r="C837" s="45">
        <v>5.43</v>
      </c>
      <c r="D837" s="39">
        <v>22510019</v>
      </c>
      <c r="E837" s="39" t="s">
        <v>72</v>
      </c>
      <c r="F837" s="39">
        <v>1255</v>
      </c>
      <c r="G837" s="35">
        <v>6.9444444444444441E-3</v>
      </c>
      <c r="H837" s="35">
        <v>2.7777777777777776E-2</v>
      </c>
      <c r="I837" s="36">
        <v>30</v>
      </c>
      <c r="J837" s="86" t="s">
        <v>51</v>
      </c>
      <c r="K837" s="86" t="s">
        <v>445</v>
      </c>
      <c r="L837" s="86" t="s">
        <v>53</v>
      </c>
      <c r="M837" s="47" t="s">
        <v>54</v>
      </c>
    </row>
    <row r="838" spans="1:13" x14ac:dyDescent="0.35">
      <c r="A838" s="123">
        <v>45950</v>
      </c>
      <c r="B838" s="39">
        <v>58</v>
      </c>
      <c r="C838" s="39">
        <v>5.23</v>
      </c>
      <c r="D838" s="39">
        <v>22510019</v>
      </c>
      <c r="E838" s="39" t="s">
        <v>72</v>
      </c>
      <c r="F838" s="39">
        <v>1255</v>
      </c>
      <c r="G838" s="35">
        <v>2.7777777777777776E-2</v>
      </c>
      <c r="H838" s="35">
        <v>4.8611111111111112E-2</v>
      </c>
      <c r="I838" s="36">
        <v>30</v>
      </c>
      <c r="J838" s="86" t="s">
        <v>52</v>
      </c>
      <c r="K838" s="86" t="s">
        <v>445</v>
      </c>
      <c r="L838" s="86" t="s">
        <v>178</v>
      </c>
      <c r="M838" s="47" t="s">
        <v>179</v>
      </c>
    </row>
    <row r="839" spans="1:13" x14ac:dyDescent="0.35">
      <c r="A839" s="123">
        <v>45950</v>
      </c>
      <c r="B839" s="39">
        <v>58</v>
      </c>
      <c r="C839" s="39">
        <v>5.23</v>
      </c>
      <c r="D839" s="39">
        <v>22510019</v>
      </c>
      <c r="E839" s="39" t="s">
        <v>72</v>
      </c>
      <c r="F839" s="39">
        <v>1255</v>
      </c>
      <c r="G839" s="35">
        <v>4.8611111111111112E-2</v>
      </c>
      <c r="H839" s="35">
        <v>7.1527777777777773E-2</v>
      </c>
      <c r="I839" s="36">
        <v>33</v>
      </c>
      <c r="J839" s="86" t="s">
        <v>446</v>
      </c>
      <c r="K839" s="116" t="s">
        <v>445</v>
      </c>
      <c r="L839" s="86" t="s">
        <v>22</v>
      </c>
      <c r="M839" s="47" t="s">
        <v>912</v>
      </c>
    </row>
    <row r="840" spans="1:13" x14ac:dyDescent="0.35">
      <c r="A840" s="123">
        <v>45950</v>
      </c>
      <c r="B840" s="39">
        <v>58</v>
      </c>
      <c r="C840" s="39">
        <v>5.23</v>
      </c>
      <c r="D840" s="39">
        <v>22510020</v>
      </c>
      <c r="E840" s="39" t="s">
        <v>173</v>
      </c>
      <c r="F840" s="39">
        <v>1235</v>
      </c>
      <c r="G840" s="35">
        <v>0.11458333333333333</v>
      </c>
      <c r="H840" s="35">
        <v>0.16319444444444445</v>
      </c>
      <c r="I840" s="36">
        <v>70</v>
      </c>
      <c r="J840" s="86" t="s">
        <v>35</v>
      </c>
      <c r="K840" s="86" t="s">
        <v>19</v>
      </c>
      <c r="L840" s="86" t="s">
        <v>143</v>
      </c>
      <c r="M840" s="49" t="s">
        <v>288</v>
      </c>
    </row>
    <row r="841" spans="1:13" x14ac:dyDescent="0.35">
      <c r="A841" s="123">
        <v>45950</v>
      </c>
      <c r="B841" s="39">
        <v>58</v>
      </c>
      <c r="C841" s="39">
        <v>5.23</v>
      </c>
      <c r="D841" s="39">
        <v>22510020</v>
      </c>
      <c r="E841" s="39" t="s">
        <v>173</v>
      </c>
      <c r="F841" s="39">
        <v>1235</v>
      </c>
      <c r="G841" s="35">
        <v>0.16319444444444445</v>
      </c>
      <c r="H841" s="35">
        <v>0.19791666666666666</v>
      </c>
      <c r="I841" s="36">
        <v>50</v>
      </c>
      <c r="J841" s="86" t="s">
        <v>446</v>
      </c>
      <c r="K841" s="86" t="s">
        <v>19</v>
      </c>
      <c r="L841" s="86" t="s">
        <v>203</v>
      </c>
      <c r="M841" s="47" t="s">
        <v>913</v>
      </c>
    </row>
    <row r="842" spans="1:13" x14ac:dyDescent="0.35">
      <c r="A842" s="123">
        <v>45951</v>
      </c>
      <c r="B842" s="39">
        <v>58</v>
      </c>
      <c r="C842" s="39">
        <v>5.07</v>
      </c>
      <c r="D842" s="39">
        <v>22510021</v>
      </c>
      <c r="E842" s="39" t="s">
        <v>141</v>
      </c>
      <c r="F842" s="39">
        <v>1230</v>
      </c>
      <c r="G842" s="35">
        <v>0.48958333333333331</v>
      </c>
      <c r="H842" s="35">
        <v>0.51041666666666663</v>
      </c>
      <c r="I842" s="36">
        <v>30</v>
      </c>
      <c r="J842" s="86" t="s">
        <v>51</v>
      </c>
      <c r="K842" s="86" t="s">
        <v>445</v>
      </c>
      <c r="L842" s="86" t="s">
        <v>53</v>
      </c>
      <c r="M842" s="47" t="s">
        <v>54</v>
      </c>
    </row>
    <row r="843" spans="1:13" x14ac:dyDescent="0.35">
      <c r="A843" s="123">
        <v>45951</v>
      </c>
      <c r="B843" s="39">
        <v>58</v>
      </c>
      <c r="C843" s="39">
        <v>5.07</v>
      </c>
      <c r="D843" s="39">
        <v>22510021</v>
      </c>
      <c r="E843" s="39" t="s">
        <v>141</v>
      </c>
      <c r="F843" s="39">
        <v>1230</v>
      </c>
      <c r="G843" s="35">
        <v>0.51041666666666663</v>
      </c>
      <c r="H843" s="35">
        <v>0.52083333333333337</v>
      </c>
      <c r="I843" s="36">
        <v>15</v>
      </c>
      <c r="J843" s="86" t="s">
        <v>446</v>
      </c>
      <c r="K843" s="86" t="s">
        <v>41</v>
      </c>
      <c r="L843" s="86" t="s">
        <v>454</v>
      </c>
      <c r="M843" s="47" t="s">
        <v>914</v>
      </c>
    </row>
    <row r="844" spans="1:13" x14ac:dyDescent="0.35">
      <c r="A844" s="123">
        <v>45951</v>
      </c>
      <c r="B844" s="39">
        <v>58</v>
      </c>
      <c r="C844" s="39">
        <v>5.07</v>
      </c>
      <c r="D844" s="39">
        <v>22510021</v>
      </c>
      <c r="E844" s="39" t="s">
        <v>141</v>
      </c>
      <c r="F844" s="39">
        <v>1230</v>
      </c>
      <c r="G844" s="35">
        <v>0.52083333333333337</v>
      </c>
      <c r="H844" s="35">
        <v>0.57638888888888884</v>
      </c>
      <c r="I844" s="36">
        <v>80</v>
      </c>
      <c r="J844" s="86" t="s">
        <v>446</v>
      </c>
      <c r="K844" s="86" t="s">
        <v>26</v>
      </c>
      <c r="L844" s="86" t="s">
        <v>32</v>
      </c>
      <c r="M844" s="47" t="s">
        <v>284</v>
      </c>
    </row>
    <row r="845" spans="1:13" x14ac:dyDescent="0.35">
      <c r="A845" s="123">
        <v>45951</v>
      </c>
      <c r="B845" s="39">
        <v>58</v>
      </c>
      <c r="C845" s="39">
        <v>5.07</v>
      </c>
      <c r="D845" s="39">
        <v>22510022</v>
      </c>
      <c r="E845" s="39" t="s">
        <v>175</v>
      </c>
      <c r="F845" s="39">
        <v>1250</v>
      </c>
      <c r="G845" s="35">
        <v>0.72291666666666665</v>
      </c>
      <c r="H845" s="35">
        <v>0.91666666666666663</v>
      </c>
      <c r="I845" s="36">
        <v>279</v>
      </c>
      <c r="J845" s="86" t="s">
        <v>35</v>
      </c>
      <c r="K845" s="86" t="s">
        <v>552</v>
      </c>
      <c r="L845" s="86" t="s">
        <v>622</v>
      </c>
      <c r="M845" s="49" t="s">
        <v>904</v>
      </c>
    </row>
    <row r="846" spans="1:13" x14ac:dyDescent="0.35">
      <c r="A846" s="123">
        <v>45952</v>
      </c>
      <c r="B846" s="39">
        <v>58</v>
      </c>
      <c r="C846" s="39">
        <v>5.04</v>
      </c>
      <c r="D846" s="39">
        <v>22510022</v>
      </c>
      <c r="E846" s="39" t="s">
        <v>175</v>
      </c>
      <c r="F846" s="39">
        <v>1250</v>
      </c>
      <c r="G846" s="35">
        <v>0.91666666666666663</v>
      </c>
      <c r="H846" s="35">
        <v>8.3333333333333329E-2</v>
      </c>
      <c r="I846" s="36">
        <v>240</v>
      </c>
      <c r="J846" s="86" t="s">
        <v>446</v>
      </c>
      <c r="K846" s="86" t="s">
        <v>552</v>
      </c>
      <c r="L846" s="86" t="s">
        <v>622</v>
      </c>
      <c r="M846" s="47" t="s">
        <v>622</v>
      </c>
    </row>
    <row r="847" spans="1:13" x14ac:dyDescent="0.35">
      <c r="A847" s="123">
        <v>45952</v>
      </c>
      <c r="B847" s="39">
        <v>58</v>
      </c>
      <c r="C847" s="39">
        <v>5.04</v>
      </c>
      <c r="D847" s="39">
        <v>22510023</v>
      </c>
      <c r="E847" s="39" t="s">
        <v>109</v>
      </c>
      <c r="F847" s="39">
        <v>1250</v>
      </c>
      <c r="G847" s="35">
        <v>0.77083333333333337</v>
      </c>
      <c r="H847" s="35">
        <v>0.83333333333333337</v>
      </c>
      <c r="I847" s="36">
        <v>90</v>
      </c>
      <c r="J847" s="86" t="s">
        <v>463</v>
      </c>
      <c r="K847" s="116" t="s">
        <v>445</v>
      </c>
      <c r="L847" s="86" t="s">
        <v>838</v>
      </c>
      <c r="M847" s="47" t="s">
        <v>915</v>
      </c>
    </row>
    <row r="848" spans="1:13" x14ac:dyDescent="0.35">
      <c r="A848" s="123">
        <v>45952</v>
      </c>
      <c r="B848" s="39">
        <v>58</v>
      </c>
      <c r="C848" s="39">
        <v>5.04</v>
      </c>
      <c r="D848" s="39">
        <v>22510023</v>
      </c>
      <c r="E848" s="39" t="s">
        <v>109</v>
      </c>
      <c r="F848" s="39">
        <v>1250</v>
      </c>
      <c r="G848" s="35">
        <v>0.83333333333333337</v>
      </c>
      <c r="H848" s="35">
        <v>0.84027777777777779</v>
      </c>
      <c r="I848" s="36">
        <v>10</v>
      </c>
      <c r="J848" s="86" t="s">
        <v>446</v>
      </c>
      <c r="K848" s="86" t="s">
        <v>246</v>
      </c>
      <c r="L848" s="86" t="s">
        <v>454</v>
      </c>
      <c r="M848" s="47" t="s">
        <v>916</v>
      </c>
    </row>
    <row r="849" spans="1:13" x14ac:dyDescent="0.35">
      <c r="A849" s="123">
        <v>45952</v>
      </c>
      <c r="B849" s="39">
        <v>58</v>
      </c>
      <c r="C849" s="39">
        <v>5.04</v>
      </c>
      <c r="D849" s="39">
        <v>22510023</v>
      </c>
      <c r="E849" s="39" t="s">
        <v>109</v>
      </c>
      <c r="F849" s="39">
        <v>1250</v>
      </c>
      <c r="G849" s="35">
        <v>0.84027777777777779</v>
      </c>
      <c r="H849" s="35">
        <v>0.85069444444444442</v>
      </c>
      <c r="I849" s="36">
        <v>15</v>
      </c>
      <c r="J849" s="86" t="s">
        <v>446</v>
      </c>
      <c r="K849" s="86" t="s">
        <v>445</v>
      </c>
      <c r="L849" s="86" t="s">
        <v>22</v>
      </c>
      <c r="M849" s="47" t="s">
        <v>917</v>
      </c>
    </row>
    <row r="850" spans="1:13" x14ac:dyDescent="0.35">
      <c r="A850" s="123">
        <v>45952</v>
      </c>
      <c r="B850" s="39">
        <v>58</v>
      </c>
      <c r="C850" s="39">
        <v>5.04</v>
      </c>
      <c r="D850" s="39">
        <v>22510023</v>
      </c>
      <c r="E850" s="39" t="s">
        <v>109</v>
      </c>
      <c r="F850" s="39">
        <v>1250</v>
      </c>
      <c r="G850" s="35">
        <v>0.85069444444444442</v>
      </c>
      <c r="H850" s="35">
        <v>0.86805555555555558</v>
      </c>
      <c r="I850" s="36">
        <v>25</v>
      </c>
      <c r="J850" s="86" t="s">
        <v>446</v>
      </c>
      <c r="K850" s="86" t="s">
        <v>41</v>
      </c>
      <c r="L850" s="86" t="s">
        <v>454</v>
      </c>
      <c r="M850" s="47" t="s">
        <v>918</v>
      </c>
    </row>
    <row r="851" spans="1:13" x14ac:dyDescent="0.35">
      <c r="A851" s="122">
        <v>45953</v>
      </c>
      <c r="B851" s="45">
        <v>58</v>
      </c>
      <c r="C851" s="45">
        <v>5.0999999999999996</v>
      </c>
      <c r="D851" s="39">
        <v>22510024</v>
      </c>
      <c r="E851" s="39" t="s">
        <v>72</v>
      </c>
      <c r="F851" s="39">
        <v>1230</v>
      </c>
      <c r="G851" s="35">
        <v>0.14583333333333334</v>
      </c>
      <c r="H851" s="35">
        <v>0.16666666666666666</v>
      </c>
      <c r="I851" s="36">
        <v>30</v>
      </c>
      <c r="J851" s="86" t="s">
        <v>51</v>
      </c>
      <c r="K851" s="86" t="s">
        <v>445</v>
      </c>
      <c r="L851" s="86" t="s">
        <v>53</v>
      </c>
      <c r="M851" s="86" t="s">
        <v>54</v>
      </c>
    </row>
    <row r="852" spans="1:13" x14ac:dyDescent="0.35">
      <c r="A852" s="123">
        <v>45954</v>
      </c>
      <c r="B852" s="39">
        <v>57.42</v>
      </c>
      <c r="C852" s="39">
        <v>5.01</v>
      </c>
      <c r="D852" s="39">
        <v>22510024</v>
      </c>
      <c r="E852" s="39" t="s">
        <v>72</v>
      </c>
      <c r="F852" s="39">
        <v>1230</v>
      </c>
      <c r="G852" s="35">
        <v>0.16666666666666666</v>
      </c>
      <c r="H852" s="35">
        <v>0.17708333333333334</v>
      </c>
      <c r="I852" s="36">
        <v>15</v>
      </c>
      <c r="J852" s="86" t="s">
        <v>52</v>
      </c>
      <c r="K852" s="86" t="s">
        <v>445</v>
      </c>
      <c r="L852" s="86" t="s">
        <v>59</v>
      </c>
      <c r="M852" s="86" t="s">
        <v>59</v>
      </c>
    </row>
    <row r="853" spans="1:13" x14ac:dyDescent="0.35">
      <c r="A853" s="123">
        <v>45954</v>
      </c>
      <c r="B853" s="39">
        <v>57.42</v>
      </c>
      <c r="C853" s="39">
        <v>5.01</v>
      </c>
      <c r="D853" s="39">
        <v>22510024</v>
      </c>
      <c r="E853" s="39" t="s">
        <v>72</v>
      </c>
      <c r="F853" s="39">
        <v>1230</v>
      </c>
      <c r="G853" s="35">
        <v>0.17708333333333334</v>
      </c>
      <c r="H853" s="35">
        <v>0.1875</v>
      </c>
      <c r="I853" s="36">
        <v>15</v>
      </c>
      <c r="J853" s="86" t="s">
        <v>446</v>
      </c>
      <c r="K853" s="86" t="s">
        <v>445</v>
      </c>
      <c r="L853" s="86" t="s">
        <v>74</v>
      </c>
      <c r="M853" s="47" t="s">
        <v>919</v>
      </c>
    </row>
    <row r="854" spans="1:13" x14ac:dyDescent="0.35">
      <c r="A854" s="123">
        <v>45955</v>
      </c>
      <c r="B854" s="85">
        <v>57.82</v>
      </c>
      <c r="C854" s="85">
        <v>4.5999999999999996</v>
      </c>
      <c r="D854" s="46">
        <v>22510025</v>
      </c>
      <c r="E854" s="45" t="s">
        <v>116</v>
      </c>
      <c r="F854" s="45">
        <v>1250</v>
      </c>
      <c r="G854" s="35">
        <v>0.48125000000000001</v>
      </c>
      <c r="H854" s="35">
        <v>0.49930555555555556</v>
      </c>
      <c r="I854" s="36">
        <v>26</v>
      </c>
      <c r="J854" s="86" t="s">
        <v>51</v>
      </c>
      <c r="K854" s="86" t="s">
        <v>51</v>
      </c>
      <c r="L854" s="86" t="s">
        <v>53</v>
      </c>
      <c r="M854" s="47" t="s">
        <v>54</v>
      </c>
    </row>
    <row r="855" spans="1:13" x14ac:dyDescent="0.35">
      <c r="A855" s="123">
        <v>45955</v>
      </c>
      <c r="B855" s="45">
        <v>57.68</v>
      </c>
      <c r="C855" s="45">
        <v>4.8</v>
      </c>
      <c r="D855" s="46">
        <v>22510026</v>
      </c>
      <c r="E855" s="45" t="s">
        <v>175</v>
      </c>
      <c r="F855" s="45">
        <v>1230</v>
      </c>
      <c r="G855" s="35">
        <v>0.66041666666666665</v>
      </c>
      <c r="H855" s="35">
        <v>0.71875</v>
      </c>
      <c r="I855" s="36">
        <v>84</v>
      </c>
      <c r="J855" s="86" t="s">
        <v>35</v>
      </c>
      <c r="K855" s="86" t="s">
        <v>62</v>
      </c>
      <c r="L855" s="86" t="s">
        <v>190</v>
      </c>
      <c r="M855" s="49" t="s">
        <v>892</v>
      </c>
    </row>
    <row r="856" spans="1:13" x14ac:dyDescent="0.35">
      <c r="A856" s="123">
        <v>45957</v>
      </c>
      <c r="B856" s="39">
        <v>58</v>
      </c>
      <c r="C856" s="39">
        <v>4.6100000000000003</v>
      </c>
      <c r="D856" s="39">
        <v>22510027</v>
      </c>
      <c r="E856" s="39" t="s">
        <v>101</v>
      </c>
      <c r="F856" s="39">
        <v>1235</v>
      </c>
      <c r="G856" s="35">
        <v>0.94444444444444442</v>
      </c>
      <c r="H856" s="35">
        <v>0.96527777777777779</v>
      </c>
      <c r="I856" s="36">
        <v>30</v>
      </c>
      <c r="J856" s="86" t="s">
        <v>51</v>
      </c>
      <c r="K856" s="86" t="s">
        <v>445</v>
      </c>
      <c r="L856" s="86" t="s">
        <v>53</v>
      </c>
      <c r="M856" s="47" t="s">
        <v>54</v>
      </c>
    </row>
    <row r="857" spans="1:13" x14ac:dyDescent="0.35">
      <c r="A857" s="123">
        <v>45957</v>
      </c>
      <c r="B857" s="39">
        <v>58</v>
      </c>
      <c r="C857" s="39">
        <v>4.6100000000000003</v>
      </c>
      <c r="D857" s="39">
        <v>22510027</v>
      </c>
      <c r="E857" s="39" t="s">
        <v>101</v>
      </c>
      <c r="F857" s="39">
        <v>1235</v>
      </c>
      <c r="G857" s="35">
        <v>0.96527777777777779</v>
      </c>
      <c r="H857" s="35">
        <v>0.97499999999999998</v>
      </c>
      <c r="I857" s="36">
        <v>14</v>
      </c>
      <c r="J857" s="86" t="s">
        <v>52</v>
      </c>
      <c r="K857" s="86" t="s">
        <v>445</v>
      </c>
      <c r="L857" s="86" t="s">
        <v>59</v>
      </c>
      <c r="M857" s="47" t="s">
        <v>59</v>
      </c>
    </row>
    <row r="858" spans="1:13" x14ac:dyDescent="0.35">
      <c r="A858" s="123">
        <v>45957</v>
      </c>
      <c r="B858" s="39">
        <v>58</v>
      </c>
      <c r="C858" s="39">
        <v>4.6100000000000003</v>
      </c>
      <c r="D858" s="39">
        <v>22510028</v>
      </c>
      <c r="E858" s="39" t="s">
        <v>126</v>
      </c>
      <c r="F858" s="39">
        <v>1255</v>
      </c>
      <c r="G858" s="35">
        <v>5.5555555555555552E-2</v>
      </c>
      <c r="H858" s="35">
        <v>0.10416666666666667</v>
      </c>
      <c r="I858" s="36">
        <v>70</v>
      </c>
      <c r="J858" s="86" t="s">
        <v>35</v>
      </c>
      <c r="K858" s="86" t="s">
        <v>19</v>
      </c>
      <c r="L858" s="86" t="s">
        <v>143</v>
      </c>
      <c r="M858" s="49" t="s">
        <v>920</v>
      </c>
    </row>
    <row r="859" spans="1:13" x14ac:dyDescent="0.35">
      <c r="A859" s="123">
        <v>45957</v>
      </c>
      <c r="B859" s="39">
        <v>58</v>
      </c>
      <c r="C859" s="39">
        <v>4.6100000000000003</v>
      </c>
      <c r="D859" s="39">
        <v>22510028</v>
      </c>
      <c r="E859" s="39" t="s">
        <v>126</v>
      </c>
      <c r="F859" s="39">
        <v>1255</v>
      </c>
      <c r="G859" s="35">
        <v>0.10416666666666667</v>
      </c>
      <c r="H859" s="35">
        <v>0.19097222222222221</v>
      </c>
      <c r="I859" s="36">
        <v>125</v>
      </c>
      <c r="J859" s="86" t="s">
        <v>446</v>
      </c>
      <c r="K859" s="86" t="s">
        <v>19</v>
      </c>
      <c r="L859" s="86" t="s">
        <v>143</v>
      </c>
      <c r="M859" s="47" t="s">
        <v>921</v>
      </c>
    </row>
    <row r="860" spans="1:13" x14ac:dyDescent="0.35">
      <c r="A860" s="123">
        <v>45958</v>
      </c>
      <c r="B860" s="39">
        <v>57.41</v>
      </c>
      <c r="C860" s="39">
        <v>4.88</v>
      </c>
      <c r="D860" s="39">
        <v>22510029</v>
      </c>
      <c r="E860" s="39" t="s">
        <v>159</v>
      </c>
      <c r="F860" s="39">
        <v>1230</v>
      </c>
      <c r="G860" s="35">
        <v>0.44861111111111113</v>
      </c>
      <c r="H860" s="35">
        <v>0.46944444444444444</v>
      </c>
      <c r="I860" s="36">
        <v>30</v>
      </c>
      <c r="J860" s="86" t="s">
        <v>51</v>
      </c>
      <c r="K860" s="86" t="s">
        <v>445</v>
      </c>
      <c r="L860" s="86" t="s">
        <v>53</v>
      </c>
      <c r="M860" s="47" t="s">
        <v>54</v>
      </c>
    </row>
    <row r="861" spans="1:13" x14ac:dyDescent="0.35">
      <c r="A861" s="123">
        <v>45958</v>
      </c>
      <c r="B861" s="39">
        <v>57.41</v>
      </c>
      <c r="C861" s="39">
        <v>4.88</v>
      </c>
      <c r="D861" s="39">
        <v>22510029</v>
      </c>
      <c r="E861" s="39" t="s">
        <v>159</v>
      </c>
      <c r="F861" s="39">
        <v>1230</v>
      </c>
      <c r="G861" s="35">
        <v>0.46944444444444444</v>
      </c>
      <c r="H861" s="35">
        <v>0.47638888888888886</v>
      </c>
      <c r="I861" s="36">
        <v>10</v>
      </c>
      <c r="J861" s="86" t="s">
        <v>446</v>
      </c>
      <c r="K861" s="86" t="s">
        <v>19</v>
      </c>
      <c r="L861" s="47" t="s">
        <v>922</v>
      </c>
      <c r="M861" s="47" t="s">
        <v>922</v>
      </c>
    </row>
    <row r="862" spans="1:13" x14ac:dyDescent="0.35">
      <c r="A862" s="123">
        <v>45958</v>
      </c>
      <c r="B862" s="39">
        <v>57.41</v>
      </c>
      <c r="C862" s="39">
        <v>4.88</v>
      </c>
      <c r="D862" s="39">
        <v>22510029</v>
      </c>
      <c r="E862" s="39" t="s">
        <v>159</v>
      </c>
      <c r="F862" s="39">
        <v>1230</v>
      </c>
      <c r="G862" s="35">
        <v>0.47638888888888886</v>
      </c>
      <c r="H862" s="35">
        <v>0.49930555555555556</v>
      </c>
      <c r="I862" s="36">
        <v>33</v>
      </c>
      <c r="J862" s="86" t="s">
        <v>446</v>
      </c>
      <c r="K862" s="86" t="s">
        <v>41</v>
      </c>
      <c r="L862" s="86" t="s">
        <v>454</v>
      </c>
      <c r="M862" s="47" t="s">
        <v>923</v>
      </c>
    </row>
    <row r="863" spans="1:13" x14ac:dyDescent="0.35">
      <c r="A863" s="123">
        <v>45959</v>
      </c>
      <c r="B863" s="39">
        <v>57.82</v>
      </c>
      <c r="C863" s="39">
        <v>4.4000000000000004</v>
      </c>
      <c r="D863" s="39">
        <v>22510030</v>
      </c>
      <c r="E863" s="39" t="s">
        <v>167</v>
      </c>
      <c r="F863" s="39">
        <v>1250</v>
      </c>
      <c r="G863" s="35">
        <v>0.31597222222222221</v>
      </c>
      <c r="H863" s="35">
        <v>0.33680555555555558</v>
      </c>
      <c r="I863" s="36">
        <v>30</v>
      </c>
      <c r="J863" s="86" t="s">
        <v>51</v>
      </c>
      <c r="K863" s="86" t="s">
        <v>445</v>
      </c>
      <c r="L863" s="86" t="s">
        <v>53</v>
      </c>
      <c r="M863" s="47" t="s">
        <v>54</v>
      </c>
    </row>
    <row r="864" spans="1:13" x14ac:dyDescent="0.35">
      <c r="A864" s="123">
        <v>45959</v>
      </c>
      <c r="B864" s="39">
        <v>57.82</v>
      </c>
      <c r="C864" s="39">
        <v>4.4000000000000004</v>
      </c>
      <c r="D864" s="39">
        <v>22510030</v>
      </c>
      <c r="E864" s="39" t="s">
        <v>167</v>
      </c>
      <c r="F864" s="39">
        <v>1250</v>
      </c>
      <c r="G864" s="35">
        <v>0.33680555555555558</v>
      </c>
      <c r="H864" s="35">
        <v>0.34722222222222221</v>
      </c>
      <c r="I864" s="36">
        <v>15</v>
      </c>
      <c r="J864" s="86" t="s">
        <v>52</v>
      </c>
      <c r="K864" s="86" t="s">
        <v>445</v>
      </c>
      <c r="L864" s="86" t="s">
        <v>59</v>
      </c>
      <c r="M864" s="47" t="s">
        <v>59</v>
      </c>
    </row>
    <row r="865" spans="1:13" x14ac:dyDescent="0.35">
      <c r="A865" s="123">
        <v>45959</v>
      </c>
      <c r="B865" s="39">
        <v>57.82</v>
      </c>
      <c r="C865" s="39">
        <v>4.4000000000000004</v>
      </c>
      <c r="D865" s="39">
        <v>22510030</v>
      </c>
      <c r="E865" s="39" t="s">
        <v>167</v>
      </c>
      <c r="F865" s="39">
        <v>1250</v>
      </c>
      <c r="G865" s="35">
        <v>0.34722222222222221</v>
      </c>
      <c r="H865" s="35">
        <v>0.35069444444444442</v>
      </c>
      <c r="I865" s="36">
        <v>5</v>
      </c>
      <c r="J865" s="86" t="s">
        <v>446</v>
      </c>
      <c r="K865" s="86" t="s">
        <v>19</v>
      </c>
      <c r="L865" s="47" t="s">
        <v>206</v>
      </c>
      <c r="M865" s="47" t="s">
        <v>206</v>
      </c>
    </row>
    <row r="866" spans="1:13" x14ac:dyDescent="0.35">
      <c r="A866" s="123">
        <v>45959</v>
      </c>
      <c r="B866" s="39">
        <v>57.82</v>
      </c>
      <c r="C866" s="39">
        <v>4.4000000000000004</v>
      </c>
      <c r="D866" s="39">
        <v>22510030</v>
      </c>
      <c r="E866" s="39" t="s">
        <v>167</v>
      </c>
      <c r="F866" s="39">
        <v>1250</v>
      </c>
      <c r="G866" s="35">
        <v>0.35069444444444442</v>
      </c>
      <c r="H866" s="35">
        <v>0.3576388888888889</v>
      </c>
      <c r="I866" s="36">
        <v>10</v>
      </c>
      <c r="J866" s="86" t="s">
        <v>446</v>
      </c>
      <c r="K866" s="86" t="s">
        <v>445</v>
      </c>
      <c r="L866" s="47" t="s">
        <v>75</v>
      </c>
      <c r="M866" s="47" t="s">
        <v>75</v>
      </c>
    </row>
    <row r="867" spans="1:13" x14ac:dyDescent="0.35">
      <c r="A867" s="123">
        <v>45959</v>
      </c>
      <c r="B867" s="39">
        <v>57.82</v>
      </c>
      <c r="C867" s="39">
        <v>4.4000000000000004</v>
      </c>
      <c r="D867" s="39">
        <v>22510031</v>
      </c>
      <c r="E867" s="39" t="s">
        <v>87</v>
      </c>
      <c r="F867" s="39">
        <v>1250</v>
      </c>
      <c r="G867" s="35">
        <v>0.90625</v>
      </c>
      <c r="H867" s="35">
        <v>0.91666666666666663</v>
      </c>
      <c r="I867" s="36">
        <v>15</v>
      </c>
      <c r="J867" s="86" t="s">
        <v>25</v>
      </c>
      <c r="K867" s="86" t="s">
        <v>445</v>
      </c>
      <c r="L867" s="47" t="s">
        <v>924</v>
      </c>
      <c r="M867" s="47" t="s">
        <v>924</v>
      </c>
    </row>
    <row r="868" spans="1:13" x14ac:dyDescent="0.35">
      <c r="A868" s="123">
        <v>45960</v>
      </c>
      <c r="B868" s="39">
        <v>58</v>
      </c>
      <c r="C868" s="39">
        <v>4.67</v>
      </c>
      <c r="D868" s="39">
        <v>22510031</v>
      </c>
      <c r="E868" s="39" t="s">
        <v>87</v>
      </c>
      <c r="F868" s="39">
        <v>1250</v>
      </c>
      <c r="G868" s="35">
        <v>0.91666666666666663</v>
      </c>
      <c r="H868" s="35">
        <v>0.98611111111111116</v>
      </c>
      <c r="I868" s="36">
        <v>100</v>
      </c>
      <c r="J868" s="86" t="s">
        <v>25</v>
      </c>
      <c r="K868" s="86" t="s">
        <v>445</v>
      </c>
      <c r="L868" s="47" t="s">
        <v>698</v>
      </c>
      <c r="M868" s="47" t="s">
        <v>698</v>
      </c>
    </row>
    <row r="869" spans="1:13" x14ac:dyDescent="0.35">
      <c r="A869" s="123">
        <v>45960</v>
      </c>
      <c r="B869" s="39">
        <v>58</v>
      </c>
      <c r="C869" s="39">
        <v>4.67</v>
      </c>
      <c r="D869" s="45">
        <v>22510032</v>
      </c>
      <c r="E869" s="45" t="s">
        <v>173</v>
      </c>
      <c r="F869" s="45">
        <v>1250</v>
      </c>
      <c r="G869" s="35">
        <v>4.7222222222222221E-2</v>
      </c>
      <c r="H869" s="35">
        <v>0.16527777777777777</v>
      </c>
      <c r="I869" s="36">
        <v>170</v>
      </c>
      <c r="J869" s="86" t="s">
        <v>35</v>
      </c>
      <c r="K869" s="86" t="s">
        <v>62</v>
      </c>
      <c r="L869" s="86" t="s">
        <v>908</v>
      </c>
      <c r="M869" s="49" t="s">
        <v>925</v>
      </c>
    </row>
    <row r="870" spans="1:13" x14ac:dyDescent="0.35">
      <c r="A870" s="123">
        <v>45960</v>
      </c>
      <c r="B870" s="39">
        <v>58</v>
      </c>
      <c r="C870" s="39">
        <v>4.67</v>
      </c>
      <c r="D870" s="39">
        <v>22510033</v>
      </c>
      <c r="E870" s="39" t="s">
        <v>18</v>
      </c>
      <c r="F870" s="39">
        <v>1250</v>
      </c>
      <c r="G870" s="35">
        <v>0.60902777777777772</v>
      </c>
      <c r="H870" s="35">
        <v>0.65763888888888888</v>
      </c>
      <c r="I870" s="36">
        <v>70</v>
      </c>
      <c r="J870" s="86" t="s">
        <v>35</v>
      </c>
      <c r="K870" s="86" t="s">
        <v>62</v>
      </c>
      <c r="L870" s="86" t="s">
        <v>190</v>
      </c>
      <c r="M870" s="49" t="s">
        <v>926</v>
      </c>
    </row>
    <row r="871" spans="1:13" x14ac:dyDescent="0.35">
      <c r="A871" s="123">
        <v>45960</v>
      </c>
      <c r="B871" s="39">
        <v>58</v>
      </c>
      <c r="C871" s="39">
        <v>4.67</v>
      </c>
      <c r="D871" s="39">
        <v>22510033</v>
      </c>
      <c r="E871" s="39" t="s">
        <v>18</v>
      </c>
      <c r="F871" s="39">
        <v>1250</v>
      </c>
      <c r="G871" s="35">
        <v>0.65763888888888888</v>
      </c>
      <c r="H871" s="35">
        <v>0.66805555555555551</v>
      </c>
      <c r="I871" s="36">
        <v>15</v>
      </c>
      <c r="J871" s="86" t="s">
        <v>446</v>
      </c>
      <c r="K871" s="86" t="s">
        <v>445</v>
      </c>
      <c r="L871" s="86" t="s">
        <v>74</v>
      </c>
      <c r="M871" s="47" t="s">
        <v>75</v>
      </c>
    </row>
    <row r="872" spans="1:13" x14ac:dyDescent="0.35">
      <c r="A872" s="123">
        <v>45960</v>
      </c>
      <c r="B872" s="39">
        <v>58</v>
      </c>
      <c r="C872" s="39">
        <v>4.67</v>
      </c>
      <c r="D872" s="45">
        <v>22510034</v>
      </c>
      <c r="E872" s="45" t="s">
        <v>24</v>
      </c>
      <c r="F872" s="45">
        <v>1250</v>
      </c>
      <c r="G872" s="35">
        <v>0.89583333333333337</v>
      </c>
      <c r="H872" s="35">
        <v>0.91666666666666663</v>
      </c>
      <c r="I872" s="36">
        <v>30</v>
      </c>
      <c r="J872" s="86" t="s">
        <v>35</v>
      </c>
      <c r="K872" s="86" t="s">
        <v>62</v>
      </c>
      <c r="L872" s="49" t="s">
        <v>910</v>
      </c>
      <c r="M872" s="49" t="s">
        <v>910</v>
      </c>
    </row>
    <row r="873" spans="1:13" x14ac:dyDescent="0.35">
      <c r="A873" s="122">
        <v>45961</v>
      </c>
      <c r="B873" s="45">
        <v>57.54</v>
      </c>
      <c r="C873" s="45">
        <v>5.09</v>
      </c>
      <c r="D873" s="45">
        <v>22510034</v>
      </c>
      <c r="E873" s="45" t="s">
        <v>24</v>
      </c>
      <c r="F873" s="45">
        <v>1250</v>
      </c>
      <c r="G873" s="35">
        <v>0.91666666666666663</v>
      </c>
      <c r="H873" s="35">
        <v>0.95</v>
      </c>
      <c r="I873" s="36">
        <v>48</v>
      </c>
      <c r="J873" s="86" t="s">
        <v>35</v>
      </c>
      <c r="K873" s="86" t="s">
        <v>62</v>
      </c>
      <c r="L873" s="86" t="s">
        <v>810</v>
      </c>
      <c r="M873" s="47" t="s">
        <v>927</v>
      </c>
    </row>
    <row r="874" spans="1:13" x14ac:dyDescent="0.35">
      <c r="A874" s="123">
        <v>45962</v>
      </c>
      <c r="B874" s="39">
        <v>58</v>
      </c>
      <c r="C874" s="39">
        <v>5.22</v>
      </c>
      <c r="D874" s="39">
        <v>22510035</v>
      </c>
      <c r="E874" s="39" t="s">
        <v>202</v>
      </c>
      <c r="F874" s="39">
        <v>1230</v>
      </c>
      <c r="G874" s="35">
        <v>6.25E-2</v>
      </c>
      <c r="H874" s="35">
        <v>8.3333333333333329E-2</v>
      </c>
      <c r="I874" s="36">
        <v>30</v>
      </c>
      <c r="J874" s="47" t="s">
        <v>51</v>
      </c>
      <c r="K874" s="86" t="s">
        <v>445</v>
      </c>
      <c r="L874" s="86" t="s">
        <v>53</v>
      </c>
      <c r="M874" s="47" t="s">
        <v>54</v>
      </c>
    </row>
    <row r="875" spans="1:13" x14ac:dyDescent="0.35">
      <c r="A875" s="123">
        <v>45962</v>
      </c>
      <c r="B875" s="39">
        <v>58</v>
      </c>
      <c r="C875" s="39">
        <v>5.22</v>
      </c>
      <c r="D875" s="39">
        <v>22510035</v>
      </c>
      <c r="E875" s="39" t="s">
        <v>202</v>
      </c>
      <c r="F875" s="39">
        <v>1230</v>
      </c>
      <c r="G875" s="35">
        <v>8.3333333333333329E-2</v>
      </c>
      <c r="H875" s="35">
        <v>9.375E-2</v>
      </c>
      <c r="I875" s="36">
        <v>15</v>
      </c>
      <c r="J875" s="47" t="s">
        <v>52</v>
      </c>
      <c r="K875" s="86" t="s">
        <v>445</v>
      </c>
      <c r="L875" s="86" t="s">
        <v>59</v>
      </c>
      <c r="M875" s="47" t="s">
        <v>59</v>
      </c>
    </row>
    <row r="876" spans="1:13" x14ac:dyDescent="0.35">
      <c r="A876" s="123">
        <v>45962</v>
      </c>
      <c r="B876" s="39">
        <v>58</v>
      </c>
      <c r="C876" s="39">
        <v>5.22</v>
      </c>
      <c r="D876" s="39">
        <v>22510035</v>
      </c>
      <c r="E876" s="39" t="s">
        <v>202</v>
      </c>
      <c r="F876" s="39">
        <v>1230</v>
      </c>
      <c r="G876" s="35">
        <v>9.375E-2</v>
      </c>
      <c r="H876" s="35">
        <v>0.1</v>
      </c>
      <c r="I876" s="36">
        <v>9</v>
      </c>
      <c r="J876" s="47" t="s">
        <v>446</v>
      </c>
      <c r="K876" s="86" t="s">
        <v>41</v>
      </c>
      <c r="L876" s="86" t="s">
        <v>454</v>
      </c>
      <c r="M876" s="47" t="s">
        <v>932</v>
      </c>
    </row>
    <row r="877" spans="1:13" x14ac:dyDescent="0.35">
      <c r="A877" s="122">
        <v>45963</v>
      </c>
      <c r="B877" s="45">
        <v>58</v>
      </c>
      <c r="C877" s="45">
        <v>4.9000000000000004</v>
      </c>
      <c r="D877" s="45">
        <v>22511001</v>
      </c>
      <c r="E877" s="45" t="s">
        <v>159</v>
      </c>
      <c r="F877" s="45" t="s">
        <v>458</v>
      </c>
      <c r="G877" s="35">
        <v>0.2673611111111111</v>
      </c>
      <c r="H877" s="35">
        <v>0.31527777777777777</v>
      </c>
      <c r="I877" s="36">
        <v>69</v>
      </c>
      <c r="J877" s="86" t="s">
        <v>463</v>
      </c>
      <c r="K877" s="86" t="s">
        <v>26</v>
      </c>
      <c r="L877" s="86" t="s">
        <v>331</v>
      </c>
      <c r="M877" s="47" t="s">
        <v>933</v>
      </c>
    </row>
    <row r="878" spans="1:13" x14ac:dyDescent="0.35">
      <c r="A878" s="122">
        <v>45964</v>
      </c>
      <c r="B878" s="45">
        <v>58</v>
      </c>
      <c r="C878" s="45">
        <v>5.27</v>
      </c>
      <c r="D878" s="46">
        <v>22511002</v>
      </c>
      <c r="E878" s="45" t="s">
        <v>66</v>
      </c>
      <c r="F878" s="45">
        <v>1250</v>
      </c>
      <c r="G878" s="35">
        <v>0.36805555555555558</v>
      </c>
      <c r="H878" s="35">
        <v>0.91666666666666663</v>
      </c>
      <c r="I878" s="36">
        <v>790</v>
      </c>
      <c r="J878" s="86" t="s">
        <v>448</v>
      </c>
      <c r="K878" s="86" t="s">
        <v>15</v>
      </c>
      <c r="L878" s="86" t="s">
        <v>448</v>
      </c>
      <c r="M878" s="47" t="s">
        <v>17</v>
      </c>
    </row>
    <row r="879" spans="1:13" x14ac:dyDescent="0.35">
      <c r="A879" s="123">
        <v>45965</v>
      </c>
      <c r="B879" s="39">
        <v>58</v>
      </c>
      <c r="C879" s="39">
        <v>5.32</v>
      </c>
      <c r="D879" s="46">
        <v>22511002</v>
      </c>
      <c r="E879" s="45" t="s">
        <v>66</v>
      </c>
      <c r="F879" s="45">
        <v>1250</v>
      </c>
      <c r="G879" s="35">
        <v>0.91666666666666663</v>
      </c>
      <c r="H879" s="35">
        <v>3.4722222222222224E-2</v>
      </c>
      <c r="I879" s="36">
        <v>170</v>
      </c>
      <c r="J879" s="86" t="s">
        <v>448</v>
      </c>
      <c r="K879" s="86" t="s">
        <v>15</v>
      </c>
      <c r="L879" s="86" t="s">
        <v>448</v>
      </c>
      <c r="M879" s="58" t="s">
        <v>17</v>
      </c>
    </row>
    <row r="880" spans="1:13" x14ac:dyDescent="0.35">
      <c r="A880" s="123">
        <v>45965</v>
      </c>
      <c r="B880" s="39">
        <v>58</v>
      </c>
      <c r="C880" s="39">
        <v>5.32</v>
      </c>
      <c r="D880" s="46">
        <v>22511002</v>
      </c>
      <c r="E880" s="45" t="s">
        <v>66</v>
      </c>
      <c r="F880" s="45">
        <v>1250</v>
      </c>
      <c r="G880" s="35">
        <v>3.4722222222222224E-2</v>
      </c>
      <c r="H880" s="35">
        <v>0.3972222222222222</v>
      </c>
      <c r="I880" s="36">
        <v>522</v>
      </c>
      <c r="J880" s="86" t="s">
        <v>446</v>
      </c>
      <c r="K880" s="86" t="s">
        <v>283</v>
      </c>
      <c r="L880" s="86" t="s">
        <v>283</v>
      </c>
      <c r="M880" s="58" t="s">
        <v>284</v>
      </c>
    </row>
    <row r="881" spans="1:13" x14ac:dyDescent="0.35">
      <c r="A881" s="123">
        <v>45966</v>
      </c>
      <c r="B881" s="39">
        <v>57.63</v>
      </c>
      <c r="C881" s="39">
        <v>5.0999999999999996</v>
      </c>
      <c r="D881" s="39">
        <v>22511003</v>
      </c>
      <c r="E881" s="39" t="s">
        <v>379</v>
      </c>
      <c r="F881" s="39">
        <v>1020</v>
      </c>
      <c r="G881" s="35">
        <v>5.2083333333333336E-2</v>
      </c>
      <c r="H881" s="35">
        <v>7.2916666666666671E-2</v>
      </c>
      <c r="I881" s="36">
        <v>30</v>
      </c>
      <c r="J881" s="86" t="s">
        <v>51</v>
      </c>
      <c r="K881" s="86" t="s">
        <v>445</v>
      </c>
      <c r="L881" s="86" t="s">
        <v>53</v>
      </c>
      <c r="M881" s="58" t="s">
        <v>937</v>
      </c>
    </row>
    <row r="882" spans="1:13" x14ac:dyDescent="0.35">
      <c r="A882" s="123">
        <v>45966</v>
      </c>
      <c r="B882" s="39">
        <v>57.63</v>
      </c>
      <c r="C882" s="39">
        <v>5.0999999999999996</v>
      </c>
      <c r="D882" s="39">
        <v>22511003</v>
      </c>
      <c r="E882" s="39" t="s">
        <v>379</v>
      </c>
      <c r="F882" s="39">
        <v>1020</v>
      </c>
      <c r="G882" s="35">
        <v>7.2916666666666671E-2</v>
      </c>
      <c r="H882" s="35">
        <v>9.375E-2</v>
      </c>
      <c r="I882" s="36">
        <v>30</v>
      </c>
      <c r="J882" s="86" t="s">
        <v>52</v>
      </c>
      <c r="K882" s="86" t="s">
        <v>445</v>
      </c>
      <c r="L882" s="86" t="s">
        <v>178</v>
      </c>
      <c r="M882" s="58" t="s">
        <v>942</v>
      </c>
    </row>
    <row r="883" spans="1:13" x14ac:dyDescent="0.35">
      <c r="A883" s="123">
        <v>45966</v>
      </c>
      <c r="B883" s="39">
        <v>57.63</v>
      </c>
      <c r="C883" s="39">
        <v>5.0999999999999996</v>
      </c>
      <c r="D883" s="39">
        <v>22511003</v>
      </c>
      <c r="E883" s="39" t="s">
        <v>379</v>
      </c>
      <c r="F883" s="39">
        <v>1020</v>
      </c>
      <c r="G883" s="35">
        <v>9.375E-2</v>
      </c>
      <c r="H883" s="35">
        <v>9.7222222222222224E-2</v>
      </c>
      <c r="I883" s="36">
        <v>5</v>
      </c>
      <c r="J883" s="86" t="s">
        <v>446</v>
      </c>
      <c r="K883" s="86" t="s">
        <v>445</v>
      </c>
      <c r="L883" s="86" t="s">
        <v>22</v>
      </c>
      <c r="M883" s="58" t="s">
        <v>23</v>
      </c>
    </row>
    <row r="884" spans="1:13" x14ac:dyDescent="0.35">
      <c r="A884" s="123">
        <v>45967</v>
      </c>
      <c r="B884" s="39">
        <v>58</v>
      </c>
      <c r="C884" s="39">
        <v>5.17</v>
      </c>
      <c r="D884" s="39">
        <v>22511004</v>
      </c>
      <c r="E884" s="39" t="s">
        <v>159</v>
      </c>
      <c r="F884" s="39">
        <v>1255</v>
      </c>
      <c r="G884" s="35">
        <v>0.2722222222222222</v>
      </c>
      <c r="H884" s="35">
        <v>0.29305555555555557</v>
      </c>
      <c r="I884" s="36">
        <v>30</v>
      </c>
      <c r="J884" s="86" t="s">
        <v>51</v>
      </c>
      <c r="K884" s="86" t="s">
        <v>445</v>
      </c>
      <c r="L884" s="86" t="s">
        <v>53</v>
      </c>
      <c r="M884" s="58" t="s">
        <v>54</v>
      </c>
    </row>
    <row r="885" spans="1:13" x14ac:dyDescent="0.35">
      <c r="A885" s="123">
        <v>45967</v>
      </c>
      <c r="B885" s="39">
        <v>58</v>
      </c>
      <c r="C885" s="39">
        <v>5.17</v>
      </c>
      <c r="D885" s="39">
        <v>22511004</v>
      </c>
      <c r="E885" s="39" t="s">
        <v>159</v>
      </c>
      <c r="F885" s="39">
        <v>1255</v>
      </c>
      <c r="G885" s="35">
        <v>0.29305555555555557</v>
      </c>
      <c r="H885" s="35">
        <v>0.2951388888888889</v>
      </c>
      <c r="I885" s="36">
        <v>3</v>
      </c>
      <c r="J885" s="86" t="s">
        <v>446</v>
      </c>
      <c r="K885" s="86" t="s">
        <v>445</v>
      </c>
      <c r="L885" s="86" t="s">
        <v>74</v>
      </c>
      <c r="M885" s="58" t="s">
        <v>75</v>
      </c>
    </row>
    <row r="886" spans="1:13" x14ac:dyDescent="0.35">
      <c r="A886" s="123">
        <v>45967</v>
      </c>
      <c r="B886" s="39">
        <v>58</v>
      </c>
      <c r="C886" s="39">
        <v>5.17</v>
      </c>
      <c r="D886" s="45">
        <v>22511005</v>
      </c>
      <c r="E886" s="45" t="s">
        <v>311</v>
      </c>
      <c r="F886" s="45">
        <v>1230</v>
      </c>
      <c r="G886" s="35">
        <v>0.69444444444444442</v>
      </c>
      <c r="H886" s="35">
        <v>0.75486111111111109</v>
      </c>
      <c r="I886" s="36">
        <v>87</v>
      </c>
      <c r="J886" s="86" t="s">
        <v>35</v>
      </c>
      <c r="K886" s="86" t="s">
        <v>62</v>
      </c>
      <c r="L886" s="86" t="s">
        <v>190</v>
      </c>
      <c r="M886" s="62" t="s">
        <v>102</v>
      </c>
    </row>
    <row r="887" spans="1:13" x14ac:dyDescent="0.35">
      <c r="A887" s="123">
        <v>45969</v>
      </c>
      <c r="B887" s="45">
        <v>57.71</v>
      </c>
      <c r="C887" s="45">
        <v>5.33</v>
      </c>
      <c r="D887" s="39">
        <v>22511006</v>
      </c>
      <c r="E887" s="39" t="s">
        <v>119</v>
      </c>
      <c r="F887" s="39" t="s">
        <v>939</v>
      </c>
      <c r="G887" s="35">
        <v>3.8194444444444448E-2</v>
      </c>
      <c r="H887" s="35">
        <v>5.9027777777777776E-2</v>
      </c>
      <c r="I887" s="36">
        <v>30</v>
      </c>
      <c r="J887" s="86" t="s">
        <v>51</v>
      </c>
      <c r="K887" s="86" t="s">
        <v>445</v>
      </c>
      <c r="L887" s="86" t="s">
        <v>53</v>
      </c>
      <c r="M887" s="47" t="s">
        <v>54</v>
      </c>
    </row>
    <row r="888" spans="1:13" x14ac:dyDescent="0.35">
      <c r="A888" s="123">
        <v>45969</v>
      </c>
      <c r="B888" s="39">
        <v>57.18</v>
      </c>
      <c r="C888" s="39">
        <v>5.19</v>
      </c>
      <c r="D888" s="39">
        <v>22511006</v>
      </c>
      <c r="E888" s="39" t="s">
        <v>119</v>
      </c>
      <c r="F888" s="39" t="s">
        <v>939</v>
      </c>
      <c r="G888" s="35">
        <v>5.9027777777777776E-2</v>
      </c>
      <c r="H888" s="35">
        <v>6.9444444444444448E-2</v>
      </c>
      <c r="I888" s="36">
        <v>15</v>
      </c>
      <c r="J888" s="86" t="s">
        <v>52</v>
      </c>
      <c r="K888" s="86" t="s">
        <v>445</v>
      </c>
      <c r="L888" s="86" t="s">
        <v>59</v>
      </c>
      <c r="M888" s="47" t="s">
        <v>59</v>
      </c>
    </row>
    <row r="889" spans="1:13" x14ac:dyDescent="0.35">
      <c r="A889" s="123">
        <v>45969</v>
      </c>
      <c r="B889" s="39">
        <v>57.18</v>
      </c>
      <c r="C889" s="39">
        <v>5.19</v>
      </c>
      <c r="D889" s="39">
        <v>22511006</v>
      </c>
      <c r="E889" s="39" t="s">
        <v>119</v>
      </c>
      <c r="F889" s="39" t="s">
        <v>939</v>
      </c>
      <c r="G889" s="35">
        <v>6.9444444444444448E-2</v>
      </c>
      <c r="H889" s="35">
        <v>9.375E-2</v>
      </c>
      <c r="I889" s="36">
        <v>35</v>
      </c>
      <c r="J889" s="86" t="s">
        <v>446</v>
      </c>
      <c r="K889" s="86" t="s">
        <v>19</v>
      </c>
      <c r="L889" s="86" t="s">
        <v>481</v>
      </c>
      <c r="M889" s="47" t="s">
        <v>480</v>
      </c>
    </row>
    <row r="890" spans="1:13" x14ac:dyDescent="0.35">
      <c r="A890" s="123">
        <v>45969</v>
      </c>
      <c r="B890" s="39">
        <v>57.18</v>
      </c>
      <c r="C890" s="39">
        <v>5.19</v>
      </c>
      <c r="D890" s="39">
        <v>22511007</v>
      </c>
      <c r="E890" s="39" t="s">
        <v>47</v>
      </c>
      <c r="F890" s="39">
        <v>1335</v>
      </c>
      <c r="G890" s="35">
        <v>9.5138888888888884E-2</v>
      </c>
      <c r="H890" s="35">
        <v>0.15763888888888888</v>
      </c>
      <c r="I890" s="36">
        <v>90</v>
      </c>
      <c r="J890" s="86" t="s">
        <v>25</v>
      </c>
      <c r="K890" s="86" t="s">
        <v>445</v>
      </c>
      <c r="L890" s="86" t="s">
        <v>456</v>
      </c>
      <c r="M890" s="60" t="s">
        <v>943</v>
      </c>
    </row>
    <row r="891" spans="1:13" x14ac:dyDescent="0.35">
      <c r="A891" s="123">
        <v>45969</v>
      </c>
      <c r="B891" s="39">
        <v>57.18</v>
      </c>
      <c r="C891" s="39">
        <v>5.19</v>
      </c>
      <c r="D891" s="39">
        <v>22511007</v>
      </c>
      <c r="E891" s="39" t="s">
        <v>47</v>
      </c>
      <c r="F891" s="39">
        <v>1335</v>
      </c>
      <c r="G891" s="35">
        <v>0.15763888888888888</v>
      </c>
      <c r="H891" s="35">
        <v>0.18055555555555555</v>
      </c>
      <c r="I891" s="36">
        <v>33</v>
      </c>
      <c r="J891" s="86" t="s">
        <v>446</v>
      </c>
      <c r="K891" s="86" t="s">
        <v>19</v>
      </c>
      <c r="L891" s="86" t="s">
        <v>481</v>
      </c>
      <c r="M891" s="47" t="s">
        <v>944</v>
      </c>
    </row>
    <row r="892" spans="1:13" x14ac:dyDescent="0.35">
      <c r="A892" s="123">
        <v>45970</v>
      </c>
      <c r="B892" s="39">
        <v>57.37</v>
      </c>
      <c r="C892" s="39">
        <v>5.0999999999999996</v>
      </c>
      <c r="D892" s="39">
        <v>22511008</v>
      </c>
      <c r="E892" s="39" t="s">
        <v>501</v>
      </c>
      <c r="F892" s="39" t="s">
        <v>941</v>
      </c>
      <c r="G892" s="35">
        <v>0.46527777777777779</v>
      </c>
      <c r="H892" s="35">
        <v>0.4861111111111111</v>
      </c>
      <c r="I892" s="36">
        <v>30</v>
      </c>
      <c r="J892" s="86" t="s">
        <v>51</v>
      </c>
      <c r="K892" s="86" t="s">
        <v>445</v>
      </c>
      <c r="L892" s="86" t="s">
        <v>53</v>
      </c>
      <c r="M892" s="47" t="s">
        <v>54</v>
      </c>
    </row>
    <row r="893" spans="1:13" x14ac:dyDescent="0.35">
      <c r="A893" s="123">
        <v>45970</v>
      </c>
      <c r="B893" s="39">
        <v>57.37</v>
      </c>
      <c r="C893" s="39">
        <v>5.0999999999999996</v>
      </c>
      <c r="D893" s="39">
        <v>22511008</v>
      </c>
      <c r="E893" s="39" t="s">
        <v>501</v>
      </c>
      <c r="F893" s="39" t="s">
        <v>941</v>
      </c>
      <c r="G893" s="35">
        <v>0.4861111111111111</v>
      </c>
      <c r="H893" s="35">
        <v>0.5</v>
      </c>
      <c r="I893" s="36">
        <v>20</v>
      </c>
      <c r="J893" s="86" t="s">
        <v>446</v>
      </c>
      <c r="K893" s="86" t="s">
        <v>445</v>
      </c>
      <c r="L893" s="86" t="s">
        <v>22</v>
      </c>
      <c r="M893" s="47" t="s">
        <v>945</v>
      </c>
    </row>
    <row r="894" spans="1:13" x14ac:dyDescent="0.35">
      <c r="A894" s="123">
        <v>45970</v>
      </c>
      <c r="B894" s="39">
        <v>57.37</v>
      </c>
      <c r="C894" s="39">
        <v>5.0999999999999996</v>
      </c>
      <c r="D894" s="45">
        <v>22511009</v>
      </c>
      <c r="E894" s="45" t="s">
        <v>47</v>
      </c>
      <c r="F894" s="45">
        <v>1255</v>
      </c>
      <c r="G894" s="35">
        <v>0.5083333333333333</v>
      </c>
      <c r="H894" s="35">
        <v>0.56944444444444442</v>
      </c>
      <c r="I894" s="36">
        <v>88</v>
      </c>
      <c r="J894" s="86" t="s">
        <v>25</v>
      </c>
      <c r="K894" s="86" t="s">
        <v>445</v>
      </c>
      <c r="L894" s="86" t="s">
        <v>492</v>
      </c>
      <c r="M894" s="60" t="s">
        <v>946</v>
      </c>
    </row>
    <row r="895" spans="1:13" x14ac:dyDescent="0.35">
      <c r="A895" s="123">
        <v>45970</v>
      </c>
      <c r="B895" s="39">
        <v>57.37</v>
      </c>
      <c r="C895" s="39">
        <v>5.0999999999999996</v>
      </c>
      <c r="D895" s="39">
        <v>22511010</v>
      </c>
      <c r="E895" s="39" t="s">
        <v>285</v>
      </c>
      <c r="F895" s="39">
        <v>1255</v>
      </c>
      <c r="G895" s="35">
        <v>0.80208333333333337</v>
      </c>
      <c r="H895" s="35">
        <v>0.86458333333333337</v>
      </c>
      <c r="I895" s="36">
        <v>90</v>
      </c>
      <c r="J895" s="86" t="s">
        <v>25</v>
      </c>
      <c r="K895" s="86" t="s">
        <v>445</v>
      </c>
      <c r="L895" s="86" t="s">
        <v>456</v>
      </c>
      <c r="M895" s="60" t="s">
        <v>943</v>
      </c>
    </row>
    <row r="896" spans="1:13" x14ac:dyDescent="0.35">
      <c r="A896" s="123">
        <v>45970</v>
      </c>
      <c r="B896" s="39">
        <v>57.37</v>
      </c>
      <c r="C896" s="39">
        <v>5.0999999999999996</v>
      </c>
      <c r="D896" s="39">
        <v>22511010</v>
      </c>
      <c r="E896" s="39" t="s">
        <v>285</v>
      </c>
      <c r="F896" s="39">
        <v>1255</v>
      </c>
      <c r="G896" s="35">
        <v>0.86458333333333337</v>
      </c>
      <c r="H896" s="35">
        <v>0.87847222222222221</v>
      </c>
      <c r="I896" s="36">
        <v>20</v>
      </c>
      <c r="J896" s="86" t="s">
        <v>446</v>
      </c>
      <c r="K896" s="86" t="s">
        <v>445</v>
      </c>
      <c r="L896" s="86" t="s">
        <v>55</v>
      </c>
      <c r="M896" s="47" t="s">
        <v>947</v>
      </c>
    </row>
    <row r="897" spans="1:13" x14ac:dyDescent="0.35">
      <c r="A897" s="123">
        <v>45972</v>
      </c>
      <c r="B897" s="45">
        <v>57.8</v>
      </c>
      <c r="C897" s="45">
        <v>5.21</v>
      </c>
      <c r="D897" s="39">
        <v>22511011</v>
      </c>
      <c r="E897" s="39" t="s">
        <v>69</v>
      </c>
      <c r="F897" s="39">
        <v>1260</v>
      </c>
      <c r="G897" s="35">
        <v>0.98263888888888884</v>
      </c>
      <c r="H897" s="35">
        <v>3.472222222222222E-3</v>
      </c>
      <c r="I897" s="36">
        <v>30</v>
      </c>
      <c r="J897" s="86" t="s">
        <v>51</v>
      </c>
      <c r="K897" s="86" t="s">
        <v>445</v>
      </c>
      <c r="L897" s="86" t="s">
        <v>53</v>
      </c>
      <c r="M897" s="58" t="s">
        <v>54</v>
      </c>
    </row>
    <row r="898" spans="1:13" x14ac:dyDescent="0.35">
      <c r="A898" s="123">
        <v>45972</v>
      </c>
      <c r="B898" s="45">
        <v>57.69</v>
      </c>
      <c r="C898" s="45">
        <v>5.26</v>
      </c>
      <c r="D898" s="39">
        <v>22511011</v>
      </c>
      <c r="E898" s="39" t="s">
        <v>69</v>
      </c>
      <c r="F898" s="39">
        <v>1260</v>
      </c>
      <c r="G898" s="35">
        <v>3.472222222222222E-3</v>
      </c>
      <c r="H898" s="35">
        <v>1.3194444444444444E-2</v>
      </c>
      <c r="I898" s="36">
        <v>14</v>
      </c>
      <c r="J898" s="86" t="s">
        <v>52</v>
      </c>
      <c r="K898" s="86" t="s">
        <v>445</v>
      </c>
      <c r="L898" s="86" t="s">
        <v>59</v>
      </c>
      <c r="M898" s="58" t="s">
        <v>59</v>
      </c>
    </row>
    <row r="899" spans="1:13" x14ac:dyDescent="0.35">
      <c r="A899" s="122">
        <v>45973</v>
      </c>
      <c r="B899" s="45">
        <v>57.82</v>
      </c>
      <c r="C899" s="45">
        <v>5.3</v>
      </c>
      <c r="D899" s="46">
        <v>22511012</v>
      </c>
      <c r="E899" s="45" t="s">
        <v>72</v>
      </c>
      <c r="F899" s="45" t="s">
        <v>948</v>
      </c>
      <c r="G899" s="35">
        <v>0.27430555555555558</v>
      </c>
      <c r="H899" s="35">
        <v>0.48749999999999999</v>
      </c>
      <c r="I899" s="36">
        <v>307</v>
      </c>
      <c r="J899" s="86" t="s">
        <v>35</v>
      </c>
      <c r="K899" s="116" t="s">
        <v>552</v>
      </c>
      <c r="L899" s="86" t="s">
        <v>553</v>
      </c>
      <c r="M899" s="62" t="s">
        <v>904</v>
      </c>
    </row>
    <row r="900" spans="1:13" x14ac:dyDescent="0.35">
      <c r="A900" s="123">
        <v>45974</v>
      </c>
      <c r="B900" s="39">
        <v>57.95</v>
      </c>
      <c r="C900" s="39">
        <v>5.09</v>
      </c>
      <c r="D900" s="39">
        <v>22511013</v>
      </c>
      <c r="E900" s="39" t="s">
        <v>170</v>
      </c>
      <c r="F900" s="39">
        <v>1230</v>
      </c>
      <c r="G900" s="35">
        <v>0.98263888888888884</v>
      </c>
      <c r="H900" s="35">
        <v>2.4305555555555556E-2</v>
      </c>
      <c r="I900" s="36">
        <v>60</v>
      </c>
      <c r="J900" s="86" t="s">
        <v>463</v>
      </c>
      <c r="K900" s="86" t="s">
        <v>445</v>
      </c>
      <c r="L900" s="58" t="s">
        <v>949</v>
      </c>
      <c r="M900" s="58" t="s">
        <v>949</v>
      </c>
    </row>
    <row r="901" spans="1:13" x14ac:dyDescent="0.35">
      <c r="A901" s="123">
        <v>45974</v>
      </c>
      <c r="B901" s="39">
        <v>57.95</v>
      </c>
      <c r="C901" s="39">
        <v>5.09</v>
      </c>
      <c r="D901" s="39">
        <v>22511013</v>
      </c>
      <c r="E901" s="39" t="s">
        <v>170</v>
      </c>
      <c r="F901" s="39">
        <v>1230</v>
      </c>
      <c r="G901" s="35">
        <v>2.4305555555555556E-2</v>
      </c>
      <c r="H901" s="35">
        <v>3.4027777777777775E-2</v>
      </c>
      <c r="I901" s="36">
        <v>14</v>
      </c>
      <c r="J901" s="86" t="s">
        <v>446</v>
      </c>
      <c r="K901" s="86" t="s">
        <v>41</v>
      </c>
      <c r="L901" s="86" t="s">
        <v>454</v>
      </c>
      <c r="M901" s="58" t="s">
        <v>950</v>
      </c>
    </row>
    <row r="902" spans="1:13" x14ac:dyDescent="0.35">
      <c r="A902" s="123">
        <v>45975</v>
      </c>
      <c r="B902" s="39">
        <v>57.79</v>
      </c>
      <c r="C902" s="39">
        <v>5.22</v>
      </c>
      <c r="D902" s="39">
        <v>22511014</v>
      </c>
      <c r="E902" s="39" t="s">
        <v>119</v>
      </c>
      <c r="F902" s="39" t="s">
        <v>58</v>
      </c>
      <c r="G902" s="35">
        <v>0.33402777777777776</v>
      </c>
      <c r="H902" s="35">
        <v>0.35486111111111113</v>
      </c>
      <c r="I902" s="36">
        <v>30</v>
      </c>
      <c r="J902" s="86" t="s">
        <v>51</v>
      </c>
      <c r="K902" s="86" t="s">
        <v>445</v>
      </c>
      <c r="L902" s="86" t="s">
        <v>53</v>
      </c>
      <c r="M902" s="58" t="s">
        <v>54</v>
      </c>
    </row>
    <row r="903" spans="1:13" x14ac:dyDescent="0.35">
      <c r="A903" s="123">
        <v>45975</v>
      </c>
      <c r="B903" s="39">
        <v>57.79</v>
      </c>
      <c r="C903" s="39">
        <v>5.22</v>
      </c>
      <c r="D903" s="39">
        <v>22511014</v>
      </c>
      <c r="E903" s="39" t="s">
        <v>119</v>
      </c>
      <c r="F903" s="39" t="s">
        <v>58</v>
      </c>
      <c r="G903" s="35">
        <v>0.35486111111111113</v>
      </c>
      <c r="H903" s="35">
        <v>0.37013888888888891</v>
      </c>
      <c r="I903" s="36">
        <v>22</v>
      </c>
      <c r="J903" s="86" t="s">
        <v>446</v>
      </c>
      <c r="K903" s="86" t="s">
        <v>41</v>
      </c>
      <c r="L903" s="86" t="s">
        <v>454</v>
      </c>
      <c r="M903" s="58" t="s">
        <v>951</v>
      </c>
    </row>
    <row r="904" spans="1:13" x14ac:dyDescent="0.35">
      <c r="A904" s="123">
        <v>45975</v>
      </c>
      <c r="B904" s="39">
        <v>57.79</v>
      </c>
      <c r="C904" s="39">
        <v>5.22</v>
      </c>
      <c r="D904" s="39">
        <v>22511014</v>
      </c>
      <c r="E904" s="39" t="s">
        <v>119</v>
      </c>
      <c r="F904" s="39" t="s">
        <v>58</v>
      </c>
      <c r="G904" s="35">
        <v>0.37013888888888891</v>
      </c>
      <c r="H904" s="35">
        <v>0.38055555555555554</v>
      </c>
      <c r="I904" s="36">
        <v>15</v>
      </c>
      <c r="J904" s="86" t="s">
        <v>446</v>
      </c>
      <c r="K904" s="86" t="s">
        <v>445</v>
      </c>
      <c r="L904" s="86" t="s">
        <v>22</v>
      </c>
      <c r="M904" s="58" t="s">
        <v>347</v>
      </c>
    </row>
    <row r="905" spans="1:13" x14ac:dyDescent="0.35">
      <c r="A905" s="123">
        <v>45976</v>
      </c>
      <c r="B905" s="39">
        <v>58</v>
      </c>
      <c r="C905" s="39">
        <v>5.3</v>
      </c>
      <c r="D905" s="39">
        <v>22511015</v>
      </c>
      <c r="E905" s="39" t="s">
        <v>141</v>
      </c>
      <c r="F905" s="39" t="s">
        <v>953</v>
      </c>
      <c r="G905" s="35">
        <v>0.71875</v>
      </c>
      <c r="H905" s="35">
        <v>0.73958333333333337</v>
      </c>
      <c r="I905" s="36">
        <v>30</v>
      </c>
      <c r="J905" s="86" t="s">
        <v>51</v>
      </c>
      <c r="K905" s="86" t="s">
        <v>445</v>
      </c>
      <c r="L905" s="86" t="s">
        <v>53</v>
      </c>
      <c r="M905" s="47" t="s">
        <v>54</v>
      </c>
    </row>
    <row r="906" spans="1:13" x14ac:dyDescent="0.35">
      <c r="A906" s="123">
        <v>45976</v>
      </c>
      <c r="B906" s="39">
        <v>58</v>
      </c>
      <c r="C906" s="39">
        <v>5.3</v>
      </c>
      <c r="D906" s="39">
        <v>22511015</v>
      </c>
      <c r="E906" s="39" t="s">
        <v>141</v>
      </c>
      <c r="F906" s="39" t="s">
        <v>953</v>
      </c>
      <c r="G906" s="35">
        <v>0.73958333333333337</v>
      </c>
      <c r="H906" s="35">
        <v>0.75</v>
      </c>
      <c r="I906" s="36">
        <v>15</v>
      </c>
      <c r="J906" s="86" t="s">
        <v>52</v>
      </c>
      <c r="K906" s="86" t="s">
        <v>445</v>
      </c>
      <c r="L906" s="86" t="s">
        <v>59</v>
      </c>
      <c r="M906" s="47" t="s">
        <v>59</v>
      </c>
    </row>
    <row r="907" spans="1:13" x14ac:dyDescent="0.35">
      <c r="A907" s="123">
        <v>45977</v>
      </c>
      <c r="B907" s="39">
        <v>57.75</v>
      </c>
      <c r="C907" s="39">
        <v>5.49</v>
      </c>
      <c r="D907" s="39">
        <v>22511016</v>
      </c>
      <c r="E907" s="39" t="s">
        <v>66</v>
      </c>
      <c r="F907" s="39">
        <v>1250</v>
      </c>
      <c r="G907" s="35">
        <v>0.71944444444444444</v>
      </c>
      <c r="H907" s="35">
        <v>0.78194444444444444</v>
      </c>
      <c r="I907" s="36">
        <v>90</v>
      </c>
      <c r="J907" s="86" t="s">
        <v>25</v>
      </c>
      <c r="K907" s="86" t="s">
        <v>445</v>
      </c>
      <c r="L907" s="86" t="s">
        <v>492</v>
      </c>
      <c r="M907" s="60" t="s">
        <v>946</v>
      </c>
    </row>
    <row r="908" spans="1:13" x14ac:dyDescent="0.35">
      <c r="A908" s="123">
        <v>45977</v>
      </c>
      <c r="B908" s="39">
        <v>57.75</v>
      </c>
      <c r="C908" s="39">
        <v>5.49</v>
      </c>
      <c r="D908" s="39">
        <v>22511016</v>
      </c>
      <c r="E908" s="39" t="s">
        <v>66</v>
      </c>
      <c r="F908" s="39">
        <v>1250</v>
      </c>
      <c r="G908" s="35">
        <v>0.78194444444444444</v>
      </c>
      <c r="H908" s="35">
        <v>0.78819444444444442</v>
      </c>
      <c r="I908" s="36">
        <v>9</v>
      </c>
      <c r="J908" s="86" t="s">
        <v>446</v>
      </c>
      <c r="K908" s="86" t="s">
        <v>246</v>
      </c>
      <c r="L908" s="47" t="s">
        <v>954</v>
      </c>
      <c r="M908" s="47" t="s">
        <v>954</v>
      </c>
    </row>
    <row r="909" spans="1:13" x14ac:dyDescent="0.35">
      <c r="A909" s="123">
        <v>45979</v>
      </c>
      <c r="B909" s="45">
        <v>58</v>
      </c>
      <c r="C909" s="45">
        <v>5.29</v>
      </c>
      <c r="D909" s="39">
        <v>22511017</v>
      </c>
      <c r="E909" s="39" t="s">
        <v>141</v>
      </c>
      <c r="F909" s="39">
        <v>1252</v>
      </c>
      <c r="G909" s="35">
        <v>7.2916666666666671E-2</v>
      </c>
      <c r="H909" s="35">
        <v>9.375E-2</v>
      </c>
      <c r="I909" s="36">
        <v>30</v>
      </c>
      <c r="J909" s="86" t="s">
        <v>51</v>
      </c>
      <c r="K909" s="86" t="s">
        <v>445</v>
      </c>
      <c r="L909" s="86" t="s">
        <v>53</v>
      </c>
      <c r="M909" s="58" t="s">
        <v>54</v>
      </c>
    </row>
    <row r="910" spans="1:13" x14ac:dyDescent="0.35">
      <c r="A910" s="123">
        <v>45979</v>
      </c>
      <c r="B910" s="45">
        <v>58</v>
      </c>
      <c r="C910" s="45">
        <v>5.48</v>
      </c>
      <c r="D910" s="39">
        <v>22511017</v>
      </c>
      <c r="E910" s="39" t="s">
        <v>141</v>
      </c>
      <c r="F910" s="39">
        <v>1252</v>
      </c>
      <c r="G910" s="35">
        <v>9.375E-2</v>
      </c>
      <c r="H910" s="35">
        <v>0.10416666666666667</v>
      </c>
      <c r="I910" s="36">
        <v>15</v>
      </c>
      <c r="J910" s="86" t="s">
        <v>52</v>
      </c>
      <c r="K910" s="86" t="s">
        <v>445</v>
      </c>
      <c r="L910" s="86" t="s">
        <v>59</v>
      </c>
      <c r="M910" s="58" t="s">
        <v>59</v>
      </c>
    </row>
    <row r="911" spans="1:13" x14ac:dyDescent="0.35">
      <c r="A911" s="123">
        <v>45980</v>
      </c>
      <c r="B911" s="39">
        <v>58</v>
      </c>
      <c r="C911" s="39">
        <v>5.41</v>
      </c>
      <c r="D911" s="39">
        <v>22511018</v>
      </c>
      <c r="E911" s="39" t="s">
        <v>104</v>
      </c>
      <c r="F911" s="39">
        <v>1250</v>
      </c>
      <c r="G911" s="35">
        <v>0.3888888888888889</v>
      </c>
      <c r="H911" s="35">
        <v>0.40972222222222221</v>
      </c>
      <c r="I911" s="36">
        <v>30</v>
      </c>
      <c r="J911" s="86" t="s">
        <v>51</v>
      </c>
      <c r="K911" s="86" t="s">
        <v>445</v>
      </c>
      <c r="L911" s="86" t="s">
        <v>53</v>
      </c>
      <c r="M911" s="58" t="s">
        <v>54</v>
      </c>
    </row>
    <row r="912" spans="1:13" x14ac:dyDescent="0.35">
      <c r="A912" s="123">
        <v>45980</v>
      </c>
      <c r="B912" s="39">
        <v>58</v>
      </c>
      <c r="C912" s="39">
        <v>5.41</v>
      </c>
      <c r="D912" s="39">
        <v>22511018</v>
      </c>
      <c r="E912" s="39" t="s">
        <v>104</v>
      </c>
      <c r="F912" s="39">
        <v>1250</v>
      </c>
      <c r="G912" s="35">
        <v>0.40972222222222221</v>
      </c>
      <c r="H912" s="35">
        <v>0.41875000000000001</v>
      </c>
      <c r="I912" s="36">
        <v>13</v>
      </c>
      <c r="J912" s="86" t="s">
        <v>446</v>
      </c>
      <c r="K912" s="86" t="s">
        <v>26</v>
      </c>
      <c r="L912" s="86" t="s">
        <v>32</v>
      </c>
      <c r="M912" s="58" t="s">
        <v>61</v>
      </c>
    </row>
    <row r="913" spans="1:13" x14ac:dyDescent="0.35">
      <c r="A913" s="123">
        <v>45981</v>
      </c>
      <c r="B913" s="39">
        <v>57.66</v>
      </c>
      <c r="C913" s="39">
        <v>5.39</v>
      </c>
      <c r="D913" s="39">
        <v>22511019</v>
      </c>
      <c r="E913" s="39" t="s">
        <v>141</v>
      </c>
      <c r="F913" s="39" t="s">
        <v>956</v>
      </c>
      <c r="G913" s="35">
        <v>0.68125000000000002</v>
      </c>
      <c r="H913" s="35">
        <v>0.70208333333333328</v>
      </c>
      <c r="I913" s="36">
        <v>30</v>
      </c>
      <c r="J913" s="86" t="s">
        <v>51</v>
      </c>
      <c r="K913" s="86" t="s">
        <v>445</v>
      </c>
      <c r="L913" s="86" t="s">
        <v>53</v>
      </c>
      <c r="M913" s="58" t="s">
        <v>54</v>
      </c>
    </row>
    <row r="914" spans="1:13" x14ac:dyDescent="0.35">
      <c r="A914" s="123">
        <v>45981</v>
      </c>
      <c r="B914" s="39">
        <v>57.66</v>
      </c>
      <c r="C914" s="39">
        <v>5.39</v>
      </c>
      <c r="D914" s="39">
        <v>22511019</v>
      </c>
      <c r="E914" s="39" t="s">
        <v>141</v>
      </c>
      <c r="F914" s="39" t="s">
        <v>956</v>
      </c>
      <c r="G914" s="35">
        <v>0.70208333333333328</v>
      </c>
      <c r="H914" s="35">
        <v>0.71250000000000002</v>
      </c>
      <c r="I914" s="36">
        <v>15</v>
      </c>
      <c r="J914" s="86" t="s">
        <v>52</v>
      </c>
      <c r="K914" s="86" t="s">
        <v>445</v>
      </c>
      <c r="L914" s="86" t="s">
        <v>59</v>
      </c>
      <c r="M914" s="58" t="s">
        <v>59</v>
      </c>
    </row>
    <row r="915" spans="1:13" x14ac:dyDescent="0.35">
      <c r="A915" s="123">
        <v>45981</v>
      </c>
      <c r="B915" s="39">
        <v>57.66</v>
      </c>
      <c r="C915" s="39">
        <v>5.39</v>
      </c>
      <c r="D915" s="39">
        <v>22511019</v>
      </c>
      <c r="E915" s="39" t="s">
        <v>141</v>
      </c>
      <c r="F915" s="39" t="s">
        <v>956</v>
      </c>
      <c r="G915" s="35">
        <v>0.71250000000000002</v>
      </c>
      <c r="H915" s="35">
        <v>0.71666666666666667</v>
      </c>
      <c r="I915" s="36">
        <v>6</v>
      </c>
      <c r="J915" s="86" t="s">
        <v>446</v>
      </c>
      <c r="K915" s="86" t="s">
        <v>41</v>
      </c>
      <c r="L915" s="86" t="s">
        <v>454</v>
      </c>
      <c r="M915" s="58" t="s">
        <v>958</v>
      </c>
    </row>
    <row r="916" spans="1:13" x14ac:dyDescent="0.35">
      <c r="A916" s="123">
        <v>45981</v>
      </c>
      <c r="B916" s="39">
        <v>57.66</v>
      </c>
      <c r="C916" s="39">
        <v>5.39</v>
      </c>
      <c r="D916" s="39">
        <v>22511019</v>
      </c>
      <c r="E916" s="39" t="s">
        <v>141</v>
      </c>
      <c r="F916" s="39" t="s">
        <v>956</v>
      </c>
      <c r="G916" s="35">
        <v>0.71666666666666667</v>
      </c>
      <c r="H916" s="35">
        <v>0.72361111111111109</v>
      </c>
      <c r="I916" s="36">
        <v>10</v>
      </c>
      <c r="J916" s="86" t="s">
        <v>446</v>
      </c>
      <c r="K916" s="86" t="s">
        <v>445</v>
      </c>
      <c r="L916" s="86" t="s">
        <v>22</v>
      </c>
      <c r="M916" s="58" t="s">
        <v>959</v>
      </c>
    </row>
    <row r="917" spans="1:13" x14ac:dyDescent="0.35">
      <c r="A917" s="123">
        <v>45982</v>
      </c>
      <c r="B917" s="39">
        <v>58</v>
      </c>
      <c r="C917" s="39">
        <v>5.53</v>
      </c>
      <c r="D917" s="45">
        <v>22511020</v>
      </c>
      <c r="E917" s="45" t="s">
        <v>24</v>
      </c>
      <c r="F917" s="45">
        <v>1230</v>
      </c>
      <c r="G917" s="35">
        <v>0.92638888888888893</v>
      </c>
      <c r="H917" s="35">
        <v>0.98611111111111116</v>
      </c>
      <c r="I917" s="36">
        <v>86</v>
      </c>
      <c r="J917" s="86" t="s">
        <v>35</v>
      </c>
      <c r="K917" s="86" t="s">
        <v>62</v>
      </c>
      <c r="L917" s="86" t="s">
        <v>190</v>
      </c>
      <c r="M917" s="62" t="s">
        <v>102</v>
      </c>
    </row>
    <row r="918" spans="1:13" x14ac:dyDescent="0.35">
      <c r="A918" s="123">
        <v>45982</v>
      </c>
      <c r="B918" s="39">
        <v>58</v>
      </c>
      <c r="C918" s="39">
        <v>5.53</v>
      </c>
      <c r="D918" s="45">
        <v>22511021</v>
      </c>
      <c r="E918" s="45" t="s">
        <v>468</v>
      </c>
      <c r="F918" s="45">
        <v>1230</v>
      </c>
      <c r="G918" s="35">
        <v>0.47083333333333333</v>
      </c>
      <c r="H918" s="35">
        <v>0.56805555555555554</v>
      </c>
      <c r="I918" s="36">
        <v>140</v>
      </c>
      <c r="J918" s="86" t="s">
        <v>35</v>
      </c>
      <c r="K918" s="86" t="s">
        <v>445</v>
      </c>
      <c r="L918" s="86" t="s">
        <v>234</v>
      </c>
      <c r="M918" s="62" t="s">
        <v>708</v>
      </c>
    </row>
    <row r="919" spans="1:13" x14ac:dyDescent="0.35">
      <c r="A919" s="123">
        <v>45983</v>
      </c>
      <c r="B919" s="39">
        <v>57.88</v>
      </c>
      <c r="C919" s="39">
        <v>5.01</v>
      </c>
      <c r="D919" s="45">
        <v>22511022</v>
      </c>
      <c r="E919" s="45" t="s">
        <v>145</v>
      </c>
      <c r="F919" s="45">
        <v>1250</v>
      </c>
      <c r="G919" s="35">
        <v>0.42222222222222222</v>
      </c>
      <c r="H919" s="35">
        <v>0.58680555555555558</v>
      </c>
      <c r="I919" s="36">
        <v>237</v>
      </c>
      <c r="J919" s="86" t="s">
        <v>463</v>
      </c>
      <c r="K919" s="86" t="s">
        <v>19</v>
      </c>
      <c r="L919" s="86" t="s">
        <v>143</v>
      </c>
      <c r="M919" s="58" t="s">
        <v>963</v>
      </c>
    </row>
    <row r="920" spans="1:13" x14ac:dyDescent="0.35">
      <c r="A920" s="123">
        <v>45983</v>
      </c>
      <c r="B920" s="39">
        <v>57.88</v>
      </c>
      <c r="C920" s="39">
        <v>5.01</v>
      </c>
      <c r="D920" s="39">
        <v>22511023</v>
      </c>
      <c r="E920" s="39" t="s">
        <v>160</v>
      </c>
      <c r="F920" s="39">
        <v>1250</v>
      </c>
      <c r="G920" s="35">
        <v>0.89583333333333337</v>
      </c>
      <c r="H920" s="35">
        <v>0.91666666666666663</v>
      </c>
      <c r="I920" s="36">
        <v>30</v>
      </c>
      <c r="J920" s="86" t="s">
        <v>25</v>
      </c>
      <c r="K920" s="86" t="s">
        <v>445</v>
      </c>
      <c r="L920" s="86" t="s">
        <v>492</v>
      </c>
      <c r="M920" s="92" t="s">
        <v>946</v>
      </c>
    </row>
    <row r="921" spans="1:13" x14ac:dyDescent="0.35">
      <c r="A921" s="123">
        <v>45984</v>
      </c>
      <c r="B921" s="39">
        <v>57.18</v>
      </c>
      <c r="C921" s="39">
        <v>5.45</v>
      </c>
      <c r="D921" s="39">
        <v>22511023</v>
      </c>
      <c r="E921" s="39" t="s">
        <v>160</v>
      </c>
      <c r="F921" s="39">
        <v>1250</v>
      </c>
      <c r="G921" s="35">
        <v>0.91666666666666663</v>
      </c>
      <c r="H921" s="35">
        <v>0.95833333333333337</v>
      </c>
      <c r="I921" s="36">
        <v>60</v>
      </c>
      <c r="J921" s="86" t="s">
        <v>446</v>
      </c>
      <c r="K921" s="86" t="s">
        <v>445</v>
      </c>
      <c r="L921" s="86" t="s">
        <v>492</v>
      </c>
      <c r="M921" s="92" t="s">
        <v>946</v>
      </c>
    </row>
    <row r="922" spans="1:13" x14ac:dyDescent="0.35">
      <c r="A922" s="123">
        <v>45984</v>
      </c>
      <c r="B922" s="39">
        <v>57.18</v>
      </c>
      <c r="C922" s="39">
        <v>5.45</v>
      </c>
      <c r="D922" s="39">
        <v>22511023</v>
      </c>
      <c r="E922" s="39" t="s">
        <v>160</v>
      </c>
      <c r="F922" s="39">
        <v>1250</v>
      </c>
      <c r="G922" s="35">
        <v>0.95833333333333337</v>
      </c>
      <c r="H922" s="35">
        <v>0.96875</v>
      </c>
      <c r="I922" s="36">
        <v>15</v>
      </c>
      <c r="J922" s="86" t="s">
        <v>446</v>
      </c>
      <c r="K922" s="86" t="s">
        <v>445</v>
      </c>
      <c r="L922" s="86" t="s">
        <v>55</v>
      </c>
      <c r="M922" s="58" t="s">
        <v>964</v>
      </c>
    </row>
    <row r="923" spans="1:13" x14ac:dyDescent="0.35">
      <c r="A923" s="123">
        <v>45984</v>
      </c>
      <c r="B923" s="39">
        <v>57.18</v>
      </c>
      <c r="C923" s="39">
        <v>5.45</v>
      </c>
      <c r="D923" s="39">
        <v>22511023</v>
      </c>
      <c r="E923" s="39" t="s">
        <v>160</v>
      </c>
      <c r="F923" s="39">
        <v>1250</v>
      </c>
      <c r="G923" s="35">
        <v>0.96875</v>
      </c>
      <c r="H923" s="35">
        <v>0.97916666666666663</v>
      </c>
      <c r="I923" s="36">
        <v>15</v>
      </c>
      <c r="J923" s="86" t="s">
        <v>446</v>
      </c>
      <c r="K923" s="86" t="s">
        <v>41</v>
      </c>
      <c r="L923" s="86" t="s">
        <v>524</v>
      </c>
      <c r="M923" s="58" t="s">
        <v>965</v>
      </c>
    </row>
    <row r="924" spans="1:13" x14ac:dyDescent="0.35">
      <c r="A924" s="123">
        <v>45985</v>
      </c>
      <c r="B924" s="39">
        <v>57.23</v>
      </c>
      <c r="C924" s="39">
        <v>5.36</v>
      </c>
      <c r="D924" s="39">
        <v>22511024</v>
      </c>
      <c r="E924" s="39" t="s">
        <v>104</v>
      </c>
      <c r="F924" s="39">
        <v>1250</v>
      </c>
      <c r="G924" s="35">
        <v>0.33888888888888891</v>
      </c>
      <c r="H924" s="35">
        <v>0.35972222222222222</v>
      </c>
      <c r="I924" s="36">
        <v>30</v>
      </c>
      <c r="J924" s="86" t="s">
        <v>51</v>
      </c>
      <c r="K924" s="86" t="s">
        <v>445</v>
      </c>
      <c r="L924" s="86" t="s">
        <v>53</v>
      </c>
      <c r="M924" s="58" t="s">
        <v>54</v>
      </c>
    </row>
    <row r="925" spans="1:13" x14ac:dyDescent="0.35">
      <c r="A925" s="123">
        <v>45985</v>
      </c>
      <c r="B925" s="39">
        <v>57.23</v>
      </c>
      <c r="C925" s="39">
        <v>5.36</v>
      </c>
      <c r="D925" s="39">
        <v>22511024</v>
      </c>
      <c r="E925" s="39" t="s">
        <v>104</v>
      </c>
      <c r="F925" s="39">
        <v>1250</v>
      </c>
      <c r="G925" s="35">
        <v>0.35972222222222222</v>
      </c>
      <c r="H925" s="35">
        <v>0.36388888888888887</v>
      </c>
      <c r="I925" s="36">
        <v>6</v>
      </c>
      <c r="J925" s="86" t="s">
        <v>446</v>
      </c>
      <c r="K925" s="86" t="s">
        <v>445</v>
      </c>
      <c r="L925" s="86" t="s">
        <v>22</v>
      </c>
      <c r="M925" s="58" t="s">
        <v>966</v>
      </c>
    </row>
    <row r="926" spans="1:13" x14ac:dyDescent="0.35">
      <c r="A926" s="123">
        <v>45986</v>
      </c>
      <c r="B926" s="39">
        <v>57.7</v>
      </c>
      <c r="C926" s="39">
        <v>5.37</v>
      </c>
      <c r="D926" s="39">
        <v>22511025</v>
      </c>
      <c r="E926" s="39" t="s">
        <v>72</v>
      </c>
      <c r="F926" s="39" t="s">
        <v>967</v>
      </c>
      <c r="G926" s="35">
        <v>0.65277777777777779</v>
      </c>
      <c r="H926" s="35">
        <v>0.67361111111111116</v>
      </c>
      <c r="I926" s="36">
        <v>30</v>
      </c>
      <c r="J926" s="86" t="s">
        <v>51</v>
      </c>
      <c r="K926" s="86" t="s">
        <v>445</v>
      </c>
      <c r="L926" s="86" t="s">
        <v>53</v>
      </c>
      <c r="M926" s="58" t="s">
        <v>54</v>
      </c>
    </row>
    <row r="927" spans="1:13" x14ac:dyDescent="0.35">
      <c r="A927" s="123">
        <v>45986</v>
      </c>
      <c r="B927" s="39">
        <v>57.7</v>
      </c>
      <c r="C927" s="39">
        <v>5.37</v>
      </c>
      <c r="D927" s="39">
        <v>22511025</v>
      </c>
      <c r="E927" s="39" t="s">
        <v>72</v>
      </c>
      <c r="F927" s="39" t="s">
        <v>967</v>
      </c>
      <c r="G927" s="35">
        <v>0.67361111111111116</v>
      </c>
      <c r="H927" s="35">
        <v>0.68402777777777779</v>
      </c>
      <c r="I927" s="36">
        <v>15</v>
      </c>
      <c r="J927" s="86" t="s">
        <v>52</v>
      </c>
      <c r="K927" s="86" t="s">
        <v>445</v>
      </c>
      <c r="L927" s="86" t="s">
        <v>59</v>
      </c>
      <c r="M927" s="58" t="s">
        <v>59</v>
      </c>
    </row>
    <row r="928" spans="1:13" x14ac:dyDescent="0.35">
      <c r="A928" s="123">
        <v>45986</v>
      </c>
      <c r="B928" s="39">
        <v>57.7</v>
      </c>
      <c r="C928" s="39">
        <v>5.37</v>
      </c>
      <c r="D928" s="39">
        <v>22511025</v>
      </c>
      <c r="E928" s="39" t="s">
        <v>72</v>
      </c>
      <c r="F928" s="39" t="s">
        <v>967</v>
      </c>
      <c r="G928" s="35">
        <v>0.68402777777777779</v>
      </c>
      <c r="H928" s="35">
        <v>0.69097222222222221</v>
      </c>
      <c r="I928" s="36">
        <v>10</v>
      </c>
      <c r="J928" s="86" t="s">
        <v>446</v>
      </c>
      <c r="K928" s="86" t="s">
        <v>445</v>
      </c>
      <c r="L928" s="86" t="s">
        <v>74</v>
      </c>
      <c r="M928" s="58" t="s">
        <v>75</v>
      </c>
    </row>
    <row r="929" spans="1:13" x14ac:dyDescent="0.35">
      <c r="A929" s="122">
        <v>45988</v>
      </c>
      <c r="B929" s="45">
        <v>57.37</v>
      </c>
      <c r="C929" s="45">
        <v>4.96</v>
      </c>
      <c r="D929" s="45">
        <v>22511026</v>
      </c>
      <c r="E929" s="45" t="s">
        <v>104</v>
      </c>
      <c r="F929" s="45">
        <v>1250</v>
      </c>
      <c r="G929" s="35">
        <v>0.98958333333333337</v>
      </c>
      <c r="H929" s="35">
        <v>8.3333333333333332E-3</v>
      </c>
      <c r="I929" s="36">
        <v>27</v>
      </c>
      <c r="J929" s="86" t="s">
        <v>51</v>
      </c>
      <c r="K929" s="86" t="s">
        <v>445</v>
      </c>
      <c r="L929" s="86" t="s">
        <v>53</v>
      </c>
      <c r="M929" s="58" t="s">
        <v>54</v>
      </c>
    </row>
    <row r="930" spans="1:13" x14ac:dyDescent="0.35">
      <c r="A930" s="123">
        <v>45989</v>
      </c>
      <c r="B930" s="39">
        <v>58</v>
      </c>
      <c r="C930" s="39">
        <v>5.1100000000000003</v>
      </c>
      <c r="D930" s="39">
        <v>22511027</v>
      </c>
      <c r="E930" s="39" t="s">
        <v>57</v>
      </c>
      <c r="F930" s="39">
        <v>1250</v>
      </c>
      <c r="G930" s="35">
        <v>0.28472222222222221</v>
      </c>
      <c r="H930" s="35">
        <v>0.30555555555555558</v>
      </c>
      <c r="I930" s="36">
        <v>30</v>
      </c>
      <c r="J930" s="86" t="s">
        <v>51</v>
      </c>
      <c r="K930" s="86" t="s">
        <v>445</v>
      </c>
      <c r="L930" s="86" t="s">
        <v>53</v>
      </c>
      <c r="M930" s="58" t="s">
        <v>54</v>
      </c>
    </row>
    <row r="931" spans="1:13" x14ac:dyDescent="0.35">
      <c r="A931" s="123">
        <v>45989</v>
      </c>
      <c r="B931" s="39">
        <v>58</v>
      </c>
      <c r="C931" s="39">
        <v>5.1100000000000003</v>
      </c>
      <c r="D931" s="39">
        <v>22511027</v>
      </c>
      <c r="E931" s="39" t="s">
        <v>57</v>
      </c>
      <c r="F931" s="39">
        <v>1250</v>
      </c>
      <c r="G931" s="35">
        <v>0.30555555555555558</v>
      </c>
      <c r="H931" s="35">
        <v>0.3125</v>
      </c>
      <c r="I931" s="36">
        <v>10</v>
      </c>
      <c r="J931" s="86" t="s">
        <v>52</v>
      </c>
      <c r="K931" s="86" t="s">
        <v>445</v>
      </c>
      <c r="L931" s="86" t="s">
        <v>59</v>
      </c>
      <c r="M931" s="58" t="s">
        <v>59</v>
      </c>
    </row>
    <row r="932" spans="1:13" x14ac:dyDescent="0.35">
      <c r="A932" s="123">
        <v>45989</v>
      </c>
      <c r="B932" s="39">
        <v>58</v>
      </c>
      <c r="C932" s="39">
        <v>5.1100000000000003</v>
      </c>
      <c r="D932" s="39">
        <v>22511027</v>
      </c>
      <c r="E932" s="39" t="s">
        <v>57</v>
      </c>
      <c r="F932" s="39">
        <v>1250</v>
      </c>
      <c r="G932" s="35">
        <v>0.3125</v>
      </c>
      <c r="H932" s="35">
        <v>0.31597222222222221</v>
      </c>
      <c r="I932" s="36">
        <v>5</v>
      </c>
      <c r="J932" s="86" t="s">
        <v>52</v>
      </c>
      <c r="K932" s="86" t="s">
        <v>62</v>
      </c>
      <c r="L932" s="86" t="s">
        <v>130</v>
      </c>
      <c r="M932" s="58" t="s">
        <v>969</v>
      </c>
    </row>
    <row r="933" spans="1:13" x14ac:dyDescent="0.35">
      <c r="A933" s="123">
        <v>45989</v>
      </c>
      <c r="B933" s="39">
        <v>58</v>
      </c>
      <c r="C933" s="39">
        <v>5.1100000000000003</v>
      </c>
      <c r="D933" s="39">
        <v>22511027</v>
      </c>
      <c r="E933" s="39" t="s">
        <v>57</v>
      </c>
      <c r="F933" s="39">
        <v>1250</v>
      </c>
      <c r="G933" s="35">
        <v>0.31597222222222221</v>
      </c>
      <c r="H933" s="35">
        <v>0.3263888888888889</v>
      </c>
      <c r="I933" s="36">
        <v>15</v>
      </c>
      <c r="J933" s="86" t="s">
        <v>446</v>
      </c>
      <c r="K933" s="86" t="s">
        <v>19</v>
      </c>
      <c r="L933" s="58" t="s">
        <v>970</v>
      </c>
      <c r="M933" s="58" t="s">
        <v>970</v>
      </c>
    </row>
    <row r="934" spans="1:13" x14ac:dyDescent="0.35">
      <c r="A934" s="122">
        <v>45990</v>
      </c>
      <c r="B934" s="45">
        <v>58</v>
      </c>
      <c r="C934" s="45">
        <v>5.29</v>
      </c>
      <c r="D934" s="45">
        <v>22511028</v>
      </c>
      <c r="E934" s="45" t="s">
        <v>104</v>
      </c>
      <c r="F934" s="45">
        <v>1255</v>
      </c>
      <c r="G934" s="35">
        <v>0.66666666666666663</v>
      </c>
      <c r="H934" s="35">
        <v>0.68402777777777779</v>
      </c>
      <c r="I934" s="36">
        <v>25</v>
      </c>
      <c r="J934" s="86" t="s">
        <v>51</v>
      </c>
      <c r="K934" s="86" t="s">
        <v>445</v>
      </c>
      <c r="L934" s="86" t="s">
        <v>53</v>
      </c>
      <c r="M934" s="58" t="s">
        <v>54</v>
      </c>
    </row>
    <row r="935" spans="1:13" x14ac:dyDescent="0.35">
      <c r="A935" s="123">
        <v>45992</v>
      </c>
      <c r="B935" s="39">
        <v>58</v>
      </c>
      <c r="C935" s="39">
        <v>5.32</v>
      </c>
      <c r="D935" s="39">
        <v>22511029</v>
      </c>
      <c r="E935" s="39" t="s">
        <v>104</v>
      </c>
      <c r="F935" s="39" t="s">
        <v>972</v>
      </c>
      <c r="G935" s="35">
        <v>0.96875</v>
      </c>
      <c r="H935" s="35">
        <v>0.98958333333333337</v>
      </c>
      <c r="I935" s="36">
        <v>30</v>
      </c>
      <c r="J935" s="86" t="s">
        <v>51</v>
      </c>
      <c r="K935" s="86" t="s">
        <v>445</v>
      </c>
      <c r="L935" s="86" t="s">
        <v>53</v>
      </c>
      <c r="M935" s="47" t="s">
        <v>54</v>
      </c>
    </row>
    <row r="936" spans="1:13" x14ac:dyDescent="0.35">
      <c r="A936" s="123">
        <v>45992</v>
      </c>
      <c r="B936" s="39">
        <v>58</v>
      </c>
      <c r="C936" s="39">
        <v>5.32</v>
      </c>
      <c r="D936" s="39">
        <v>22511029</v>
      </c>
      <c r="E936" s="39" t="s">
        <v>104</v>
      </c>
      <c r="F936" s="39" t="s">
        <v>972</v>
      </c>
      <c r="G936" s="35">
        <v>0.98958333333333337</v>
      </c>
      <c r="H936" s="35">
        <v>1.0416666666666666E-2</v>
      </c>
      <c r="I936" s="36">
        <v>30</v>
      </c>
      <c r="J936" s="86" t="s">
        <v>52</v>
      </c>
      <c r="K936" s="86" t="s">
        <v>445</v>
      </c>
      <c r="L936" s="86" t="s">
        <v>178</v>
      </c>
      <c r="M936" s="47" t="s">
        <v>179</v>
      </c>
    </row>
    <row r="937" spans="1:13" x14ac:dyDescent="0.35">
      <c r="A937" s="123">
        <v>45993</v>
      </c>
      <c r="B937" s="39">
        <v>58</v>
      </c>
      <c r="C937" s="39">
        <v>5.44</v>
      </c>
      <c r="D937" s="39">
        <v>22512001</v>
      </c>
      <c r="E937" s="39" t="s">
        <v>141</v>
      </c>
      <c r="F937" s="39" t="s">
        <v>414</v>
      </c>
      <c r="G937" s="35">
        <v>0.29166666666666669</v>
      </c>
      <c r="H937" s="35">
        <v>0.3125</v>
      </c>
      <c r="I937" s="36">
        <v>30</v>
      </c>
      <c r="J937" s="86" t="s">
        <v>51</v>
      </c>
      <c r="K937" s="86" t="s">
        <v>445</v>
      </c>
      <c r="L937" s="86" t="s">
        <v>53</v>
      </c>
      <c r="M937" s="47" t="s">
        <v>54</v>
      </c>
    </row>
    <row r="938" spans="1:13" x14ac:dyDescent="0.35">
      <c r="A938" s="123">
        <v>45993</v>
      </c>
      <c r="B938" s="39">
        <v>58</v>
      </c>
      <c r="C938" s="39">
        <v>5.44</v>
      </c>
      <c r="D938" s="39">
        <v>22512001</v>
      </c>
      <c r="E938" s="39" t="s">
        <v>141</v>
      </c>
      <c r="F938" s="39" t="s">
        <v>414</v>
      </c>
      <c r="G938" s="35">
        <v>0.3125</v>
      </c>
      <c r="H938" s="35">
        <v>0.33124999999999999</v>
      </c>
      <c r="I938" s="36">
        <v>27</v>
      </c>
      <c r="J938" s="86" t="s">
        <v>446</v>
      </c>
      <c r="K938" s="86" t="s">
        <v>445</v>
      </c>
      <c r="L938" s="86" t="s">
        <v>22</v>
      </c>
      <c r="M938" s="47" t="s">
        <v>809</v>
      </c>
    </row>
    <row r="939" spans="1:13" x14ac:dyDescent="0.35">
      <c r="A939" s="123">
        <v>45994</v>
      </c>
      <c r="B939" s="39">
        <v>57.56</v>
      </c>
      <c r="C939" s="39">
        <v>5.36</v>
      </c>
      <c r="D939" s="39">
        <v>22512002</v>
      </c>
      <c r="E939" s="39" t="s">
        <v>496</v>
      </c>
      <c r="F939" s="39" t="s">
        <v>58</v>
      </c>
      <c r="G939" s="35">
        <v>0.62638888888888888</v>
      </c>
      <c r="H939" s="35">
        <v>0.64722222222222225</v>
      </c>
      <c r="I939" s="36">
        <v>30</v>
      </c>
      <c r="J939" s="86" t="s">
        <v>51</v>
      </c>
      <c r="K939" s="86" t="s">
        <v>445</v>
      </c>
      <c r="L939" s="86" t="s">
        <v>53</v>
      </c>
      <c r="M939" s="58" t="s">
        <v>54</v>
      </c>
    </row>
    <row r="940" spans="1:13" x14ac:dyDescent="0.35">
      <c r="A940" s="123">
        <v>45994</v>
      </c>
      <c r="B940" s="39">
        <v>57.56</v>
      </c>
      <c r="C940" s="39">
        <v>5.36</v>
      </c>
      <c r="D940" s="39">
        <v>22512002</v>
      </c>
      <c r="E940" s="39" t="s">
        <v>496</v>
      </c>
      <c r="F940" s="39" t="s">
        <v>58</v>
      </c>
      <c r="G940" s="35">
        <v>0.64722222222222225</v>
      </c>
      <c r="H940" s="35">
        <v>0.65763888888888888</v>
      </c>
      <c r="I940" s="36">
        <v>15</v>
      </c>
      <c r="J940" s="86" t="s">
        <v>52</v>
      </c>
      <c r="K940" s="86" t="s">
        <v>445</v>
      </c>
      <c r="L940" s="86" t="s">
        <v>59</v>
      </c>
      <c r="M940" s="58" t="s">
        <v>59</v>
      </c>
    </row>
    <row r="941" spans="1:13" x14ac:dyDescent="0.35">
      <c r="A941" s="122">
        <v>45995</v>
      </c>
      <c r="B941" s="45">
        <v>58</v>
      </c>
      <c r="C941" s="45">
        <v>5.35</v>
      </c>
      <c r="D941" s="46">
        <v>22512003</v>
      </c>
      <c r="E941" s="45" t="s">
        <v>90</v>
      </c>
      <c r="F941" s="45">
        <v>1260</v>
      </c>
      <c r="G941" s="35">
        <v>4.1666666666666666E-3</v>
      </c>
      <c r="H941" s="35">
        <v>7.6388888888888895E-2</v>
      </c>
      <c r="I941" s="36">
        <v>104</v>
      </c>
      <c r="J941" s="86" t="s">
        <v>35</v>
      </c>
      <c r="K941" s="86" t="s">
        <v>62</v>
      </c>
      <c r="L941" s="86" t="s">
        <v>190</v>
      </c>
      <c r="M941" s="62" t="s">
        <v>102</v>
      </c>
    </row>
    <row r="942" spans="1:13" x14ac:dyDescent="0.35">
      <c r="A942" s="123">
        <v>45996</v>
      </c>
      <c r="B942" s="39">
        <v>58</v>
      </c>
      <c r="C942" s="39">
        <v>5.04</v>
      </c>
      <c r="D942" s="39">
        <v>22512004</v>
      </c>
      <c r="E942" s="39" t="s">
        <v>104</v>
      </c>
      <c r="F942" s="39" t="s">
        <v>514</v>
      </c>
      <c r="G942" s="35">
        <v>0.38055555555555554</v>
      </c>
      <c r="H942" s="35">
        <v>0.40138888888888891</v>
      </c>
      <c r="I942" s="36">
        <v>30</v>
      </c>
      <c r="J942" s="86" t="s">
        <v>51</v>
      </c>
      <c r="K942" s="86" t="s">
        <v>445</v>
      </c>
      <c r="L942" s="86" t="s">
        <v>53</v>
      </c>
      <c r="M942" s="58" t="s">
        <v>54</v>
      </c>
    </row>
    <row r="943" spans="1:13" x14ac:dyDescent="0.35">
      <c r="A943" s="123">
        <v>45996</v>
      </c>
      <c r="B943" s="39">
        <v>58</v>
      </c>
      <c r="C943" s="39">
        <v>5.04</v>
      </c>
      <c r="D943" s="39">
        <v>22512004</v>
      </c>
      <c r="E943" s="39" t="s">
        <v>104</v>
      </c>
      <c r="F943" s="39" t="s">
        <v>514</v>
      </c>
      <c r="G943" s="35">
        <v>0.40138888888888891</v>
      </c>
      <c r="H943" s="35">
        <v>0.41180555555555554</v>
      </c>
      <c r="I943" s="36">
        <v>15</v>
      </c>
      <c r="J943" s="86" t="s">
        <v>52</v>
      </c>
      <c r="K943" s="86" t="s">
        <v>445</v>
      </c>
      <c r="L943" s="86" t="s">
        <v>59</v>
      </c>
      <c r="M943" s="58" t="s">
        <v>59</v>
      </c>
    </row>
    <row r="944" spans="1:13" x14ac:dyDescent="0.35">
      <c r="A944" s="123">
        <v>45997</v>
      </c>
      <c r="B944" s="39">
        <v>57.74</v>
      </c>
      <c r="C944" s="39">
        <v>5.23</v>
      </c>
      <c r="D944" s="39">
        <v>22512005</v>
      </c>
      <c r="E944" s="39" t="s">
        <v>57</v>
      </c>
      <c r="F944" s="39" t="s">
        <v>58</v>
      </c>
      <c r="G944" s="35">
        <v>0.66319444444444442</v>
      </c>
      <c r="H944" s="35">
        <v>0.68402777777777779</v>
      </c>
      <c r="I944" s="36">
        <v>30</v>
      </c>
      <c r="J944" s="86" t="s">
        <v>51</v>
      </c>
      <c r="K944" s="86" t="s">
        <v>445</v>
      </c>
      <c r="L944" s="86" t="s">
        <v>53</v>
      </c>
      <c r="M944" s="47" t="s">
        <v>54</v>
      </c>
    </row>
    <row r="945" spans="1:13" x14ac:dyDescent="0.35">
      <c r="A945" s="123">
        <v>45997</v>
      </c>
      <c r="B945" s="39">
        <v>57.74</v>
      </c>
      <c r="C945" s="39">
        <v>5.23</v>
      </c>
      <c r="D945" s="39">
        <v>22512005</v>
      </c>
      <c r="E945" s="39" t="s">
        <v>57</v>
      </c>
      <c r="F945" s="39" t="s">
        <v>58</v>
      </c>
      <c r="G945" s="35">
        <v>0.68402777777777779</v>
      </c>
      <c r="H945" s="35">
        <v>0.68541666666666667</v>
      </c>
      <c r="I945" s="36">
        <v>2</v>
      </c>
      <c r="J945" s="86" t="s">
        <v>446</v>
      </c>
      <c r="K945" s="86" t="s">
        <v>445</v>
      </c>
      <c r="L945" s="86" t="s">
        <v>74</v>
      </c>
      <c r="M945" s="47" t="s">
        <v>973</v>
      </c>
    </row>
    <row r="946" spans="1:13" x14ac:dyDescent="0.35">
      <c r="A946" s="123">
        <v>45997</v>
      </c>
      <c r="B946" s="39">
        <v>57.74</v>
      </c>
      <c r="C946" s="39">
        <v>5.23</v>
      </c>
      <c r="D946" s="46">
        <v>22512006</v>
      </c>
      <c r="E946" s="45" t="s">
        <v>173</v>
      </c>
      <c r="F946" s="45">
        <v>1350</v>
      </c>
      <c r="G946" s="35">
        <v>0.73958333333333337</v>
      </c>
      <c r="H946" s="35">
        <v>0.78611111111111109</v>
      </c>
      <c r="I946" s="36">
        <v>67</v>
      </c>
      <c r="J946" s="86" t="s">
        <v>463</v>
      </c>
      <c r="K946" s="86" t="s">
        <v>26</v>
      </c>
      <c r="L946" s="86" t="s">
        <v>477</v>
      </c>
      <c r="M946" s="47" t="s">
        <v>974</v>
      </c>
    </row>
    <row r="947" spans="1:13" x14ac:dyDescent="0.35">
      <c r="A947" s="123">
        <v>45998</v>
      </c>
      <c r="B947" s="39"/>
      <c r="C947" s="39"/>
      <c r="D947" s="39"/>
      <c r="E947" s="85"/>
      <c r="F947" s="85"/>
      <c r="G947" s="35"/>
      <c r="H947" s="35"/>
      <c r="I947" s="36">
        <v>0</v>
      </c>
      <c r="J947" s="86"/>
      <c r="K947" s="86"/>
      <c r="L947" s="86"/>
      <c r="M947" s="47"/>
    </row>
    <row r="948" spans="1:13" x14ac:dyDescent="0.35">
      <c r="A948" s="123">
        <v>45999</v>
      </c>
      <c r="B948" s="45">
        <v>56</v>
      </c>
      <c r="C948" s="45">
        <v>4.95</v>
      </c>
      <c r="D948" s="39">
        <v>22512007</v>
      </c>
      <c r="E948" s="39" t="s">
        <v>116</v>
      </c>
      <c r="F948" s="39">
        <v>1350</v>
      </c>
      <c r="G948" s="35">
        <v>0.95</v>
      </c>
      <c r="H948" s="35">
        <v>2.6388888888888889E-2</v>
      </c>
      <c r="I948" s="36">
        <v>110</v>
      </c>
      <c r="J948" s="86" t="s">
        <v>35</v>
      </c>
      <c r="K948" s="116" t="s">
        <v>19</v>
      </c>
      <c r="L948" s="62" t="s">
        <v>975</v>
      </c>
      <c r="M948" s="62" t="s">
        <v>975</v>
      </c>
    </row>
    <row r="949" spans="1:13" x14ac:dyDescent="0.35">
      <c r="A949" s="123">
        <v>45999</v>
      </c>
      <c r="B949" s="39">
        <v>57.29</v>
      </c>
      <c r="C949" s="39">
        <v>4.62</v>
      </c>
      <c r="D949" s="39">
        <v>22512007</v>
      </c>
      <c r="E949" s="39" t="s">
        <v>116</v>
      </c>
      <c r="F949" s="39">
        <v>1350</v>
      </c>
      <c r="G949" s="35">
        <v>2.6388888888888889E-2</v>
      </c>
      <c r="H949" s="35">
        <v>4.027777777777778E-2</v>
      </c>
      <c r="I949" s="36">
        <v>20</v>
      </c>
      <c r="J949" s="86" t="s">
        <v>446</v>
      </c>
      <c r="K949" s="86" t="s">
        <v>19</v>
      </c>
      <c r="L949" s="58" t="s">
        <v>976</v>
      </c>
      <c r="M949" s="58" t="s">
        <v>976</v>
      </c>
    </row>
    <row r="950" spans="1:13" x14ac:dyDescent="0.35">
      <c r="A950" s="123">
        <v>45999</v>
      </c>
      <c r="B950" s="39">
        <v>57.29</v>
      </c>
      <c r="C950" s="39">
        <v>4.62</v>
      </c>
      <c r="D950" s="39">
        <v>22512007</v>
      </c>
      <c r="E950" s="39" t="s">
        <v>116</v>
      </c>
      <c r="F950" s="39">
        <v>1350</v>
      </c>
      <c r="G950" s="35">
        <v>4.027777777777778E-2</v>
      </c>
      <c r="H950" s="35">
        <v>5.4166666666666669E-2</v>
      </c>
      <c r="I950" s="36">
        <v>20</v>
      </c>
      <c r="J950" s="86" t="s">
        <v>446</v>
      </c>
      <c r="K950" s="86" t="s">
        <v>41</v>
      </c>
      <c r="L950" s="58" t="s">
        <v>976</v>
      </c>
      <c r="M950" s="58" t="s">
        <v>976</v>
      </c>
    </row>
    <row r="951" spans="1:13" x14ac:dyDescent="0.35">
      <c r="A951" s="123">
        <v>45999</v>
      </c>
      <c r="B951" s="39">
        <v>57.29</v>
      </c>
      <c r="C951" s="39">
        <v>4.62</v>
      </c>
      <c r="D951" s="39">
        <v>22512008</v>
      </c>
      <c r="E951" s="39" t="s">
        <v>160</v>
      </c>
      <c r="F951" s="39">
        <v>1235</v>
      </c>
      <c r="G951" s="35">
        <v>0.36458333333333331</v>
      </c>
      <c r="H951" s="35">
        <v>0.42708333333333331</v>
      </c>
      <c r="I951" s="36">
        <v>90</v>
      </c>
      <c r="J951" s="86" t="s">
        <v>35</v>
      </c>
      <c r="K951" s="86" t="s">
        <v>62</v>
      </c>
      <c r="L951" s="62" t="s">
        <v>977</v>
      </c>
      <c r="M951" s="62" t="s">
        <v>977</v>
      </c>
    </row>
    <row r="952" spans="1:13" x14ac:dyDescent="0.35">
      <c r="A952" s="123">
        <v>45999</v>
      </c>
      <c r="B952" s="39">
        <v>57.29</v>
      </c>
      <c r="C952" s="39">
        <v>4.62</v>
      </c>
      <c r="D952" s="39">
        <v>22512008</v>
      </c>
      <c r="E952" s="39" t="s">
        <v>160</v>
      </c>
      <c r="F952" s="39">
        <v>1235</v>
      </c>
      <c r="G952" s="35">
        <v>0.42708333333333331</v>
      </c>
      <c r="H952" s="35">
        <v>0.46875</v>
      </c>
      <c r="I952" s="36">
        <v>60</v>
      </c>
      <c r="J952" s="86" t="s">
        <v>446</v>
      </c>
      <c r="K952" s="86" t="s">
        <v>41</v>
      </c>
      <c r="L952" s="86" t="s">
        <v>124</v>
      </c>
      <c r="M952" s="58" t="s">
        <v>978</v>
      </c>
    </row>
    <row r="953" spans="1:13" x14ac:dyDescent="0.35">
      <c r="A953" s="123">
        <v>45999</v>
      </c>
      <c r="B953" s="39">
        <v>57.29</v>
      </c>
      <c r="C953" s="39">
        <v>4.62</v>
      </c>
      <c r="D953" s="46">
        <v>22512009</v>
      </c>
      <c r="E953" s="45" t="s">
        <v>47</v>
      </c>
      <c r="F953" s="45">
        <v>1235</v>
      </c>
      <c r="G953" s="35">
        <v>0.47916666666666669</v>
      </c>
      <c r="H953" s="35">
        <v>0.53819444444444442</v>
      </c>
      <c r="I953" s="36">
        <v>85</v>
      </c>
      <c r="J953" s="86" t="s">
        <v>25</v>
      </c>
      <c r="K953" s="86" t="s">
        <v>445</v>
      </c>
      <c r="L953" s="86" t="s">
        <v>456</v>
      </c>
      <c r="M953" s="92" t="s">
        <v>227</v>
      </c>
    </row>
    <row r="954" spans="1:13" x14ac:dyDescent="0.35">
      <c r="A954" s="123">
        <v>45999</v>
      </c>
      <c r="B954" s="39">
        <v>57.29</v>
      </c>
      <c r="C954" s="39">
        <v>4.62</v>
      </c>
      <c r="D954" s="46">
        <v>22512010</v>
      </c>
      <c r="E954" s="45" t="s">
        <v>34</v>
      </c>
      <c r="F954" s="45">
        <v>1235</v>
      </c>
      <c r="G954" s="35">
        <v>0.62847222222222221</v>
      </c>
      <c r="H954" s="35">
        <v>0.67013888888888884</v>
      </c>
      <c r="I954" s="36">
        <v>60</v>
      </c>
      <c r="J954" s="86" t="s">
        <v>463</v>
      </c>
      <c r="K954" s="86" t="s">
        <v>26</v>
      </c>
      <c r="L954" s="58" t="s">
        <v>979</v>
      </c>
      <c r="M954" s="58" t="s">
        <v>979</v>
      </c>
    </row>
    <row r="955" spans="1:13" x14ac:dyDescent="0.35">
      <c r="A955" s="126">
        <v>46000</v>
      </c>
      <c r="B955" s="45">
        <v>57.59</v>
      </c>
      <c r="C955" s="45">
        <v>5.19</v>
      </c>
      <c r="D955" s="45">
        <v>22512011</v>
      </c>
      <c r="E955" s="45" t="s">
        <v>69</v>
      </c>
      <c r="F955" s="45">
        <v>1250</v>
      </c>
      <c r="G955" s="35">
        <v>0.71736111111111112</v>
      </c>
      <c r="H955" s="35">
        <v>0.73819444444444449</v>
      </c>
      <c r="I955" s="36">
        <v>30</v>
      </c>
      <c r="J955" s="86" t="s">
        <v>463</v>
      </c>
      <c r="K955" s="86" t="s">
        <v>445</v>
      </c>
      <c r="L955" s="58" t="s">
        <v>981</v>
      </c>
      <c r="M955" s="58" t="s">
        <v>981</v>
      </c>
    </row>
    <row r="956" spans="1:13" x14ac:dyDescent="0.35">
      <c r="A956" s="126">
        <v>46001</v>
      </c>
      <c r="B956" s="127"/>
      <c r="C956" s="127"/>
      <c r="D956" s="85"/>
      <c r="E956" s="85"/>
      <c r="F956" s="85"/>
      <c r="G956" s="35"/>
      <c r="H956" s="35"/>
      <c r="I956" s="36">
        <v>0</v>
      </c>
      <c r="J956" s="86"/>
      <c r="K956" s="86"/>
      <c r="L956" s="58"/>
      <c r="M956" s="58"/>
    </row>
    <row r="957" spans="1:13" x14ac:dyDescent="0.35">
      <c r="A957" s="123">
        <v>46002</v>
      </c>
      <c r="B957" s="127">
        <v>58</v>
      </c>
      <c r="C957" s="127">
        <v>5.58</v>
      </c>
      <c r="D957" s="39">
        <v>22512012</v>
      </c>
      <c r="E957" s="39" t="s">
        <v>141</v>
      </c>
      <c r="F957" s="39" t="s">
        <v>983</v>
      </c>
      <c r="G957" s="35">
        <v>7.6388888888888895E-2</v>
      </c>
      <c r="H957" s="35">
        <v>9.7222222222222224E-2</v>
      </c>
      <c r="I957" s="36">
        <v>30</v>
      </c>
      <c r="J957" s="86" t="s">
        <v>51</v>
      </c>
      <c r="K957" s="86" t="s">
        <v>445</v>
      </c>
      <c r="L957" s="86" t="s">
        <v>53</v>
      </c>
      <c r="M957" s="58" t="s">
        <v>54</v>
      </c>
    </row>
    <row r="958" spans="1:13" x14ac:dyDescent="0.35">
      <c r="A958" s="123">
        <v>46002</v>
      </c>
      <c r="B958" s="39">
        <v>57.56</v>
      </c>
      <c r="C958" s="39">
        <v>5.01</v>
      </c>
      <c r="D958" s="39">
        <v>22512012</v>
      </c>
      <c r="E958" s="39" t="s">
        <v>141</v>
      </c>
      <c r="F958" s="39" t="s">
        <v>983</v>
      </c>
      <c r="G958" s="35">
        <v>9.7222222222222224E-2</v>
      </c>
      <c r="H958" s="35">
        <v>0.1076388888888889</v>
      </c>
      <c r="I958" s="36">
        <v>15</v>
      </c>
      <c r="J958" s="86" t="s">
        <v>52</v>
      </c>
      <c r="K958" s="86" t="s">
        <v>445</v>
      </c>
      <c r="L958" s="86" t="s">
        <v>59</v>
      </c>
      <c r="M958" s="58" t="s">
        <v>59</v>
      </c>
    </row>
    <row r="959" spans="1:13" x14ac:dyDescent="0.35">
      <c r="A959" s="123">
        <v>46002</v>
      </c>
      <c r="B959" s="39">
        <v>57.56</v>
      </c>
      <c r="C959" s="39">
        <v>5.01</v>
      </c>
      <c r="D959" s="39">
        <v>22512012</v>
      </c>
      <c r="E959" s="39" t="s">
        <v>141</v>
      </c>
      <c r="F959" s="39" t="s">
        <v>983</v>
      </c>
      <c r="G959" s="35">
        <v>0.1076388888888889</v>
      </c>
      <c r="H959" s="35">
        <v>0.1111111111111111</v>
      </c>
      <c r="I959" s="36">
        <v>5</v>
      </c>
      <c r="J959" s="86" t="s">
        <v>446</v>
      </c>
      <c r="K959" s="86" t="s">
        <v>445</v>
      </c>
      <c r="L959" s="86" t="s">
        <v>74</v>
      </c>
      <c r="M959" s="58" t="s">
        <v>75</v>
      </c>
    </row>
    <row r="960" spans="1:13" x14ac:dyDescent="0.35">
      <c r="A960" s="123">
        <v>46002</v>
      </c>
      <c r="B960" s="39">
        <v>57.56</v>
      </c>
      <c r="C960" s="39">
        <v>5.01</v>
      </c>
      <c r="D960" s="45">
        <v>22512013</v>
      </c>
      <c r="E960" s="45" t="s">
        <v>34</v>
      </c>
      <c r="F960" s="45">
        <v>1250</v>
      </c>
      <c r="G960" s="35">
        <v>0.19444444444444445</v>
      </c>
      <c r="H960" s="35">
        <v>0.25</v>
      </c>
      <c r="I960" s="36">
        <v>80</v>
      </c>
      <c r="J960" s="86" t="s">
        <v>35</v>
      </c>
      <c r="K960" s="86" t="s">
        <v>62</v>
      </c>
      <c r="L960" s="86" t="s">
        <v>190</v>
      </c>
      <c r="M960" s="62" t="s">
        <v>102</v>
      </c>
    </row>
    <row r="961" spans="1:13" x14ac:dyDescent="0.35">
      <c r="A961" s="123">
        <v>46003</v>
      </c>
      <c r="B961" s="39">
        <v>56.93</v>
      </c>
      <c r="C961" s="39">
        <v>5.44</v>
      </c>
      <c r="D961" s="39">
        <v>22512014</v>
      </c>
      <c r="E961" s="39" t="s">
        <v>72</v>
      </c>
      <c r="F961" s="39">
        <v>1250</v>
      </c>
      <c r="G961" s="35">
        <v>0.54722222222222228</v>
      </c>
      <c r="H961" s="35">
        <v>0.56805555555555554</v>
      </c>
      <c r="I961" s="36">
        <v>30</v>
      </c>
      <c r="J961" s="86" t="s">
        <v>51</v>
      </c>
      <c r="K961" s="86" t="s">
        <v>445</v>
      </c>
      <c r="L961" s="86" t="s">
        <v>53</v>
      </c>
      <c r="M961" s="58" t="s">
        <v>54</v>
      </c>
    </row>
    <row r="962" spans="1:13" x14ac:dyDescent="0.35">
      <c r="A962" s="123">
        <v>46003</v>
      </c>
      <c r="B962" s="39">
        <v>56.93</v>
      </c>
      <c r="C962" s="39">
        <v>5.44</v>
      </c>
      <c r="D962" s="39">
        <v>22512014</v>
      </c>
      <c r="E962" s="39" t="s">
        <v>72</v>
      </c>
      <c r="F962" s="39">
        <v>1250</v>
      </c>
      <c r="G962" s="35">
        <v>0.56805555555555554</v>
      </c>
      <c r="H962" s="35">
        <v>0.57152777777777775</v>
      </c>
      <c r="I962" s="36">
        <v>5</v>
      </c>
      <c r="J962" s="86" t="s">
        <v>446</v>
      </c>
      <c r="K962" s="86" t="s">
        <v>445</v>
      </c>
      <c r="L962" s="86" t="s">
        <v>74</v>
      </c>
      <c r="M962" s="147" t="s">
        <v>75</v>
      </c>
    </row>
    <row r="963" spans="1:13" x14ac:dyDescent="0.35">
      <c r="A963" s="123">
        <v>46004</v>
      </c>
      <c r="B963" s="39">
        <v>57.18</v>
      </c>
      <c r="C963" s="39">
        <v>5.44</v>
      </c>
      <c r="D963" s="39">
        <v>22512015</v>
      </c>
      <c r="E963" s="39" t="s">
        <v>141</v>
      </c>
      <c r="F963" s="39" t="s">
        <v>985</v>
      </c>
      <c r="G963" s="35">
        <v>0.86597222222222225</v>
      </c>
      <c r="H963" s="35">
        <v>0.88680555555555551</v>
      </c>
      <c r="I963" s="36">
        <v>30</v>
      </c>
      <c r="J963" s="86" t="s">
        <v>51</v>
      </c>
      <c r="K963" s="86" t="s">
        <v>445</v>
      </c>
      <c r="L963" s="86" t="s">
        <v>53</v>
      </c>
      <c r="M963" s="47" t="s">
        <v>54</v>
      </c>
    </row>
    <row r="964" spans="1:13" x14ac:dyDescent="0.35">
      <c r="A964" s="123">
        <v>46004</v>
      </c>
      <c r="B964" s="39">
        <v>57.18</v>
      </c>
      <c r="C964" s="39">
        <v>5.44</v>
      </c>
      <c r="D964" s="39">
        <v>22512015</v>
      </c>
      <c r="E964" s="39" t="s">
        <v>141</v>
      </c>
      <c r="F964" s="39" t="s">
        <v>985</v>
      </c>
      <c r="G964" s="35">
        <v>0.88680555555555551</v>
      </c>
      <c r="H964" s="35">
        <v>0.90486111111111112</v>
      </c>
      <c r="I964" s="36">
        <v>26</v>
      </c>
      <c r="J964" s="86" t="s">
        <v>52</v>
      </c>
      <c r="K964" s="86" t="s">
        <v>445</v>
      </c>
      <c r="L964" s="86" t="s">
        <v>178</v>
      </c>
      <c r="M964" s="47" t="s">
        <v>179</v>
      </c>
    </row>
    <row r="965" spans="1:13" x14ac:dyDescent="0.35">
      <c r="A965" s="123">
        <v>46005</v>
      </c>
      <c r="I965" s="84">
        <v>0</v>
      </c>
    </row>
    <row r="966" spans="1:13" x14ac:dyDescent="0.35">
      <c r="A966" s="123">
        <v>46006</v>
      </c>
      <c r="B966" s="45">
        <v>58</v>
      </c>
      <c r="C966" s="45">
        <v>5.47</v>
      </c>
      <c r="D966" s="39">
        <v>22512016</v>
      </c>
      <c r="E966" s="39" t="s">
        <v>141</v>
      </c>
      <c r="F966" s="45" t="s">
        <v>58</v>
      </c>
      <c r="G966" s="35">
        <v>0.21527777777777779</v>
      </c>
      <c r="H966" s="35">
        <v>0.2361111111111111</v>
      </c>
      <c r="I966" s="36">
        <v>30</v>
      </c>
      <c r="J966" s="86" t="s">
        <v>51</v>
      </c>
      <c r="K966" s="86" t="s">
        <v>445</v>
      </c>
      <c r="L966" s="86" t="s">
        <v>53</v>
      </c>
      <c r="M966" s="47" t="s">
        <v>54</v>
      </c>
    </row>
    <row r="967" spans="1:13" x14ac:dyDescent="0.35">
      <c r="A967" s="123">
        <v>46006</v>
      </c>
      <c r="B967" s="127">
        <v>57.54</v>
      </c>
      <c r="C967" s="127">
        <v>5.29</v>
      </c>
      <c r="D967" s="39">
        <v>22512016</v>
      </c>
      <c r="E967" s="39" t="s">
        <v>141</v>
      </c>
      <c r="F967" s="45"/>
      <c r="G967" s="35">
        <v>0.2361111111111111</v>
      </c>
      <c r="H967" s="35">
        <v>0.24305555555555555</v>
      </c>
      <c r="I967" s="36">
        <v>10</v>
      </c>
      <c r="J967" s="86" t="s">
        <v>446</v>
      </c>
      <c r="K967" s="86" t="s">
        <v>41</v>
      </c>
      <c r="L967" s="86" t="s">
        <v>512</v>
      </c>
      <c r="M967" s="47" t="s">
        <v>986</v>
      </c>
    </row>
    <row r="968" spans="1:13" x14ac:dyDescent="0.35">
      <c r="A968" s="123">
        <v>46007</v>
      </c>
      <c r="B968" s="39">
        <v>58</v>
      </c>
      <c r="C968" s="39">
        <v>5.4</v>
      </c>
      <c r="D968" s="39">
        <v>22512017</v>
      </c>
      <c r="E968" s="39" t="s">
        <v>57</v>
      </c>
      <c r="F968" s="39" t="s">
        <v>263</v>
      </c>
      <c r="G968" s="35">
        <v>0.49513888888888891</v>
      </c>
      <c r="H968" s="35">
        <v>0.51597222222222228</v>
      </c>
      <c r="I968" s="36">
        <v>30</v>
      </c>
      <c r="J968" s="86" t="s">
        <v>51</v>
      </c>
      <c r="K968" s="86" t="s">
        <v>445</v>
      </c>
      <c r="L968" s="86" t="s">
        <v>53</v>
      </c>
      <c r="M968" s="58" t="s">
        <v>54</v>
      </c>
    </row>
    <row r="969" spans="1:13" x14ac:dyDescent="0.35">
      <c r="A969" s="123">
        <v>46007</v>
      </c>
      <c r="B969" s="39">
        <v>58</v>
      </c>
      <c r="C969" s="39">
        <v>5.4</v>
      </c>
      <c r="D969" s="39">
        <v>22512017</v>
      </c>
      <c r="E969" s="39" t="s">
        <v>57</v>
      </c>
      <c r="F969" s="39" t="s">
        <v>263</v>
      </c>
      <c r="G969" s="35">
        <v>0.51597222222222228</v>
      </c>
      <c r="H969" s="35">
        <v>0.52500000000000002</v>
      </c>
      <c r="I969" s="36">
        <v>13</v>
      </c>
      <c r="J969" s="86" t="s">
        <v>52</v>
      </c>
      <c r="K969" s="86" t="s">
        <v>445</v>
      </c>
      <c r="L969" s="86" t="s">
        <v>59</v>
      </c>
      <c r="M969" s="58" t="s">
        <v>59</v>
      </c>
    </row>
    <row r="970" spans="1:13" x14ac:dyDescent="0.35">
      <c r="A970" s="122">
        <v>46008</v>
      </c>
      <c r="B970" s="45">
        <v>57.85</v>
      </c>
      <c r="C970" s="45">
        <v>5.38</v>
      </c>
      <c r="D970" s="46">
        <v>22512018</v>
      </c>
      <c r="E970" s="45" t="s">
        <v>159</v>
      </c>
      <c r="F970" s="45">
        <v>1255</v>
      </c>
      <c r="G970" s="35">
        <v>0.66249999999999998</v>
      </c>
      <c r="H970" s="35">
        <v>0.71388888888888891</v>
      </c>
      <c r="I970" s="36">
        <v>74</v>
      </c>
      <c r="J970" s="86" t="s">
        <v>35</v>
      </c>
      <c r="K970" s="86" t="s">
        <v>552</v>
      </c>
      <c r="L970" s="86" t="s">
        <v>990</v>
      </c>
      <c r="M970" s="62" t="s">
        <v>991</v>
      </c>
    </row>
    <row r="971" spans="1:13" x14ac:dyDescent="0.35">
      <c r="A971" s="122">
        <v>46009</v>
      </c>
      <c r="B971" s="45">
        <v>57.95</v>
      </c>
      <c r="C971" s="45">
        <v>5.1100000000000003</v>
      </c>
      <c r="D971" s="46">
        <v>22512019</v>
      </c>
      <c r="E971" s="45" t="s">
        <v>170</v>
      </c>
      <c r="F971" s="45">
        <v>1230</v>
      </c>
      <c r="G971" s="35">
        <v>0.16597222222222222</v>
      </c>
      <c r="H971" s="35">
        <v>0.22569444444444445</v>
      </c>
      <c r="I971" s="36">
        <v>86</v>
      </c>
      <c r="J971" s="86" t="s">
        <v>25</v>
      </c>
      <c r="K971" s="86" t="s">
        <v>445</v>
      </c>
      <c r="L971" s="86" t="s">
        <v>456</v>
      </c>
      <c r="M971" s="92" t="s">
        <v>227</v>
      </c>
    </row>
    <row r="972" spans="1:13" x14ac:dyDescent="0.35">
      <c r="A972" s="122">
        <v>46010</v>
      </c>
      <c r="B972" s="45">
        <v>57.47</v>
      </c>
      <c r="C972" s="45">
        <v>5.24</v>
      </c>
      <c r="D972" s="46">
        <v>22512020</v>
      </c>
      <c r="E972" s="45" t="s">
        <v>159</v>
      </c>
      <c r="F972" s="45">
        <v>1250</v>
      </c>
      <c r="G972" s="35">
        <v>0.45833333333333331</v>
      </c>
      <c r="H972" s="35">
        <v>0.49652777777777779</v>
      </c>
      <c r="I972" s="36">
        <v>55</v>
      </c>
      <c r="J972" s="86" t="s">
        <v>35</v>
      </c>
      <c r="K972" s="86" t="s">
        <v>62</v>
      </c>
      <c r="L972" s="86" t="s">
        <v>190</v>
      </c>
      <c r="M972" s="62" t="s">
        <v>993</v>
      </c>
    </row>
    <row r="973" spans="1:13" x14ac:dyDescent="0.35">
      <c r="A973" s="123">
        <v>46011</v>
      </c>
      <c r="B973" s="39">
        <v>57.23</v>
      </c>
      <c r="C973" s="39">
        <v>4.7699999999999996</v>
      </c>
      <c r="D973" s="39">
        <v>22512021</v>
      </c>
      <c r="E973" s="39" t="s">
        <v>50</v>
      </c>
      <c r="F973" s="39">
        <v>1250</v>
      </c>
      <c r="G973" s="35">
        <v>0.5708333333333333</v>
      </c>
      <c r="H973" s="35">
        <v>0.79166666666666663</v>
      </c>
      <c r="I973" s="36">
        <v>318</v>
      </c>
      <c r="J973" s="86" t="s">
        <v>463</v>
      </c>
      <c r="K973" s="86" t="s">
        <v>283</v>
      </c>
      <c r="L973" s="86" t="s">
        <v>283</v>
      </c>
      <c r="M973" s="58" t="s">
        <v>994</v>
      </c>
    </row>
    <row r="974" spans="1:13" x14ac:dyDescent="0.35">
      <c r="A974" s="123">
        <v>46011</v>
      </c>
      <c r="B974" s="39">
        <v>57.23</v>
      </c>
      <c r="C974" s="39">
        <v>4.7699999999999996</v>
      </c>
      <c r="D974" s="39">
        <v>22512021</v>
      </c>
      <c r="E974" s="39" t="s">
        <v>50</v>
      </c>
      <c r="F974" s="39">
        <v>1250</v>
      </c>
      <c r="G974" s="35">
        <v>0.79166666666666663</v>
      </c>
      <c r="H974" s="35">
        <v>0.84375</v>
      </c>
      <c r="I974" s="36">
        <v>75</v>
      </c>
      <c r="J974" s="86" t="s">
        <v>446</v>
      </c>
      <c r="K974" s="86" t="s">
        <v>283</v>
      </c>
      <c r="L974" s="86" t="s">
        <v>283</v>
      </c>
      <c r="M974" s="58" t="s">
        <v>284</v>
      </c>
    </row>
    <row r="975" spans="1:13" x14ac:dyDescent="0.35">
      <c r="A975" s="123">
        <v>46012</v>
      </c>
      <c r="B975" s="39">
        <v>58</v>
      </c>
      <c r="C975" s="39">
        <v>5.01</v>
      </c>
      <c r="D975" s="39">
        <v>22512022</v>
      </c>
      <c r="E975" s="39" t="s">
        <v>90</v>
      </c>
      <c r="F975" s="39">
        <v>1260</v>
      </c>
      <c r="G975" s="35">
        <v>0.21388888888888888</v>
      </c>
      <c r="H975" s="35">
        <v>0.26250000000000001</v>
      </c>
      <c r="I975" s="36">
        <v>70</v>
      </c>
      <c r="J975" s="86" t="s">
        <v>35</v>
      </c>
      <c r="K975" s="116" t="s">
        <v>62</v>
      </c>
      <c r="L975" s="86" t="s">
        <v>190</v>
      </c>
      <c r="M975" s="62" t="s">
        <v>995</v>
      </c>
    </row>
    <row r="976" spans="1:13" x14ac:dyDescent="0.35">
      <c r="A976" s="123">
        <v>46012</v>
      </c>
      <c r="B976" s="39">
        <v>58</v>
      </c>
      <c r="C976" s="39">
        <v>5.01</v>
      </c>
      <c r="D976" s="39">
        <v>22512022</v>
      </c>
      <c r="E976" s="39" t="s">
        <v>90</v>
      </c>
      <c r="F976" s="39">
        <v>1260</v>
      </c>
      <c r="G976" s="35">
        <v>0.26250000000000001</v>
      </c>
      <c r="H976" s="35">
        <v>0.26458333333333334</v>
      </c>
      <c r="I976" s="36">
        <v>3</v>
      </c>
      <c r="J976" s="86" t="s">
        <v>446</v>
      </c>
      <c r="K976" s="116" t="s">
        <v>26</v>
      </c>
      <c r="L976" s="86" t="s">
        <v>32</v>
      </c>
      <c r="M976" s="58" t="s">
        <v>61</v>
      </c>
    </row>
    <row r="977" spans="1:13" x14ac:dyDescent="0.35">
      <c r="A977" s="123">
        <v>46013</v>
      </c>
      <c r="B977" s="39">
        <v>58</v>
      </c>
      <c r="C977" s="39">
        <v>5.27</v>
      </c>
      <c r="D977" s="39">
        <v>22512023</v>
      </c>
      <c r="E977" s="39" t="s">
        <v>167</v>
      </c>
      <c r="F977" s="39">
        <v>1260</v>
      </c>
      <c r="G977" s="35">
        <v>7.7777777777777779E-2</v>
      </c>
      <c r="H977" s="35">
        <v>0.11944444444444445</v>
      </c>
      <c r="I977" s="36">
        <v>60</v>
      </c>
      <c r="J977" s="86" t="s">
        <v>463</v>
      </c>
      <c r="K977" s="86" t="s">
        <v>445</v>
      </c>
      <c r="L977" s="47" t="s">
        <v>949</v>
      </c>
      <c r="M977" s="47" t="s">
        <v>949</v>
      </c>
    </row>
    <row r="978" spans="1:13" x14ac:dyDescent="0.35">
      <c r="A978" s="123">
        <v>46013</v>
      </c>
      <c r="B978" s="39">
        <v>58</v>
      </c>
      <c r="C978" s="39">
        <v>5.27</v>
      </c>
      <c r="D978" s="39">
        <v>22512023</v>
      </c>
      <c r="E978" s="39" t="s">
        <v>167</v>
      </c>
      <c r="F978" s="39">
        <v>1260</v>
      </c>
      <c r="G978" s="35">
        <v>0.11944444444444445</v>
      </c>
      <c r="H978" s="35">
        <v>0.12222222222222222</v>
      </c>
      <c r="I978" s="36">
        <v>4</v>
      </c>
      <c r="J978" s="86" t="s">
        <v>446</v>
      </c>
      <c r="K978" s="86" t="s">
        <v>41</v>
      </c>
      <c r="L978" s="49" t="s">
        <v>1001</v>
      </c>
      <c r="M978" s="49" t="s">
        <v>1001</v>
      </c>
    </row>
    <row r="979" spans="1:13" x14ac:dyDescent="0.35">
      <c r="A979" s="123">
        <v>46013</v>
      </c>
      <c r="B979" s="39">
        <v>58</v>
      </c>
      <c r="C979" s="39">
        <v>5.27</v>
      </c>
      <c r="D979" s="46">
        <v>22512024</v>
      </c>
      <c r="E979" s="45" t="s">
        <v>208</v>
      </c>
      <c r="F979" s="45" t="s">
        <v>620</v>
      </c>
      <c r="G979" s="35">
        <v>0.86805555555555558</v>
      </c>
      <c r="H979" s="35">
        <v>0.91666666666666663</v>
      </c>
      <c r="I979" s="36">
        <v>70</v>
      </c>
      <c r="J979" s="86" t="s">
        <v>35</v>
      </c>
      <c r="K979" s="86" t="s">
        <v>62</v>
      </c>
      <c r="L979" s="86" t="s">
        <v>999</v>
      </c>
      <c r="M979" s="49" t="s">
        <v>1000</v>
      </c>
    </row>
    <row r="980" spans="1:13" x14ac:dyDescent="0.35">
      <c r="A980" s="122">
        <v>46014</v>
      </c>
      <c r="B980" s="45">
        <v>58</v>
      </c>
      <c r="C980" s="45">
        <v>5.13</v>
      </c>
      <c r="D980" s="46">
        <v>22512024</v>
      </c>
      <c r="E980" s="45" t="s">
        <v>208</v>
      </c>
      <c r="F980" s="45" t="s">
        <v>620</v>
      </c>
      <c r="G980" s="35">
        <v>0.91666666666666663</v>
      </c>
      <c r="H980" s="35">
        <v>6.2500000000000003E-3</v>
      </c>
      <c r="I980" s="36">
        <v>129</v>
      </c>
      <c r="J980" s="86" t="s">
        <v>446</v>
      </c>
      <c r="K980" s="86" t="s">
        <v>62</v>
      </c>
      <c r="L980" s="86" t="s">
        <v>999</v>
      </c>
      <c r="M980" s="58" t="s">
        <v>1002</v>
      </c>
    </row>
    <row r="981" spans="1:13" x14ac:dyDescent="0.35">
      <c r="A981" s="123">
        <v>46015</v>
      </c>
      <c r="B981" s="39">
        <v>57.54</v>
      </c>
      <c r="C981" s="39">
        <v>5.27</v>
      </c>
      <c r="D981" s="39">
        <v>22512025</v>
      </c>
      <c r="E981" s="39" t="s">
        <v>141</v>
      </c>
      <c r="F981" s="39">
        <v>1230</v>
      </c>
      <c r="G981" s="35">
        <v>0.36180555555555555</v>
      </c>
      <c r="H981" s="35">
        <v>0.38263888888888886</v>
      </c>
      <c r="I981" s="36">
        <v>30</v>
      </c>
      <c r="J981" s="86" t="s">
        <v>51</v>
      </c>
      <c r="K981" s="116" t="s">
        <v>445</v>
      </c>
      <c r="L981" s="86" t="s">
        <v>53</v>
      </c>
      <c r="M981" s="58" t="s">
        <v>54</v>
      </c>
    </row>
    <row r="982" spans="1:13" x14ac:dyDescent="0.35">
      <c r="A982" s="123">
        <v>46015</v>
      </c>
      <c r="B982" s="39">
        <v>57.54</v>
      </c>
      <c r="C982" s="39">
        <v>5.27</v>
      </c>
      <c r="D982" s="39">
        <v>22512025</v>
      </c>
      <c r="E982" s="39" t="s">
        <v>141</v>
      </c>
      <c r="F982" s="39">
        <v>1230</v>
      </c>
      <c r="G982" s="35">
        <v>0.38263888888888886</v>
      </c>
      <c r="H982" s="35">
        <v>0.38750000000000001</v>
      </c>
      <c r="I982" s="36">
        <v>7</v>
      </c>
      <c r="J982" s="86" t="s">
        <v>52</v>
      </c>
      <c r="K982" s="116" t="s">
        <v>445</v>
      </c>
      <c r="L982" s="86" t="s">
        <v>59</v>
      </c>
      <c r="M982" s="58" t="s">
        <v>59</v>
      </c>
    </row>
    <row r="983" spans="1:13" x14ac:dyDescent="0.35">
      <c r="A983" s="123">
        <v>46016</v>
      </c>
      <c r="B983" s="39">
        <v>57.74</v>
      </c>
      <c r="C983" s="39">
        <v>5.1100000000000003</v>
      </c>
      <c r="D983" s="157">
        <v>22512026</v>
      </c>
      <c r="E983" s="39" t="s">
        <v>72</v>
      </c>
      <c r="F983" s="39" t="s">
        <v>263</v>
      </c>
      <c r="G983" s="35">
        <v>0.73472222222222228</v>
      </c>
      <c r="H983" s="35">
        <v>0.75555555555555554</v>
      </c>
      <c r="I983" s="36">
        <v>30</v>
      </c>
      <c r="J983" s="86" t="s">
        <v>51</v>
      </c>
      <c r="K983" s="116" t="s">
        <v>445</v>
      </c>
      <c r="L983" s="86" t="s">
        <v>53</v>
      </c>
      <c r="M983" s="58" t="s">
        <v>54</v>
      </c>
    </row>
    <row r="984" spans="1:13" x14ac:dyDescent="0.35">
      <c r="A984" s="123">
        <v>46016</v>
      </c>
      <c r="B984" s="39">
        <v>57.74</v>
      </c>
      <c r="C984" s="39">
        <v>5.1100000000000003</v>
      </c>
      <c r="D984" s="157">
        <v>22512026</v>
      </c>
      <c r="E984" s="39" t="s">
        <v>72</v>
      </c>
      <c r="F984" s="39" t="s">
        <v>263</v>
      </c>
      <c r="G984" s="35">
        <v>0.75555555555555554</v>
      </c>
      <c r="H984" s="35">
        <v>0.76597222222222228</v>
      </c>
      <c r="I984" s="36">
        <v>15</v>
      </c>
      <c r="J984" s="86" t="s">
        <v>52</v>
      </c>
      <c r="K984" s="116" t="s">
        <v>445</v>
      </c>
      <c r="L984" s="86" t="s">
        <v>59</v>
      </c>
      <c r="M984" s="58" t="s">
        <v>59</v>
      </c>
    </row>
    <row r="985" spans="1:13" x14ac:dyDescent="0.35">
      <c r="A985" s="123">
        <v>46016</v>
      </c>
      <c r="B985" s="39">
        <v>57.74</v>
      </c>
      <c r="C985" s="39">
        <v>5.1100000000000003</v>
      </c>
      <c r="D985" s="157">
        <v>22512026</v>
      </c>
      <c r="E985" s="39" t="s">
        <v>72</v>
      </c>
      <c r="F985" s="39" t="s">
        <v>263</v>
      </c>
      <c r="G985" s="35">
        <v>0.76597222222222228</v>
      </c>
      <c r="H985" s="35">
        <v>0.7729166666666667</v>
      </c>
      <c r="I985" s="36">
        <v>10</v>
      </c>
      <c r="J985" s="86" t="s">
        <v>446</v>
      </c>
      <c r="K985" s="86" t="s">
        <v>19</v>
      </c>
      <c r="L985" s="58" t="s">
        <v>1005</v>
      </c>
      <c r="M985" s="58" t="s">
        <v>1005</v>
      </c>
    </row>
    <row r="986" spans="1:13" x14ac:dyDescent="0.35">
      <c r="A986" s="125">
        <v>46017</v>
      </c>
      <c r="B986" s="45">
        <v>57.27</v>
      </c>
      <c r="C986" s="45">
        <v>4.83</v>
      </c>
      <c r="D986" s="46">
        <v>22512027</v>
      </c>
      <c r="E986" s="45" t="s">
        <v>208</v>
      </c>
      <c r="F986" s="45">
        <v>1340</v>
      </c>
      <c r="G986" s="35">
        <v>0.54166666666666663</v>
      </c>
      <c r="H986" s="35">
        <v>0.71875</v>
      </c>
      <c r="I986" s="36">
        <v>255</v>
      </c>
      <c r="J986" s="86" t="s">
        <v>463</v>
      </c>
      <c r="K986" s="116" t="s">
        <v>283</v>
      </c>
      <c r="L986" s="86" t="s">
        <v>283</v>
      </c>
      <c r="M986" s="58" t="s">
        <v>286</v>
      </c>
    </row>
    <row r="987" spans="1:13" x14ac:dyDescent="0.35">
      <c r="A987" s="123">
        <v>46019</v>
      </c>
      <c r="B987" s="45">
        <v>58</v>
      </c>
      <c r="C987" s="45">
        <v>5.2</v>
      </c>
      <c r="D987" s="39">
        <v>22512028</v>
      </c>
      <c r="E987" s="39" t="s">
        <v>72</v>
      </c>
      <c r="F987" s="39">
        <v>1320</v>
      </c>
      <c r="G987" s="35">
        <v>2.4305555555555556E-2</v>
      </c>
      <c r="H987" s="35">
        <v>8.6805555555555552E-2</v>
      </c>
      <c r="I987" s="36">
        <v>90</v>
      </c>
      <c r="J987" s="86" t="s">
        <v>25</v>
      </c>
      <c r="K987" s="86" t="s">
        <v>445</v>
      </c>
      <c r="L987" s="86" t="s">
        <v>456</v>
      </c>
      <c r="M987" s="60" t="s">
        <v>227</v>
      </c>
    </row>
    <row r="988" spans="1:13" x14ac:dyDescent="0.35">
      <c r="A988" s="123">
        <v>46019</v>
      </c>
      <c r="B988" s="45">
        <v>58</v>
      </c>
      <c r="C988" s="45">
        <v>5.2</v>
      </c>
      <c r="D988" s="39">
        <v>22512028</v>
      </c>
      <c r="E988" s="39" t="s">
        <v>72</v>
      </c>
      <c r="F988" s="39">
        <v>1320</v>
      </c>
      <c r="G988" s="35">
        <v>8.6805555555555552E-2</v>
      </c>
      <c r="H988" s="35">
        <v>9.0277777777777776E-2</v>
      </c>
      <c r="I988" s="36">
        <v>5</v>
      </c>
      <c r="J988" s="86" t="s">
        <v>446</v>
      </c>
      <c r="K988" s="86" t="s">
        <v>445</v>
      </c>
      <c r="L988" s="86" t="s">
        <v>74</v>
      </c>
      <c r="M988" s="47" t="s">
        <v>75</v>
      </c>
    </row>
    <row r="989" spans="1:13" x14ac:dyDescent="0.35">
      <c r="A989" s="123">
        <v>46020</v>
      </c>
      <c r="B989" s="39">
        <v>58</v>
      </c>
      <c r="C989" s="39">
        <v>5.43</v>
      </c>
      <c r="D989" s="46">
        <v>22512029</v>
      </c>
      <c r="E989" s="45" t="s">
        <v>104</v>
      </c>
      <c r="F989" s="45">
        <v>1250</v>
      </c>
      <c r="G989" s="35">
        <v>0.42708333333333331</v>
      </c>
      <c r="H989" s="35">
        <v>0.44791666666666669</v>
      </c>
      <c r="I989" s="36">
        <v>30</v>
      </c>
      <c r="J989" s="86" t="s">
        <v>51</v>
      </c>
      <c r="K989" s="116" t="s">
        <v>445</v>
      </c>
      <c r="L989" s="86" t="s">
        <v>53</v>
      </c>
      <c r="M989" s="47" t="s">
        <v>54</v>
      </c>
    </row>
    <row r="990" spans="1:13" x14ac:dyDescent="0.35">
      <c r="A990" s="123">
        <v>46020</v>
      </c>
      <c r="B990" s="39">
        <v>58</v>
      </c>
      <c r="C990" s="39">
        <v>5.43</v>
      </c>
      <c r="D990" s="39">
        <v>22512030</v>
      </c>
      <c r="E990" s="39" t="s">
        <v>47</v>
      </c>
      <c r="F990" s="39">
        <v>1250</v>
      </c>
      <c r="G990" s="35">
        <v>0.45</v>
      </c>
      <c r="H990" s="35">
        <v>0.49861111111111112</v>
      </c>
      <c r="I990" s="36">
        <v>70</v>
      </c>
      <c r="J990" s="86" t="s">
        <v>35</v>
      </c>
      <c r="K990" s="86" t="s">
        <v>19</v>
      </c>
      <c r="L990" s="86" t="s">
        <v>481</v>
      </c>
      <c r="M990" s="49" t="s">
        <v>1008</v>
      </c>
    </row>
    <row r="991" spans="1:13" x14ac:dyDescent="0.35">
      <c r="A991" s="123">
        <v>46020</v>
      </c>
      <c r="B991" s="39">
        <v>58</v>
      </c>
      <c r="C991" s="39">
        <v>5.43</v>
      </c>
      <c r="D991" s="39">
        <v>22512030</v>
      </c>
      <c r="E991" s="39" t="s">
        <v>47</v>
      </c>
      <c r="F991" s="39">
        <v>1250</v>
      </c>
      <c r="G991" s="35">
        <v>0.49861111111111112</v>
      </c>
      <c r="H991" s="35">
        <v>0.52083333333333337</v>
      </c>
      <c r="I991" s="36">
        <v>32</v>
      </c>
      <c r="J991" s="86" t="s">
        <v>446</v>
      </c>
      <c r="K991" s="86" t="s">
        <v>19</v>
      </c>
      <c r="L991" s="86" t="s">
        <v>481</v>
      </c>
      <c r="M991" s="47" t="s">
        <v>1009</v>
      </c>
    </row>
    <row r="992" spans="1:13" x14ac:dyDescent="0.35">
      <c r="A992" s="123">
        <v>46021</v>
      </c>
      <c r="B992" s="39">
        <v>58</v>
      </c>
      <c r="C992" s="39">
        <v>5.39</v>
      </c>
      <c r="D992" s="39">
        <v>22512031</v>
      </c>
      <c r="E992" s="39" t="s">
        <v>116</v>
      </c>
      <c r="F992" s="39" t="s">
        <v>713</v>
      </c>
      <c r="G992" s="35">
        <v>0.67361111111111116</v>
      </c>
      <c r="H992" s="35">
        <v>0.69444444444444442</v>
      </c>
      <c r="I992" s="36">
        <v>30</v>
      </c>
      <c r="J992" s="86" t="s">
        <v>51</v>
      </c>
      <c r="K992" s="116" t="s">
        <v>445</v>
      </c>
      <c r="L992" s="86" t="s">
        <v>53</v>
      </c>
      <c r="M992" s="58" t="s">
        <v>54</v>
      </c>
    </row>
    <row r="993" spans="1:13" x14ac:dyDescent="0.35">
      <c r="A993" s="123">
        <v>46021</v>
      </c>
      <c r="B993" s="39">
        <v>58</v>
      </c>
      <c r="C993" s="39">
        <v>5.39</v>
      </c>
      <c r="D993" s="39">
        <v>22512031</v>
      </c>
      <c r="E993" s="39" t="s">
        <v>116</v>
      </c>
      <c r="F993" s="39" t="s">
        <v>713</v>
      </c>
      <c r="G993" s="35">
        <v>0.69444444444444442</v>
      </c>
      <c r="H993" s="35">
        <v>0.70486111111111116</v>
      </c>
      <c r="I993" s="36">
        <v>15</v>
      </c>
      <c r="J993" s="86" t="s">
        <v>52</v>
      </c>
      <c r="K993" s="116" t="s">
        <v>445</v>
      </c>
      <c r="L993" s="86" t="s">
        <v>59</v>
      </c>
      <c r="M993" s="58" t="s">
        <v>59</v>
      </c>
    </row>
    <row r="994" spans="1:13" x14ac:dyDescent="0.35">
      <c r="A994" s="123">
        <v>46021</v>
      </c>
      <c r="B994" s="39">
        <v>58</v>
      </c>
      <c r="C994" s="39">
        <v>5.39</v>
      </c>
      <c r="D994" s="39">
        <v>22512031</v>
      </c>
      <c r="E994" s="39" t="s">
        <v>116</v>
      </c>
      <c r="F994" s="39" t="s">
        <v>713</v>
      </c>
      <c r="G994" s="35">
        <v>0.70486111111111116</v>
      </c>
      <c r="H994" s="35">
        <v>0.71736111111111112</v>
      </c>
      <c r="I994" s="36">
        <v>18</v>
      </c>
      <c r="J994" s="86" t="s">
        <v>446</v>
      </c>
      <c r="K994" s="86" t="s">
        <v>19</v>
      </c>
      <c r="L994" s="58" t="s">
        <v>1010</v>
      </c>
      <c r="M994" s="58" t="s">
        <v>1010</v>
      </c>
    </row>
    <row r="995" spans="1:13" x14ac:dyDescent="0.35">
      <c r="A995" s="123">
        <v>46021</v>
      </c>
      <c r="B995" s="39">
        <v>58</v>
      </c>
      <c r="C995" s="39">
        <v>5.39</v>
      </c>
      <c r="D995" s="45">
        <v>22512032</v>
      </c>
      <c r="E995" s="45" t="s">
        <v>47</v>
      </c>
      <c r="F995" s="45">
        <v>1260</v>
      </c>
      <c r="G995" s="35">
        <v>0.71875</v>
      </c>
      <c r="H995" s="35">
        <v>0.78125</v>
      </c>
      <c r="I995" s="36">
        <v>90</v>
      </c>
      <c r="J995" s="86" t="s">
        <v>25</v>
      </c>
      <c r="K995" s="86" t="s">
        <v>445</v>
      </c>
      <c r="L995" s="86" t="s">
        <v>492</v>
      </c>
      <c r="M995" s="92" t="s">
        <v>258</v>
      </c>
    </row>
    <row r="996" spans="1:13" x14ac:dyDescent="0.35">
      <c r="A996" s="123">
        <v>46023</v>
      </c>
      <c r="B996" s="39">
        <v>57.85</v>
      </c>
      <c r="C996" s="39">
        <v>5.4</v>
      </c>
      <c r="D996" s="39">
        <v>22512033</v>
      </c>
      <c r="E996" s="39" t="s">
        <v>119</v>
      </c>
      <c r="F996" s="39">
        <v>1260</v>
      </c>
      <c r="G996" s="35">
        <v>1.3888888888888888E-2</v>
      </c>
      <c r="H996" s="35">
        <v>3.4722222222222224E-2</v>
      </c>
      <c r="I996" s="36">
        <v>30</v>
      </c>
      <c r="J996" s="98" t="s">
        <v>51</v>
      </c>
      <c r="K996" s="86" t="s">
        <v>445</v>
      </c>
      <c r="L996" s="86" t="s">
        <v>53</v>
      </c>
      <c r="M996" s="47" t="s">
        <v>54</v>
      </c>
    </row>
    <row r="997" spans="1:13" x14ac:dyDescent="0.35">
      <c r="A997" s="123">
        <v>46023</v>
      </c>
      <c r="B997" s="39">
        <v>57.85</v>
      </c>
      <c r="C997" s="39">
        <v>5.4</v>
      </c>
      <c r="D997" s="39">
        <v>22512033</v>
      </c>
      <c r="E997" s="39" t="s">
        <v>119</v>
      </c>
      <c r="F997" s="39">
        <v>1260</v>
      </c>
      <c r="G997" s="35">
        <v>3.4722222222222224E-2</v>
      </c>
      <c r="H997" s="35">
        <v>4.5138888888888888E-2</v>
      </c>
      <c r="I997" s="36">
        <v>15</v>
      </c>
      <c r="J997" s="98" t="s">
        <v>52</v>
      </c>
      <c r="K997" s="86" t="s">
        <v>445</v>
      </c>
      <c r="L997" s="86" t="s">
        <v>59</v>
      </c>
      <c r="M997" s="47" t="s">
        <v>59</v>
      </c>
    </row>
    <row r="998" spans="1:13" x14ac:dyDescent="0.35">
      <c r="A998" s="123">
        <v>46023</v>
      </c>
      <c r="B998" s="39">
        <v>57.85</v>
      </c>
      <c r="C998" s="39">
        <v>5.4</v>
      </c>
      <c r="D998" s="39">
        <v>22512033</v>
      </c>
      <c r="E998" s="39" t="s">
        <v>119</v>
      </c>
      <c r="F998" s="39">
        <v>1260</v>
      </c>
      <c r="G998" s="35">
        <v>4.5138888888888888E-2</v>
      </c>
      <c r="H998" s="35">
        <v>5.2083333333333336E-2</v>
      </c>
      <c r="I998" s="36">
        <v>10</v>
      </c>
      <c r="J998" s="98" t="s">
        <v>446</v>
      </c>
      <c r="K998" s="86" t="s">
        <v>41</v>
      </c>
      <c r="L998" s="86" t="s">
        <v>512</v>
      </c>
      <c r="M998" s="47" t="s">
        <v>1013</v>
      </c>
    </row>
    <row r="999" spans="1:13" x14ac:dyDescent="0.35">
      <c r="A999" s="123">
        <v>46024</v>
      </c>
      <c r="B999" s="39">
        <v>58</v>
      </c>
      <c r="C999" s="39">
        <v>5.51</v>
      </c>
      <c r="D999" s="39">
        <v>22601001</v>
      </c>
      <c r="E999" s="39" t="s">
        <v>104</v>
      </c>
      <c r="F999" s="39" t="s">
        <v>88</v>
      </c>
      <c r="G999" s="35">
        <v>0.32500000000000001</v>
      </c>
      <c r="H999" s="35">
        <v>0.34583333333333333</v>
      </c>
      <c r="I999" s="36">
        <v>30</v>
      </c>
      <c r="J999" s="86" t="s">
        <v>51</v>
      </c>
      <c r="K999" s="86" t="s">
        <v>445</v>
      </c>
      <c r="L999" s="86" t="s">
        <v>53</v>
      </c>
      <c r="M999" s="58" t="s">
        <v>54</v>
      </c>
    </row>
    <row r="1000" spans="1:13" x14ac:dyDescent="0.35">
      <c r="A1000" s="123">
        <v>46024</v>
      </c>
      <c r="B1000" s="39">
        <v>58</v>
      </c>
      <c r="C1000" s="39">
        <v>5.51</v>
      </c>
      <c r="D1000" s="39">
        <v>22601001</v>
      </c>
      <c r="E1000" s="39" t="s">
        <v>104</v>
      </c>
      <c r="F1000" s="39" t="s">
        <v>88</v>
      </c>
      <c r="G1000" s="35">
        <v>0.34583333333333333</v>
      </c>
      <c r="H1000" s="35">
        <v>0.34930555555555554</v>
      </c>
      <c r="I1000" s="36">
        <v>5</v>
      </c>
      <c r="J1000" s="86" t="s">
        <v>446</v>
      </c>
      <c r="K1000" s="86" t="s">
        <v>19</v>
      </c>
      <c r="L1000" s="58" t="s">
        <v>770</v>
      </c>
      <c r="M1000" s="58" t="s">
        <v>770</v>
      </c>
    </row>
    <row r="1001" spans="1:13" x14ac:dyDescent="0.35">
      <c r="A1001" s="123">
        <v>46024</v>
      </c>
      <c r="B1001" s="39">
        <v>58</v>
      </c>
      <c r="C1001" s="39">
        <v>5.51</v>
      </c>
      <c r="D1001" s="39">
        <v>22601001</v>
      </c>
      <c r="E1001" s="39" t="s">
        <v>104</v>
      </c>
      <c r="F1001" s="39" t="s">
        <v>88</v>
      </c>
      <c r="G1001" s="35">
        <v>0.34930555555555554</v>
      </c>
      <c r="H1001" s="35">
        <v>0.35625000000000001</v>
      </c>
      <c r="I1001" s="36">
        <v>10</v>
      </c>
      <c r="J1001" s="86" t="s">
        <v>446</v>
      </c>
      <c r="K1001" s="86" t="s">
        <v>445</v>
      </c>
      <c r="L1001" s="86" t="s">
        <v>22</v>
      </c>
      <c r="M1001" s="86" t="s">
        <v>22</v>
      </c>
    </row>
    <row r="1002" spans="1:13" x14ac:dyDescent="0.35">
      <c r="A1002" s="123">
        <v>46025</v>
      </c>
      <c r="B1002" s="39">
        <v>58</v>
      </c>
      <c r="C1002" s="39">
        <v>5.04</v>
      </c>
      <c r="D1002" s="39">
        <v>22601002</v>
      </c>
      <c r="E1002" s="39" t="s">
        <v>116</v>
      </c>
      <c r="F1002" s="39">
        <v>1230</v>
      </c>
      <c r="G1002" s="35">
        <v>0.52430555555555558</v>
      </c>
      <c r="H1002" s="35">
        <v>0.80833333333333335</v>
      </c>
      <c r="I1002" s="36">
        <v>409</v>
      </c>
      <c r="J1002" s="86" t="s">
        <v>463</v>
      </c>
      <c r="K1002" s="86" t="s">
        <v>41</v>
      </c>
      <c r="L1002" s="86" t="s">
        <v>454</v>
      </c>
      <c r="M1002" s="47" t="s">
        <v>1018</v>
      </c>
    </row>
    <row r="1003" spans="1:13" x14ac:dyDescent="0.35">
      <c r="A1003" s="123">
        <v>46025</v>
      </c>
      <c r="B1003" s="39">
        <v>58</v>
      </c>
      <c r="C1003" s="39">
        <v>5.04</v>
      </c>
      <c r="D1003" s="39">
        <v>22601002</v>
      </c>
      <c r="E1003" s="39" t="s">
        <v>116</v>
      </c>
      <c r="F1003" s="39">
        <v>1230</v>
      </c>
      <c r="G1003" s="35">
        <v>0.80833333333333335</v>
      </c>
      <c r="H1003" s="35">
        <v>0.91666666666666663</v>
      </c>
      <c r="I1003" s="36">
        <v>156</v>
      </c>
      <c r="J1003" s="86" t="s">
        <v>446</v>
      </c>
      <c r="K1003" s="86" t="s">
        <v>19</v>
      </c>
      <c r="L1003" s="86" t="s">
        <v>354</v>
      </c>
      <c r="M1003" s="47" t="s">
        <v>1019</v>
      </c>
    </row>
    <row r="1004" spans="1:13" x14ac:dyDescent="0.35">
      <c r="A1004" s="122">
        <v>46026</v>
      </c>
      <c r="B1004" s="45">
        <v>58</v>
      </c>
      <c r="C1004" s="45">
        <v>4.96</v>
      </c>
      <c r="D1004" s="39">
        <v>22601002</v>
      </c>
      <c r="E1004" s="39" t="s">
        <v>116</v>
      </c>
      <c r="F1004" s="39">
        <v>1230</v>
      </c>
      <c r="G1004" s="35">
        <v>0.91666666666666663</v>
      </c>
      <c r="H1004" s="35">
        <v>0.99722222222222223</v>
      </c>
      <c r="I1004" s="36">
        <v>116</v>
      </c>
      <c r="J1004" s="86" t="s">
        <v>446</v>
      </c>
      <c r="K1004" s="86" t="s">
        <v>19</v>
      </c>
      <c r="L1004" s="86" t="s">
        <v>354</v>
      </c>
      <c r="M1004" s="47" t="s">
        <v>1019</v>
      </c>
    </row>
    <row r="1005" spans="1:13" x14ac:dyDescent="0.35">
      <c r="A1005" s="123">
        <v>46027</v>
      </c>
      <c r="B1005" s="39">
        <v>58</v>
      </c>
      <c r="C1005" s="39">
        <v>5.25</v>
      </c>
      <c r="D1005" s="39">
        <v>22601003</v>
      </c>
      <c r="E1005" s="39" t="s">
        <v>156</v>
      </c>
      <c r="F1005" s="39">
        <v>1255</v>
      </c>
      <c r="G1005" s="35">
        <v>0.99513888888888891</v>
      </c>
      <c r="H1005" s="35">
        <v>1.5972222222222221E-2</v>
      </c>
      <c r="I1005" s="36">
        <v>30</v>
      </c>
      <c r="J1005" s="86" t="s">
        <v>51</v>
      </c>
      <c r="K1005" s="86" t="s">
        <v>445</v>
      </c>
      <c r="L1005" s="86" t="s">
        <v>53</v>
      </c>
      <c r="M1005" s="47" t="s">
        <v>54</v>
      </c>
    </row>
    <row r="1006" spans="1:13" x14ac:dyDescent="0.35">
      <c r="A1006" s="123">
        <v>46027</v>
      </c>
      <c r="B1006" s="39">
        <v>58</v>
      </c>
      <c r="C1006" s="39">
        <v>5.25</v>
      </c>
      <c r="D1006" s="39">
        <v>22601003</v>
      </c>
      <c r="E1006" s="39" t="s">
        <v>156</v>
      </c>
      <c r="F1006" s="39">
        <v>1255</v>
      </c>
      <c r="G1006" s="35">
        <v>1.5972222222222221E-2</v>
      </c>
      <c r="H1006" s="35">
        <v>2.2222222222222223E-2</v>
      </c>
      <c r="I1006" s="36">
        <v>9</v>
      </c>
      <c r="J1006" s="86" t="s">
        <v>446</v>
      </c>
      <c r="K1006" s="86" t="s">
        <v>445</v>
      </c>
      <c r="L1006" s="86" t="s">
        <v>206</v>
      </c>
      <c r="M1006" s="47" t="s">
        <v>1020</v>
      </c>
    </row>
    <row r="1007" spans="1:13" x14ac:dyDescent="0.35">
      <c r="A1007" s="123">
        <v>46027</v>
      </c>
      <c r="B1007" s="39">
        <v>58</v>
      </c>
      <c r="C1007" s="39">
        <v>5.25</v>
      </c>
      <c r="D1007" s="39">
        <v>22601004</v>
      </c>
      <c r="E1007" s="39" t="s">
        <v>160</v>
      </c>
      <c r="F1007" s="39">
        <v>1240</v>
      </c>
      <c r="G1007" s="35">
        <v>0.2951388888888889</v>
      </c>
      <c r="H1007" s="35">
        <v>0.3576388888888889</v>
      </c>
      <c r="I1007" s="36">
        <v>90</v>
      </c>
      <c r="J1007" s="86" t="s">
        <v>25</v>
      </c>
      <c r="K1007" s="86" t="s">
        <v>445</v>
      </c>
      <c r="L1007" s="86" t="s">
        <v>456</v>
      </c>
      <c r="M1007" s="60" t="s">
        <v>323</v>
      </c>
    </row>
    <row r="1008" spans="1:13" x14ac:dyDescent="0.35">
      <c r="A1008" s="123">
        <v>46027</v>
      </c>
      <c r="B1008" s="39">
        <v>58</v>
      </c>
      <c r="C1008" s="39">
        <v>5.25</v>
      </c>
      <c r="D1008" s="39">
        <v>22601004</v>
      </c>
      <c r="E1008" s="39" t="s">
        <v>160</v>
      </c>
      <c r="F1008" s="39">
        <v>1240</v>
      </c>
      <c r="G1008" s="35">
        <v>0.3576388888888889</v>
      </c>
      <c r="H1008" s="35">
        <v>0.36458333333333331</v>
      </c>
      <c r="I1008" s="36">
        <v>10</v>
      </c>
      <c r="J1008" s="86" t="s">
        <v>446</v>
      </c>
      <c r="K1008" s="86" t="s">
        <v>445</v>
      </c>
      <c r="L1008" s="86" t="s">
        <v>74</v>
      </c>
      <c r="M1008" s="47" t="s">
        <v>1021</v>
      </c>
    </row>
    <row r="1009" spans="1:13" x14ac:dyDescent="0.35">
      <c r="A1009" s="123">
        <v>46028</v>
      </c>
      <c r="B1009" s="39">
        <v>58</v>
      </c>
      <c r="C1009" s="39">
        <v>5.43</v>
      </c>
      <c r="D1009" s="39">
        <v>22601005</v>
      </c>
      <c r="E1009" s="39" t="s">
        <v>72</v>
      </c>
      <c r="F1009" s="45">
        <v>1240</v>
      </c>
      <c r="G1009" s="35">
        <v>0.6118055555555556</v>
      </c>
      <c r="H1009" s="35">
        <v>0.63263888888888886</v>
      </c>
      <c r="I1009" s="36">
        <v>30</v>
      </c>
      <c r="J1009" s="86" t="s">
        <v>51</v>
      </c>
      <c r="K1009" s="86" t="s">
        <v>445</v>
      </c>
      <c r="L1009" s="86" t="s">
        <v>53</v>
      </c>
      <c r="M1009" s="58" t="s">
        <v>54</v>
      </c>
    </row>
    <row r="1010" spans="1:13" x14ac:dyDescent="0.35">
      <c r="A1010" s="123">
        <v>46028</v>
      </c>
      <c r="B1010" s="39">
        <v>58</v>
      </c>
      <c r="C1010" s="39">
        <v>5.43</v>
      </c>
      <c r="D1010" s="39">
        <v>22601005</v>
      </c>
      <c r="E1010" s="39" t="s">
        <v>72</v>
      </c>
      <c r="F1010" s="45">
        <v>1240</v>
      </c>
      <c r="G1010" s="35">
        <v>0.63263888888888886</v>
      </c>
      <c r="H1010" s="35">
        <v>0.63611111111111107</v>
      </c>
      <c r="I1010" s="36">
        <v>5</v>
      </c>
      <c r="J1010" s="86" t="s">
        <v>446</v>
      </c>
      <c r="K1010" s="86" t="s">
        <v>445</v>
      </c>
      <c r="L1010" s="86" t="s">
        <v>74</v>
      </c>
      <c r="M1010" s="58" t="s">
        <v>1022</v>
      </c>
    </row>
    <row r="1011" spans="1:13" x14ac:dyDescent="0.35">
      <c r="A1011" s="122">
        <v>46029</v>
      </c>
      <c r="B1011" s="45">
        <v>57.78</v>
      </c>
      <c r="C1011" s="45">
        <v>5.07</v>
      </c>
      <c r="D1011" s="46">
        <v>22601006</v>
      </c>
      <c r="E1011" s="45" t="s">
        <v>167</v>
      </c>
      <c r="F1011" s="45">
        <v>1270</v>
      </c>
      <c r="G1011" s="35">
        <v>0.38680555555555557</v>
      </c>
      <c r="H1011" s="35">
        <v>0.91666666666666663</v>
      </c>
      <c r="I1011" s="36">
        <v>763</v>
      </c>
      <c r="J1011" s="86" t="s">
        <v>448</v>
      </c>
      <c r="K1011" s="116" t="s">
        <v>15</v>
      </c>
      <c r="L1011" s="86" t="s">
        <v>448</v>
      </c>
      <c r="M1011" s="58" t="s">
        <v>17</v>
      </c>
    </row>
    <row r="1012" spans="1:13" x14ac:dyDescent="0.35">
      <c r="A1012" s="123">
        <v>46030</v>
      </c>
      <c r="B1012" s="39">
        <v>58</v>
      </c>
      <c r="C1012" s="39">
        <v>5.47</v>
      </c>
      <c r="D1012" s="46">
        <v>22601006</v>
      </c>
      <c r="E1012" s="45" t="s">
        <v>167</v>
      </c>
      <c r="F1012" s="45">
        <v>1270</v>
      </c>
      <c r="G1012" s="35">
        <v>0.91666666666666663</v>
      </c>
      <c r="H1012" s="35">
        <v>0.98958333333333337</v>
      </c>
      <c r="I1012" s="36">
        <v>105</v>
      </c>
      <c r="J1012" s="86" t="s">
        <v>448</v>
      </c>
      <c r="K1012" s="116" t="s">
        <v>15</v>
      </c>
      <c r="L1012" s="86" t="s">
        <v>448</v>
      </c>
      <c r="M1012" s="58" t="s">
        <v>17</v>
      </c>
    </row>
    <row r="1013" spans="1:13" x14ac:dyDescent="0.35">
      <c r="A1013" s="123">
        <v>46030</v>
      </c>
      <c r="B1013" s="39">
        <v>58</v>
      </c>
      <c r="C1013" s="39">
        <v>5.47</v>
      </c>
      <c r="D1013" s="46">
        <v>22601006</v>
      </c>
      <c r="E1013" s="45" t="s">
        <v>167</v>
      </c>
      <c r="F1013" s="45">
        <v>1270</v>
      </c>
      <c r="G1013" s="35">
        <v>0.98958333333333337</v>
      </c>
      <c r="H1013" s="35">
        <v>3.125E-2</v>
      </c>
      <c r="I1013" s="36">
        <v>60</v>
      </c>
      <c r="J1013" s="86" t="s">
        <v>446</v>
      </c>
      <c r="K1013" s="86" t="s">
        <v>19</v>
      </c>
      <c r="L1013" s="58" t="s">
        <v>1024</v>
      </c>
      <c r="M1013" s="58" t="s">
        <v>1024</v>
      </c>
    </row>
    <row r="1014" spans="1:13" x14ac:dyDescent="0.35">
      <c r="A1014" s="123">
        <v>46031</v>
      </c>
      <c r="B1014" s="39">
        <v>58</v>
      </c>
      <c r="C1014" s="39">
        <v>5.34</v>
      </c>
      <c r="D1014" s="39">
        <v>22601007</v>
      </c>
      <c r="E1014" s="39" t="s">
        <v>13</v>
      </c>
      <c r="F1014" s="39">
        <v>1040</v>
      </c>
      <c r="G1014" s="35">
        <v>0.15277777777777779</v>
      </c>
      <c r="H1014" s="35">
        <v>0.1736111111111111</v>
      </c>
      <c r="I1014" s="36">
        <v>30</v>
      </c>
      <c r="J1014" s="86" t="s">
        <v>51</v>
      </c>
      <c r="K1014" s="86" t="s">
        <v>445</v>
      </c>
      <c r="L1014" s="86" t="s">
        <v>53</v>
      </c>
      <c r="M1014" s="58" t="s">
        <v>54</v>
      </c>
    </row>
    <row r="1015" spans="1:13" x14ac:dyDescent="0.35">
      <c r="A1015" s="123">
        <v>46031</v>
      </c>
      <c r="B1015" s="39">
        <v>58</v>
      </c>
      <c r="C1015" s="39">
        <v>5.34</v>
      </c>
      <c r="D1015" s="39">
        <v>22601007</v>
      </c>
      <c r="E1015" s="39" t="s">
        <v>13</v>
      </c>
      <c r="F1015" s="39">
        <v>1040</v>
      </c>
      <c r="G1015" s="35">
        <v>0.1736111111111111</v>
      </c>
      <c r="H1015" s="35">
        <v>0.17708333333333334</v>
      </c>
      <c r="I1015" s="36">
        <v>5</v>
      </c>
      <c r="J1015" s="86" t="s">
        <v>446</v>
      </c>
      <c r="K1015" s="86" t="s">
        <v>19</v>
      </c>
      <c r="L1015" s="58" t="s">
        <v>1025</v>
      </c>
      <c r="M1015" s="58" t="s">
        <v>1025</v>
      </c>
    </row>
    <row r="1016" spans="1:13" x14ac:dyDescent="0.35">
      <c r="A1016" s="123">
        <v>46031</v>
      </c>
      <c r="B1016" s="39">
        <v>58</v>
      </c>
      <c r="C1016" s="39">
        <v>5.34</v>
      </c>
      <c r="D1016" s="39">
        <v>22601008</v>
      </c>
      <c r="E1016" s="39" t="s">
        <v>43</v>
      </c>
      <c r="F1016" s="39">
        <v>1230</v>
      </c>
      <c r="G1016" s="35">
        <v>0.51041666666666663</v>
      </c>
      <c r="H1016" s="35">
        <v>0.57291666666666663</v>
      </c>
      <c r="I1016" s="36">
        <v>90</v>
      </c>
      <c r="J1016" s="86" t="s">
        <v>25</v>
      </c>
      <c r="K1016" s="86" t="s">
        <v>445</v>
      </c>
      <c r="L1016" s="86" t="s">
        <v>456</v>
      </c>
      <c r="M1016" s="92" t="s">
        <v>323</v>
      </c>
    </row>
    <row r="1017" spans="1:13" x14ac:dyDescent="0.35">
      <c r="A1017" s="123">
        <v>46031</v>
      </c>
      <c r="B1017" s="39">
        <v>58</v>
      </c>
      <c r="C1017" s="39">
        <v>5.34</v>
      </c>
      <c r="D1017" s="39">
        <v>22601008</v>
      </c>
      <c r="E1017" s="39" t="s">
        <v>43</v>
      </c>
      <c r="F1017" s="39">
        <v>1230</v>
      </c>
      <c r="G1017" s="35">
        <v>0.57291666666666663</v>
      </c>
      <c r="H1017" s="35">
        <v>0.58888888888888891</v>
      </c>
      <c r="I1017" s="36">
        <v>23</v>
      </c>
      <c r="J1017" s="98" t="s">
        <v>446</v>
      </c>
      <c r="K1017" s="86" t="s">
        <v>445</v>
      </c>
      <c r="L1017" s="86" t="s">
        <v>74</v>
      </c>
      <c r="M1017" s="58" t="s">
        <v>1026</v>
      </c>
    </row>
    <row r="1018" spans="1:13" x14ac:dyDescent="0.35">
      <c r="A1018" s="122">
        <v>46033</v>
      </c>
      <c r="B1018" s="45">
        <v>58</v>
      </c>
      <c r="C1018" s="45">
        <v>5.52</v>
      </c>
      <c r="D1018" s="46">
        <v>22601009</v>
      </c>
      <c r="E1018" s="45" t="s">
        <v>496</v>
      </c>
      <c r="F1018" s="45">
        <v>1230</v>
      </c>
      <c r="G1018" s="35">
        <v>0.93819444444444444</v>
      </c>
      <c r="H1018" s="35">
        <v>0.95902777777777781</v>
      </c>
      <c r="I1018" s="36">
        <v>30</v>
      </c>
      <c r="J1018" s="86" t="s">
        <v>51</v>
      </c>
      <c r="K1018" s="86" t="s">
        <v>445</v>
      </c>
      <c r="L1018" s="86" t="s">
        <v>53</v>
      </c>
      <c r="M1018" s="58" t="s">
        <v>54</v>
      </c>
    </row>
    <row r="1019" spans="1:13" x14ac:dyDescent="0.35">
      <c r="A1019" s="123">
        <v>46034</v>
      </c>
      <c r="B1019" s="45">
        <v>58</v>
      </c>
      <c r="C1019" s="45">
        <v>5.23</v>
      </c>
      <c r="D1019" s="39">
        <v>22601010</v>
      </c>
      <c r="E1019" s="39" t="s">
        <v>141</v>
      </c>
      <c r="F1019" s="39">
        <v>1250</v>
      </c>
      <c r="G1019" s="35">
        <v>0.31111111111111112</v>
      </c>
      <c r="H1019" s="35">
        <v>0.33194444444444443</v>
      </c>
      <c r="I1019" s="36">
        <v>30</v>
      </c>
      <c r="J1019" s="86" t="s">
        <v>51</v>
      </c>
      <c r="K1019" s="86" t="s">
        <v>445</v>
      </c>
      <c r="L1019" s="86" t="s">
        <v>53</v>
      </c>
      <c r="M1019" s="47" t="s">
        <v>54</v>
      </c>
    </row>
    <row r="1020" spans="1:13" x14ac:dyDescent="0.35">
      <c r="A1020" s="123">
        <v>46034</v>
      </c>
      <c r="B1020" s="39">
        <v>58</v>
      </c>
      <c r="C1020" s="39">
        <v>5.21</v>
      </c>
      <c r="D1020" s="39">
        <v>22601010</v>
      </c>
      <c r="E1020" s="39" t="s">
        <v>141</v>
      </c>
      <c r="F1020" s="39">
        <v>1250</v>
      </c>
      <c r="G1020" s="35">
        <v>0.33194444444444443</v>
      </c>
      <c r="H1020" s="35">
        <v>0.33750000000000002</v>
      </c>
      <c r="I1020" s="36">
        <v>8</v>
      </c>
      <c r="J1020" s="98" t="s">
        <v>52</v>
      </c>
      <c r="K1020" s="86" t="s">
        <v>445</v>
      </c>
      <c r="L1020" s="86" t="s">
        <v>59</v>
      </c>
      <c r="M1020" s="47" t="s">
        <v>59</v>
      </c>
    </row>
    <row r="1021" spans="1:13" x14ac:dyDescent="0.35">
      <c r="A1021" s="123">
        <v>46034</v>
      </c>
      <c r="B1021" s="39">
        <v>58</v>
      </c>
      <c r="C1021" s="39">
        <v>5.21</v>
      </c>
      <c r="D1021" s="39">
        <v>22601010</v>
      </c>
      <c r="E1021" s="39" t="s">
        <v>141</v>
      </c>
      <c r="F1021" s="39">
        <v>1250</v>
      </c>
      <c r="G1021" s="35">
        <v>0.33750000000000002</v>
      </c>
      <c r="H1021" s="35">
        <v>0.34236111111111112</v>
      </c>
      <c r="I1021" s="36">
        <v>7</v>
      </c>
      <c r="J1021" s="98" t="s">
        <v>52</v>
      </c>
      <c r="K1021" s="86" t="s">
        <v>62</v>
      </c>
      <c r="L1021" s="86" t="s">
        <v>130</v>
      </c>
      <c r="M1021" s="47" t="s">
        <v>164</v>
      </c>
    </row>
    <row r="1022" spans="1:13" x14ac:dyDescent="0.35">
      <c r="A1022" s="123">
        <v>46034</v>
      </c>
      <c r="B1022" s="39">
        <v>58</v>
      </c>
      <c r="C1022" s="39">
        <v>5.21</v>
      </c>
      <c r="D1022" s="39">
        <v>22601010</v>
      </c>
      <c r="E1022" s="39" t="s">
        <v>141</v>
      </c>
      <c r="F1022" s="39">
        <v>1250</v>
      </c>
      <c r="G1022" s="35">
        <v>0.34236111111111112</v>
      </c>
      <c r="H1022" s="35">
        <v>0.34513888888888888</v>
      </c>
      <c r="I1022" s="36">
        <v>4</v>
      </c>
      <c r="J1022" s="98" t="s">
        <v>446</v>
      </c>
      <c r="K1022" s="86" t="s">
        <v>19</v>
      </c>
      <c r="L1022" s="86" t="s">
        <v>143</v>
      </c>
      <c r="M1022" s="47" t="s">
        <v>1029</v>
      </c>
    </row>
    <row r="1023" spans="1:13" x14ac:dyDescent="0.35">
      <c r="A1023" s="123">
        <v>46034</v>
      </c>
      <c r="B1023" s="39">
        <v>58</v>
      </c>
      <c r="C1023" s="39">
        <v>5.21</v>
      </c>
      <c r="D1023" s="39">
        <v>22601010</v>
      </c>
      <c r="E1023" s="39" t="s">
        <v>141</v>
      </c>
      <c r="F1023" s="39">
        <v>1250</v>
      </c>
      <c r="G1023" s="35">
        <v>0.34513888888888888</v>
      </c>
      <c r="H1023" s="35">
        <v>0.34722222222222221</v>
      </c>
      <c r="I1023" s="36">
        <v>3</v>
      </c>
      <c r="J1023" s="98" t="s">
        <v>446</v>
      </c>
      <c r="K1023" s="86" t="s">
        <v>41</v>
      </c>
      <c r="L1023" s="86" t="s">
        <v>524</v>
      </c>
      <c r="M1023" s="47" t="s">
        <v>1029</v>
      </c>
    </row>
    <row r="1024" spans="1:13" x14ac:dyDescent="0.35">
      <c r="A1024" s="123">
        <v>46035</v>
      </c>
      <c r="B1024" s="39">
        <v>57.7</v>
      </c>
      <c r="C1024" s="39">
        <v>5.25</v>
      </c>
      <c r="D1024" s="39">
        <v>22601011</v>
      </c>
      <c r="E1024" s="39" t="s">
        <v>101</v>
      </c>
      <c r="F1024" s="39">
        <v>1260</v>
      </c>
      <c r="G1024" s="35">
        <v>0.42152777777777778</v>
      </c>
      <c r="H1024" s="35">
        <v>0.47013888888888888</v>
      </c>
      <c r="I1024" s="36">
        <v>70</v>
      </c>
      <c r="J1024" s="86" t="s">
        <v>35</v>
      </c>
      <c r="K1024" s="86" t="s">
        <v>445</v>
      </c>
      <c r="L1024" s="86" t="s">
        <v>796</v>
      </c>
      <c r="M1024" s="62" t="s">
        <v>1030</v>
      </c>
    </row>
    <row r="1025" spans="1:13" x14ac:dyDescent="0.35">
      <c r="A1025" s="123">
        <v>46035</v>
      </c>
      <c r="B1025" s="39">
        <v>57.7</v>
      </c>
      <c r="C1025" s="39">
        <v>5.25</v>
      </c>
      <c r="D1025" s="39">
        <v>22601011</v>
      </c>
      <c r="E1025" s="39" t="s">
        <v>101</v>
      </c>
      <c r="F1025" s="39">
        <v>1260</v>
      </c>
      <c r="G1025" s="35">
        <v>0.47013888888888888</v>
      </c>
      <c r="H1025" s="35">
        <v>0.47708333333333336</v>
      </c>
      <c r="I1025" s="36">
        <v>10</v>
      </c>
      <c r="J1025" s="86" t="s">
        <v>446</v>
      </c>
      <c r="K1025" s="86" t="s">
        <v>41</v>
      </c>
      <c r="L1025" s="58" t="s">
        <v>1031</v>
      </c>
      <c r="M1025" s="58" t="s">
        <v>1031</v>
      </c>
    </row>
    <row r="1026" spans="1:13" x14ac:dyDescent="0.35">
      <c r="A1026" s="123">
        <v>46036</v>
      </c>
      <c r="B1026" s="39">
        <v>58</v>
      </c>
      <c r="C1026" s="39">
        <v>5.16</v>
      </c>
      <c r="D1026" s="45">
        <v>22601012</v>
      </c>
      <c r="E1026" s="160" t="s">
        <v>69</v>
      </c>
      <c r="F1026" s="45">
        <v>1230</v>
      </c>
      <c r="G1026" s="35">
        <v>0.45833333333333331</v>
      </c>
      <c r="H1026" s="35">
        <v>0.5131944444444444</v>
      </c>
      <c r="I1026" s="36">
        <v>79</v>
      </c>
      <c r="J1026" s="86" t="s">
        <v>35</v>
      </c>
      <c r="K1026" s="86" t="s">
        <v>26</v>
      </c>
      <c r="L1026" s="62" t="s">
        <v>1033</v>
      </c>
      <c r="M1026" s="62" t="s">
        <v>1033</v>
      </c>
    </row>
    <row r="1027" spans="1:13" x14ac:dyDescent="0.35">
      <c r="A1027" s="123">
        <v>46036</v>
      </c>
      <c r="B1027" s="39">
        <v>58</v>
      </c>
      <c r="C1027" s="39">
        <v>5.16</v>
      </c>
      <c r="D1027" s="39">
        <v>22601013</v>
      </c>
      <c r="E1027" s="39" t="s">
        <v>24</v>
      </c>
      <c r="F1027" s="39">
        <v>1230</v>
      </c>
      <c r="G1027" s="35">
        <v>0.75347222222222221</v>
      </c>
      <c r="H1027" s="35">
        <v>0.78472222222222221</v>
      </c>
      <c r="I1027" s="36">
        <v>45</v>
      </c>
      <c r="J1027" s="86" t="s">
        <v>463</v>
      </c>
      <c r="K1027" s="86" t="s">
        <v>445</v>
      </c>
      <c r="L1027" s="86" t="s">
        <v>796</v>
      </c>
      <c r="M1027" s="58" t="s">
        <v>1034</v>
      </c>
    </row>
    <row r="1028" spans="1:13" x14ac:dyDescent="0.35">
      <c r="A1028" s="123">
        <v>46036</v>
      </c>
      <c r="B1028" s="39">
        <v>58</v>
      </c>
      <c r="C1028" s="39">
        <v>5.16</v>
      </c>
      <c r="D1028" s="39">
        <v>22601013</v>
      </c>
      <c r="E1028" s="39" t="s">
        <v>24</v>
      </c>
      <c r="F1028" s="39">
        <v>1230</v>
      </c>
      <c r="G1028" s="35">
        <v>0.78472222222222221</v>
      </c>
      <c r="H1028" s="35">
        <v>0.81944444444444442</v>
      </c>
      <c r="I1028" s="36">
        <v>50</v>
      </c>
      <c r="J1028" s="86" t="s">
        <v>446</v>
      </c>
      <c r="K1028" s="86" t="s">
        <v>19</v>
      </c>
      <c r="L1028" s="86" t="s">
        <v>149</v>
      </c>
      <c r="M1028" s="58" t="s">
        <v>1035</v>
      </c>
    </row>
    <row r="1029" spans="1:13" x14ac:dyDescent="0.35">
      <c r="A1029" s="123">
        <v>46037</v>
      </c>
      <c r="B1029" s="39">
        <v>57.95</v>
      </c>
      <c r="C1029" s="39">
        <v>5.24</v>
      </c>
      <c r="D1029" s="39">
        <v>22601014</v>
      </c>
      <c r="E1029" s="39" t="s">
        <v>50</v>
      </c>
      <c r="F1029" s="39">
        <v>1230</v>
      </c>
      <c r="G1029" s="35">
        <v>0.81388888888888888</v>
      </c>
      <c r="H1029" s="35">
        <v>0.83472222222222225</v>
      </c>
      <c r="I1029" s="36">
        <v>30</v>
      </c>
      <c r="J1029" s="86" t="s">
        <v>51</v>
      </c>
      <c r="K1029" s="86" t="s">
        <v>445</v>
      </c>
      <c r="L1029" s="86" t="s">
        <v>53</v>
      </c>
      <c r="M1029" s="58" t="s">
        <v>54</v>
      </c>
    </row>
    <row r="1030" spans="1:13" x14ac:dyDescent="0.35">
      <c r="A1030" s="123">
        <v>46037</v>
      </c>
      <c r="B1030" s="39">
        <v>57.95</v>
      </c>
      <c r="C1030" s="39">
        <v>5.24</v>
      </c>
      <c r="D1030" s="39">
        <v>22601014</v>
      </c>
      <c r="E1030" s="39" t="s">
        <v>50</v>
      </c>
      <c r="F1030" s="39">
        <v>1230</v>
      </c>
      <c r="G1030" s="35">
        <v>0.83472222222222225</v>
      </c>
      <c r="H1030" s="35">
        <v>0.84027777777777779</v>
      </c>
      <c r="I1030" s="36">
        <v>8</v>
      </c>
      <c r="J1030" s="86" t="s">
        <v>446</v>
      </c>
      <c r="K1030" s="86" t="s">
        <v>41</v>
      </c>
      <c r="L1030" s="58" t="s">
        <v>1036</v>
      </c>
      <c r="M1030" s="58" t="s">
        <v>1036</v>
      </c>
    </row>
    <row r="1031" spans="1:13" x14ac:dyDescent="0.35">
      <c r="A1031" s="123">
        <v>46038</v>
      </c>
      <c r="B1031" s="39"/>
      <c r="C1031" s="39"/>
      <c r="D1031" s="39"/>
      <c r="E1031" s="39"/>
      <c r="F1031" s="39"/>
      <c r="G1031" s="35">
        <v>0.91666666666666663</v>
      </c>
      <c r="H1031" s="35">
        <v>0.91666666666666663</v>
      </c>
      <c r="I1031" s="36">
        <v>0</v>
      </c>
      <c r="J1031" s="86"/>
      <c r="K1031" s="86"/>
      <c r="L1031" s="58"/>
      <c r="M1031" s="58"/>
    </row>
    <row r="1032" spans="1:13" x14ac:dyDescent="0.35">
      <c r="A1032" s="123">
        <v>46039</v>
      </c>
      <c r="B1032" s="45">
        <v>56</v>
      </c>
      <c r="C1032" s="45">
        <v>5.47</v>
      </c>
      <c r="D1032" s="39">
        <v>22601015</v>
      </c>
      <c r="E1032" s="39" t="s">
        <v>57</v>
      </c>
      <c r="F1032" s="39">
        <v>1350</v>
      </c>
      <c r="G1032" s="35">
        <v>1.0416666666666666E-2</v>
      </c>
      <c r="H1032" s="35">
        <v>3.125E-2</v>
      </c>
      <c r="I1032" s="36">
        <v>30</v>
      </c>
      <c r="J1032" s="86" t="s">
        <v>51</v>
      </c>
      <c r="K1032" s="86" t="s">
        <v>445</v>
      </c>
      <c r="L1032" s="86" t="s">
        <v>53</v>
      </c>
      <c r="M1032" s="47" t="s">
        <v>54</v>
      </c>
    </row>
    <row r="1033" spans="1:13" x14ac:dyDescent="0.35">
      <c r="A1033" s="123">
        <v>46039</v>
      </c>
      <c r="B1033" s="45">
        <v>56</v>
      </c>
      <c r="C1033" s="45">
        <v>5.47</v>
      </c>
      <c r="D1033" s="39">
        <v>22601015</v>
      </c>
      <c r="E1033" s="39" t="s">
        <v>57</v>
      </c>
      <c r="F1033" s="39">
        <v>1350</v>
      </c>
      <c r="G1033" s="35">
        <v>3.125E-2</v>
      </c>
      <c r="H1033" s="35">
        <v>4.1666666666666664E-2</v>
      </c>
      <c r="I1033" s="36">
        <v>15</v>
      </c>
      <c r="J1033" s="86" t="s">
        <v>52</v>
      </c>
      <c r="K1033" s="86" t="s">
        <v>445</v>
      </c>
      <c r="L1033" s="86" t="s">
        <v>59</v>
      </c>
      <c r="M1033" s="47" t="s">
        <v>59</v>
      </c>
    </row>
    <row r="1034" spans="1:13" x14ac:dyDescent="0.35">
      <c r="A1034" s="123">
        <v>46039</v>
      </c>
      <c r="B1034" s="45">
        <v>56</v>
      </c>
      <c r="C1034" s="45">
        <v>5.47</v>
      </c>
      <c r="D1034" s="39">
        <v>22601015</v>
      </c>
      <c r="E1034" s="39" t="s">
        <v>57</v>
      </c>
      <c r="F1034" s="39">
        <v>1350</v>
      </c>
      <c r="G1034" s="35">
        <v>4.1666666666666664E-2</v>
      </c>
      <c r="H1034" s="35">
        <v>4.5138888888888888E-2</v>
      </c>
      <c r="I1034" s="36">
        <v>5</v>
      </c>
      <c r="J1034" s="86" t="s">
        <v>446</v>
      </c>
      <c r="K1034" s="116" t="s">
        <v>445</v>
      </c>
      <c r="L1034" s="86" t="s">
        <v>22</v>
      </c>
      <c r="M1034" s="47" t="s">
        <v>347</v>
      </c>
    </row>
    <row r="1035" spans="1:13" x14ac:dyDescent="0.35">
      <c r="A1035" s="123">
        <v>46039</v>
      </c>
      <c r="B1035" s="52"/>
      <c r="C1035" s="52"/>
      <c r="D1035" s="46">
        <v>22601016</v>
      </c>
      <c r="E1035" s="45" t="s">
        <v>43</v>
      </c>
      <c r="F1035" s="45">
        <v>1250</v>
      </c>
      <c r="G1035" s="35">
        <v>0.36805555555555558</v>
      </c>
      <c r="H1035" s="35">
        <v>0.41805555555555557</v>
      </c>
      <c r="I1035" s="36">
        <v>72</v>
      </c>
      <c r="J1035" s="86" t="s">
        <v>35</v>
      </c>
      <c r="K1035" s="116" t="s">
        <v>26</v>
      </c>
      <c r="L1035" s="86" t="s">
        <v>742</v>
      </c>
      <c r="M1035" s="49" t="s">
        <v>1038</v>
      </c>
    </row>
    <row r="1036" spans="1:13" x14ac:dyDescent="0.35">
      <c r="A1036" s="122">
        <v>46040</v>
      </c>
      <c r="B1036" s="45">
        <v>57.69</v>
      </c>
      <c r="C1036" s="45">
        <v>5.4</v>
      </c>
      <c r="D1036" s="46">
        <v>22601017</v>
      </c>
      <c r="E1036" s="45" t="s">
        <v>468</v>
      </c>
      <c r="F1036" s="45">
        <v>1240</v>
      </c>
      <c r="G1036" s="35">
        <v>0.99305555555555558</v>
      </c>
      <c r="H1036" s="35">
        <v>5.2777777777777778E-2</v>
      </c>
      <c r="I1036" s="36">
        <v>86</v>
      </c>
      <c r="J1036" s="98" t="s">
        <v>25</v>
      </c>
      <c r="K1036" s="86" t="s">
        <v>445</v>
      </c>
      <c r="L1036" s="86" t="s">
        <v>456</v>
      </c>
      <c r="M1036" s="60" t="s">
        <v>323</v>
      </c>
    </row>
    <row r="1037" spans="1:13" x14ac:dyDescent="0.35">
      <c r="A1037" s="122">
        <v>46041</v>
      </c>
      <c r="B1037" s="45">
        <v>58</v>
      </c>
      <c r="C1037" s="45">
        <v>5.4</v>
      </c>
      <c r="D1037" s="46">
        <v>22601018</v>
      </c>
      <c r="E1037" s="45" t="s">
        <v>496</v>
      </c>
      <c r="F1037" s="45">
        <v>1230</v>
      </c>
      <c r="G1037" s="35">
        <v>0.39305555555555555</v>
      </c>
      <c r="H1037" s="35">
        <v>0.41388888888888886</v>
      </c>
      <c r="I1037" s="36">
        <v>30</v>
      </c>
      <c r="J1037" s="86" t="s">
        <v>51</v>
      </c>
      <c r="K1037" s="86" t="s">
        <v>445</v>
      </c>
      <c r="L1037" s="86" t="s">
        <v>53</v>
      </c>
      <c r="M1037" s="58" t="s">
        <v>54</v>
      </c>
    </row>
    <row r="1038" spans="1:13" x14ac:dyDescent="0.35">
      <c r="A1038" s="123">
        <v>46042</v>
      </c>
      <c r="B1038" s="39">
        <v>57.79</v>
      </c>
      <c r="C1038" s="39">
        <v>5</v>
      </c>
      <c r="D1038" s="39">
        <v>22601019</v>
      </c>
      <c r="E1038" s="39" t="s">
        <v>116</v>
      </c>
      <c r="F1038" s="39" t="s">
        <v>58</v>
      </c>
      <c r="G1038" s="35">
        <v>0.64444444444444449</v>
      </c>
      <c r="H1038" s="35">
        <v>0.66527777777777775</v>
      </c>
      <c r="I1038" s="36">
        <v>30</v>
      </c>
      <c r="J1038" s="86" t="s">
        <v>51</v>
      </c>
      <c r="K1038" s="86" t="s">
        <v>445</v>
      </c>
      <c r="L1038" s="86" t="s">
        <v>53</v>
      </c>
      <c r="M1038" s="58" t="s">
        <v>54</v>
      </c>
    </row>
    <row r="1039" spans="1:13" x14ac:dyDescent="0.35">
      <c r="A1039" s="123">
        <v>46042</v>
      </c>
      <c r="B1039" s="39">
        <v>57.79</v>
      </c>
      <c r="C1039" s="39">
        <v>5</v>
      </c>
      <c r="D1039" s="39">
        <v>22601019</v>
      </c>
      <c r="E1039" s="39" t="s">
        <v>116</v>
      </c>
      <c r="F1039" s="39" t="s">
        <v>58</v>
      </c>
      <c r="G1039" s="35">
        <v>0.66527777777777775</v>
      </c>
      <c r="H1039" s="35">
        <v>0.67569444444444449</v>
      </c>
      <c r="I1039" s="36">
        <v>15</v>
      </c>
      <c r="J1039" s="86" t="s">
        <v>52</v>
      </c>
      <c r="K1039" s="86" t="s">
        <v>445</v>
      </c>
      <c r="L1039" s="86" t="s">
        <v>59</v>
      </c>
      <c r="M1039" s="58" t="s">
        <v>59</v>
      </c>
    </row>
    <row r="1040" spans="1:13" x14ac:dyDescent="0.35">
      <c r="A1040" s="122">
        <v>46043</v>
      </c>
      <c r="B1040" s="45">
        <v>57.4</v>
      </c>
      <c r="C1040" s="45">
        <v>5.32</v>
      </c>
      <c r="D1040" s="45">
        <v>22601020</v>
      </c>
      <c r="E1040" s="45" t="s">
        <v>202</v>
      </c>
      <c r="F1040" s="45">
        <v>1250</v>
      </c>
      <c r="G1040" s="35">
        <v>0.75069444444444444</v>
      </c>
      <c r="H1040" s="35">
        <v>0.78819444444444442</v>
      </c>
      <c r="I1040" s="36">
        <v>54</v>
      </c>
      <c r="J1040" s="86" t="s">
        <v>463</v>
      </c>
      <c r="K1040" s="86" t="s">
        <v>445</v>
      </c>
      <c r="L1040" s="58" t="s">
        <v>1041</v>
      </c>
      <c r="M1040" s="58" t="s">
        <v>1041</v>
      </c>
    </row>
    <row r="1041" spans="1:13" x14ac:dyDescent="0.35">
      <c r="A1041" s="122">
        <v>46044</v>
      </c>
      <c r="B1041" s="45">
        <v>58</v>
      </c>
      <c r="C1041" s="45">
        <v>5.21</v>
      </c>
      <c r="D1041" s="45">
        <v>22601021</v>
      </c>
      <c r="E1041" s="45" t="s">
        <v>93</v>
      </c>
      <c r="F1041" s="45">
        <v>1250</v>
      </c>
      <c r="G1041" s="81">
        <v>0.91666666666666663</v>
      </c>
      <c r="H1041" s="81">
        <v>0.91666666666666663</v>
      </c>
      <c r="I1041" s="84">
        <v>0</v>
      </c>
      <c r="M1041" s="162" t="s">
        <v>1042</v>
      </c>
    </row>
    <row r="1042" spans="1:13" x14ac:dyDescent="0.35">
      <c r="A1042" s="123">
        <v>46045</v>
      </c>
      <c r="B1042" s="45">
        <v>58</v>
      </c>
      <c r="C1042" s="45">
        <v>5.21</v>
      </c>
      <c r="D1042" s="39">
        <v>22601021</v>
      </c>
      <c r="E1042" s="39" t="s">
        <v>80</v>
      </c>
      <c r="F1042" s="39">
        <v>1250</v>
      </c>
      <c r="G1042" s="35">
        <v>2.7777777777777776E-2</v>
      </c>
      <c r="H1042" s="35">
        <v>4.8611111111111112E-2</v>
      </c>
      <c r="I1042" s="36">
        <v>30</v>
      </c>
      <c r="J1042" s="86" t="s">
        <v>51</v>
      </c>
      <c r="K1042" s="86" t="s">
        <v>445</v>
      </c>
      <c r="L1042" s="86" t="s">
        <v>53</v>
      </c>
      <c r="M1042" s="58" t="s">
        <v>54</v>
      </c>
    </row>
    <row r="1043" spans="1:13" x14ac:dyDescent="0.35">
      <c r="A1043" s="123">
        <v>46045</v>
      </c>
      <c r="B1043" s="45">
        <v>58</v>
      </c>
      <c r="C1043" s="45">
        <v>5.39</v>
      </c>
      <c r="D1043" s="39">
        <v>22601021</v>
      </c>
      <c r="E1043" s="39" t="s">
        <v>80</v>
      </c>
      <c r="F1043" s="39">
        <v>1250</v>
      </c>
      <c r="G1043" s="35">
        <v>4.8611111111111112E-2</v>
      </c>
      <c r="H1043" s="35">
        <v>5.9027777777777776E-2</v>
      </c>
      <c r="I1043" s="36">
        <v>15</v>
      </c>
      <c r="J1043" s="86" t="s">
        <v>52</v>
      </c>
      <c r="K1043" s="86" t="s">
        <v>445</v>
      </c>
      <c r="L1043" s="86" t="s">
        <v>59</v>
      </c>
      <c r="M1043" s="58" t="s">
        <v>59</v>
      </c>
    </row>
    <row r="1044" spans="1:13" x14ac:dyDescent="0.35">
      <c r="A1044" s="123">
        <v>46046</v>
      </c>
      <c r="B1044" s="39">
        <v>58</v>
      </c>
      <c r="C1044" s="39">
        <v>5.35</v>
      </c>
      <c r="D1044" s="46">
        <v>22601022</v>
      </c>
      <c r="E1044" s="45" t="s">
        <v>496</v>
      </c>
      <c r="F1044" s="45">
        <v>1260</v>
      </c>
      <c r="G1044" s="35">
        <v>0.4</v>
      </c>
      <c r="H1044" s="35">
        <v>0.41458333333333336</v>
      </c>
      <c r="I1044" s="36">
        <v>21</v>
      </c>
      <c r="J1044" s="86" t="s">
        <v>51</v>
      </c>
      <c r="K1044" s="86" t="s">
        <v>445</v>
      </c>
      <c r="L1044" s="86" t="s">
        <v>53</v>
      </c>
      <c r="M1044" s="58" t="s">
        <v>54</v>
      </c>
    </row>
    <row r="1045" spans="1:13" x14ac:dyDescent="0.35">
      <c r="A1045" s="123">
        <v>46046</v>
      </c>
      <c r="B1045" s="39">
        <v>58</v>
      </c>
      <c r="C1045" s="39">
        <v>5.35</v>
      </c>
      <c r="D1045" s="39">
        <v>22601023</v>
      </c>
      <c r="E1045" s="39" t="s">
        <v>285</v>
      </c>
      <c r="F1045" s="39">
        <v>1250</v>
      </c>
      <c r="G1045" s="35">
        <v>0.60555555555555551</v>
      </c>
      <c r="H1045" s="35">
        <v>0.65416666666666667</v>
      </c>
      <c r="I1045" s="36">
        <v>70</v>
      </c>
      <c r="J1045" s="86" t="s">
        <v>35</v>
      </c>
      <c r="K1045" s="86" t="s">
        <v>62</v>
      </c>
      <c r="L1045" s="86" t="s">
        <v>908</v>
      </c>
      <c r="M1045" s="62" t="s">
        <v>1044</v>
      </c>
    </row>
    <row r="1046" spans="1:13" x14ac:dyDescent="0.35">
      <c r="A1046" s="123">
        <v>46046</v>
      </c>
      <c r="B1046" s="39">
        <v>58</v>
      </c>
      <c r="C1046" s="39">
        <v>5.35</v>
      </c>
      <c r="D1046" s="39">
        <v>22601023</v>
      </c>
      <c r="E1046" s="39" t="s">
        <v>285</v>
      </c>
      <c r="F1046" s="39">
        <v>1250</v>
      </c>
      <c r="G1046" s="35">
        <v>0.65416666666666667</v>
      </c>
      <c r="H1046" s="35">
        <v>0.66805555555555551</v>
      </c>
      <c r="I1046" s="36">
        <v>20</v>
      </c>
      <c r="J1046" s="86" t="s">
        <v>446</v>
      </c>
      <c r="K1046" s="86" t="s">
        <v>62</v>
      </c>
      <c r="L1046" s="58" t="s">
        <v>1045</v>
      </c>
      <c r="M1046" s="58" t="s">
        <v>1045</v>
      </c>
    </row>
    <row r="1047" spans="1:13" x14ac:dyDescent="0.35">
      <c r="A1047" s="123">
        <v>46047</v>
      </c>
      <c r="B1047" s="45">
        <v>58</v>
      </c>
      <c r="C1047" s="45">
        <v>5.03</v>
      </c>
      <c r="D1047" s="39">
        <v>22601024</v>
      </c>
      <c r="E1047" s="39" t="s">
        <v>66</v>
      </c>
      <c r="F1047" s="39">
        <v>1250</v>
      </c>
      <c r="G1047" s="35">
        <v>0.75277777777777777</v>
      </c>
      <c r="H1047" s="35">
        <v>0.77361111111111114</v>
      </c>
      <c r="I1047" s="36">
        <v>30</v>
      </c>
      <c r="J1047" s="86" t="s">
        <v>51</v>
      </c>
      <c r="K1047" s="86" t="s">
        <v>445</v>
      </c>
      <c r="L1047" s="86" t="s">
        <v>53</v>
      </c>
      <c r="M1047" s="58" t="s">
        <v>54</v>
      </c>
    </row>
    <row r="1048" spans="1:13" x14ac:dyDescent="0.35">
      <c r="A1048" s="123">
        <v>46047</v>
      </c>
      <c r="B1048" s="45">
        <v>58</v>
      </c>
      <c r="C1048" s="45">
        <v>5.36</v>
      </c>
      <c r="D1048" s="39">
        <v>22601024</v>
      </c>
      <c r="E1048" s="39" t="s">
        <v>66</v>
      </c>
      <c r="F1048" s="39">
        <v>1250</v>
      </c>
      <c r="G1048" s="35">
        <v>0.77361111111111114</v>
      </c>
      <c r="H1048" s="35">
        <v>0.79236111111111107</v>
      </c>
      <c r="I1048" s="36">
        <v>27</v>
      </c>
      <c r="J1048" s="86" t="s">
        <v>52</v>
      </c>
      <c r="K1048" s="116" t="s">
        <v>445</v>
      </c>
      <c r="L1048" s="86" t="s">
        <v>178</v>
      </c>
      <c r="M1048" s="58" t="s">
        <v>1037</v>
      </c>
    </row>
    <row r="1049" spans="1:13" x14ac:dyDescent="0.35">
      <c r="A1049" s="122">
        <v>46049</v>
      </c>
      <c r="B1049" s="45">
        <v>58</v>
      </c>
      <c r="C1049" s="45">
        <v>5.47</v>
      </c>
      <c r="D1049" s="46">
        <v>22601025</v>
      </c>
      <c r="E1049" s="45" t="s">
        <v>501</v>
      </c>
      <c r="F1049" s="45" t="s">
        <v>387</v>
      </c>
      <c r="G1049" s="35">
        <v>0.1388888888888889</v>
      </c>
      <c r="H1049" s="35">
        <v>0.15972222222222221</v>
      </c>
      <c r="I1049" s="36">
        <v>30</v>
      </c>
      <c r="J1049" s="86" t="s">
        <v>51</v>
      </c>
      <c r="K1049" s="86" t="s">
        <v>445</v>
      </c>
      <c r="L1049" s="86" t="s">
        <v>53</v>
      </c>
      <c r="M1049" s="58" t="s">
        <v>54</v>
      </c>
    </row>
    <row r="1050" spans="1:13" x14ac:dyDescent="0.35">
      <c r="A1050" s="122">
        <v>46050</v>
      </c>
      <c r="B1050" s="45">
        <v>58</v>
      </c>
      <c r="C1050" s="45">
        <v>5.1100000000000003</v>
      </c>
      <c r="D1050" s="45">
        <v>22601026</v>
      </c>
      <c r="E1050" s="45" t="s">
        <v>496</v>
      </c>
      <c r="F1050" s="45">
        <v>1270</v>
      </c>
      <c r="G1050" s="35">
        <v>0.50277777777777777</v>
      </c>
      <c r="H1050" s="35">
        <v>0.52152777777777781</v>
      </c>
      <c r="I1050" s="36">
        <v>27</v>
      </c>
      <c r="J1050" s="86" t="s">
        <v>51</v>
      </c>
      <c r="K1050" s="86" t="s">
        <v>445</v>
      </c>
      <c r="L1050" s="86" t="s">
        <v>53</v>
      </c>
      <c r="M1050" s="163" t="s">
        <v>1047</v>
      </c>
    </row>
    <row r="1051" spans="1:13" x14ac:dyDescent="0.35">
      <c r="A1051" s="123">
        <v>46051</v>
      </c>
      <c r="B1051" s="39">
        <v>57.85</v>
      </c>
      <c r="C1051" s="39">
        <v>5.0999999999999996</v>
      </c>
      <c r="D1051" s="39">
        <v>22601027</v>
      </c>
      <c r="E1051" s="39" t="s">
        <v>93</v>
      </c>
      <c r="F1051" s="39" t="s">
        <v>387</v>
      </c>
      <c r="G1051" s="35">
        <v>0.68611111111111112</v>
      </c>
      <c r="H1051" s="35">
        <v>0.70694444444444449</v>
      </c>
      <c r="I1051" s="36">
        <v>30</v>
      </c>
      <c r="J1051" s="86" t="s">
        <v>51</v>
      </c>
      <c r="K1051" s="86" t="s">
        <v>445</v>
      </c>
      <c r="L1051" s="86" t="s">
        <v>53</v>
      </c>
      <c r="M1051" s="58" t="s">
        <v>54</v>
      </c>
    </row>
    <row r="1052" spans="1:13" x14ac:dyDescent="0.35">
      <c r="A1052" s="123">
        <v>46051</v>
      </c>
      <c r="B1052" s="39">
        <v>57.85</v>
      </c>
      <c r="C1052" s="39">
        <v>5.0999999999999996</v>
      </c>
      <c r="D1052" s="39">
        <v>22601027</v>
      </c>
      <c r="E1052" s="39" t="s">
        <v>93</v>
      </c>
      <c r="F1052" s="39" t="s">
        <v>387</v>
      </c>
      <c r="G1052" s="35">
        <v>0.70694444444444449</v>
      </c>
      <c r="H1052" s="35">
        <v>0.71736111111111112</v>
      </c>
      <c r="I1052" s="36">
        <v>15</v>
      </c>
      <c r="J1052" s="86" t="s">
        <v>52</v>
      </c>
      <c r="K1052" s="86" t="s">
        <v>445</v>
      </c>
      <c r="L1052" s="86" t="s">
        <v>59</v>
      </c>
      <c r="M1052" s="58" t="s">
        <v>59</v>
      </c>
    </row>
    <row r="1053" spans="1:13" x14ac:dyDescent="0.35">
      <c r="A1053" s="122">
        <v>46052</v>
      </c>
      <c r="B1053" s="45">
        <v>57.32</v>
      </c>
      <c r="C1053" s="45">
        <v>4.96</v>
      </c>
      <c r="D1053" s="46">
        <v>22601028</v>
      </c>
      <c r="E1053" s="45" t="s">
        <v>167</v>
      </c>
      <c r="F1053" s="45">
        <v>1255</v>
      </c>
      <c r="G1053" s="35">
        <v>0.52847222222222223</v>
      </c>
      <c r="H1053" s="35">
        <v>0.55763888888888891</v>
      </c>
      <c r="I1053" s="36">
        <v>42</v>
      </c>
      <c r="J1053" s="86" t="s">
        <v>463</v>
      </c>
      <c r="K1053" s="116" t="s">
        <v>445</v>
      </c>
      <c r="L1053" s="86"/>
      <c r="M1053" s="58" t="s">
        <v>1048</v>
      </c>
    </row>
    <row r="1054" spans="1:13" x14ac:dyDescent="0.35">
      <c r="A1054" s="122">
        <v>46053</v>
      </c>
      <c r="B1054" s="45">
        <v>58</v>
      </c>
      <c r="C1054" s="45">
        <v>5.32</v>
      </c>
      <c r="D1054" s="46">
        <v>22601029</v>
      </c>
      <c r="E1054" s="45" t="s">
        <v>57</v>
      </c>
      <c r="F1054" s="45">
        <v>1250</v>
      </c>
      <c r="G1054" s="35">
        <v>0.79652777777777772</v>
      </c>
      <c r="H1054" s="35">
        <v>0.80972222222222223</v>
      </c>
      <c r="I1054" s="36">
        <v>19</v>
      </c>
      <c r="J1054" s="86" t="s">
        <v>51</v>
      </c>
      <c r="K1054" s="86" t="s">
        <v>445</v>
      </c>
      <c r="L1054" s="86" t="s">
        <v>53</v>
      </c>
      <c r="M1054" s="58" t="s">
        <v>54</v>
      </c>
    </row>
    <row r="1055" spans="1:13" x14ac:dyDescent="0.35">
      <c r="A1055" s="123">
        <v>46055</v>
      </c>
      <c r="B1055" s="39">
        <v>57.11</v>
      </c>
      <c r="C1055" s="39">
        <v>5.33</v>
      </c>
      <c r="D1055" s="39">
        <v>22601030</v>
      </c>
      <c r="E1055" s="39" t="s">
        <v>116</v>
      </c>
      <c r="F1055" s="39" t="s">
        <v>458</v>
      </c>
      <c r="G1055" s="35">
        <v>5.2777777777777778E-2</v>
      </c>
      <c r="H1055" s="35">
        <v>7.3611111111111113E-2</v>
      </c>
      <c r="I1055" s="36">
        <v>30</v>
      </c>
      <c r="J1055" s="164" t="s">
        <v>51</v>
      </c>
      <c r="K1055" s="164" t="s">
        <v>445</v>
      </c>
      <c r="L1055" s="164" t="s">
        <v>53</v>
      </c>
      <c r="M1055" s="47" t="s">
        <v>54</v>
      </c>
    </row>
    <row r="1056" spans="1:13" x14ac:dyDescent="0.35">
      <c r="A1056" s="123">
        <v>46055</v>
      </c>
      <c r="B1056" s="39">
        <v>57.11</v>
      </c>
      <c r="C1056" s="39">
        <v>5.33</v>
      </c>
      <c r="D1056" s="39">
        <v>22601030</v>
      </c>
      <c r="E1056" s="39" t="s">
        <v>116</v>
      </c>
      <c r="F1056" s="39" t="s">
        <v>458</v>
      </c>
      <c r="G1056" s="35">
        <v>7.3611111111111113E-2</v>
      </c>
      <c r="H1056" s="35">
        <v>8.2638888888888887E-2</v>
      </c>
      <c r="I1056" s="36">
        <v>13</v>
      </c>
      <c r="J1056" s="86" t="s">
        <v>52</v>
      </c>
      <c r="K1056" s="116" t="s">
        <v>445</v>
      </c>
      <c r="L1056" s="86" t="s">
        <v>178</v>
      </c>
      <c r="M1056" s="47" t="s">
        <v>1050</v>
      </c>
    </row>
    <row r="1057" spans="1:13" x14ac:dyDescent="0.35">
      <c r="A1057" s="123">
        <v>46055</v>
      </c>
      <c r="B1057" s="39">
        <v>57.11</v>
      </c>
      <c r="C1057" s="39">
        <v>5.33</v>
      </c>
      <c r="D1057" s="39">
        <v>22601030</v>
      </c>
      <c r="E1057" s="39" t="s">
        <v>116</v>
      </c>
      <c r="F1057" s="39" t="s">
        <v>458</v>
      </c>
      <c r="G1057" s="35">
        <v>8.2638888888888887E-2</v>
      </c>
      <c r="H1057" s="35">
        <v>8.819444444444445E-2</v>
      </c>
      <c r="I1057" s="36">
        <v>8</v>
      </c>
      <c r="J1057" s="86" t="s">
        <v>52</v>
      </c>
      <c r="K1057" s="116" t="s">
        <v>62</v>
      </c>
      <c r="L1057" s="86" t="s">
        <v>130</v>
      </c>
      <c r="M1057" s="47" t="s">
        <v>131</v>
      </c>
    </row>
    <row r="1058" spans="1:13" x14ac:dyDescent="0.35">
      <c r="A1058" s="123">
        <v>46056</v>
      </c>
      <c r="B1058" s="39">
        <v>58</v>
      </c>
      <c r="C1058" s="39">
        <v>4.92</v>
      </c>
      <c r="D1058" s="46">
        <v>22602001</v>
      </c>
      <c r="E1058" s="45" t="s">
        <v>159</v>
      </c>
      <c r="F1058" s="45" t="s">
        <v>1028</v>
      </c>
      <c r="G1058" s="35">
        <v>0.3263888888888889</v>
      </c>
      <c r="H1058" s="35">
        <v>0.34305555555555556</v>
      </c>
      <c r="I1058" s="36">
        <v>24</v>
      </c>
      <c r="J1058" s="164" t="s">
        <v>51</v>
      </c>
      <c r="K1058" s="164" t="s">
        <v>445</v>
      </c>
      <c r="L1058" s="164" t="s">
        <v>53</v>
      </c>
      <c r="M1058" s="58" t="s">
        <v>54</v>
      </c>
    </row>
    <row r="1059" spans="1:13" x14ac:dyDescent="0.35">
      <c r="A1059" s="123">
        <v>46056</v>
      </c>
      <c r="B1059" s="39">
        <v>58</v>
      </c>
      <c r="C1059" s="39">
        <v>4.92</v>
      </c>
      <c r="D1059" s="46">
        <v>22602002</v>
      </c>
      <c r="E1059" s="45" t="s">
        <v>38</v>
      </c>
      <c r="F1059" s="45">
        <v>1260</v>
      </c>
      <c r="G1059" s="35">
        <v>0.60555555555555551</v>
      </c>
      <c r="H1059" s="35">
        <v>0.68472222222222223</v>
      </c>
      <c r="I1059" s="36">
        <v>114</v>
      </c>
      <c r="J1059" s="86" t="s">
        <v>463</v>
      </c>
      <c r="K1059" s="116" t="s">
        <v>26</v>
      </c>
      <c r="L1059" s="58" t="s">
        <v>1052</v>
      </c>
      <c r="M1059" s="58" t="s">
        <v>1052</v>
      </c>
    </row>
    <row r="1060" spans="1:13" x14ac:dyDescent="0.35">
      <c r="A1060" s="122">
        <v>46057</v>
      </c>
      <c r="B1060" s="45">
        <v>58</v>
      </c>
      <c r="C1060" s="45">
        <v>5.27</v>
      </c>
      <c r="D1060" s="45">
        <v>22602003</v>
      </c>
      <c r="E1060" s="45" t="s">
        <v>119</v>
      </c>
      <c r="F1060" s="45">
        <v>1260</v>
      </c>
      <c r="G1060" s="35">
        <v>0.91666666666666663</v>
      </c>
      <c r="H1060" s="81">
        <v>0.91666666666666663</v>
      </c>
      <c r="I1060" s="84">
        <v>0</v>
      </c>
      <c r="M1060" s="58" t="s">
        <v>656</v>
      </c>
    </row>
    <row r="1061" spans="1:13" x14ac:dyDescent="0.35">
      <c r="A1061" s="123">
        <v>46058</v>
      </c>
      <c r="B1061" s="45">
        <v>58</v>
      </c>
      <c r="C1061" s="45">
        <v>5.27</v>
      </c>
      <c r="D1061" s="39">
        <v>22602003</v>
      </c>
      <c r="E1061" s="39" t="s">
        <v>119</v>
      </c>
      <c r="F1061" s="39" t="s">
        <v>494</v>
      </c>
      <c r="G1061" s="35">
        <v>0.92083333333333328</v>
      </c>
      <c r="H1061" s="35">
        <v>0.94166666666666665</v>
      </c>
      <c r="I1061" s="36">
        <v>30</v>
      </c>
      <c r="J1061" s="164" t="s">
        <v>51</v>
      </c>
      <c r="K1061" s="164" t="s">
        <v>445</v>
      </c>
      <c r="L1061" s="164" t="s">
        <v>53</v>
      </c>
      <c r="M1061" s="58" t="s">
        <v>54</v>
      </c>
    </row>
    <row r="1062" spans="1:13" x14ac:dyDescent="0.35">
      <c r="A1062" s="123">
        <v>46058</v>
      </c>
      <c r="B1062" s="39">
        <v>58</v>
      </c>
      <c r="C1062" s="39">
        <v>5.38</v>
      </c>
      <c r="D1062" s="39">
        <v>22602003</v>
      </c>
      <c r="E1062" s="39" t="s">
        <v>119</v>
      </c>
      <c r="F1062" s="39" t="s">
        <v>494</v>
      </c>
      <c r="G1062" s="35">
        <v>0.94166666666666665</v>
      </c>
      <c r="H1062" s="35">
        <v>0.95</v>
      </c>
      <c r="I1062" s="36">
        <v>12</v>
      </c>
      <c r="J1062" s="86" t="s">
        <v>52</v>
      </c>
      <c r="K1062" s="116" t="s">
        <v>445</v>
      </c>
      <c r="L1062" s="86" t="s">
        <v>59</v>
      </c>
      <c r="M1062" s="58" t="s">
        <v>59</v>
      </c>
    </row>
    <row r="1063" spans="1:13" x14ac:dyDescent="0.35">
      <c r="A1063" s="123">
        <v>46058</v>
      </c>
      <c r="B1063" s="39">
        <v>58</v>
      </c>
      <c r="C1063" s="39">
        <v>5.38</v>
      </c>
      <c r="D1063" s="46">
        <v>22602004</v>
      </c>
      <c r="E1063" s="45" t="s">
        <v>111</v>
      </c>
      <c r="F1063" s="45">
        <v>1230</v>
      </c>
      <c r="G1063" s="35">
        <v>0.56597222222222221</v>
      </c>
      <c r="H1063" s="35">
        <v>0.60902777777777772</v>
      </c>
      <c r="I1063" s="36">
        <v>62</v>
      </c>
      <c r="J1063" s="86" t="s">
        <v>35</v>
      </c>
      <c r="K1063" s="116" t="s">
        <v>62</v>
      </c>
      <c r="L1063" s="86" t="s">
        <v>1053</v>
      </c>
      <c r="M1063" s="62" t="s">
        <v>1054</v>
      </c>
    </row>
    <row r="1064" spans="1:13" x14ac:dyDescent="0.35">
      <c r="A1064" s="123">
        <v>46059</v>
      </c>
      <c r="B1064" s="39">
        <v>58</v>
      </c>
      <c r="C1064" s="39">
        <v>5.12</v>
      </c>
      <c r="D1064" s="39">
        <v>22602005</v>
      </c>
      <c r="E1064" s="39" t="s">
        <v>116</v>
      </c>
      <c r="F1064" s="39" t="s">
        <v>972</v>
      </c>
      <c r="G1064" s="35">
        <v>0.79305555555555551</v>
      </c>
      <c r="H1064" s="35">
        <v>0.81388888888888888</v>
      </c>
      <c r="I1064" s="36">
        <v>30</v>
      </c>
      <c r="J1064" s="164" t="s">
        <v>51</v>
      </c>
      <c r="K1064" s="164" t="s">
        <v>445</v>
      </c>
      <c r="L1064" s="164" t="s">
        <v>53</v>
      </c>
      <c r="M1064" s="58" t="s">
        <v>54</v>
      </c>
    </row>
    <row r="1065" spans="1:13" x14ac:dyDescent="0.35">
      <c r="A1065" s="123">
        <v>46059</v>
      </c>
      <c r="B1065" s="39">
        <v>58</v>
      </c>
      <c r="C1065" s="39">
        <v>5.12</v>
      </c>
      <c r="D1065" s="39">
        <v>22602005</v>
      </c>
      <c r="E1065" s="39" t="s">
        <v>116</v>
      </c>
      <c r="F1065" s="39" t="s">
        <v>972</v>
      </c>
      <c r="G1065" s="35">
        <v>0.81388888888888888</v>
      </c>
      <c r="H1065" s="35">
        <v>0.81874999999999998</v>
      </c>
      <c r="I1065" s="36">
        <v>7</v>
      </c>
      <c r="J1065" s="86" t="s">
        <v>52</v>
      </c>
      <c r="K1065" s="116" t="s">
        <v>445</v>
      </c>
      <c r="L1065" s="86" t="s">
        <v>59</v>
      </c>
      <c r="M1065" s="58" t="s">
        <v>59</v>
      </c>
    </row>
    <row r="1066" spans="1:13" x14ac:dyDescent="0.35">
      <c r="A1066" s="123">
        <v>46059</v>
      </c>
      <c r="B1066" s="39">
        <v>58</v>
      </c>
      <c r="C1066" s="39">
        <v>5.12</v>
      </c>
      <c r="D1066" s="39">
        <v>22602005</v>
      </c>
      <c r="E1066" s="39" t="s">
        <v>116</v>
      </c>
      <c r="F1066" s="39" t="s">
        <v>972</v>
      </c>
      <c r="G1066" s="35">
        <v>0.81874999999999998</v>
      </c>
      <c r="H1066" s="35">
        <v>0.82430555555555551</v>
      </c>
      <c r="I1066" s="36">
        <v>8</v>
      </c>
      <c r="J1066" s="86" t="s">
        <v>52</v>
      </c>
      <c r="K1066" s="116" t="s">
        <v>62</v>
      </c>
      <c r="L1066" s="86" t="s">
        <v>130</v>
      </c>
      <c r="M1066" s="58" t="s">
        <v>250</v>
      </c>
    </row>
    <row r="1067" spans="1:13" x14ac:dyDescent="0.35">
      <c r="A1067" s="122">
        <v>46060</v>
      </c>
      <c r="B1067" s="45">
        <v>58</v>
      </c>
      <c r="C1067" s="45">
        <v>5.32</v>
      </c>
      <c r="D1067" s="46">
        <v>22602006</v>
      </c>
      <c r="E1067" s="45" t="s">
        <v>175</v>
      </c>
      <c r="F1067" s="45">
        <v>1260</v>
      </c>
      <c r="G1067" s="35">
        <v>0.95138888888888884</v>
      </c>
      <c r="H1067" s="35">
        <v>0.32291666666666669</v>
      </c>
      <c r="I1067" s="36">
        <v>535</v>
      </c>
      <c r="J1067" s="86" t="s">
        <v>35</v>
      </c>
      <c r="K1067" s="116" t="s">
        <v>62</v>
      </c>
      <c r="L1067" s="86" t="s">
        <v>1055</v>
      </c>
      <c r="M1067" s="49" t="s">
        <v>1056</v>
      </c>
    </row>
    <row r="1068" spans="1:13" x14ac:dyDescent="0.35">
      <c r="A1068" s="123">
        <v>46061</v>
      </c>
      <c r="B1068" s="39">
        <v>57</v>
      </c>
      <c r="C1068" s="39">
        <v>5.26</v>
      </c>
      <c r="D1068" s="45">
        <v>22602007</v>
      </c>
      <c r="E1068" s="45" t="s">
        <v>13</v>
      </c>
      <c r="F1068" s="45" t="s">
        <v>1057</v>
      </c>
      <c r="G1068" s="35">
        <v>0.26874999999999999</v>
      </c>
      <c r="H1068" s="35">
        <v>0.28888888888888886</v>
      </c>
      <c r="I1068" s="36">
        <v>29</v>
      </c>
      <c r="J1068" s="164" t="s">
        <v>51</v>
      </c>
      <c r="K1068" s="164" t="s">
        <v>445</v>
      </c>
      <c r="L1068" s="164" t="s">
        <v>53</v>
      </c>
      <c r="M1068" s="47" t="s">
        <v>54</v>
      </c>
    </row>
    <row r="1069" spans="1:13" x14ac:dyDescent="0.35">
      <c r="A1069" s="123">
        <v>46061</v>
      </c>
      <c r="B1069" s="39">
        <v>57</v>
      </c>
      <c r="C1069" s="39">
        <v>5.26</v>
      </c>
      <c r="D1069" s="39">
        <v>22602008</v>
      </c>
      <c r="E1069" s="39" t="s">
        <v>47</v>
      </c>
      <c r="F1069" s="39">
        <v>1350</v>
      </c>
      <c r="G1069" s="35">
        <v>0.28958333333333336</v>
      </c>
      <c r="H1069" s="35">
        <v>0.32291666666666669</v>
      </c>
      <c r="I1069" s="36">
        <v>48</v>
      </c>
      <c r="J1069" s="86" t="s">
        <v>52</v>
      </c>
      <c r="K1069" s="116" t="s">
        <v>445</v>
      </c>
      <c r="L1069" s="164" t="s">
        <v>22</v>
      </c>
      <c r="M1069" s="49" t="s">
        <v>1058</v>
      </c>
    </row>
    <row r="1070" spans="1:13" x14ac:dyDescent="0.35">
      <c r="A1070" s="123">
        <v>46061</v>
      </c>
      <c r="B1070" s="39">
        <v>57</v>
      </c>
      <c r="C1070" s="39">
        <v>5.26</v>
      </c>
      <c r="D1070" s="39">
        <v>22602008</v>
      </c>
      <c r="E1070" s="39" t="s">
        <v>47</v>
      </c>
      <c r="F1070" s="39">
        <v>1350</v>
      </c>
      <c r="G1070" s="35">
        <v>0.32291666666666669</v>
      </c>
      <c r="H1070" s="35">
        <v>0.35555555555555557</v>
      </c>
      <c r="I1070" s="36">
        <v>47</v>
      </c>
      <c r="J1070" s="86" t="s">
        <v>446</v>
      </c>
      <c r="K1070" s="116" t="s">
        <v>41</v>
      </c>
      <c r="L1070" s="47" t="s">
        <v>1059</v>
      </c>
      <c r="M1070" s="47" t="s">
        <v>1059</v>
      </c>
    </row>
    <row r="1071" spans="1:13" x14ac:dyDescent="0.35">
      <c r="A1071" s="123">
        <v>46062</v>
      </c>
      <c r="B1071" s="39">
        <v>56.9</v>
      </c>
      <c r="C1071" s="39">
        <v>5.4</v>
      </c>
      <c r="D1071" s="39">
        <v>22602009</v>
      </c>
      <c r="E1071" s="39" t="s">
        <v>501</v>
      </c>
      <c r="F1071" s="39">
        <v>1350</v>
      </c>
      <c r="G1071" s="35">
        <v>0.66111111111111109</v>
      </c>
      <c r="H1071" s="35">
        <v>0.68194444444444446</v>
      </c>
      <c r="I1071" s="36">
        <v>30</v>
      </c>
      <c r="J1071" s="164" t="s">
        <v>51</v>
      </c>
      <c r="K1071" s="164" t="s">
        <v>445</v>
      </c>
      <c r="L1071" s="164" t="s">
        <v>53</v>
      </c>
      <c r="M1071" s="58" t="s">
        <v>54</v>
      </c>
    </row>
    <row r="1072" spans="1:13" x14ac:dyDescent="0.35">
      <c r="A1072" s="123">
        <v>46062</v>
      </c>
      <c r="B1072" s="39">
        <v>56.9</v>
      </c>
      <c r="C1072" s="39">
        <v>5.4</v>
      </c>
      <c r="D1072" s="39">
        <v>22602009</v>
      </c>
      <c r="E1072" s="39" t="s">
        <v>501</v>
      </c>
      <c r="F1072" s="39">
        <v>1350</v>
      </c>
      <c r="G1072" s="35">
        <v>0.68194444444444446</v>
      </c>
      <c r="H1072" s="35">
        <v>0.68680555555555556</v>
      </c>
      <c r="I1072" s="36">
        <v>7</v>
      </c>
      <c r="J1072" s="86" t="s">
        <v>52</v>
      </c>
      <c r="K1072" s="116" t="s">
        <v>445</v>
      </c>
      <c r="L1072" s="86" t="s">
        <v>59</v>
      </c>
      <c r="M1072" s="58" t="s">
        <v>59</v>
      </c>
    </row>
    <row r="1073" spans="1:13" x14ac:dyDescent="0.35">
      <c r="A1073" s="123">
        <v>46062</v>
      </c>
      <c r="B1073" s="39">
        <v>56.9</v>
      </c>
      <c r="C1073" s="39">
        <v>5.4</v>
      </c>
      <c r="D1073" s="39">
        <v>22602009</v>
      </c>
      <c r="E1073" s="39" t="s">
        <v>501</v>
      </c>
      <c r="F1073" s="39">
        <v>1350</v>
      </c>
      <c r="G1073" s="35">
        <v>0.68680555555555556</v>
      </c>
      <c r="H1073" s="35">
        <v>0.69236111111111109</v>
      </c>
      <c r="I1073" s="36">
        <v>8</v>
      </c>
      <c r="J1073" s="86" t="s">
        <v>52</v>
      </c>
      <c r="K1073" s="116" t="s">
        <v>62</v>
      </c>
      <c r="L1073" s="86" t="s">
        <v>130</v>
      </c>
      <c r="M1073" s="58" t="s">
        <v>250</v>
      </c>
    </row>
    <row r="1074" spans="1:13" x14ac:dyDescent="0.35">
      <c r="A1074" s="123">
        <v>46062</v>
      </c>
      <c r="B1074" s="39">
        <v>56.9</v>
      </c>
      <c r="C1074" s="39">
        <v>5.4</v>
      </c>
      <c r="D1074" s="39">
        <v>22602009</v>
      </c>
      <c r="E1074" s="39" t="s">
        <v>501</v>
      </c>
      <c r="F1074" s="39">
        <v>1350</v>
      </c>
      <c r="G1074" s="35">
        <v>0.69236111111111109</v>
      </c>
      <c r="H1074" s="35">
        <v>0.74791666666666667</v>
      </c>
      <c r="I1074" s="36">
        <v>80</v>
      </c>
      <c r="J1074" s="86" t="s">
        <v>52</v>
      </c>
      <c r="K1074" s="116" t="s">
        <v>41</v>
      </c>
      <c r="L1074" s="164" t="s">
        <v>124</v>
      </c>
      <c r="M1074" s="58" t="s">
        <v>1060</v>
      </c>
    </row>
    <row r="1075" spans="1:13" x14ac:dyDescent="0.35">
      <c r="A1075" s="123">
        <v>46064</v>
      </c>
      <c r="B1075" s="45">
        <v>57.75</v>
      </c>
      <c r="C1075" s="45">
        <v>5.34</v>
      </c>
      <c r="D1075" s="45">
        <v>22602010</v>
      </c>
      <c r="E1075" s="45" t="s">
        <v>80</v>
      </c>
      <c r="F1075" s="45">
        <v>1260</v>
      </c>
      <c r="G1075" s="35">
        <v>0.97083333333333333</v>
      </c>
      <c r="H1075" s="35">
        <v>0.99027777777777781</v>
      </c>
      <c r="I1075" s="36">
        <v>28</v>
      </c>
      <c r="J1075" s="164" t="s">
        <v>51</v>
      </c>
      <c r="K1075" s="164" t="s">
        <v>445</v>
      </c>
      <c r="L1075" s="164" t="s">
        <v>53</v>
      </c>
      <c r="M1075" s="47" t="s">
        <v>54</v>
      </c>
    </row>
    <row r="1076" spans="1:13" x14ac:dyDescent="0.35">
      <c r="A1076" s="123">
        <v>46064</v>
      </c>
      <c r="B1076" s="45">
        <v>57.97</v>
      </c>
      <c r="C1076" s="45">
        <v>5.05</v>
      </c>
      <c r="D1076" s="45">
        <v>22602011</v>
      </c>
      <c r="E1076" s="45" t="s">
        <v>24</v>
      </c>
      <c r="F1076" s="45">
        <v>1260</v>
      </c>
      <c r="G1076" s="35">
        <v>0.21736111111111112</v>
      </c>
      <c r="H1076" s="35">
        <v>0.26180555555555557</v>
      </c>
      <c r="I1076" s="36">
        <v>64</v>
      </c>
      <c r="J1076" s="86" t="s">
        <v>35</v>
      </c>
      <c r="K1076" s="116" t="s">
        <v>26</v>
      </c>
      <c r="L1076" s="86" t="s">
        <v>742</v>
      </c>
      <c r="M1076" s="49" t="s">
        <v>1061</v>
      </c>
    </row>
    <row r="1077" spans="1:13" x14ac:dyDescent="0.35">
      <c r="A1077" s="122">
        <v>46065</v>
      </c>
      <c r="B1077" s="45">
        <v>58</v>
      </c>
      <c r="C1077" s="45">
        <v>5.29</v>
      </c>
      <c r="D1077" s="45">
        <v>22602012</v>
      </c>
      <c r="E1077" s="45" t="s">
        <v>66</v>
      </c>
      <c r="F1077" s="45">
        <v>1260</v>
      </c>
      <c r="G1077" s="35">
        <v>0.29097222222222224</v>
      </c>
      <c r="H1077" s="35">
        <v>0.34375</v>
      </c>
      <c r="I1077" s="36">
        <v>76</v>
      </c>
      <c r="J1077" s="86" t="s">
        <v>25</v>
      </c>
      <c r="K1077" s="116" t="s">
        <v>445</v>
      </c>
      <c r="L1077" s="86" t="s">
        <v>492</v>
      </c>
      <c r="M1077" s="92" t="s">
        <v>209</v>
      </c>
    </row>
    <row r="1078" spans="1:13" x14ac:dyDescent="0.35">
      <c r="A1078" s="122">
        <v>46066</v>
      </c>
      <c r="B1078" s="45">
        <v>57.79</v>
      </c>
      <c r="C1078" s="45">
        <v>5.34</v>
      </c>
      <c r="D1078" s="45">
        <v>22602013</v>
      </c>
      <c r="E1078" s="45" t="s">
        <v>13</v>
      </c>
      <c r="F1078" s="45" t="s">
        <v>1063</v>
      </c>
      <c r="G1078" s="35">
        <v>0.24791666666666667</v>
      </c>
      <c r="H1078" s="35">
        <v>0.3611111111111111</v>
      </c>
      <c r="I1078" s="36">
        <v>163</v>
      </c>
      <c r="J1078" s="86" t="s">
        <v>35</v>
      </c>
      <c r="K1078" s="116" t="s">
        <v>445</v>
      </c>
      <c r="L1078" s="86" t="s">
        <v>555</v>
      </c>
      <c r="M1078" s="97" t="s">
        <v>40</v>
      </c>
    </row>
    <row r="1079" spans="1:13" x14ac:dyDescent="0.35">
      <c r="A1079" s="122">
        <v>46067</v>
      </c>
      <c r="B1079" s="45">
        <v>58</v>
      </c>
      <c r="C1079" s="45">
        <v>5.3</v>
      </c>
      <c r="D1079" s="46">
        <v>22602014</v>
      </c>
      <c r="E1079" s="45" t="s">
        <v>496</v>
      </c>
      <c r="F1079" s="45">
        <v>1255</v>
      </c>
      <c r="G1079" s="35">
        <v>0.70138888888888884</v>
      </c>
      <c r="H1079" s="35">
        <v>0.72222222222222221</v>
      </c>
      <c r="I1079" s="36">
        <v>30</v>
      </c>
      <c r="J1079" s="164" t="s">
        <v>51</v>
      </c>
      <c r="K1079" s="164" t="s">
        <v>445</v>
      </c>
      <c r="L1079" s="164" t="s">
        <v>53</v>
      </c>
      <c r="M1079" s="47" t="s">
        <v>54</v>
      </c>
    </row>
    <row r="1080" spans="1:13" x14ac:dyDescent="0.35">
      <c r="A1080" s="123">
        <v>46069</v>
      </c>
      <c r="B1080" s="45">
        <v>58</v>
      </c>
      <c r="C1080" s="45">
        <v>5.59</v>
      </c>
      <c r="D1080" s="39">
        <v>22602015</v>
      </c>
      <c r="E1080" s="39" t="s">
        <v>501</v>
      </c>
      <c r="F1080" s="39">
        <v>1240</v>
      </c>
      <c r="G1080" s="35">
        <v>5.8333333333333334E-2</v>
      </c>
      <c r="H1080" s="35">
        <v>7.9166666666666663E-2</v>
      </c>
      <c r="I1080" s="36">
        <v>30</v>
      </c>
      <c r="J1080" s="164" t="s">
        <v>51</v>
      </c>
      <c r="K1080" s="164" t="s">
        <v>445</v>
      </c>
      <c r="L1080" s="164" t="s">
        <v>53</v>
      </c>
      <c r="M1080" s="47" t="s">
        <v>54</v>
      </c>
    </row>
    <row r="1081" spans="1:13" x14ac:dyDescent="0.35">
      <c r="A1081" s="123">
        <v>46069</v>
      </c>
      <c r="B1081" s="39">
        <v>58</v>
      </c>
      <c r="C1081" s="39">
        <v>5.25</v>
      </c>
      <c r="D1081" s="39">
        <v>22602015</v>
      </c>
      <c r="E1081" s="39" t="s">
        <v>501</v>
      </c>
      <c r="F1081" s="39">
        <v>1240</v>
      </c>
      <c r="G1081" s="35">
        <v>7.9166666666666663E-2</v>
      </c>
      <c r="H1081" s="35">
        <v>8.4027777777777785E-2</v>
      </c>
      <c r="I1081" s="36">
        <v>7</v>
      </c>
      <c r="J1081" s="86" t="s">
        <v>52</v>
      </c>
      <c r="K1081" s="116" t="s">
        <v>445</v>
      </c>
      <c r="L1081" s="86" t="s">
        <v>59</v>
      </c>
      <c r="M1081" s="47" t="s">
        <v>59</v>
      </c>
    </row>
    <row r="1082" spans="1:13" x14ac:dyDescent="0.35">
      <c r="A1082" s="123">
        <v>46069</v>
      </c>
      <c r="B1082" s="39">
        <v>58</v>
      </c>
      <c r="C1082" s="39">
        <v>5.25</v>
      </c>
      <c r="D1082" s="39">
        <v>22602015</v>
      </c>
      <c r="E1082" s="39" t="s">
        <v>501</v>
      </c>
      <c r="F1082" s="39">
        <v>1240</v>
      </c>
      <c r="G1082" s="35">
        <v>8.4027777777777785E-2</v>
      </c>
      <c r="H1082" s="35">
        <v>8.9583333333333334E-2</v>
      </c>
      <c r="I1082" s="36">
        <v>8</v>
      </c>
      <c r="J1082" s="86" t="s">
        <v>52</v>
      </c>
      <c r="K1082" s="116" t="s">
        <v>62</v>
      </c>
      <c r="L1082" s="86" t="s">
        <v>130</v>
      </c>
      <c r="M1082" s="47" t="s">
        <v>131</v>
      </c>
    </row>
    <row r="1083" spans="1:13" x14ac:dyDescent="0.35">
      <c r="A1083" s="123">
        <v>46070</v>
      </c>
      <c r="B1083" s="45">
        <v>58</v>
      </c>
      <c r="C1083" s="45">
        <v>5.15</v>
      </c>
      <c r="D1083" s="46">
        <v>22602016</v>
      </c>
      <c r="E1083" s="45" t="s">
        <v>496</v>
      </c>
      <c r="F1083" s="45" t="s">
        <v>387</v>
      </c>
      <c r="G1083" s="35">
        <v>0.44236111111111109</v>
      </c>
      <c r="H1083" s="35">
        <v>0.46319444444444446</v>
      </c>
      <c r="I1083" s="36">
        <v>30</v>
      </c>
      <c r="J1083" s="164" t="s">
        <v>51</v>
      </c>
      <c r="K1083" s="164" t="s">
        <v>445</v>
      </c>
      <c r="L1083" s="164" t="s">
        <v>53</v>
      </c>
      <c r="M1083" s="58" t="s">
        <v>54</v>
      </c>
    </row>
    <row r="1084" spans="1:13" x14ac:dyDescent="0.35">
      <c r="A1084" s="123">
        <v>46071</v>
      </c>
      <c r="B1084" s="39">
        <v>58</v>
      </c>
      <c r="C1084" s="39">
        <v>5.01</v>
      </c>
      <c r="D1084" s="39">
        <v>22602017</v>
      </c>
      <c r="E1084" s="39" t="s">
        <v>98</v>
      </c>
      <c r="F1084" s="39">
        <v>1260</v>
      </c>
      <c r="G1084" s="35">
        <v>0.41875000000000001</v>
      </c>
      <c r="H1084" s="35">
        <v>0.53125</v>
      </c>
      <c r="I1084" s="36">
        <v>162</v>
      </c>
      <c r="J1084" s="86" t="s">
        <v>448</v>
      </c>
      <c r="K1084" s="116" t="s">
        <v>15</v>
      </c>
      <c r="L1084" s="86" t="s">
        <v>448</v>
      </c>
      <c r="M1084" s="58" t="s">
        <v>17</v>
      </c>
    </row>
    <row r="1085" spans="1:13" x14ac:dyDescent="0.35">
      <c r="A1085" s="123">
        <v>46071</v>
      </c>
      <c r="B1085" s="39">
        <v>58</v>
      </c>
      <c r="C1085" s="39">
        <v>5.01</v>
      </c>
      <c r="D1085" s="39">
        <v>22602017</v>
      </c>
      <c r="E1085" s="39" t="s">
        <v>98</v>
      </c>
      <c r="F1085" s="39">
        <v>1260</v>
      </c>
      <c r="G1085" s="35">
        <v>0.53125</v>
      </c>
      <c r="H1085" s="35">
        <v>0.55208333333333337</v>
      </c>
      <c r="I1085" s="36">
        <v>30</v>
      </c>
      <c r="J1085" s="86" t="s">
        <v>446</v>
      </c>
      <c r="K1085" s="116" t="s">
        <v>19</v>
      </c>
      <c r="L1085" s="58" t="s">
        <v>1065</v>
      </c>
      <c r="M1085" s="58" t="s">
        <v>1065</v>
      </c>
    </row>
    <row r="1086" spans="1:13" x14ac:dyDescent="0.35">
      <c r="A1086" s="123">
        <v>46071</v>
      </c>
      <c r="B1086" s="39">
        <v>58</v>
      </c>
      <c r="C1086" s="39">
        <v>5.01</v>
      </c>
      <c r="D1086" s="39">
        <v>22602017</v>
      </c>
      <c r="E1086" s="39" t="s">
        <v>98</v>
      </c>
      <c r="F1086" s="39">
        <v>1260</v>
      </c>
      <c r="G1086" s="35">
        <v>0.55208333333333337</v>
      </c>
      <c r="H1086" s="35">
        <v>0.58263888888888893</v>
      </c>
      <c r="I1086" s="36">
        <v>44</v>
      </c>
      <c r="J1086" s="86" t="s">
        <v>446</v>
      </c>
      <c r="K1086" s="116" t="s">
        <v>41</v>
      </c>
      <c r="L1086" s="58" t="s">
        <v>1065</v>
      </c>
      <c r="M1086" s="58" t="s">
        <v>1065</v>
      </c>
    </row>
    <row r="1087" spans="1:13" x14ac:dyDescent="0.35">
      <c r="A1087" s="123">
        <v>46071</v>
      </c>
      <c r="B1087" s="39">
        <v>58</v>
      </c>
      <c r="C1087" s="39">
        <v>5.01</v>
      </c>
      <c r="D1087" s="39">
        <v>22602017</v>
      </c>
      <c r="E1087" s="39" t="s">
        <v>98</v>
      </c>
      <c r="F1087" s="39">
        <v>1260</v>
      </c>
      <c r="G1087" s="35">
        <v>0.41875000000000001</v>
      </c>
      <c r="H1087" s="35">
        <v>0.53125</v>
      </c>
      <c r="I1087" s="36">
        <v>162</v>
      </c>
      <c r="J1087" s="86" t="s">
        <v>448</v>
      </c>
      <c r="K1087" s="116" t="s">
        <v>15</v>
      </c>
      <c r="L1087" s="86" t="s">
        <v>448</v>
      </c>
      <c r="M1087" s="58" t="s">
        <v>17</v>
      </c>
    </row>
    <row r="1088" spans="1:13" x14ac:dyDescent="0.35">
      <c r="A1088" s="123">
        <v>46071</v>
      </c>
      <c r="B1088" s="39">
        <v>58</v>
      </c>
      <c r="C1088" s="39">
        <v>5.01</v>
      </c>
      <c r="D1088" s="39">
        <v>22602017</v>
      </c>
      <c r="E1088" s="39" t="s">
        <v>98</v>
      </c>
      <c r="F1088" s="39">
        <v>1260</v>
      </c>
      <c r="G1088" s="35">
        <v>0.53125</v>
      </c>
      <c r="H1088" s="35">
        <v>0.55486111111111114</v>
      </c>
      <c r="I1088" s="36">
        <v>34</v>
      </c>
      <c r="J1088" s="86" t="s">
        <v>446</v>
      </c>
      <c r="K1088" s="116" t="s">
        <v>19</v>
      </c>
      <c r="L1088" s="58" t="s">
        <v>1066</v>
      </c>
      <c r="M1088" s="58" t="s">
        <v>1066</v>
      </c>
    </row>
    <row r="1089" spans="1:13" x14ac:dyDescent="0.35">
      <c r="A1089" s="123">
        <v>46071</v>
      </c>
      <c r="B1089" s="39">
        <v>58</v>
      </c>
      <c r="C1089" s="39">
        <v>5.01</v>
      </c>
      <c r="D1089" s="39">
        <v>22602017</v>
      </c>
      <c r="E1089" s="39" t="s">
        <v>98</v>
      </c>
      <c r="F1089" s="39">
        <v>1260</v>
      </c>
      <c r="G1089" s="35">
        <v>0.55486111111111114</v>
      </c>
      <c r="H1089" s="35">
        <v>0.5756944444444444</v>
      </c>
      <c r="I1089" s="36">
        <v>30</v>
      </c>
      <c r="J1089" s="86" t="s">
        <v>446</v>
      </c>
      <c r="K1089" s="116" t="s">
        <v>445</v>
      </c>
      <c r="L1089" s="58" t="s">
        <v>1067</v>
      </c>
      <c r="M1089" s="58" t="s">
        <v>1067</v>
      </c>
    </row>
    <row r="1090" spans="1:13" x14ac:dyDescent="0.35">
      <c r="A1090" s="123">
        <v>46071</v>
      </c>
      <c r="B1090" s="39">
        <v>58</v>
      </c>
      <c r="C1090" s="39">
        <v>5.01</v>
      </c>
      <c r="D1090" s="39">
        <v>22602017</v>
      </c>
      <c r="E1090" s="39" t="s">
        <v>98</v>
      </c>
      <c r="F1090" s="39">
        <v>1260</v>
      </c>
      <c r="G1090" s="35">
        <v>0.5756944444444444</v>
      </c>
      <c r="H1090" s="35">
        <v>0.58263888888888893</v>
      </c>
      <c r="I1090" s="36">
        <v>10</v>
      </c>
      <c r="J1090" s="86" t="s">
        <v>446</v>
      </c>
      <c r="K1090" s="116" t="s">
        <v>41</v>
      </c>
      <c r="L1090" s="58" t="s">
        <v>1065</v>
      </c>
      <c r="M1090" s="58" t="s">
        <v>1065</v>
      </c>
    </row>
    <row r="1091" spans="1:13" x14ac:dyDescent="0.35">
      <c r="A1091" s="123">
        <v>46072</v>
      </c>
      <c r="B1091" s="39">
        <v>58</v>
      </c>
      <c r="C1091" s="39">
        <v>4.95</v>
      </c>
      <c r="D1091" s="46">
        <v>22602018</v>
      </c>
      <c r="E1091" s="45" t="s">
        <v>114</v>
      </c>
      <c r="F1091" s="45">
        <v>1230</v>
      </c>
      <c r="G1091" s="35">
        <v>0.38541666666666669</v>
      </c>
      <c r="H1091" s="35">
        <v>0.44791666666666669</v>
      </c>
      <c r="I1091" s="36">
        <v>90</v>
      </c>
      <c r="J1091" s="86" t="s">
        <v>25</v>
      </c>
      <c r="K1091" s="116" t="s">
        <v>445</v>
      </c>
      <c r="L1091" s="86" t="s">
        <v>456</v>
      </c>
      <c r="M1091" s="92" t="s">
        <v>654</v>
      </c>
    </row>
    <row r="1092" spans="1:13" x14ac:dyDescent="0.35">
      <c r="A1092" s="123">
        <v>46072</v>
      </c>
      <c r="B1092" s="39">
        <v>58</v>
      </c>
      <c r="C1092" s="39">
        <v>4.95</v>
      </c>
      <c r="D1092" s="46">
        <v>22602019</v>
      </c>
      <c r="E1092" s="45" t="s">
        <v>311</v>
      </c>
      <c r="F1092" s="45">
        <v>1250</v>
      </c>
      <c r="G1092" s="35">
        <v>0.86944444444444446</v>
      </c>
      <c r="H1092" s="35">
        <v>0.91666666666666663</v>
      </c>
      <c r="I1092" s="36">
        <v>68</v>
      </c>
      <c r="J1092" s="86" t="s">
        <v>25</v>
      </c>
      <c r="K1092" s="116" t="s">
        <v>445</v>
      </c>
      <c r="L1092" s="86" t="s">
        <v>456</v>
      </c>
      <c r="M1092" s="92" t="s">
        <v>654</v>
      </c>
    </row>
    <row r="1093" spans="1:13" x14ac:dyDescent="0.35">
      <c r="A1093" s="123">
        <v>46073</v>
      </c>
      <c r="B1093" s="39">
        <v>58</v>
      </c>
      <c r="C1093" s="39">
        <v>5.22</v>
      </c>
      <c r="D1093" s="46">
        <v>22602019</v>
      </c>
      <c r="E1093" s="45" t="s">
        <v>311</v>
      </c>
      <c r="F1093" s="45">
        <v>1250</v>
      </c>
      <c r="G1093" s="35">
        <v>0.91666666666666663</v>
      </c>
      <c r="H1093" s="35">
        <v>0.93194444444444446</v>
      </c>
      <c r="I1093" s="36">
        <v>22</v>
      </c>
      <c r="J1093" s="86" t="s">
        <v>446</v>
      </c>
      <c r="K1093" s="116" t="s">
        <v>445</v>
      </c>
      <c r="L1093" s="58" t="s">
        <v>1068</v>
      </c>
      <c r="M1093" s="58" t="s">
        <v>1068</v>
      </c>
    </row>
    <row r="1094" spans="1:13" x14ac:dyDescent="0.35">
      <c r="A1094" s="123">
        <v>46073</v>
      </c>
      <c r="B1094" s="39">
        <v>58</v>
      </c>
      <c r="C1094" s="39">
        <v>5.22</v>
      </c>
      <c r="D1094" s="46">
        <v>22602019</v>
      </c>
      <c r="E1094" s="45" t="s">
        <v>311</v>
      </c>
      <c r="F1094" s="45">
        <v>1250</v>
      </c>
      <c r="G1094" s="35">
        <v>0.93194444444444446</v>
      </c>
      <c r="H1094" s="35">
        <v>0.94791666666666663</v>
      </c>
      <c r="I1094" s="36">
        <v>23</v>
      </c>
      <c r="J1094" s="86" t="s">
        <v>446</v>
      </c>
      <c r="K1094" s="116" t="s">
        <v>41</v>
      </c>
      <c r="L1094" s="58" t="s">
        <v>1069</v>
      </c>
      <c r="M1094" s="58" t="s">
        <v>1069</v>
      </c>
    </row>
    <row r="1095" spans="1:13" x14ac:dyDescent="0.35">
      <c r="A1095" s="123">
        <v>46074</v>
      </c>
      <c r="B1095" s="39">
        <v>58</v>
      </c>
      <c r="C1095" s="39">
        <v>5.39</v>
      </c>
      <c r="D1095" s="39">
        <v>22602020</v>
      </c>
      <c r="E1095" s="159" t="s">
        <v>141</v>
      </c>
      <c r="F1095" s="39" t="s">
        <v>614</v>
      </c>
      <c r="G1095" s="35">
        <v>0.29305555555555557</v>
      </c>
      <c r="H1095" s="35">
        <v>0.31388888888888888</v>
      </c>
      <c r="I1095" s="36">
        <v>30</v>
      </c>
      <c r="J1095" s="164" t="s">
        <v>51</v>
      </c>
      <c r="K1095" s="164" t="s">
        <v>445</v>
      </c>
      <c r="L1095" s="164" t="s">
        <v>53</v>
      </c>
      <c r="M1095" s="58" t="s">
        <v>54</v>
      </c>
    </row>
    <row r="1096" spans="1:13" x14ac:dyDescent="0.35">
      <c r="A1096" s="123">
        <v>46074</v>
      </c>
      <c r="B1096" s="39">
        <v>58</v>
      </c>
      <c r="C1096" s="39">
        <v>5.39</v>
      </c>
      <c r="D1096" s="39">
        <v>22602020</v>
      </c>
      <c r="E1096" s="159" t="s">
        <v>141</v>
      </c>
      <c r="F1096" s="39" t="s">
        <v>614</v>
      </c>
      <c r="G1096" s="35">
        <v>0.31388888888888888</v>
      </c>
      <c r="H1096" s="35">
        <v>0.34583333333333333</v>
      </c>
      <c r="I1096" s="36">
        <v>46</v>
      </c>
      <c r="J1096" s="86" t="s">
        <v>446</v>
      </c>
      <c r="K1096" s="116" t="s">
        <v>41</v>
      </c>
      <c r="L1096" s="58" t="s">
        <v>1071</v>
      </c>
      <c r="M1096" s="58" t="s">
        <v>1071</v>
      </c>
    </row>
    <row r="1097" spans="1:13" x14ac:dyDescent="0.35">
      <c r="A1097" s="123">
        <v>46075</v>
      </c>
      <c r="B1097" s="39">
        <v>57.73</v>
      </c>
      <c r="C1097" s="39">
        <v>5.09</v>
      </c>
      <c r="D1097" s="39">
        <v>22602021</v>
      </c>
      <c r="E1097" s="39" t="s">
        <v>57</v>
      </c>
      <c r="F1097" s="39" t="s">
        <v>58</v>
      </c>
      <c r="G1097" s="35">
        <v>0.60972222222222228</v>
      </c>
      <c r="H1097" s="35">
        <v>0.63055555555555554</v>
      </c>
      <c r="I1097" s="36">
        <v>30</v>
      </c>
      <c r="J1097" s="164" t="s">
        <v>51</v>
      </c>
      <c r="K1097" s="164" t="s">
        <v>445</v>
      </c>
      <c r="L1097" s="164" t="s">
        <v>53</v>
      </c>
      <c r="M1097" s="58" t="s">
        <v>54</v>
      </c>
    </row>
    <row r="1098" spans="1:13" x14ac:dyDescent="0.35">
      <c r="A1098" s="123">
        <v>46075</v>
      </c>
      <c r="B1098" s="39">
        <v>57.73</v>
      </c>
      <c r="C1098" s="39">
        <v>5.09</v>
      </c>
      <c r="D1098" s="39">
        <v>22602021</v>
      </c>
      <c r="E1098" s="39" t="s">
        <v>57</v>
      </c>
      <c r="F1098" s="39" t="s">
        <v>58</v>
      </c>
      <c r="G1098" s="35">
        <v>0.63055555555555554</v>
      </c>
      <c r="H1098" s="35">
        <v>0.64097222222222228</v>
      </c>
      <c r="I1098" s="36">
        <v>15</v>
      </c>
      <c r="J1098" s="86" t="s">
        <v>52</v>
      </c>
      <c r="K1098" s="116" t="s">
        <v>445</v>
      </c>
      <c r="L1098" s="86" t="s">
        <v>59</v>
      </c>
      <c r="M1098" s="58" t="s">
        <v>59</v>
      </c>
    </row>
    <row r="1099" spans="1:13" x14ac:dyDescent="0.35">
      <c r="A1099" s="123">
        <v>46075</v>
      </c>
      <c r="B1099" s="39">
        <v>57.73</v>
      </c>
      <c r="C1099" s="39">
        <v>5.09</v>
      </c>
      <c r="D1099" s="39">
        <v>22602021</v>
      </c>
      <c r="E1099" s="39" t="s">
        <v>57</v>
      </c>
      <c r="F1099" s="39" t="s">
        <v>58</v>
      </c>
      <c r="G1099" s="35">
        <v>0.64097222222222228</v>
      </c>
      <c r="H1099" s="35">
        <v>0.65763888888888888</v>
      </c>
      <c r="I1099" s="36">
        <v>24</v>
      </c>
      <c r="J1099" s="86" t="s">
        <v>446</v>
      </c>
      <c r="K1099" s="116" t="s">
        <v>41</v>
      </c>
      <c r="L1099" s="86" t="s">
        <v>454</v>
      </c>
      <c r="M1099" s="58" t="s">
        <v>1072</v>
      </c>
    </row>
    <row r="1100" spans="1:13" x14ac:dyDescent="0.35">
      <c r="A1100" s="123">
        <v>46075</v>
      </c>
      <c r="B1100" s="39">
        <v>57.73</v>
      </c>
      <c r="C1100" s="39">
        <v>5.09</v>
      </c>
      <c r="D1100" s="39">
        <v>22602021</v>
      </c>
      <c r="E1100" s="39" t="s">
        <v>57</v>
      </c>
      <c r="F1100" s="39" t="s">
        <v>58</v>
      </c>
      <c r="G1100" s="35">
        <v>0.65763888888888888</v>
      </c>
      <c r="H1100" s="35">
        <v>0.6743055555555556</v>
      </c>
      <c r="I1100" s="36">
        <v>24</v>
      </c>
      <c r="J1100" s="86" t="s">
        <v>446</v>
      </c>
      <c r="K1100" s="116" t="s">
        <v>19</v>
      </c>
      <c r="L1100" s="86" t="s">
        <v>85</v>
      </c>
      <c r="M1100" s="58" t="s">
        <v>1073</v>
      </c>
    </row>
    <row r="1101" spans="1:13" x14ac:dyDescent="0.35">
      <c r="A1101" s="126">
        <v>46076</v>
      </c>
      <c r="B1101" s="45">
        <v>58</v>
      </c>
      <c r="C1101" s="45">
        <v>5.45</v>
      </c>
      <c r="D1101" s="46">
        <v>22602022</v>
      </c>
      <c r="E1101" s="45" t="s">
        <v>119</v>
      </c>
      <c r="F1101" s="45">
        <v>1260</v>
      </c>
      <c r="G1101" s="35">
        <v>0.88402777777777775</v>
      </c>
      <c r="H1101" s="35">
        <v>0.90486111111111112</v>
      </c>
      <c r="I1101" s="36">
        <v>30</v>
      </c>
      <c r="J1101" s="164" t="s">
        <v>51</v>
      </c>
      <c r="K1101" s="164" t="s">
        <v>445</v>
      </c>
      <c r="L1101" s="164" t="s">
        <v>53</v>
      </c>
      <c r="M1101" s="58" t="s">
        <v>54</v>
      </c>
    </row>
    <row r="1102" spans="1:13" x14ac:dyDescent="0.35">
      <c r="A1102" s="123">
        <v>46078</v>
      </c>
      <c r="B1102" s="39">
        <v>58</v>
      </c>
      <c r="C1102" s="39">
        <v>5.39</v>
      </c>
      <c r="D1102" s="39">
        <v>22602023</v>
      </c>
      <c r="E1102" s="39" t="s">
        <v>141</v>
      </c>
      <c r="F1102" s="39" t="s">
        <v>620</v>
      </c>
      <c r="G1102" s="35">
        <v>0.26250000000000001</v>
      </c>
      <c r="H1102" s="35">
        <v>0.28333333333333333</v>
      </c>
      <c r="I1102" s="36">
        <v>30</v>
      </c>
      <c r="J1102" s="164" t="s">
        <v>51</v>
      </c>
      <c r="K1102" s="164" t="s">
        <v>445</v>
      </c>
      <c r="L1102" s="164" t="s">
        <v>53</v>
      </c>
      <c r="M1102" s="47" t="s">
        <v>54</v>
      </c>
    </row>
    <row r="1103" spans="1:13" x14ac:dyDescent="0.35">
      <c r="A1103" s="123">
        <v>46078</v>
      </c>
      <c r="B1103" s="39">
        <v>58</v>
      </c>
      <c r="C1103" s="39">
        <v>5.39</v>
      </c>
      <c r="D1103" s="39">
        <v>22602023</v>
      </c>
      <c r="E1103" s="39" t="s">
        <v>141</v>
      </c>
      <c r="F1103" s="39" t="s">
        <v>620</v>
      </c>
      <c r="G1103" s="35">
        <v>0.28333333333333333</v>
      </c>
      <c r="H1103" s="35">
        <v>0.32500000000000001</v>
      </c>
      <c r="I1103" s="36">
        <v>60</v>
      </c>
      <c r="J1103" s="86" t="s">
        <v>52</v>
      </c>
      <c r="K1103" s="116" t="s">
        <v>445</v>
      </c>
      <c r="L1103" s="86" t="s">
        <v>73</v>
      </c>
      <c r="M1103" s="47" t="s">
        <v>1076</v>
      </c>
    </row>
    <row r="1104" spans="1:13" x14ac:dyDescent="0.35">
      <c r="A1104" s="123">
        <v>46079</v>
      </c>
      <c r="B1104" s="39">
        <v>58</v>
      </c>
      <c r="C1104" s="39">
        <v>5.47</v>
      </c>
      <c r="D1104" s="85">
        <v>22602024</v>
      </c>
      <c r="E1104" s="85" t="s">
        <v>501</v>
      </c>
      <c r="F1104" s="85">
        <v>1230</v>
      </c>
      <c r="G1104" s="35">
        <v>0.65972222222222221</v>
      </c>
      <c r="H1104" s="35">
        <v>0.6743055555555556</v>
      </c>
      <c r="I1104" s="36">
        <v>21</v>
      </c>
      <c r="J1104" s="164" t="s">
        <v>51</v>
      </c>
      <c r="K1104" s="164" t="s">
        <v>445</v>
      </c>
      <c r="L1104" s="164" t="s">
        <v>53</v>
      </c>
      <c r="M1104" s="58" t="s">
        <v>54</v>
      </c>
    </row>
    <row r="1105" spans="1:13" x14ac:dyDescent="0.35">
      <c r="A1105" s="123">
        <v>46079</v>
      </c>
      <c r="B1105" s="39">
        <v>58</v>
      </c>
      <c r="C1105" s="39">
        <v>5.47</v>
      </c>
      <c r="D1105" s="85">
        <v>22602025</v>
      </c>
      <c r="E1105" s="45" t="s">
        <v>47</v>
      </c>
      <c r="F1105" s="45">
        <v>1230</v>
      </c>
      <c r="G1105" s="35">
        <v>0.67569444444444449</v>
      </c>
      <c r="H1105" s="35">
        <v>0.72430555555555554</v>
      </c>
      <c r="I1105" s="36">
        <v>70</v>
      </c>
      <c r="J1105" s="86" t="s">
        <v>35</v>
      </c>
      <c r="K1105" s="116" t="s">
        <v>445</v>
      </c>
      <c r="L1105" s="62" t="s">
        <v>288</v>
      </c>
      <c r="M1105" s="62" t="s">
        <v>288</v>
      </c>
    </row>
    <row r="1106" spans="1:13" x14ac:dyDescent="0.35">
      <c r="A1106" s="123">
        <v>46081</v>
      </c>
      <c r="B1106" s="46">
        <v>57.18</v>
      </c>
      <c r="C1106" s="45">
        <v>5.12</v>
      </c>
      <c r="D1106" s="39">
        <v>22602026</v>
      </c>
      <c r="E1106" s="39" t="s">
        <v>80</v>
      </c>
      <c r="F1106" s="39" t="s">
        <v>857</v>
      </c>
      <c r="G1106" s="35">
        <v>3.6111111111111108E-2</v>
      </c>
      <c r="H1106" s="35">
        <v>5.6944444444444443E-2</v>
      </c>
      <c r="I1106" s="36">
        <v>30</v>
      </c>
      <c r="J1106" s="164" t="s">
        <v>51</v>
      </c>
      <c r="K1106" s="164" t="s">
        <v>445</v>
      </c>
      <c r="L1106" s="164" t="s">
        <v>53</v>
      </c>
      <c r="M1106" s="58" t="s">
        <v>54</v>
      </c>
    </row>
    <row r="1107" spans="1:13" x14ac:dyDescent="0.35">
      <c r="A1107" s="123">
        <v>46081</v>
      </c>
      <c r="B1107" s="39">
        <v>58</v>
      </c>
      <c r="C1107" s="39">
        <v>5.36</v>
      </c>
      <c r="D1107" s="39">
        <v>22602026</v>
      </c>
      <c r="E1107" s="39" t="s">
        <v>80</v>
      </c>
      <c r="F1107" s="39" t="s">
        <v>857</v>
      </c>
      <c r="G1107" s="35">
        <v>5.6944444444444443E-2</v>
      </c>
      <c r="H1107" s="35">
        <v>6.1805555555555558E-2</v>
      </c>
      <c r="I1107" s="36">
        <v>7</v>
      </c>
      <c r="J1107" s="86" t="s">
        <v>52</v>
      </c>
      <c r="K1107" s="116" t="s">
        <v>445</v>
      </c>
      <c r="L1107" s="86" t="s">
        <v>59</v>
      </c>
      <c r="M1107" s="58" t="s">
        <v>59</v>
      </c>
    </row>
    <row r="1108" spans="1:13" x14ac:dyDescent="0.35">
      <c r="A1108" s="123">
        <v>46081</v>
      </c>
      <c r="B1108" s="39">
        <v>58</v>
      </c>
      <c r="C1108" s="39">
        <v>5.36</v>
      </c>
      <c r="D1108" s="39">
        <v>22602026</v>
      </c>
      <c r="E1108" s="39" t="s">
        <v>80</v>
      </c>
      <c r="F1108" s="39" t="s">
        <v>857</v>
      </c>
      <c r="G1108" s="35">
        <v>6.1805555555555558E-2</v>
      </c>
      <c r="H1108" s="35">
        <v>6.7361111111111108E-2</v>
      </c>
      <c r="I1108" s="36">
        <v>8</v>
      </c>
      <c r="J1108" s="86" t="s">
        <v>52</v>
      </c>
      <c r="K1108" s="116" t="s">
        <v>62</v>
      </c>
      <c r="L1108" s="86" t="s">
        <v>130</v>
      </c>
      <c r="M1108" s="58" t="s">
        <v>131</v>
      </c>
    </row>
    <row r="1109" spans="1:13" x14ac:dyDescent="0.35">
      <c r="A1109" s="123">
        <v>46082</v>
      </c>
      <c r="B1109" s="39">
        <v>58</v>
      </c>
      <c r="C1109" s="39">
        <v>5.42</v>
      </c>
      <c r="D1109" s="39">
        <v>22602027</v>
      </c>
      <c r="E1109" s="39" t="s">
        <v>98</v>
      </c>
      <c r="F1109" s="39" t="s">
        <v>1079</v>
      </c>
      <c r="G1109" s="35">
        <v>0.93055555555555558</v>
      </c>
      <c r="H1109" s="35">
        <v>0.99305555555555558</v>
      </c>
      <c r="I1109" s="36">
        <v>90</v>
      </c>
      <c r="J1109" s="164" t="s">
        <v>25</v>
      </c>
      <c r="K1109" s="164" t="s">
        <v>445</v>
      </c>
      <c r="L1109" s="164" t="s">
        <v>456</v>
      </c>
      <c r="M1109" s="96" t="s">
        <v>654</v>
      </c>
    </row>
    <row r="1110" spans="1:13" x14ac:dyDescent="0.35">
      <c r="A1110" s="123">
        <v>46082</v>
      </c>
      <c r="B1110" s="39">
        <v>58</v>
      </c>
      <c r="C1110" s="39">
        <v>5.42</v>
      </c>
      <c r="D1110" s="39">
        <v>22602027</v>
      </c>
      <c r="E1110" s="39" t="s">
        <v>98</v>
      </c>
      <c r="F1110" s="39" t="s">
        <v>1079</v>
      </c>
      <c r="G1110" s="35">
        <v>0.99305555555555558</v>
      </c>
      <c r="H1110" s="35">
        <v>0.99652777777777779</v>
      </c>
      <c r="I1110" s="36">
        <v>5</v>
      </c>
      <c r="J1110" s="86" t="s">
        <v>446</v>
      </c>
      <c r="K1110" s="116" t="s">
        <v>26</v>
      </c>
      <c r="L1110" s="86" t="s">
        <v>32</v>
      </c>
      <c r="M1110" s="95" t="s">
        <v>32</v>
      </c>
    </row>
    <row r="1111" spans="1:13" x14ac:dyDescent="0.35">
      <c r="A1111" s="123">
        <v>46082</v>
      </c>
      <c r="B1111" s="39">
        <v>58</v>
      </c>
      <c r="C1111" s="39">
        <v>5.42</v>
      </c>
      <c r="D1111" s="45">
        <v>22603001</v>
      </c>
      <c r="E1111" s="45" t="s">
        <v>170</v>
      </c>
      <c r="F1111" s="45">
        <v>1230</v>
      </c>
      <c r="G1111" s="35">
        <v>0.47291666666666665</v>
      </c>
      <c r="H1111" s="35">
        <v>0.53472222222222221</v>
      </c>
      <c r="I1111" s="36">
        <v>89</v>
      </c>
      <c r="J1111" s="86" t="s">
        <v>25</v>
      </c>
      <c r="K1111" s="116" t="s">
        <v>445</v>
      </c>
      <c r="L1111" s="86" t="s">
        <v>130</v>
      </c>
      <c r="M1111" s="96" t="s">
        <v>654</v>
      </c>
    </row>
    <row r="1112" spans="1:13" x14ac:dyDescent="0.35">
      <c r="A1112" s="122">
        <v>46083</v>
      </c>
      <c r="B1112" s="45">
        <v>58</v>
      </c>
      <c r="C1112" s="45">
        <v>5.0599999999999996</v>
      </c>
      <c r="D1112" s="46">
        <v>22603002</v>
      </c>
      <c r="E1112" s="45" t="s">
        <v>379</v>
      </c>
      <c r="F1112" s="45">
        <v>1230</v>
      </c>
      <c r="G1112" s="35">
        <v>4.8611111111111112E-2</v>
      </c>
      <c r="H1112" s="35">
        <v>0.10416666666666667</v>
      </c>
      <c r="I1112" s="36">
        <v>80</v>
      </c>
      <c r="J1112" s="86" t="s">
        <v>35</v>
      </c>
      <c r="K1112" s="86" t="s">
        <v>62</v>
      </c>
      <c r="L1112" s="86" t="s">
        <v>236</v>
      </c>
      <c r="M1112" s="97" t="s">
        <v>1080</v>
      </c>
    </row>
    <row r="1113" spans="1:13" x14ac:dyDescent="0.35">
      <c r="A1113" s="123">
        <v>46084</v>
      </c>
      <c r="B1113" s="39">
        <v>58</v>
      </c>
      <c r="C1113" s="39">
        <v>5.21</v>
      </c>
      <c r="D1113" s="39">
        <v>22603003</v>
      </c>
      <c r="E1113" s="39" t="s">
        <v>119</v>
      </c>
      <c r="F1113" s="39" t="s">
        <v>1081</v>
      </c>
      <c r="G1113" s="35">
        <v>0.34027777777777779</v>
      </c>
      <c r="H1113" s="35">
        <v>0.3611111111111111</v>
      </c>
      <c r="I1113" s="36">
        <v>30</v>
      </c>
      <c r="J1113" s="164" t="s">
        <v>51</v>
      </c>
      <c r="K1113" s="164" t="s">
        <v>445</v>
      </c>
      <c r="L1113" s="164" t="s">
        <v>53</v>
      </c>
      <c r="M1113" s="95" t="s">
        <v>54</v>
      </c>
    </row>
    <row r="1114" spans="1:13" x14ac:dyDescent="0.35">
      <c r="A1114" s="123">
        <v>46084</v>
      </c>
      <c r="B1114" s="39">
        <v>58</v>
      </c>
      <c r="C1114" s="39">
        <v>5.21</v>
      </c>
      <c r="D1114" s="39">
        <v>22603003</v>
      </c>
      <c r="E1114" s="39" t="s">
        <v>119</v>
      </c>
      <c r="F1114" s="39" t="s">
        <v>1081</v>
      </c>
      <c r="G1114" s="35">
        <v>0.3611111111111111</v>
      </c>
      <c r="H1114" s="35">
        <v>0.3659722222222222</v>
      </c>
      <c r="I1114" s="36">
        <v>7</v>
      </c>
      <c r="J1114" s="86" t="s">
        <v>52</v>
      </c>
      <c r="K1114" s="86" t="s">
        <v>445</v>
      </c>
      <c r="L1114" s="86" t="s">
        <v>59</v>
      </c>
      <c r="M1114" s="95" t="s">
        <v>59</v>
      </c>
    </row>
    <row r="1115" spans="1:13" x14ac:dyDescent="0.35">
      <c r="A1115" s="123">
        <v>46084</v>
      </c>
      <c r="B1115" s="39">
        <v>58</v>
      </c>
      <c r="C1115" s="39">
        <v>5.21</v>
      </c>
      <c r="D1115" s="39">
        <v>22603003</v>
      </c>
      <c r="E1115" s="39" t="s">
        <v>119</v>
      </c>
      <c r="F1115" s="39" t="s">
        <v>1081</v>
      </c>
      <c r="G1115" s="35">
        <v>0.3659722222222222</v>
      </c>
      <c r="H1115" s="35">
        <v>0.37152777777777779</v>
      </c>
      <c r="I1115" s="36">
        <v>8</v>
      </c>
      <c r="J1115" s="164" t="s">
        <v>52</v>
      </c>
      <c r="K1115" s="164" t="s">
        <v>62</v>
      </c>
      <c r="L1115" s="164" t="s">
        <v>130</v>
      </c>
      <c r="M1115" s="95" t="s">
        <v>250</v>
      </c>
    </row>
    <row r="1116" spans="1:13" x14ac:dyDescent="0.35">
      <c r="A1116" s="123">
        <v>46085</v>
      </c>
      <c r="B1116" s="39">
        <v>58</v>
      </c>
      <c r="C1116" s="39">
        <v>5.34</v>
      </c>
      <c r="D1116" s="39">
        <v>22603004</v>
      </c>
      <c r="E1116" s="39" t="s">
        <v>496</v>
      </c>
      <c r="F1116" s="39">
        <v>1260</v>
      </c>
      <c r="G1116" s="35">
        <v>0.72986111111111107</v>
      </c>
      <c r="H1116" s="35">
        <v>0.75069444444444444</v>
      </c>
      <c r="I1116" s="36">
        <v>30</v>
      </c>
      <c r="J1116" s="164" t="s">
        <v>51</v>
      </c>
      <c r="K1116" s="164" t="s">
        <v>445</v>
      </c>
      <c r="L1116" s="164" t="s">
        <v>53</v>
      </c>
      <c r="M1116" s="95" t="s">
        <v>54</v>
      </c>
    </row>
    <row r="1117" spans="1:13" x14ac:dyDescent="0.35">
      <c r="A1117" s="123">
        <v>46085</v>
      </c>
      <c r="B1117" s="39">
        <v>58</v>
      </c>
      <c r="C1117" s="39">
        <v>5.34</v>
      </c>
      <c r="D1117" s="39">
        <v>22603004</v>
      </c>
      <c r="E1117" s="39" t="s">
        <v>496</v>
      </c>
      <c r="F1117" s="39">
        <v>1260</v>
      </c>
      <c r="G1117" s="35">
        <v>0.75069444444444444</v>
      </c>
      <c r="H1117" s="35">
        <v>0.75763888888888886</v>
      </c>
      <c r="I1117" s="36">
        <v>10</v>
      </c>
      <c r="J1117" s="86" t="s">
        <v>52</v>
      </c>
      <c r="K1117" s="86" t="s">
        <v>445</v>
      </c>
      <c r="L1117" s="86" t="s">
        <v>59</v>
      </c>
      <c r="M1117" s="95" t="s">
        <v>59</v>
      </c>
    </row>
    <row r="1118" spans="1:13" x14ac:dyDescent="0.35">
      <c r="A1118" s="123">
        <v>46087</v>
      </c>
      <c r="B1118" s="45">
        <v>57.57</v>
      </c>
      <c r="C1118" s="45">
        <v>5.29</v>
      </c>
      <c r="D1118" s="39">
        <v>22603005</v>
      </c>
      <c r="E1118" s="39" t="s">
        <v>57</v>
      </c>
      <c r="F1118" s="39" t="s">
        <v>263</v>
      </c>
      <c r="G1118" s="35">
        <v>0.9819444444444444</v>
      </c>
      <c r="H1118" s="35">
        <v>2.7777777777777779E-3</v>
      </c>
      <c r="I1118" s="36">
        <v>30</v>
      </c>
      <c r="J1118" s="164" t="s">
        <v>51</v>
      </c>
      <c r="K1118" s="164" t="s">
        <v>445</v>
      </c>
      <c r="L1118" s="164" t="s">
        <v>53</v>
      </c>
      <c r="M1118" s="95" t="s">
        <v>54</v>
      </c>
    </row>
    <row r="1119" spans="1:13" x14ac:dyDescent="0.35">
      <c r="A1119" s="123">
        <v>46087</v>
      </c>
      <c r="B1119" s="45">
        <v>56.2</v>
      </c>
      <c r="C1119" s="45">
        <v>5.0999999999999996</v>
      </c>
      <c r="D1119" s="39">
        <v>22603005</v>
      </c>
      <c r="E1119" s="39" t="s">
        <v>57</v>
      </c>
      <c r="F1119" s="39" t="s">
        <v>263</v>
      </c>
      <c r="G1119" s="35">
        <v>2.7777777777777779E-3</v>
      </c>
      <c r="H1119" s="35">
        <v>9.7222222222222224E-3</v>
      </c>
      <c r="I1119" s="36">
        <v>10</v>
      </c>
      <c r="J1119" s="86" t="s">
        <v>52</v>
      </c>
      <c r="K1119" s="86" t="s">
        <v>445</v>
      </c>
      <c r="L1119" s="86" t="s">
        <v>59</v>
      </c>
      <c r="M1119" s="95" t="s">
        <v>59</v>
      </c>
    </row>
    <row r="1120" spans="1:13" x14ac:dyDescent="0.35">
      <c r="A1120" s="122">
        <v>46088</v>
      </c>
      <c r="B1120" s="45">
        <v>57.95</v>
      </c>
      <c r="C1120" s="45">
        <v>5.38</v>
      </c>
      <c r="D1120" s="46">
        <v>22603006</v>
      </c>
      <c r="E1120" s="45" t="s">
        <v>202</v>
      </c>
      <c r="F1120" s="45">
        <v>1340</v>
      </c>
      <c r="G1120" s="35">
        <v>3.7499999999999999E-2</v>
      </c>
      <c r="H1120" s="35">
        <v>5.8333333333333334E-2</v>
      </c>
      <c r="I1120" s="36">
        <v>30</v>
      </c>
      <c r="J1120" s="86" t="s">
        <v>51</v>
      </c>
      <c r="K1120" s="116" t="s">
        <v>445</v>
      </c>
      <c r="L1120" s="86" t="s">
        <v>53</v>
      </c>
      <c r="M1120" s="95" t="s">
        <v>54</v>
      </c>
    </row>
    <row r="1121" spans="1:13" x14ac:dyDescent="0.35">
      <c r="A1121" s="123">
        <v>46089</v>
      </c>
      <c r="B1121" s="39">
        <v>58</v>
      </c>
      <c r="C1121" s="39">
        <v>4.95</v>
      </c>
      <c r="D1121" s="39">
        <v>22603007</v>
      </c>
      <c r="E1121" s="39" t="s">
        <v>122</v>
      </c>
      <c r="F1121" s="39" t="s">
        <v>1085</v>
      </c>
      <c r="G1121" s="35">
        <v>4.8611111111111112E-3</v>
      </c>
      <c r="H1121" s="35">
        <v>5.347222222222222E-2</v>
      </c>
      <c r="I1121" s="36">
        <v>70</v>
      </c>
      <c r="J1121" s="86" t="s">
        <v>35</v>
      </c>
      <c r="K1121" s="86" t="s">
        <v>62</v>
      </c>
      <c r="L1121" s="86" t="s">
        <v>190</v>
      </c>
      <c r="M1121" s="49" t="s">
        <v>102</v>
      </c>
    </row>
    <row r="1122" spans="1:13" x14ac:dyDescent="0.35">
      <c r="A1122" s="123">
        <v>46089</v>
      </c>
      <c r="B1122" s="39">
        <v>58</v>
      </c>
      <c r="C1122" s="39">
        <v>4.95</v>
      </c>
      <c r="D1122" s="39">
        <v>22603007</v>
      </c>
      <c r="E1122" s="39" t="s">
        <v>122</v>
      </c>
      <c r="F1122" s="39" t="s">
        <v>1085</v>
      </c>
      <c r="G1122" s="35">
        <v>5.347222222222222E-2</v>
      </c>
      <c r="H1122" s="35">
        <v>7.9861111111111105E-2</v>
      </c>
      <c r="I1122" s="36">
        <v>38</v>
      </c>
      <c r="J1122" s="86" t="s">
        <v>446</v>
      </c>
      <c r="K1122" s="116" t="s">
        <v>19</v>
      </c>
      <c r="L1122" s="86" t="s">
        <v>143</v>
      </c>
      <c r="M1122" s="47" t="s">
        <v>1086</v>
      </c>
    </row>
    <row r="1123" spans="1:13" x14ac:dyDescent="0.35">
      <c r="A1123" s="123">
        <v>46090</v>
      </c>
      <c r="B1123" s="39">
        <v>58</v>
      </c>
      <c r="C1123" s="39">
        <v>5.15</v>
      </c>
      <c r="D1123" s="39">
        <v>22603008</v>
      </c>
      <c r="E1123" s="39" t="s">
        <v>496</v>
      </c>
      <c r="F1123" s="39" t="s">
        <v>58</v>
      </c>
      <c r="G1123" s="35">
        <v>0.45</v>
      </c>
      <c r="H1123" s="35">
        <v>0.47083333333333333</v>
      </c>
      <c r="I1123" s="36">
        <v>30</v>
      </c>
      <c r="J1123" s="86" t="s">
        <v>51</v>
      </c>
      <c r="K1123" s="116" t="s">
        <v>445</v>
      </c>
      <c r="L1123" s="86" t="s">
        <v>53</v>
      </c>
      <c r="M1123" s="95" t="s">
        <v>54</v>
      </c>
    </row>
    <row r="1124" spans="1:13" x14ac:dyDescent="0.35">
      <c r="A1124" s="123">
        <v>46090</v>
      </c>
      <c r="B1124" s="39">
        <v>58</v>
      </c>
      <c r="C1124" s="39">
        <v>5.15</v>
      </c>
      <c r="D1124" s="39">
        <v>22603008</v>
      </c>
      <c r="E1124" s="39" t="s">
        <v>496</v>
      </c>
      <c r="F1124" s="39" t="s">
        <v>58</v>
      </c>
      <c r="G1124" s="35">
        <v>0.47083333333333333</v>
      </c>
      <c r="H1124" s="35">
        <v>0.47986111111111113</v>
      </c>
      <c r="I1124" s="36">
        <v>13</v>
      </c>
      <c r="J1124" s="86" t="s">
        <v>446</v>
      </c>
      <c r="K1124" s="86" t="s">
        <v>41</v>
      </c>
      <c r="L1124" s="86" t="s">
        <v>454</v>
      </c>
      <c r="M1124" s="58" t="s">
        <v>783</v>
      </c>
    </row>
    <row r="1125" spans="1:13" x14ac:dyDescent="0.35">
      <c r="A1125" s="123">
        <v>46091</v>
      </c>
      <c r="B1125" s="39">
        <v>58</v>
      </c>
      <c r="C1125" s="39">
        <v>5.31</v>
      </c>
      <c r="D1125" s="39">
        <v>22603009</v>
      </c>
      <c r="E1125" s="39" t="s">
        <v>138</v>
      </c>
      <c r="F1125" s="39" t="s">
        <v>614</v>
      </c>
      <c r="G1125" s="35">
        <v>6.5972222222222224E-2</v>
      </c>
      <c r="H1125" s="35">
        <v>0.12847222222222221</v>
      </c>
      <c r="I1125" s="36">
        <v>90</v>
      </c>
      <c r="J1125" s="86" t="s">
        <v>35</v>
      </c>
      <c r="K1125" s="86" t="s">
        <v>62</v>
      </c>
      <c r="L1125" s="86" t="s">
        <v>908</v>
      </c>
      <c r="M1125" s="97" t="s">
        <v>1088</v>
      </c>
    </row>
    <row r="1126" spans="1:13" x14ac:dyDescent="0.35">
      <c r="A1126" s="123">
        <v>46091</v>
      </c>
      <c r="B1126" s="39">
        <v>58</v>
      </c>
      <c r="C1126" s="39">
        <v>5.31</v>
      </c>
      <c r="D1126" s="39">
        <v>22603009</v>
      </c>
      <c r="E1126" s="39" t="s">
        <v>138</v>
      </c>
      <c r="F1126" s="39" t="s">
        <v>614</v>
      </c>
      <c r="G1126" s="35">
        <v>0.12847222222222221</v>
      </c>
      <c r="H1126" s="35">
        <v>0.17569444444444443</v>
      </c>
      <c r="I1126" s="36">
        <v>68</v>
      </c>
      <c r="J1126" s="86" t="s">
        <v>446</v>
      </c>
      <c r="K1126" s="116" t="s">
        <v>445</v>
      </c>
      <c r="L1126" s="86" t="s">
        <v>555</v>
      </c>
      <c r="M1126" s="95" t="s">
        <v>1090</v>
      </c>
    </row>
    <row r="1127" spans="1:13" x14ac:dyDescent="0.35">
      <c r="A1127" s="122">
        <v>46092</v>
      </c>
      <c r="B1127" s="45">
        <v>58</v>
      </c>
      <c r="C1127" s="45">
        <v>4.8</v>
      </c>
      <c r="D1127" s="46">
        <v>22603010</v>
      </c>
      <c r="E1127" s="45" t="s">
        <v>80</v>
      </c>
      <c r="F1127" s="45" t="s">
        <v>620</v>
      </c>
      <c r="G1127" s="35">
        <v>0.4201388888888889</v>
      </c>
      <c r="H1127" s="35">
        <v>0.44097222222222221</v>
      </c>
      <c r="I1127" s="36">
        <v>30</v>
      </c>
      <c r="J1127" s="86" t="s">
        <v>51</v>
      </c>
      <c r="K1127" s="116" t="s">
        <v>445</v>
      </c>
      <c r="L1127" s="86" t="s">
        <v>53</v>
      </c>
      <c r="M1127" s="95" t="s">
        <v>54</v>
      </c>
    </row>
    <row r="1128" spans="1:13" x14ac:dyDescent="0.35">
      <c r="A1128" s="123">
        <v>46093</v>
      </c>
      <c r="B1128" s="39">
        <v>57.17</v>
      </c>
      <c r="C1128" s="39">
        <v>4.9000000000000004</v>
      </c>
      <c r="D1128" s="39">
        <v>22603011</v>
      </c>
      <c r="E1128" s="39" t="s">
        <v>119</v>
      </c>
      <c r="F1128" s="39">
        <v>1255</v>
      </c>
      <c r="G1128" s="35">
        <v>0.76388888888888884</v>
      </c>
      <c r="H1128" s="35">
        <v>0.78472222222222221</v>
      </c>
      <c r="I1128" s="36">
        <v>30</v>
      </c>
      <c r="J1128" s="86" t="s">
        <v>51</v>
      </c>
      <c r="K1128" s="116" t="s">
        <v>445</v>
      </c>
      <c r="L1128" s="86" t="s">
        <v>53</v>
      </c>
      <c r="M1128" s="95" t="s">
        <v>54</v>
      </c>
    </row>
    <row r="1129" spans="1:13" x14ac:dyDescent="0.35">
      <c r="A1129" s="123">
        <v>46093</v>
      </c>
      <c r="B1129" s="39">
        <v>57.17</v>
      </c>
      <c r="C1129" s="39">
        <v>4.9000000000000004</v>
      </c>
      <c r="D1129" s="39">
        <v>22603011</v>
      </c>
      <c r="E1129" s="39" t="s">
        <v>119</v>
      </c>
      <c r="F1129" s="39">
        <v>1255</v>
      </c>
      <c r="G1129" s="35">
        <v>0.78472222222222221</v>
      </c>
      <c r="H1129" s="35">
        <v>0.79166666666666663</v>
      </c>
      <c r="I1129" s="36">
        <v>10</v>
      </c>
      <c r="J1129" s="86" t="s">
        <v>52</v>
      </c>
      <c r="K1129" s="86" t="s">
        <v>445</v>
      </c>
      <c r="L1129" s="86" t="s">
        <v>59</v>
      </c>
      <c r="M1129" s="95" t="s">
        <v>59</v>
      </c>
    </row>
    <row r="1130" spans="1:13" x14ac:dyDescent="0.35">
      <c r="A1130" s="123">
        <v>46093</v>
      </c>
      <c r="B1130" s="39">
        <v>57.17</v>
      </c>
      <c r="C1130" s="39">
        <v>4.9000000000000004</v>
      </c>
      <c r="D1130" s="46">
        <v>22603012</v>
      </c>
      <c r="E1130" s="45" t="s">
        <v>34</v>
      </c>
      <c r="F1130" s="45">
        <v>1250</v>
      </c>
      <c r="G1130" s="35">
        <v>0.875</v>
      </c>
      <c r="H1130" s="35">
        <v>0.91666666666666663</v>
      </c>
      <c r="I1130" s="36">
        <v>60</v>
      </c>
      <c r="J1130" s="86" t="s">
        <v>463</v>
      </c>
      <c r="K1130" s="116" t="s">
        <v>26</v>
      </c>
      <c r="L1130" s="86" t="s">
        <v>32</v>
      </c>
      <c r="M1130" s="95" t="s">
        <v>1094</v>
      </c>
    </row>
    <row r="1131" spans="1:13" x14ac:dyDescent="0.35">
      <c r="A1131" s="123">
        <v>46094</v>
      </c>
      <c r="B1131" s="39">
        <v>58</v>
      </c>
      <c r="C1131" s="39">
        <v>5.27</v>
      </c>
      <c r="D1131" s="46">
        <v>22603012</v>
      </c>
      <c r="E1131" s="45" t="s">
        <v>34</v>
      </c>
      <c r="F1131" s="45">
        <v>1250</v>
      </c>
      <c r="G1131" s="35">
        <v>0.91666666666666663</v>
      </c>
      <c r="H1131" s="35">
        <v>0.92708333333333337</v>
      </c>
      <c r="I1131" s="36">
        <v>15</v>
      </c>
      <c r="J1131" s="86" t="s">
        <v>446</v>
      </c>
      <c r="K1131" s="116" t="s">
        <v>26</v>
      </c>
      <c r="L1131" s="86" t="s">
        <v>32</v>
      </c>
      <c r="M1131" s="95" t="s">
        <v>32</v>
      </c>
    </row>
    <row r="1132" spans="1:13" x14ac:dyDescent="0.35">
      <c r="A1132" s="123">
        <v>46094</v>
      </c>
      <c r="B1132" s="39">
        <v>58</v>
      </c>
      <c r="C1132" s="39">
        <v>5.27</v>
      </c>
      <c r="D1132" s="39">
        <v>22603013</v>
      </c>
      <c r="E1132" s="39" t="s">
        <v>170</v>
      </c>
      <c r="F1132" s="39">
        <v>1230</v>
      </c>
      <c r="G1132" s="35">
        <v>0.38194444444444442</v>
      </c>
      <c r="H1132" s="35">
        <v>0.875</v>
      </c>
      <c r="I1132" s="36">
        <v>710</v>
      </c>
      <c r="J1132" s="86" t="s">
        <v>448</v>
      </c>
      <c r="K1132" s="86" t="s">
        <v>15</v>
      </c>
      <c r="L1132" s="86" t="s">
        <v>448</v>
      </c>
      <c r="M1132" s="97" t="s">
        <v>17</v>
      </c>
    </row>
    <row r="1133" spans="1:13" x14ac:dyDescent="0.35">
      <c r="A1133" s="123">
        <v>46094</v>
      </c>
      <c r="B1133" s="39">
        <v>58</v>
      </c>
      <c r="C1133" s="39">
        <v>5.27</v>
      </c>
      <c r="D1133" s="39">
        <v>22603013</v>
      </c>
      <c r="E1133" s="39" t="s">
        <v>170</v>
      </c>
      <c r="F1133" s="39">
        <v>1230</v>
      </c>
      <c r="G1133" s="35">
        <v>0.875</v>
      </c>
      <c r="H1133" s="35">
        <v>0.90625</v>
      </c>
      <c r="I1133" s="36">
        <v>45</v>
      </c>
      <c r="J1133" s="86" t="s">
        <v>446</v>
      </c>
      <c r="K1133" s="86" t="s">
        <v>41</v>
      </c>
      <c r="L1133" s="86" t="s">
        <v>454</v>
      </c>
      <c r="M1133" s="95" t="s">
        <v>783</v>
      </c>
    </row>
    <row r="1134" spans="1:13" x14ac:dyDescent="0.35">
      <c r="A1134" s="123">
        <v>46094</v>
      </c>
      <c r="B1134" s="39">
        <v>58</v>
      </c>
      <c r="C1134" s="39">
        <v>5.27</v>
      </c>
      <c r="D1134" s="39">
        <v>22603013</v>
      </c>
      <c r="E1134" s="39" t="s">
        <v>170</v>
      </c>
      <c r="F1134" s="39">
        <v>1230</v>
      </c>
      <c r="G1134" s="35">
        <v>0.90625</v>
      </c>
      <c r="H1134" s="35">
        <v>0.91666666666666663</v>
      </c>
      <c r="I1134" s="36">
        <v>15</v>
      </c>
      <c r="J1134" s="86" t="s">
        <v>446</v>
      </c>
      <c r="K1134" s="116" t="s">
        <v>445</v>
      </c>
      <c r="L1134" s="86" t="s">
        <v>22</v>
      </c>
      <c r="M1134" s="95" t="s">
        <v>1099</v>
      </c>
    </row>
    <row r="1135" spans="1:13" x14ac:dyDescent="0.35">
      <c r="A1135" s="123">
        <v>46095</v>
      </c>
      <c r="B1135" s="39">
        <v>58</v>
      </c>
      <c r="C1135" s="39">
        <v>5.27</v>
      </c>
      <c r="D1135" s="39">
        <v>22603013</v>
      </c>
      <c r="E1135" s="39" t="s">
        <v>170</v>
      </c>
      <c r="F1135" s="39">
        <v>1230</v>
      </c>
      <c r="G1135" s="35">
        <v>0.91666666666666663</v>
      </c>
      <c r="H1135" s="35">
        <v>0.9375</v>
      </c>
      <c r="I1135" s="36">
        <v>30</v>
      </c>
      <c r="J1135" s="86" t="s">
        <v>446</v>
      </c>
      <c r="K1135" s="116" t="s">
        <v>445</v>
      </c>
      <c r="L1135" s="86" t="s">
        <v>22</v>
      </c>
      <c r="M1135" s="95" t="s">
        <v>1099</v>
      </c>
    </row>
    <row r="1136" spans="1:13" x14ac:dyDescent="0.35">
      <c r="A1136" s="123">
        <v>46095</v>
      </c>
      <c r="B1136" s="39">
        <v>58</v>
      </c>
      <c r="C1136" s="39">
        <v>5.09</v>
      </c>
      <c r="D1136" s="45">
        <v>22603014</v>
      </c>
      <c r="E1136" s="45" t="s">
        <v>126</v>
      </c>
      <c r="F1136" s="45">
        <v>1035</v>
      </c>
      <c r="G1136" s="35">
        <v>5.9027777777777776E-2</v>
      </c>
      <c r="H1136" s="35">
        <v>0.20277777777777778</v>
      </c>
      <c r="I1136" s="36">
        <v>207</v>
      </c>
      <c r="J1136" s="86" t="s">
        <v>35</v>
      </c>
      <c r="K1136" s="116" t="s">
        <v>19</v>
      </c>
      <c r="L1136" s="49" t="s">
        <v>40</v>
      </c>
      <c r="M1136" s="49" t="s">
        <v>40</v>
      </c>
    </row>
    <row r="1137" spans="1:13" x14ac:dyDescent="0.35">
      <c r="A1137" s="123">
        <v>46095</v>
      </c>
      <c r="B1137" s="39">
        <v>58</v>
      </c>
      <c r="C1137" s="39">
        <v>5.09</v>
      </c>
      <c r="D1137" s="39">
        <v>22603015</v>
      </c>
      <c r="E1137" s="39" t="s">
        <v>357</v>
      </c>
      <c r="F1137" s="39">
        <v>1230</v>
      </c>
      <c r="G1137" s="35">
        <v>0.87222222222222223</v>
      </c>
      <c r="H1137" s="35">
        <v>0.91666666666666663</v>
      </c>
      <c r="I1137" s="36">
        <v>64</v>
      </c>
      <c r="J1137" s="86" t="s">
        <v>463</v>
      </c>
      <c r="K1137" s="86" t="s">
        <v>41</v>
      </c>
      <c r="L1137" s="86" t="s">
        <v>454</v>
      </c>
      <c r="M1137" s="47" t="s">
        <v>1100</v>
      </c>
    </row>
    <row r="1138" spans="1:13" x14ac:dyDescent="0.35">
      <c r="A1138" s="122">
        <v>46096</v>
      </c>
      <c r="B1138" s="45">
        <v>58</v>
      </c>
      <c r="C1138" s="45">
        <v>5.51</v>
      </c>
      <c r="D1138" s="39">
        <v>22603015</v>
      </c>
      <c r="E1138" s="39" t="s">
        <v>357</v>
      </c>
      <c r="F1138" s="39">
        <v>1230</v>
      </c>
      <c r="G1138" s="35">
        <v>0.91666666666666663</v>
      </c>
      <c r="H1138" s="35">
        <v>7.7777777777777779E-2</v>
      </c>
      <c r="I1138" s="36">
        <v>232</v>
      </c>
      <c r="J1138" s="86" t="s">
        <v>463</v>
      </c>
      <c r="K1138" s="116" t="s">
        <v>41</v>
      </c>
      <c r="L1138" s="86" t="s">
        <v>454</v>
      </c>
      <c r="M1138" s="47" t="s">
        <v>858</v>
      </c>
    </row>
    <row r="1139" spans="1:13" x14ac:dyDescent="0.35">
      <c r="A1139" s="126">
        <v>46097</v>
      </c>
      <c r="B1139" s="45">
        <v>58</v>
      </c>
      <c r="C1139" s="45">
        <v>5.41</v>
      </c>
      <c r="D1139" s="46">
        <v>22603016</v>
      </c>
      <c r="E1139" s="45" t="s">
        <v>69</v>
      </c>
      <c r="F1139" s="45">
        <v>1230</v>
      </c>
      <c r="G1139" s="35">
        <v>9.7222222222222224E-2</v>
      </c>
      <c r="H1139" s="35">
        <v>0.11527777777777778</v>
      </c>
      <c r="I1139" s="36">
        <v>26</v>
      </c>
      <c r="J1139" s="86" t="s">
        <v>51</v>
      </c>
      <c r="K1139" s="116" t="s">
        <v>445</v>
      </c>
      <c r="L1139" s="86" t="s">
        <v>53</v>
      </c>
      <c r="M1139" s="47" t="s">
        <v>1102</v>
      </c>
    </row>
    <row r="1140" spans="1:13" x14ac:dyDescent="0.35">
      <c r="A1140" s="123">
        <v>46098</v>
      </c>
      <c r="B1140" s="39">
        <v>58</v>
      </c>
      <c r="C1140" s="39">
        <v>5.38</v>
      </c>
      <c r="D1140" s="39">
        <v>22603017</v>
      </c>
      <c r="E1140" s="39" t="s">
        <v>119</v>
      </c>
      <c r="F1140" s="39">
        <v>1255</v>
      </c>
      <c r="G1140" s="35">
        <v>0.33263888888888887</v>
      </c>
      <c r="H1140" s="35">
        <v>0.35347222222222224</v>
      </c>
      <c r="I1140" s="36">
        <v>30</v>
      </c>
      <c r="J1140" s="86" t="s">
        <v>51</v>
      </c>
      <c r="K1140" s="116" t="s">
        <v>445</v>
      </c>
      <c r="L1140" s="86" t="s">
        <v>53</v>
      </c>
      <c r="M1140" s="95" t="s">
        <v>54</v>
      </c>
    </row>
    <row r="1141" spans="1:13" x14ac:dyDescent="0.35">
      <c r="A1141" s="123">
        <v>46098</v>
      </c>
      <c r="B1141" s="39">
        <v>58</v>
      </c>
      <c r="C1141" s="39">
        <v>5.38</v>
      </c>
      <c r="D1141" s="39">
        <v>22603017</v>
      </c>
      <c r="E1141" s="39" t="s">
        <v>119</v>
      </c>
      <c r="F1141" s="39">
        <v>1255</v>
      </c>
      <c r="G1141" s="35">
        <v>0.35347222222222224</v>
      </c>
      <c r="H1141" s="35">
        <v>0.35902777777777778</v>
      </c>
      <c r="I1141" s="36">
        <v>8</v>
      </c>
      <c r="J1141" s="86" t="s">
        <v>52</v>
      </c>
      <c r="K1141" s="86" t="s">
        <v>445</v>
      </c>
      <c r="L1141" s="86" t="s">
        <v>59</v>
      </c>
      <c r="M1141" s="95" t="s">
        <v>59</v>
      </c>
    </row>
    <row r="1142" spans="1:13" x14ac:dyDescent="0.35">
      <c r="A1142" s="122">
        <v>46099</v>
      </c>
      <c r="B1142" s="45">
        <v>57.38</v>
      </c>
      <c r="C1142" s="45">
        <v>5.22</v>
      </c>
      <c r="D1142" s="46">
        <v>22603018</v>
      </c>
      <c r="E1142" s="45" t="s">
        <v>156</v>
      </c>
      <c r="F1142" s="45" t="s">
        <v>1105</v>
      </c>
      <c r="G1142" s="35">
        <v>0.27291666666666664</v>
      </c>
      <c r="H1142" s="35">
        <v>0.2986111111111111</v>
      </c>
      <c r="I1142" s="36">
        <v>37</v>
      </c>
      <c r="J1142" s="86" t="s">
        <v>463</v>
      </c>
      <c r="K1142" s="116" t="s">
        <v>445</v>
      </c>
      <c r="L1142" s="86"/>
      <c r="M1142" s="47" t="s">
        <v>1041</v>
      </c>
    </row>
    <row r="1143" spans="1:13" x14ac:dyDescent="0.35">
      <c r="A1143" s="122">
        <v>46100</v>
      </c>
      <c r="B1143" s="45">
        <v>57.5</v>
      </c>
      <c r="C1143" s="45">
        <v>5.4</v>
      </c>
      <c r="D1143" s="52">
        <v>22603019</v>
      </c>
      <c r="E1143" s="45" t="s">
        <v>82</v>
      </c>
      <c r="F1143" s="45">
        <v>1250</v>
      </c>
      <c r="G1143" s="35">
        <v>0.39652777777777776</v>
      </c>
      <c r="H1143" s="35">
        <v>0.44930555555555557</v>
      </c>
      <c r="I1143" s="36">
        <v>76</v>
      </c>
      <c r="J1143" s="86" t="s">
        <v>463</v>
      </c>
      <c r="K1143" s="116" t="s">
        <v>26</v>
      </c>
      <c r="L1143" s="86" t="s">
        <v>331</v>
      </c>
      <c r="M1143" s="47" t="s">
        <v>1107</v>
      </c>
    </row>
    <row r="1144" spans="1:13" x14ac:dyDescent="0.35">
      <c r="A1144" s="123">
        <v>46101</v>
      </c>
      <c r="B1144" s="39">
        <v>58</v>
      </c>
      <c r="C1144" s="39">
        <v>5.35</v>
      </c>
      <c r="D1144" s="39">
        <v>22603020</v>
      </c>
      <c r="E1144" s="39" t="s">
        <v>104</v>
      </c>
      <c r="F1144" s="39" t="s">
        <v>1077</v>
      </c>
      <c r="G1144" s="35">
        <v>0.79027777777777775</v>
      </c>
      <c r="H1144" s="35">
        <v>0.81111111111111112</v>
      </c>
      <c r="I1144" s="36">
        <v>30</v>
      </c>
      <c r="J1144" s="86" t="s">
        <v>51</v>
      </c>
      <c r="K1144" s="116" t="s">
        <v>445</v>
      </c>
      <c r="L1144" s="86" t="s">
        <v>53</v>
      </c>
      <c r="M1144" s="47" t="s">
        <v>54</v>
      </c>
    </row>
    <row r="1145" spans="1:13" x14ac:dyDescent="0.35">
      <c r="A1145" s="123">
        <v>46101</v>
      </c>
      <c r="B1145" s="39">
        <v>58</v>
      </c>
      <c r="C1145" s="39">
        <v>5.35</v>
      </c>
      <c r="D1145" s="39">
        <v>22603020</v>
      </c>
      <c r="E1145" s="39" t="s">
        <v>104</v>
      </c>
      <c r="F1145" s="39" t="s">
        <v>1077</v>
      </c>
      <c r="G1145" s="35">
        <v>0.81111111111111112</v>
      </c>
      <c r="H1145" s="35">
        <v>0.81805555555555554</v>
      </c>
      <c r="I1145" s="36">
        <v>10</v>
      </c>
      <c r="J1145" s="86" t="s">
        <v>52</v>
      </c>
      <c r="K1145" s="86" t="s">
        <v>445</v>
      </c>
      <c r="L1145" s="86" t="s">
        <v>59</v>
      </c>
      <c r="M1145" s="47" t="s">
        <v>59</v>
      </c>
    </row>
    <row r="1146" spans="1:13" x14ac:dyDescent="0.35">
      <c r="A1146" s="123">
        <v>46103</v>
      </c>
      <c r="B1146" s="39">
        <v>58</v>
      </c>
      <c r="C1146" s="39">
        <v>5.32</v>
      </c>
      <c r="D1146" s="39">
        <v>22603021</v>
      </c>
      <c r="E1146" s="39" t="s">
        <v>101</v>
      </c>
      <c r="F1146" s="39" t="s">
        <v>264</v>
      </c>
      <c r="G1146" s="35">
        <v>0.98263888888888884</v>
      </c>
      <c r="H1146" s="35">
        <v>3.472222222222222E-3</v>
      </c>
      <c r="I1146" s="36">
        <v>30</v>
      </c>
      <c r="J1146" s="86" t="s">
        <v>51</v>
      </c>
      <c r="K1146" s="116" t="s">
        <v>445</v>
      </c>
      <c r="L1146" s="86" t="s">
        <v>53</v>
      </c>
      <c r="M1146" s="47" t="s">
        <v>54</v>
      </c>
    </row>
    <row r="1147" spans="1:13" x14ac:dyDescent="0.35">
      <c r="A1147" s="123">
        <v>46103</v>
      </c>
      <c r="B1147" s="39">
        <v>58</v>
      </c>
      <c r="C1147" s="39">
        <v>5.32</v>
      </c>
      <c r="D1147" s="39">
        <v>22603021</v>
      </c>
      <c r="E1147" s="39" t="s">
        <v>101</v>
      </c>
      <c r="F1147" s="39" t="s">
        <v>264</v>
      </c>
      <c r="G1147" s="35">
        <v>3.472222222222222E-3</v>
      </c>
      <c r="H1147" s="35">
        <v>1.5277777777777777E-2</v>
      </c>
      <c r="I1147" s="36">
        <v>17</v>
      </c>
      <c r="J1147" s="86" t="s">
        <v>52</v>
      </c>
      <c r="K1147" s="86" t="s">
        <v>445</v>
      </c>
      <c r="L1147" s="86" t="s">
        <v>178</v>
      </c>
      <c r="M1147" s="47" t="s">
        <v>1050</v>
      </c>
    </row>
    <row r="1148" spans="1:13" x14ac:dyDescent="0.35">
      <c r="A1148" s="123">
        <v>46103</v>
      </c>
      <c r="B1148" s="39">
        <v>58</v>
      </c>
      <c r="C1148" s="39">
        <v>5.32</v>
      </c>
      <c r="D1148" s="39">
        <v>22603021</v>
      </c>
      <c r="E1148" s="39" t="s">
        <v>101</v>
      </c>
      <c r="F1148" s="39" t="s">
        <v>264</v>
      </c>
      <c r="G1148" s="35">
        <v>1.5277777777777777E-2</v>
      </c>
      <c r="H1148" s="35">
        <v>1.8749999999999999E-2</v>
      </c>
      <c r="I1148" s="36">
        <v>5</v>
      </c>
      <c r="J1148" s="164" t="s">
        <v>52</v>
      </c>
      <c r="K1148" s="164" t="s">
        <v>62</v>
      </c>
      <c r="L1148" s="164" t="s">
        <v>130</v>
      </c>
      <c r="M1148" s="47" t="s">
        <v>250</v>
      </c>
    </row>
    <row r="1149" spans="1:13" x14ac:dyDescent="0.35">
      <c r="A1149" s="167">
        <v>46104</v>
      </c>
      <c r="B1149" s="168">
        <v>58</v>
      </c>
      <c r="C1149" s="168">
        <v>5.35</v>
      </c>
      <c r="D1149" s="168">
        <v>22603022</v>
      </c>
      <c r="E1149" s="168" t="s">
        <v>80</v>
      </c>
      <c r="F1149" s="168">
        <v>1250</v>
      </c>
      <c r="G1149" s="169">
        <v>0.26041666666666669</v>
      </c>
      <c r="H1149" s="169">
        <v>0.27986111111111112</v>
      </c>
      <c r="I1149" s="168">
        <v>28</v>
      </c>
      <c r="J1149" s="168" t="s">
        <v>51</v>
      </c>
      <c r="K1149" s="168" t="s">
        <v>445</v>
      </c>
      <c r="L1149" s="168" t="s">
        <v>53</v>
      </c>
      <c r="M1149" s="168" t="s">
        <v>54</v>
      </c>
    </row>
    <row r="1150" spans="1:13" x14ac:dyDescent="0.35">
      <c r="A1150" s="167">
        <v>46104</v>
      </c>
      <c r="B1150" s="168">
        <v>58</v>
      </c>
      <c r="C1150" s="168">
        <v>5.35</v>
      </c>
      <c r="D1150" s="168">
        <v>22603023</v>
      </c>
      <c r="E1150" s="168" t="s">
        <v>47</v>
      </c>
      <c r="F1150" s="168">
        <v>1250</v>
      </c>
      <c r="G1150" s="169">
        <v>0.28125</v>
      </c>
      <c r="H1150" s="169">
        <v>0.36805555555555558</v>
      </c>
      <c r="I1150" s="168">
        <v>125</v>
      </c>
      <c r="J1150" s="168" t="s">
        <v>35</v>
      </c>
      <c r="K1150" s="168" t="s">
        <v>445</v>
      </c>
      <c r="L1150" s="168" t="s">
        <v>22</v>
      </c>
      <c r="M1150" s="168" t="s">
        <v>1109</v>
      </c>
    </row>
    <row r="1151" spans="1:13" x14ac:dyDescent="0.35">
      <c r="A1151" s="122">
        <v>46105</v>
      </c>
      <c r="B1151" s="45">
        <v>57.38</v>
      </c>
      <c r="C1151" s="45">
        <v>5.24</v>
      </c>
      <c r="D1151" s="46">
        <v>22603024</v>
      </c>
      <c r="E1151" s="45" t="s">
        <v>116</v>
      </c>
      <c r="F1151" s="45" t="s">
        <v>58</v>
      </c>
      <c r="G1151" s="35">
        <v>0.60763888888888884</v>
      </c>
      <c r="H1151" s="35">
        <v>0.62638888888888888</v>
      </c>
      <c r="I1151" s="36">
        <v>27</v>
      </c>
      <c r="J1151" s="86" t="s">
        <v>51</v>
      </c>
      <c r="K1151" s="116" t="s">
        <v>445</v>
      </c>
      <c r="L1151" s="86" t="s">
        <v>53</v>
      </c>
      <c r="M1151" s="47" t="s">
        <v>54</v>
      </c>
    </row>
    <row r="1152" spans="1:13" x14ac:dyDescent="0.35">
      <c r="A1152" s="122">
        <v>46107</v>
      </c>
      <c r="B1152" s="45">
        <v>58</v>
      </c>
      <c r="C1152" s="45">
        <v>5.19</v>
      </c>
      <c r="D1152" s="39">
        <v>22603025</v>
      </c>
      <c r="E1152" s="39" t="s">
        <v>141</v>
      </c>
      <c r="F1152" s="39">
        <v>1230</v>
      </c>
      <c r="G1152" s="35">
        <v>0.96180555555555558</v>
      </c>
      <c r="H1152" s="35">
        <v>0.98263888888888884</v>
      </c>
      <c r="I1152" s="36">
        <v>30</v>
      </c>
      <c r="J1152" s="86" t="s">
        <v>51</v>
      </c>
      <c r="K1152" s="116" t="s">
        <v>445</v>
      </c>
      <c r="L1152" s="86" t="s">
        <v>53</v>
      </c>
      <c r="M1152" s="47" t="s">
        <v>54</v>
      </c>
    </row>
    <row r="1153" spans="1:29" x14ac:dyDescent="0.35">
      <c r="A1153" s="123">
        <v>46107</v>
      </c>
      <c r="B1153" s="39">
        <v>58</v>
      </c>
      <c r="C1153" s="39">
        <v>4.95</v>
      </c>
      <c r="D1153" s="39">
        <v>22603025</v>
      </c>
      <c r="E1153" s="39" t="s">
        <v>141</v>
      </c>
      <c r="F1153" s="39">
        <v>1230</v>
      </c>
      <c r="G1153" s="35">
        <v>0.98263888888888884</v>
      </c>
      <c r="H1153" s="35">
        <v>0.98750000000000004</v>
      </c>
      <c r="I1153" s="36">
        <v>7</v>
      </c>
      <c r="J1153" s="86" t="s">
        <v>52</v>
      </c>
      <c r="K1153" s="86" t="s">
        <v>445</v>
      </c>
      <c r="L1153" s="86" t="s">
        <v>59</v>
      </c>
      <c r="M1153" s="47" t="s">
        <v>59</v>
      </c>
    </row>
    <row r="1154" spans="1:29" x14ac:dyDescent="0.35">
      <c r="A1154" s="123">
        <v>46107</v>
      </c>
      <c r="B1154" s="39">
        <v>58</v>
      </c>
      <c r="C1154" s="39">
        <v>4.95</v>
      </c>
      <c r="D1154" s="39">
        <v>22603025</v>
      </c>
      <c r="E1154" s="39" t="s">
        <v>141</v>
      </c>
      <c r="F1154" s="39">
        <v>1230</v>
      </c>
      <c r="G1154" s="35">
        <v>0.98750000000000004</v>
      </c>
      <c r="H1154" s="35">
        <v>0.99305555555555558</v>
      </c>
      <c r="I1154" s="36">
        <v>8</v>
      </c>
      <c r="J1154" s="86" t="s">
        <v>52</v>
      </c>
      <c r="K1154" s="116" t="s">
        <v>62</v>
      </c>
      <c r="L1154" s="86" t="s">
        <v>130</v>
      </c>
      <c r="M1154" s="47" t="s">
        <v>250</v>
      </c>
    </row>
    <row r="1155" spans="1:29" x14ac:dyDescent="0.35">
      <c r="A1155" s="123">
        <v>46107</v>
      </c>
      <c r="B1155" s="39">
        <v>58</v>
      </c>
      <c r="C1155" s="39">
        <v>4.95</v>
      </c>
      <c r="D1155" s="46">
        <v>22603026</v>
      </c>
      <c r="E1155" s="45" t="s">
        <v>138</v>
      </c>
      <c r="F1155" s="45">
        <v>1230</v>
      </c>
      <c r="G1155" s="35">
        <v>0.61111111111111116</v>
      </c>
      <c r="H1155" s="35">
        <v>0.66666666666666663</v>
      </c>
      <c r="I1155" s="36">
        <v>80</v>
      </c>
      <c r="J1155" s="86" t="s">
        <v>25</v>
      </c>
      <c r="K1155" s="86" t="s">
        <v>445</v>
      </c>
      <c r="L1155" s="86" t="s">
        <v>456</v>
      </c>
      <c r="M1155" s="60" t="s">
        <v>654</v>
      </c>
    </row>
    <row r="1156" spans="1:29" x14ac:dyDescent="0.35">
      <c r="A1156" s="123">
        <v>46107</v>
      </c>
      <c r="B1156" s="39">
        <v>58</v>
      </c>
      <c r="C1156" s="39">
        <v>4.95</v>
      </c>
      <c r="D1156" s="46">
        <v>22603027</v>
      </c>
      <c r="E1156" s="45" t="s">
        <v>173</v>
      </c>
      <c r="F1156" s="45">
        <v>1230</v>
      </c>
      <c r="G1156" s="35">
        <v>0.73472222222222228</v>
      </c>
      <c r="H1156" s="35">
        <v>0.77638888888888891</v>
      </c>
      <c r="I1156" s="36">
        <v>60</v>
      </c>
      <c r="J1156" s="86" t="s">
        <v>463</v>
      </c>
      <c r="K1156" s="116" t="s">
        <v>26</v>
      </c>
      <c r="L1156" s="86" t="s">
        <v>331</v>
      </c>
      <c r="M1156" s="47" t="s">
        <v>1114</v>
      </c>
    </row>
    <row r="1157" spans="1:29" x14ac:dyDescent="0.35">
      <c r="A1157" s="122">
        <v>46108</v>
      </c>
      <c r="B1157" s="45">
        <v>58</v>
      </c>
      <c r="C1157" s="45">
        <v>5.36</v>
      </c>
      <c r="D1157" s="46">
        <v>22603028</v>
      </c>
      <c r="E1157" s="45" t="s">
        <v>273</v>
      </c>
      <c r="F1157" s="45">
        <v>1240</v>
      </c>
      <c r="G1157" s="35">
        <v>0.57638888888888884</v>
      </c>
      <c r="H1157" s="35">
        <v>0.63888888888888884</v>
      </c>
      <c r="I1157" s="36">
        <v>90</v>
      </c>
      <c r="J1157" s="86" t="s">
        <v>25</v>
      </c>
      <c r="K1157" s="116" t="s">
        <v>445</v>
      </c>
      <c r="L1157" s="86" t="s">
        <v>456</v>
      </c>
      <c r="M1157" s="92" t="s">
        <v>654</v>
      </c>
    </row>
    <row r="1158" spans="1:29" x14ac:dyDescent="0.35">
      <c r="A1158" s="122">
        <v>46109</v>
      </c>
      <c r="B1158" s="45">
        <v>58</v>
      </c>
      <c r="C1158" s="45">
        <v>5.13</v>
      </c>
      <c r="D1158" s="46">
        <v>22603029</v>
      </c>
      <c r="E1158" s="45" t="s">
        <v>156</v>
      </c>
      <c r="F1158" s="45">
        <v>1250</v>
      </c>
      <c r="G1158" s="35">
        <v>0.54374999999999996</v>
      </c>
      <c r="H1158" s="35">
        <v>0.6020833333333333</v>
      </c>
      <c r="I1158" s="36">
        <v>84</v>
      </c>
      <c r="J1158" s="86" t="s">
        <v>35</v>
      </c>
      <c r="K1158" s="116" t="s">
        <v>62</v>
      </c>
      <c r="L1158" s="86" t="s">
        <v>190</v>
      </c>
      <c r="M1158" s="49" t="s">
        <v>1115</v>
      </c>
    </row>
    <row r="1159" spans="1:29" x14ac:dyDescent="0.35">
      <c r="A1159" s="123">
        <v>46111</v>
      </c>
      <c r="B1159" s="85">
        <v>58</v>
      </c>
      <c r="C1159" s="85">
        <v>5.19</v>
      </c>
      <c r="D1159" s="39">
        <v>22603030</v>
      </c>
      <c r="E1159" s="39" t="s">
        <v>141</v>
      </c>
      <c r="F1159" s="39">
        <v>1270</v>
      </c>
      <c r="G1159" s="35">
        <v>0.94444444444444442</v>
      </c>
      <c r="H1159" s="35">
        <v>0.96527777777777779</v>
      </c>
      <c r="I1159" s="36">
        <v>30</v>
      </c>
      <c r="J1159" s="86" t="s">
        <v>51</v>
      </c>
      <c r="K1159" s="116" t="s">
        <v>445</v>
      </c>
      <c r="L1159" s="86" t="s">
        <v>53</v>
      </c>
      <c r="M1159" s="47" t="s">
        <v>54</v>
      </c>
    </row>
    <row r="1160" spans="1:29" x14ac:dyDescent="0.35">
      <c r="A1160" s="123">
        <v>46111</v>
      </c>
      <c r="B1160" s="45">
        <v>58</v>
      </c>
      <c r="C1160" s="45">
        <v>4.8600000000000003</v>
      </c>
      <c r="D1160" s="39">
        <v>22603030</v>
      </c>
      <c r="E1160" s="39" t="s">
        <v>141</v>
      </c>
      <c r="F1160" s="39">
        <v>1270</v>
      </c>
      <c r="G1160" s="35">
        <v>0.96527777777777779</v>
      </c>
      <c r="H1160" s="35">
        <v>0.97569444444444442</v>
      </c>
      <c r="I1160" s="36">
        <v>15</v>
      </c>
      <c r="J1160" s="86" t="s">
        <v>52</v>
      </c>
      <c r="K1160" s="86" t="s">
        <v>445</v>
      </c>
      <c r="L1160" s="86" t="s">
        <v>59</v>
      </c>
      <c r="M1160" s="47" t="s">
        <v>59</v>
      </c>
    </row>
    <row r="1161" spans="1:29" x14ac:dyDescent="0.35">
      <c r="A1161" s="123">
        <v>46112</v>
      </c>
      <c r="B1161" s="39">
        <v>58</v>
      </c>
      <c r="C1161" s="39">
        <v>5.14</v>
      </c>
      <c r="D1161" s="39">
        <v>22603031</v>
      </c>
      <c r="E1161" s="39" t="s">
        <v>122</v>
      </c>
      <c r="F1161" s="39">
        <v>1250</v>
      </c>
      <c r="G1161" s="35">
        <v>0.98472222222222228</v>
      </c>
      <c r="H1161" s="35">
        <v>4.7222222222222221E-2</v>
      </c>
      <c r="I1161" s="36">
        <v>90</v>
      </c>
      <c r="J1161" s="86" t="s">
        <v>25</v>
      </c>
      <c r="K1161" s="116" t="s">
        <v>445</v>
      </c>
      <c r="L1161" s="86" t="s">
        <v>492</v>
      </c>
      <c r="M1161" s="92" t="s">
        <v>209</v>
      </c>
    </row>
    <row r="1162" spans="1:29" x14ac:dyDescent="0.35">
      <c r="A1162" s="123">
        <v>46112</v>
      </c>
      <c r="B1162" s="39">
        <v>58</v>
      </c>
      <c r="C1162" s="39">
        <v>5.14</v>
      </c>
      <c r="D1162" s="39">
        <v>22603031</v>
      </c>
      <c r="E1162" s="39" t="s">
        <v>122</v>
      </c>
      <c r="F1162" s="39">
        <v>1250</v>
      </c>
      <c r="G1162" s="35">
        <v>4.7222222222222221E-2</v>
      </c>
      <c r="H1162" s="35">
        <v>6.1111111111111109E-2</v>
      </c>
      <c r="I1162" s="36">
        <v>20</v>
      </c>
      <c r="J1162" s="86" t="s">
        <v>446</v>
      </c>
      <c r="K1162" s="116" t="s">
        <v>41</v>
      </c>
      <c r="L1162" s="58" t="s">
        <v>783</v>
      </c>
      <c r="M1162" s="58" t="s">
        <v>783</v>
      </c>
    </row>
    <row r="1163" spans="1:29" x14ac:dyDescent="0.35">
      <c r="A1163" s="123">
        <v>46112</v>
      </c>
      <c r="B1163" s="39">
        <v>58</v>
      </c>
      <c r="C1163" s="39">
        <v>5.14</v>
      </c>
      <c r="D1163" s="39">
        <v>22603031</v>
      </c>
      <c r="E1163" s="39" t="s">
        <v>122</v>
      </c>
      <c r="F1163" s="39">
        <v>1250</v>
      </c>
      <c r="G1163" s="35">
        <v>6.1111111111111109E-2</v>
      </c>
      <c r="H1163" s="35">
        <v>8.0555555555555561E-2</v>
      </c>
      <c r="I1163" s="36">
        <v>28</v>
      </c>
      <c r="J1163" s="86" t="s">
        <v>446</v>
      </c>
      <c r="K1163" s="116" t="s">
        <v>445</v>
      </c>
      <c r="L1163" s="86" t="s">
        <v>55</v>
      </c>
      <c r="M1163" s="62" t="s">
        <v>1118</v>
      </c>
    </row>
    <row r="1164" spans="1:29" x14ac:dyDescent="0.35">
      <c r="A1164" s="123">
        <v>46113</v>
      </c>
      <c r="B1164" s="171">
        <v>58</v>
      </c>
      <c r="C1164" s="171">
        <v>4.91</v>
      </c>
      <c r="D1164" s="45">
        <v>22603032</v>
      </c>
      <c r="E1164" s="45" t="s">
        <v>496</v>
      </c>
      <c r="F1164" s="45">
        <v>1255</v>
      </c>
      <c r="G1164" s="35">
        <v>0.43263888888888891</v>
      </c>
      <c r="H1164" s="35">
        <v>0.44930555555555557</v>
      </c>
      <c r="I1164" s="36">
        <v>24</v>
      </c>
      <c r="J1164" s="86" t="s">
        <v>51</v>
      </c>
      <c r="K1164" s="116" t="s">
        <v>445</v>
      </c>
      <c r="L1164" s="86" t="s">
        <v>53</v>
      </c>
      <c r="M1164" s="58" t="s">
        <v>54</v>
      </c>
      <c r="N1164" s="86"/>
      <c r="O1164" s="86"/>
      <c r="P1164" s="86"/>
      <c r="Q1164" s="86"/>
      <c r="R1164" s="86"/>
      <c r="S1164" s="86"/>
      <c r="T1164" s="86"/>
      <c r="U1164" s="86"/>
      <c r="V1164" s="86"/>
      <c r="W1164" s="86"/>
      <c r="X1164" s="86"/>
      <c r="Y1164" s="86"/>
      <c r="Z1164" s="86"/>
      <c r="AA1164" s="86"/>
      <c r="AB1164" s="86"/>
      <c r="AC1164" s="86"/>
    </row>
    <row r="1165" spans="1:29" x14ac:dyDescent="0.35">
      <c r="A1165" s="123">
        <v>46113</v>
      </c>
      <c r="B1165" s="171">
        <v>58</v>
      </c>
      <c r="C1165" s="171">
        <v>4.91</v>
      </c>
      <c r="D1165" s="45">
        <v>22604001</v>
      </c>
      <c r="E1165" s="45" t="s">
        <v>90</v>
      </c>
      <c r="F1165" s="45">
        <v>1255</v>
      </c>
      <c r="G1165" s="35">
        <v>0.80902777777777779</v>
      </c>
      <c r="H1165" s="35">
        <v>0.87152777777777779</v>
      </c>
      <c r="I1165" s="36">
        <v>90</v>
      </c>
      <c r="J1165" s="86" t="s">
        <v>25</v>
      </c>
      <c r="K1165" s="116" t="s">
        <v>445</v>
      </c>
      <c r="L1165" s="86" t="s">
        <v>456</v>
      </c>
      <c r="M1165" s="92" t="s">
        <v>654</v>
      </c>
      <c r="N1165" s="86"/>
      <c r="O1165" s="86"/>
      <c r="P1165" s="86"/>
      <c r="Q1165" s="86"/>
      <c r="R1165" s="86"/>
      <c r="S1165" s="86"/>
      <c r="T1165" s="86"/>
      <c r="U1165" s="86"/>
      <c r="V1165" s="86"/>
      <c r="W1165" s="86"/>
      <c r="X1165" s="86"/>
      <c r="Y1165" s="86"/>
      <c r="Z1165" s="86"/>
      <c r="AA1165" s="86"/>
      <c r="AB1165" s="86"/>
      <c r="AC1165" s="86"/>
    </row>
    <row r="1166" spans="1:29" x14ac:dyDescent="0.35">
      <c r="A1166" s="122">
        <v>46114</v>
      </c>
      <c r="B1166" s="172">
        <v>58</v>
      </c>
      <c r="C1166" s="172">
        <v>5.14</v>
      </c>
      <c r="D1166" s="46">
        <v>22604002</v>
      </c>
      <c r="E1166" s="45" t="s">
        <v>50</v>
      </c>
      <c r="F1166" s="45">
        <v>1250</v>
      </c>
      <c r="G1166" s="35">
        <v>0.8666666666666667</v>
      </c>
      <c r="H1166" s="35">
        <v>0.91666666666666663</v>
      </c>
      <c r="I1166" s="36">
        <v>72</v>
      </c>
      <c r="J1166" s="86" t="s">
        <v>463</v>
      </c>
      <c r="K1166" s="116" t="s">
        <v>445</v>
      </c>
      <c r="L1166" s="58" t="s">
        <v>1119</v>
      </c>
      <c r="M1166" s="58" t="s">
        <v>1119</v>
      </c>
    </row>
    <row r="1167" spans="1:29" x14ac:dyDescent="0.35">
      <c r="A1167" s="122">
        <v>46115</v>
      </c>
      <c r="B1167" s="45">
        <v>57.53</v>
      </c>
      <c r="C1167" s="45">
        <v>5.44</v>
      </c>
      <c r="D1167" s="46">
        <v>22604002</v>
      </c>
      <c r="E1167" s="45" t="s">
        <v>50</v>
      </c>
      <c r="F1167" s="45">
        <v>1250</v>
      </c>
      <c r="G1167" s="35">
        <v>0.91666666666666663</v>
      </c>
      <c r="H1167" s="35">
        <v>0.92500000000000004</v>
      </c>
      <c r="I1167" s="36">
        <v>12</v>
      </c>
      <c r="J1167" s="86" t="s">
        <v>463</v>
      </c>
      <c r="K1167" s="116" t="s">
        <v>445</v>
      </c>
      <c r="L1167" s="58" t="s">
        <v>1119</v>
      </c>
      <c r="M1167" s="58" t="s">
        <v>1120</v>
      </c>
    </row>
    <row r="1168" spans="1:29" x14ac:dyDescent="0.35">
      <c r="A1168" s="122">
        <v>46116</v>
      </c>
      <c r="B1168" s="45">
        <v>58</v>
      </c>
      <c r="C1168" s="45">
        <v>4.99</v>
      </c>
      <c r="D1168" s="46">
        <v>22604003</v>
      </c>
      <c r="E1168" s="45" t="s">
        <v>116</v>
      </c>
      <c r="F1168" s="45" t="s">
        <v>1063</v>
      </c>
      <c r="G1168" s="35">
        <v>0.10555555555555556</v>
      </c>
      <c r="H1168" s="35">
        <v>0.12638888888888888</v>
      </c>
      <c r="I1168" s="36">
        <v>30</v>
      </c>
      <c r="J1168" s="86" t="s">
        <v>51</v>
      </c>
      <c r="K1168" s="116" t="s">
        <v>445</v>
      </c>
      <c r="L1168" s="86" t="s">
        <v>53</v>
      </c>
      <c r="M1168" s="58" t="s">
        <v>54</v>
      </c>
    </row>
    <row r="1169" spans="1:13" x14ac:dyDescent="0.35">
      <c r="A1169" s="123">
        <v>46117</v>
      </c>
      <c r="B1169" s="39">
        <v>58</v>
      </c>
      <c r="C1169" s="39">
        <v>5.15</v>
      </c>
      <c r="D1169" s="39">
        <v>12604004</v>
      </c>
      <c r="E1169" s="39" t="s">
        <v>57</v>
      </c>
      <c r="F1169" s="39" t="s">
        <v>1124</v>
      </c>
      <c r="G1169" s="35">
        <v>0.35902777777777778</v>
      </c>
      <c r="H1169" s="35">
        <v>0.37986111111111109</v>
      </c>
      <c r="I1169" s="36">
        <v>30</v>
      </c>
      <c r="J1169" s="86" t="s">
        <v>51</v>
      </c>
      <c r="K1169" s="116" t="s">
        <v>445</v>
      </c>
      <c r="L1169" s="86" t="s">
        <v>53</v>
      </c>
      <c r="M1169" s="47" t="s">
        <v>54</v>
      </c>
    </row>
    <row r="1170" spans="1:13" x14ac:dyDescent="0.35">
      <c r="A1170" s="123">
        <v>46117</v>
      </c>
      <c r="B1170" s="39">
        <v>58</v>
      </c>
      <c r="C1170" s="39">
        <v>5.15</v>
      </c>
      <c r="D1170" s="39">
        <v>12604004</v>
      </c>
      <c r="E1170" s="39" t="s">
        <v>57</v>
      </c>
      <c r="F1170" s="39" t="s">
        <v>1124</v>
      </c>
      <c r="G1170" s="35">
        <v>0.37986111111111109</v>
      </c>
      <c r="H1170" s="35">
        <v>0.39027777777777778</v>
      </c>
      <c r="I1170" s="36">
        <v>15</v>
      </c>
      <c r="J1170" s="86" t="s">
        <v>52</v>
      </c>
      <c r="K1170" s="116" t="s">
        <v>445</v>
      </c>
      <c r="L1170" s="86" t="s">
        <v>59</v>
      </c>
      <c r="M1170" s="47" t="s">
        <v>59</v>
      </c>
    </row>
    <row r="1171" spans="1:13" x14ac:dyDescent="0.35">
      <c r="A1171" s="123">
        <v>46118</v>
      </c>
      <c r="B1171" s="39">
        <v>58</v>
      </c>
      <c r="C1171" s="39">
        <v>5.25</v>
      </c>
      <c r="D1171" s="39">
        <v>22604005</v>
      </c>
      <c r="E1171" s="39" t="s">
        <v>496</v>
      </c>
      <c r="F1171" s="39" t="s">
        <v>1125</v>
      </c>
      <c r="G1171" s="35">
        <v>0.71458333333333335</v>
      </c>
      <c r="H1171" s="35">
        <v>0.73541666666666672</v>
      </c>
      <c r="I1171" s="36">
        <v>30</v>
      </c>
      <c r="J1171" s="86" t="s">
        <v>51</v>
      </c>
      <c r="K1171" s="116" t="s">
        <v>445</v>
      </c>
      <c r="L1171" s="86" t="s">
        <v>53</v>
      </c>
      <c r="M1171" s="47" t="s">
        <v>54</v>
      </c>
    </row>
    <row r="1172" spans="1:13" x14ac:dyDescent="0.35">
      <c r="A1172" s="123">
        <v>46118</v>
      </c>
      <c r="B1172" s="39">
        <v>58</v>
      </c>
      <c r="C1172" s="39">
        <v>5.25</v>
      </c>
      <c r="D1172" s="39">
        <v>22604005</v>
      </c>
      <c r="E1172" s="39" t="s">
        <v>496</v>
      </c>
      <c r="F1172" s="39" t="s">
        <v>1125</v>
      </c>
      <c r="G1172" s="35">
        <v>0.73541666666666672</v>
      </c>
      <c r="H1172" s="35">
        <v>0.78680555555555554</v>
      </c>
      <c r="I1172" s="36">
        <v>74</v>
      </c>
      <c r="J1172" s="86" t="s">
        <v>446</v>
      </c>
      <c r="K1172" s="116" t="s">
        <v>26</v>
      </c>
      <c r="L1172" s="86" t="s">
        <v>543</v>
      </c>
      <c r="M1172" s="47" t="s">
        <v>543</v>
      </c>
    </row>
    <row r="1173" spans="1:13" x14ac:dyDescent="0.35">
      <c r="A1173" s="123">
        <v>46120</v>
      </c>
      <c r="B1173" s="45">
        <v>57.76</v>
      </c>
      <c r="C1173" s="45">
        <v>5.38</v>
      </c>
      <c r="D1173" s="39">
        <v>22604006</v>
      </c>
      <c r="E1173" s="39" t="s">
        <v>72</v>
      </c>
      <c r="F1173" s="39" t="s">
        <v>713</v>
      </c>
      <c r="G1173" s="35">
        <v>6.5972222222222224E-2</v>
      </c>
      <c r="H1173" s="35">
        <v>8.6805555555555552E-2</v>
      </c>
      <c r="I1173" s="36">
        <v>30</v>
      </c>
      <c r="J1173" s="86" t="s">
        <v>51</v>
      </c>
      <c r="K1173" s="116" t="s">
        <v>445</v>
      </c>
      <c r="L1173" s="86" t="s">
        <v>53</v>
      </c>
      <c r="M1173" s="58" t="s">
        <v>54</v>
      </c>
    </row>
    <row r="1174" spans="1:13" x14ac:dyDescent="0.35">
      <c r="A1174" s="123">
        <v>46120</v>
      </c>
      <c r="B1174" s="39">
        <v>58</v>
      </c>
      <c r="C1174" s="39">
        <v>5.29</v>
      </c>
      <c r="D1174" s="39">
        <v>22604006</v>
      </c>
      <c r="E1174" s="39" t="s">
        <v>72</v>
      </c>
      <c r="F1174" s="39" t="s">
        <v>713</v>
      </c>
      <c r="G1174" s="35">
        <v>8.6805555555555552E-2</v>
      </c>
      <c r="H1174" s="35">
        <v>9.166666666666666E-2</v>
      </c>
      <c r="I1174" s="36">
        <v>7</v>
      </c>
      <c r="J1174" s="86" t="s">
        <v>52</v>
      </c>
      <c r="K1174" s="116" t="s">
        <v>445</v>
      </c>
      <c r="L1174" s="86" t="s">
        <v>59</v>
      </c>
      <c r="M1174" s="58" t="s">
        <v>59</v>
      </c>
    </row>
    <row r="1175" spans="1:13" x14ac:dyDescent="0.35">
      <c r="A1175" s="123">
        <v>46120</v>
      </c>
      <c r="B1175" s="39">
        <v>58</v>
      </c>
      <c r="C1175" s="39">
        <v>5.29</v>
      </c>
      <c r="D1175" s="39">
        <v>22604006</v>
      </c>
      <c r="E1175" s="39" t="s">
        <v>72</v>
      </c>
      <c r="F1175" s="39" t="s">
        <v>713</v>
      </c>
      <c r="G1175" s="35">
        <v>9.166666666666666E-2</v>
      </c>
      <c r="H1175" s="35">
        <v>9.7222222222222224E-2</v>
      </c>
      <c r="I1175" s="36">
        <v>8</v>
      </c>
      <c r="J1175" s="86" t="s">
        <v>52</v>
      </c>
      <c r="K1175" s="116" t="s">
        <v>62</v>
      </c>
      <c r="L1175" s="86" t="s">
        <v>130</v>
      </c>
      <c r="M1175" s="58" t="s">
        <v>164</v>
      </c>
    </row>
    <row r="1176" spans="1:13" x14ac:dyDescent="0.35">
      <c r="A1176" s="123">
        <v>46120</v>
      </c>
      <c r="B1176" s="39">
        <v>58</v>
      </c>
      <c r="C1176" s="39">
        <v>5.29</v>
      </c>
      <c r="D1176" s="45">
        <v>22604007</v>
      </c>
      <c r="E1176" s="45" t="s">
        <v>522</v>
      </c>
      <c r="F1176" s="45">
        <v>1232</v>
      </c>
      <c r="G1176" s="35">
        <v>0.74652777777777779</v>
      </c>
      <c r="H1176" s="35">
        <v>0.80902777777777779</v>
      </c>
      <c r="I1176" s="36">
        <v>90</v>
      </c>
      <c r="J1176" s="86" t="s">
        <v>25</v>
      </c>
      <c r="K1176" s="116" t="s">
        <v>445</v>
      </c>
      <c r="L1176" s="86" t="s">
        <v>492</v>
      </c>
      <c r="M1176" s="92" t="s">
        <v>209</v>
      </c>
    </row>
  </sheetData>
  <autoFilter ref="A1:M1150" xr:uid="{865BF96C-AA0C-444A-AA6B-D2959639F74C}"/>
  <phoneticPr fontId="10" type="noConversion"/>
  <dataValidations count="1">
    <dataValidation type="list" allowBlank="1" showInputMessage="1" showErrorMessage="1" sqref="L38:L59 L1:L14 L16:L19 L21 L23:L24 L26:L31 L33:L35 L456:L459 L689:L704 L710:L712 L714:L720 L965 L1041 L1060 L1177:L1048576" xr:uid="{1E2B879D-4717-4E51-A08A-374C88356916}">
      <formula1>INDIRECT($K1)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19DE-3E1B-4895-A04F-5B7A545EEC12}">
  <dimension ref="A1:T39"/>
  <sheetViews>
    <sheetView zoomScale="87" workbookViewId="0">
      <selection activeCell="E12" sqref="E12"/>
    </sheetView>
  </sheetViews>
  <sheetFormatPr defaultRowHeight="14.5" x14ac:dyDescent="0.35"/>
  <cols>
    <col min="1" max="1" width="16.54296875" bestFit="1" customWidth="1"/>
    <col min="10" max="10" width="18.36328125" bestFit="1" customWidth="1"/>
    <col min="17" max="17" width="13.453125" bestFit="1" customWidth="1"/>
    <col min="18" max="18" width="17.08984375" bestFit="1" customWidth="1"/>
    <col min="19" max="20" width="50.7265625" bestFit="1" customWidth="1"/>
  </cols>
  <sheetData>
    <row r="1" spans="1:20" x14ac:dyDescent="0.35">
      <c r="A1" t="s">
        <v>15</v>
      </c>
      <c r="H1" s="123"/>
      <c r="I1" s="39"/>
      <c r="J1" s="39"/>
      <c r="K1" s="45"/>
      <c r="L1" s="45"/>
      <c r="M1" s="45"/>
      <c r="N1" s="35"/>
      <c r="O1" s="35"/>
      <c r="P1" s="36"/>
      <c r="Q1" s="86"/>
      <c r="R1" s="86"/>
      <c r="S1" s="86"/>
      <c r="T1" s="47"/>
    </row>
    <row r="2" spans="1:20" x14ac:dyDescent="0.35">
      <c r="A2" t="s">
        <v>19</v>
      </c>
      <c r="H2" s="123"/>
      <c r="I2" s="39"/>
      <c r="J2" s="39"/>
      <c r="K2" s="39"/>
      <c r="L2" s="39"/>
      <c r="M2" s="39"/>
      <c r="N2" s="35"/>
      <c r="O2" s="35"/>
      <c r="P2" s="36"/>
      <c r="Q2" s="86"/>
      <c r="R2" s="86"/>
      <c r="S2" s="86"/>
      <c r="T2" s="49"/>
    </row>
    <row r="3" spans="1:20" x14ac:dyDescent="0.35">
      <c r="A3" t="s">
        <v>21</v>
      </c>
      <c r="H3" s="123"/>
      <c r="I3" s="39"/>
      <c r="J3" s="39"/>
      <c r="K3" s="39"/>
      <c r="L3" s="39"/>
      <c r="M3" s="39"/>
      <c r="N3" s="35"/>
      <c r="O3" s="35"/>
      <c r="P3" s="36"/>
      <c r="Q3" s="86"/>
      <c r="R3" s="116"/>
      <c r="S3" s="47"/>
      <c r="T3" s="47"/>
    </row>
    <row r="4" spans="1:20" x14ac:dyDescent="0.35">
      <c r="A4" t="s">
        <v>26</v>
      </c>
      <c r="H4" s="123"/>
      <c r="I4" s="39"/>
      <c r="J4" s="39"/>
      <c r="K4" s="39"/>
      <c r="L4" s="39"/>
      <c r="M4" s="39"/>
      <c r="N4" s="35"/>
      <c r="O4" s="35"/>
      <c r="P4" s="36"/>
      <c r="Q4" s="86"/>
      <c r="R4" s="116"/>
      <c r="S4" s="47"/>
      <c r="T4" s="47"/>
    </row>
    <row r="5" spans="1:20" x14ac:dyDescent="0.35">
      <c r="A5" t="s">
        <v>41</v>
      </c>
      <c r="H5" s="123"/>
      <c r="I5" s="39"/>
      <c r="J5" s="39"/>
      <c r="K5" s="45"/>
      <c r="L5" s="45"/>
      <c r="M5" s="45"/>
      <c r="N5" s="35"/>
      <c r="O5" s="35"/>
      <c r="P5" s="36"/>
      <c r="Q5" s="86"/>
      <c r="R5" s="116"/>
      <c r="S5" s="86"/>
      <c r="T5" s="49"/>
    </row>
    <row r="6" spans="1:20" x14ac:dyDescent="0.35">
      <c r="A6" t="s">
        <v>52</v>
      </c>
      <c r="H6" s="123"/>
      <c r="I6" s="39"/>
      <c r="J6" s="39"/>
      <c r="K6" s="39"/>
      <c r="L6" s="39"/>
      <c r="M6" s="39"/>
      <c r="N6" s="35"/>
      <c r="O6" s="35"/>
      <c r="P6" s="36"/>
      <c r="Q6" s="86"/>
      <c r="R6" s="86"/>
      <c r="S6" s="86"/>
      <c r="T6" s="49"/>
    </row>
    <row r="7" spans="1:20" x14ac:dyDescent="0.35">
      <c r="A7" t="s">
        <v>62</v>
      </c>
      <c r="H7" s="123"/>
      <c r="I7" s="39"/>
      <c r="J7" s="39"/>
      <c r="K7" s="39"/>
      <c r="L7" s="39"/>
      <c r="M7" s="39"/>
      <c r="N7" s="35"/>
      <c r="O7" s="35"/>
      <c r="P7" s="36"/>
      <c r="Q7" s="86"/>
      <c r="R7" s="116"/>
      <c r="S7" s="86"/>
      <c r="T7" s="47"/>
    </row>
    <row r="8" spans="1:20" x14ac:dyDescent="0.35">
      <c r="H8" s="122"/>
      <c r="I8" s="45"/>
      <c r="J8" s="45"/>
      <c r="K8" s="45"/>
      <c r="L8" s="45"/>
      <c r="M8" s="45"/>
      <c r="N8" s="35"/>
      <c r="O8" s="35"/>
      <c r="P8" s="36"/>
      <c r="Q8" s="86"/>
      <c r="R8" s="116"/>
      <c r="S8" s="86"/>
      <c r="T8" s="49"/>
    </row>
    <row r="9" spans="1:20" x14ac:dyDescent="0.35">
      <c r="H9" s="123"/>
      <c r="I9" s="45"/>
      <c r="J9" s="45"/>
      <c r="K9" s="39"/>
      <c r="L9" s="39"/>
      <c r="M9" s="39"/>
      <c r="N9" s="35"/>
      <c r="O9" s="35"/>
      <c r="P9" s="36"/>
      <c r="Q9" s="86"/>
      <c r="R9" s="116"/>
      <c r="S9" s="86"/>
      <c r="T9" s="47"/>
    </row>
    <row r="10" spans="1:20" x14ac:dyDescent="0.35">
      <c r="H10" s="123"/>
      <c r="I10" s="45"/>
      <c r="J10" s="45"/>
      <c r="K10" s="39"/>
      <c r="L10" s="39"/>
      <c r="M10" s="39"/>
      <c r="N10" s="35"/>
      <c r="O10" s="35"/>
      <c r="P10" s="36"/>
      <c r="Q10" s="86"/>
      <c r="R10" s="116"/>
      <c r="S10" s="86"/>
      <c r="T10" s="47"/>
    </row>
    <row r="11" spans="1:20" x14ac:dyDescent="0.35">
      <c r="H11" s="123"/>
      <c r="I11" s="39"/>
      <c r="J11" s="39"/>
      <c r="K11" s="39"/>
      <c r="L11" s="39"/>
      <c r="M11" s="39"/>
      <c r="N11" s="35"/>
      <c r="O11" s="35"/>
      <c r="P11" s="36"/>
      <c r="Q11" s="86"/>
      <c r="R11" s="116"/>
      <c r="S11" s="86"/>
      <c r="T11" s="47"/>
    </row>
    <row r="12" spans="1:20" x14ac:dyDescent="0.35">
      <c r="H12" s="123"/>
      <c r="I12" s="39"/>
      <c r="J12" s="39"/>
      <c r="K12" s="39"/>
      <c r="L12" s="39"/>
      <c r="M12" s="39"/>
      <c r="N12" s="35"/>
      <c r="O12" s="35"/>
      <c r="P12" s="36"/>
      <c r="Q12" s="86"/>
      <c r="R12" s="116"/>
      <c r="S12" s="86"/>
      <c r="T12" s="47"/>
    </row>
    <row r="13" spans="1:20" x14ac:dyDescent="0.35">
      <c r="H13" s="123"/>
      <c r="I13" s="39"/>
      <c r="J13" s="39"/>
      <c r="K13" s="39"/>
      <c r="L13" s="39"/>
      <c r="M13" s="39"/>
      <c r="N13" s="35"/>
      <c r="O13" s="35"/>
      <c r="P13" s="36"/>
      <c r="Q13" s="86"/>
      <c r="R13" s="86"/>
      <c r="S13" s="86"/>
      <c r="T13" s="47"/>
    </row>
    <row r="14" spans="1:20" x14ac:dyDescent="0.35">
      <c r="H14" s="123"/>
      <c r="I14" s="39"/>
      <c r="J14" s="39"/>
      <c r="K14" s="45"/>
      <c r="L14" s="45"/>
      <c r="M14" s="45"/>
      <c r="N14" s="35"/>
      <c r="O14" s="35"/>
      <c r="P14" s="36"/>
      <c r="Q14" s="86"/>
      <c r="R14" s="116"/>
      <c r="S14" s="86"/>
      <c r="T14" s="47"/>
    </row>
    <row r="15" spans="1:20" x14ac:dyDescent="0.35">
      <c r="H15" s="123"/>
      <c r="I15" s="39"/>
      <c r="J15" s="39"/>
      <c r="K15" s="127"/>
      <c r="L15" s="127"/>
      <c r="M15" s="127"/>
      <c r="N15" s="35"/>
      <c r="O15" s="35"/>
      <c r="P15" s="36"/>
      <c r="Q15" s="86"/>
      <c r="R15" s="116"/>
      <c r="S15" s="86"/>
      <c r="T15" s="60"/>
    </row>
    <row r="16" spans="1:20" x14ac:dyDescent="0.35">
      <c r="H16" s="122"/>
      <c r="I16" s="45"/>
      <c r="J16" s="45"/>
      <c r="K16" s="127"/>
      <c r="L16" s="127"/>
      <c r="M16" s="127"/>
      <c r="N16" s="35"/>
      <c r="O16" s="35"/>
      <c r="P16" s="36"/>
      <c r="Q16" s="86"/>
      <c r="R16" s="86"/>
      <c r="S16" s="86"/>
      <c r="T16" s="121"/>
    </row>
    <row r="17" spans="8:20" x14ac:dyDescent="0.35">
      <c r="H17" s="122"/>
      <c r="I17" s="39"/>
      <c r="J17" s="39"/>
      <c r="K17" s="46"/>
      <c r="L17" s="45"/>
      <c r="M17" s="45"/>
      <c r="N17" s="35"/>
      <c r="O17" s="35"/>
      <c r="P17" s="36"/>
      <c r="Q17" s="86"/>
      <c r="R17" s="86"/>
      <c r="S17" s="86"/>
      <c r="T17" s="47"/>
    </row>
    <row r="18" spans="8:20" x14ac:dyDescent="0.35">
      <c r="H18" s="123"/>
      <c r="I18" s="39"/>
      <c r="J18" s="39"/>
      <c r="K18" s="39"/>
      <c r="L18" s="39"/>
      <c r="M18" s="39"/>
      <c r="N18" s="35"/>
      <c r="O18" s="35"/>
      <c r="P18" s="36"/>
      <c r="Q18" s="86"/>
      <c r="R18" s="86"/>
      <c r="S18" s="86"/>
      <c r="T18" s="47"/>
    </row>
    <row r="19" spans="8:20" x14ac:dyDescent="0.35">
      <c r="H19" s="123"/>
      <c r="I19" s="39"/>
      <c r="J19" s="39"/>
      <c r="K19" s="39"/>
      <c r="L19" s="39"/>
      <c r="M19" s="39"/>
      <c r="N19" s="35"/>
      <c r="O19" s="35"/>
      <c r="P19" s="36"/>
      <c r="Q19" s="86"/>
      <c r="R19" s="116"/>
      <c r="S19" s="86"/>
      <c r="T19" s="47"/>
    </row>
    <row r="20" spans="8:20" x14ac:dyDescent="0.35">
      <c r="H20" s="123"/>
      <c r="I20" s="39"/>
      <c r="J20" s="39"/>
      <c r="K20" s="39"/>
      <c r="L20" s="39"/>
      <c r="M20" s="39"/>
      <c r="N20" s="35"/>
      <c r="O20" s="35"/>
      <c r="P20" s="36"/>
      <c r="Q20" s="86"/>
      <c r="R20" s="86"/>
      <c r="S20" s="47"/>
      <c r="T20" s="47"/>
    </row>
    <row r="21" spans="8:20" x14ac:dyDescent="0.35">
      <c r="H21" s="123"/>
      <c r="I21" s="39"/>
      <c r="J21" s="39"/>
      <c r="K21" s="39"/>
      <c r="L21" s="39"/>
      <c r="M21" s="39"/>
      <c r="N21" s="35"/>
      <c r="O21" s="35"/>
      <c r="P21" s="36"/>
      <c r="Q21" s="86"/>
      <c r="R21" s="86"/>
      <c r="S21" s="86"/>
      <c r="T21" s="49"/>
    </row>
    <row r="22" spans="8:20" x14ac:dyDescent="0.35">
      <c r="H22" s="123"/>
      <c r="I22" s="39"/>
      <c r="J22" s="39"/>
      <c r="K22" s="39"/>
      <c r="L22" s="39"/>
      <c r="M22" s="39"/>
      <c r="N22" s="35"/>
      <c r="O22" s="35"/>
      <c r="P22" s="36"/>
      <c r="Q22" s="86"/>
      <c r="R22" s="86"/>
      <c r="S22" s="86"/>
      <c r="T22" s="47"/>
    </row>
    <row r="23" spans="8:20" x14ac:dyDescent="0.35">
      <c r="H23" s="123"/>
      <c r="I23" s="85"/>
      <c r="J23" s="85"/>
      <c r="K23" s="39"/>
      <c r="L23" s="39"/>
      <c r="M23" s="39"/>
      <c r="N23" s="35"/>
      <c r="O23" s="35"/>
      <c r="P23" s="36"/>
      <c r="Q23" s="86"/>
      <c r="R23" s="86"/>
      <c r="S23" s="86"/>
      <c r="T23" s="47"/>
    </row>
    <row r="24" spans="8:20" x14ac:dyDescent="0.35">
      <c r="H24" s="123"/>
      <c r="I24" s="39"/>
      <c r="J24" s="39"/>
      <c r="K24" s="39"/>
      <c r="L24" s="39"/>
      <c r="M24" s="39"/>
      <c r="N24" s="35"/>
      <c r="O24" s="35"/>
      <c r="P24" s="36"/>
      <c r="Q24" s="86"/>
      <c r="R24" s="86"/>
      <c r="S24" s="86"/>
      <c r="T24" s="47"/>
    </row>
    <row r="25" spans="8:20" x14ac:dyDescent="0.35">
      <c r="H25" s="123"/>
      <c r="I25" s="39"/>
      <c r="J25" s="39"/>
      <c r="K25" s="39"/>
      <c r="L25" s="39"/>
      <c r="M25" s="39"/>
      <c r="N25" s="35"/>
      <c r="O25" s="35"/>
      <c r="P25" s="36"/>
      <c r="Q25" s="86"/>
      <c r="R25" s="86"/>
      <c r="S25" s="86"/>
      <c r="T25" s="60"/>
    </row>
    <row r="26" spans="8:20" x14ac:dyDescent="0.35">
      <c r="H26" s="123"/>
      <c r="I26" s="39"/>
      <c r="J26" s="39"/>
      <c r="K26" s="39"/>
      <c r="L26" s="39"/>
      <c r="M26" s="39"/>
      <c r="N26" s="35"/>
      <c r="O26" s="35"/>
      <c r="P26" s="36"/>
      <c r="Q26" s="86"/>
      <c r="R26" s="86"/>
      <c r="S26" s="47"/>
      <c r="T26" s="47"/>
    </row>
    <row r="27" spans="8:20" x14ac:dyDescent="0.35">
      <c r="H27" s="123"/>
      <c r="I27" s="85"/>
      <c r="J27" s="85"/>
      <c r="K27" s="39"/>
      <c r="L27" s="39"/>
      <c r="M27" s="39"/>
      <c r="N27" s="35"/>
      <c r="O27" s="35"/>
      <c r="P27" s="36"/>
      <c r="Q27" s="86"/>
      <c r="R27" s="86"/>
      <c r="S27" s="86"/>
      <c r="T27" s="47"/>
    </row>
    <row r="28" spans="8:20" x14ac:dyDescent="0.35">
      <c r="H28" s="123"/>
      <c r="I28" s="39"/>
      <c r="J28" s="39"/>
      <c r="K28" s="39"/>
      <c r="L28" s="39"/>
      <c r="M28" s="39"/>
      <c r="N28" s="35"/>
      <c r="O28" s="35"/>
      <c r="P28" s="36"/>
      <c r="Q28" s="86"/>
      <c r="R28" s="116"/>
      <c r="S28" s="86"/>
      <c r="T28" s="47"/>
    </row>
    <row r="29" spans="8:20" x14ac:dyDescent="0.35">
      <c r="H29" s="123"/>
      <c r="I29" s="39"/>
      <c r="J29" s="39"/>
      <c r="K29" s="39"/>
      <c r="L29" s="39"/>
      <c r="M29" s="39"/>
      <c r="N29" s="35"/>
      <c r="O29" s="35"/>
      <c r="P29" s="36"/>
      <c r="Q29" s="86"/>
      <c r="R29" s="86"/>
      <c r="S29" s="86"/>
      <c r="T29" s="47"/>
    </row>
    <row r="30" spans="8:20" x14ac:dyDescent="0.35">
      <c r="H30" s="123"/>
      <c r="I30" s="39"/>
      <c r="J30" s="39"/>
      <c r="K30" s="45"/>
      <c r="L30" s="45"/>
      <c r="M30" s="45"/>
      <c r="N30" s="35"/>
      <c r="O30" s="35"/>
      <c r="P30" s="36"/>
      <c r="Q30" s="86"/>
      <c r="R30" s="116"/>
      <c r="S30" s="86"/>
      <c r="T30" s="60"/>
    </row>
    <row r="31" spans="8:20" x14ac:dyDescent="0.35">
      <c r="H31" s="122"/>
      <c r="I31" s="85"/>
      <c r="J31" s="85"/>
      <c r="K31" s="45"/>
      <c r="L31" s="45"/>
      <c r="M31" s="45"/>
      <c r="N31" s="35"/>
      <c r="O31" s="35"/>
      <c r="P31" s="36"/>
      <c r="Q31" s="86"/>
      <c r="R31" s="86"/>
      <c r="S31" s="86"/>
      <c r="T31" s="60"/>
    </row>
    <row r="32" spans="8:20" x14ac:dyDescent="0.35">
      <c r="H32" s="123"/>
      <c r="I32" s="39"/>
      <c r="J32" s="39"/>
      <c r="K32" s="45"/>
      <c r="L32" s="45"/>
      <c r="M32" s="45"/>
      <c r="N32" s="35"/>
      <c r="O32" s="35"/>
      <c r="P32" s="36"/>
      <c r="Q32" s="86"/>
      <c r="R32" s="86"/>
      <c r="S32" s="86"/>
      <c r="T32" s="121"/>
    </row>
    <row r="33" spans="8:20" x14ac:dyDescent="0.35">
      <c r="H33" s="123"/>
      <c r="I33" s="39"/>
      <c r="J33" s="39"/>
      <c r="K33" s="45"/>
      <c r="L33" s="45"/>
      <c r="M33" s="45"/>
      <c r="N33" s="35"/>
      <c r="O33" s="35"/>
      <c r="P33" s="36"/>
      <c r="Q33" s="86"/>
      <c r="R33" s="116"/>
      <c r="S33" s="86"/>
      <c r="T33" s="121"/>
    </row>
    <row r="39" spans="8:20" x14ac:dyDescent="0.35">
      <c r="O39" s="148"/>
      <c r="P39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49E33F86C25948886F1E8A99BC512E" ma:contentTypeVersion="15" ma:contentTypeDescription="Create a new document." ma:contentTypeScope="" ma:versionID="1bfc4e34dc9e3e243f3f449995ec60a3">
  <xsd:schema xmlns:xsd="http://www.w3.org/2001/XMLSchema" xmlns:xs="http://www.w3.org/2001/XMLSchema" xmlns:p="http://schemas.microsoft.com/office/2006/metadata/properties" xmlns:ns2="3b9180bd-2b5f-4b86-a4a2-d73bc6f45e83" xmlns:ns3="eb9b0dff-1ea9-4b3a-bb56-836ee6c20d66" targetNamespace="http://schemas.microsoft.com/office/2006/metadata/properties" ma:root="true" ma:fieldsID="78c0127a76310825167e53b0833c0ba9" ns2:_="" ns3:_="">
    <xsd:import namespace="3b9180bd-2b5f-4b86-a4a2-d73bc6f45e83"/>
    <xsd:import namespace="eb9b0dff-1ea9-4b3a-bb56-836ee6c20d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9180bd-2b5f-4b86-a4a2-d73bc6f45e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7c34c5-97f3-4372-b8b5-57b3c0aeb7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9b0dff-1ea9-4b3a-bb56-836ee6c20d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a93e8b4-5203-4020-b0e6-aaac8ad61f26}" ma:internalName="TaxCatchAll" ma:showField="CatchAllData" ma:web="eb9b0dff-1ea9-4b3a-bb56-836ee6c20d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9b0dff-1ea9-4b3a-bb56-836ee6c20d66" xsi:nil="true"/>
    <lcf76f155ced4ddcb4097134ff3c332f xmlns="3b9180bd-2b5f-4b86-a4a2-d73bc6f45e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2FE1EB-EB1B-4097-9B05-377736D0AE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9180bd-2b5f-4b86-a4a2-d73bc6f45e83"/>
    <ds:schemaRef ds:uri="eb9b0dff-1ea9-4b3a-bb56-836ee6c20d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83B628-04D7-4B34-A7A9-CC80C52674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8D203D-2ABA-4E4F-9088-37940B5430B9}">
  <ds:schemaRefs>
    <ds:schemaRef ds:uri="http://schemas.microsoft.com/office/2006/metadata/properties"/>
    <ds:schemaRef ds:uri="http://schemas.microsoft.com/office/infopath/2007/PartnerControls"/>
    <ds:schemaRef ds:uri="eb9b0dff-1ea9-4b3a-bb56-836ee6c20d66"/>
    <ds:schemaRef ds:uri="3b9180bd-2b5f-4b86-a4a2-d73bc6f45e8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CSP Caster-01</vt:lpstr>
      <vt:lpstr>CSP Caster-02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Raghvendra Singh</dc:creator>
  <cp:lastModifiedBy>Vijeet Singh</cp:lastModifiedBy>
  <dcterms:created xsi:type="dcterms:W3CDTF">2024-10-20T04:53:34Z</dcterms:created>
  <dcterms:modified xsi:type="dcterms:W3CDTF">2026-04-09T03:33:51Z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0x010100A549E33F86C25948886F1E8A99BC512E</vt:lpwstr>
  </property>
  <property fmtid="{D5CDD505-2E9C-101B-9397-08002B2CF9AE}" pid="3" name="MediaServiceImageTags">
    <vt:lpwstr/>
  </property>
</Properties>
</file>